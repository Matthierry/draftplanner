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5"/>
    <sheet state="visible" name="Settings" sheetId="2" r:id="rId6"/>
    <sheet state="visible" name="Managers" sheetId="3" r:id="rId7"/>
    <sheet state="visible" name="Historical Drafts" sheetId="4" r:id="rId8"/>
    <sheet state="visible" name="Historical Points" sheetId="5" r:id="rId9"/>
    <sheet state="visible" name="Lists" sheetId="6" r:id="rId10"/>
    <sheet state="visible" name="Players" sheetId="7" r:id="rId11"/>
    <sheet state="visible" name="Auction Log" sheetId="8" r:id="rId12"/>
    <sheet state="visible" name="Live Draft" sheetId="9" r:id="rId13"/>
    <sheet state="visible" name="Dashboard" sheetId="10" r:id="rId14"/>
    <sheet state="visible" name="Nomination Assistant" sheetId="11" r:id="rId15"/>
  </sheets>
  <definedNames/>
  <calcPr/>
</workbook>
</file>

<file path=xl/sharedStrings.xml><?xml version="1.0" encoding="utf-8"?>
<sst xmlns="http://schemas.openxmlformats.org/spreadsheetml/2006/main" count="15086" uniqueCount="2232">
  <si>
    <t>Fantasy Draft Auction Assistant - Google Sheets Engine</t>
  </si>
  <si>
    <t>What this workbook is</t>
  </si>
  <si>
    <t>A first working engine for the auction draft assistant. Import this .xlsx into the blank Google Sheet, then populate the highlighted input fields.</t>
  </si>
  <si>
    <t>Best workflow</t>
  </si>
  <si>
    <t>Use Settings, Managers and Players before draft day. Use Live Draft during the draft. Use Auction Log to record completed sales.</t>
  </si>
  <si>
    <t>Built from existing data</t>
  </si>
  <si>
    <t>The 2025/26 auction result and player points data from your uploaded Draft Results.xlsx has been included in Historical Drafts and Historical Points.</t>
  </si>
  <si>
    <t>Important</t>
  </si>
  <si>
    <t>I could not edit the linked Google Sheet directly from this environment, so this workbook is designed to be imported into it.</t>
  </si>
  <si>
    <t>Populate before draft</t>
  </si>
  <si>
    <t>Where</t>
  </si>
  <si>
    <t>Confirm manager names and your manager name</t>
  </si>
  <si>
    <t>Settings + Managers</t>
  </si>
  <si>
    <t>Add/refresh full player pool if Fantrax export changes</t>
  </si>
  <si>
    <t>Players</t>
  </si>
  <si>
    <t>Enter site projections</t>
  </si>
  <si>
    <t>Players column N</t>
  </si>
  <si>
    <t>Enter your personal projections</t>
  </si>
  <si>
    <t>Players column O</t>
  </si>
  <si>
    <t>Review/override tiers</t>
  </si>
  <si>
    <t>Players column F</t>
  </si>
  <si>
    <t>Set preference score 1-10</t>
  </si>
  <si>
    <t>Players column G</t>
  </si>
  <si>
    <t>Set reliability score 1-10</t>
  </si>
  <si>
    <t>Players column H</t>
  </si>
  <si>
    <t>Flag avoid-unless-cheap players</t>
  </si>
  <si>
    <t>Players column I</t>
  </si>
  <si>
    <t>Mark transfer risk / new signing manual review</t>
  </si>
  <si>
    <t>Players columns J-K</t>
  </si>
  <si>
    <t>Paste 2023/24 and 2024/25 data when available</t>
  </si>
  <si>
    <t>Historical Drafts / Historical Points</t>
  </si>
  <si>
    <t>How to use during the live draft</t>
  </si>
  <si>
    <t>1</t>
  </si>
  <si>
    <t>Go to Live Draft.</t>
  </si>
  <si>
    <t>2</t>
  </si>
  <si>
    <t>Select the nominated player from the dropdown/search field.</t>
  </si>
  <si>
    <t>3</t>
  </si>
  <si>
    <t>Use the bid recommendation cards to guide your bidding.</t>
  </si>
  <si>
    <t>4</t>
  </si>
  <si>
    <t>When the auction ends, enter sold price and winning manager.</t>
  </si>
  <si>
    <t>5</t>
  </si>
  <si>
    <t>Copy the generated row into Auction Log. This updates budgets, squads, market sentiment and future max bids.</t>
  </si>
  <si>
    <t>Auction Draft Settings</t>
  </si>
  <si>
    <t>Setting</t>
  </si>
  <si>
    <t>Value</t>
  </si>
  <si>
    <t>Notes</t>
  </si>
  <si>
    <t>Input</t>
  </si>
  <si>
    <t>Weight</t>
  </si>
  <si>
    <t>Season</t>
  </si>
  <si>
    <t>2026/27</t>
  </si>
  <si>
    <t>Editable label only</t>
  </si>
  <si>
    <t>Your Projection</t>
  </si>
  <si>
    <t>Primary input</t>
  </si>
  <si>
    <t>Manager Count</t>
  </si>
  <si>
    <t>Adjust between 6 and 12</t>
  </si>
  <si>
    <t>Previous Points</t>
  </si>
  <si>
    <t>Useful because starter point rule continues</t>
  </si>
  <si>
    <t>Starting Budget</t>
  </si>
  <si>
    <t>Default auction budget</t>
  </si>
  <si>
    <t>Site Projection</t>
  </si>
  <si>
    <t>Weak external signal</t>
  </si>
  <si>
    <t>Squad Size</t>
  </si>
  <si>
    <t>Each manager drafts exactly 15 players</t>
  </si>
  <si>
    <t>Risk Mode Hard Max Mult</t>
  </si>
  <si>
    <t>Formula from risk mode table</t>
  </si>
  <si>
    <t>Active Players</t>
  </si>
  <si>
    <t>Starting XI</t>
  </si>
  <si>
    <t>Preference Influence</t>
  </si>
  <si>
    <t>How much 1-10 preference moves value</t>
  </si>
  <si>
    <t>Bench Players</t>
  </si>
  <si>
    <t>Squad size minus active players</t>
  </si>
  <si>
    <t>Reliability Influence</t>
  </si>
  <si>
    <t>How much 1-10 reliability moves value</t>
  </si>
  <si>
    <t>Risk Mode</t>
  </si>
  <si>
    <t>Balanced</t>
  </si>
  <si>
    <t>Safe / Balanced / Upside</t>
  </si>
  <si>
    <t>Avoid Multiplier</t>
  </si>
  <si>
    <t>Applied when Avoid Unless Cheap = Yes</t>
  </si>
  <si>
    <t>Starter Point Active</t>
  </si>
  <si>
    <t>Yes</t>
  </si>
  <si>
    <t>1 point per player starting a fixture</t>
  </si>
  <si>
    <t>Your Manager Name</t>
  </si>
  <si>
    <t>The Clarke Arts Project</t>
  </si>
  <si>
    <t>Must match Managers sheet exactly</t>
  </si>
  <si>
    <t>First 10% Target</t>
  </si>
  <si>
    <t>Strongly recommend drafting one player in this window</t>
  </si>
  <si>
    <t>Current Draft Pick</t>
  </si>
  <si>
    <t>Formula-driven from Auction Log</t>
  </si>
  <si>
    <t>Tier</t>
  </si>
  <si>
    <t>Value Mult</t>
  </si>
  <si>
    <t>Opening %</t>
  </si>
  <si>
    <t>Good %</t>
  </si>
  <si>
    <t>Fair %</t>
  </si>
  <si>
    <t>Stretch %</t>
  </si>
  <si>
    <t>Hard Max %</t>
  </si>
  <si>
    <t>Description</t>
  </si>
  <si>
    <t>Hard Max Mult</t>
  </si>
  <si>
    <t>Total Draft Picks</t>
  </si>
  <si>
    <t>Manager count x squad size</t>
  </si>
  <si>
    <t>Tier 1</t>
  </si>
  <si>
    <t>Safe</t>
  </si>
  <si>
    <t>Protects budget and avoids marginal overpays</t>
  </si>
  <si>
    <t>Tier 2</t>
  </si>
  <si>
    <t>Maximises value while keeping flexibility</t>
  </si>
  <si>
    <t>Tier 3</t>
  </si>
  <si>
    <t>Upside</t>
  </si>
  <si>
    <t>Allows stronger stretch on players you like</t>
  </si>
  <si>
    <t>Position</t>
  </si>
  <si>
    <t>Code</t>
  </si>
  <si>
    <t>Min Active</t>
  </si>
  <si>
    <t>Max Active</t>
  </si>
  <si>
    <t>Draft Min</t>
  </si>
  <si>
    <t>Max Squad</t>
  </si>
  <si>
    <t>Replacement Level</t>
  </si>
  <si>
    <t>Tier 4</t>
  </si>
  <si>
    <t>GK</t>
  </si>
  <si>
    <t>G</t>
  </si>
  <si>
    <t>Tier 5</t>
  </si>
  <si>
    <t>DEF</t>
  </si>
  <si>
    <t>D</t>
  </si>
  <si>
    <t>Watchlist</t>
  </si>
  <si>
    <t>MID</t>
  </si>
  <si>
    <t>M</t>
  </si>
  <si>
    <t>FWD</t>
  </si>
  <si>
    <t>F</t>
  </si>
  <si>
    <t>Market Status</t>
  </si>
  <si>
    <t>Threshold</t>
  </si>
  <si>
    <t>Meaning</t>
  </si>
  <si>
    <t>Very Overheated</t>
  </si>
  <si>
    <t>Actual spend is 20%+ above expected</t>
  </si>
  <si>
    <t>Overheated</t>
  </si>
  <si>
    <t>Actual spend is 8%+ above expected</t>
  </si>
  <si>
    <t>Fair</t>
  </si>
  <si>
    <t>Actual spend is close to expected</t>
  </si>
  <si>
    <t>Soft</t>
  </si>
  <si>
    <t>Actual spend is 8%+ below expected</t>
  </si>
  <si>
    <t>Very Soft</t>
  </si>
  <si>
    <t>Actual spend is 20%+ below expected</t>
  </si>
  <si>
    <t>Managers - Live Budget and Squad Tracking</t>
  </si>
  <si>
    <t>Manager ID</t>
  </si>
  <si>
    <t>Manager Name</t>
  </si>
  <si>
    <t>Active?</t>
  </si>
  <si>
    <t>Remaining Budget</t>
  </si>
  <si>
    <t>Players Drafted</t>
  </si>
  <si>
    <t>Squad Spots Left</t>
  </si>
  <si>
    <t>Max Legal Bid</t>
  </si>
  <si>
    <t>GK Drafted</t>
  </si>
  <si>
    <t>DEF Drafted</t>
  </si>
  <si>
    <t>MID Drafted</t>
  </si>
  <si>
    <t>FWD Drafted</t>
  </si>
  <si>
    <t>GK Need</t>
  </si>
  <si>
    <t>DEF Need</t>
  </si>
  <si>
    <t>MID Need</t>
  </si>
  <si>
    <t>FWD Need</t>
  </si>
  <si>
    <t>Need Score</t>
  </si>
  <si>
    <t>Danger Level</t>
  </si>
  <si>
    <t>Jase the Ace FC</t>
  </si>
  <si>
    <t>Bennett Like Beckham</t>
  </si>
  <si>
    <t>Wright on Time FC</t>
  </si>
  <si>
    <t>Calcio Birm FC</t>
  </si>
  <si>
    <t>Nisbet On Black</t>
  </si>
  <si>
    <t>Who Needs a Flan B?</t>
  </si>
  <si>
    <t>Flan the Man FC</t>
  </si>
  <si>
    <t>Over 2.5 Scholes</t>
  </si>
  <si>
    <t>Historical Drafts - Auction Results</t>
  </si>
  <si>
    <t>Player ID</t>
  </si>
  <si>
    <t>Pick</t>
  </si>
  <si>
    <t>Player Name</t>
  </si>
  <si>
    <t>Team</t>
  </si>
  <si>
    <t>Bid</t>
  </si>
  <si>
    <t>Fantasy Team</t>
  </si>
  <si>
    <t>Time (BST)</t>
  </si>
  <si>
    <t>FPts</t>
  </si>
  <si>
    <t>FP/G</t>
  </si>
  <si>
    <t>2025/26</t>
  </si>
  <si>
    <t>*03aqp*</t>
  </si>
  <si>
    <t>Mohamed Salah Ghaly</t>
  </si>
  <si>
    <t>LIV</t>
  </si>
  <si>
    <t>*061vq*</t>
  </si>
  <si>
    <t>Erling Haaland</t>
  </si>
  <si>
    <t>MCI</t>
  </si>
  <si>
    <t>*06v21*</t>
  </si>
  <si>
    <t>Florian Wirtz</t>
  </si>
  <si>
    <t>*05gcr*</t>
  </si>
  <si>
    <t>Bruno Miguel Borges Fernandes</t>
  </si>
  <si>
    <t>MUN</t>
  </si>
  <si>
    <t>*05l8q*</t>
  </si>
  <si>
    <t>Cole Palmer</t>
  </si>
  <si>
    <t>CHE</t>
  </si>
  <si>
    <t>*04y92*</t>
  </si>
  <si>
    <t>Bukayo Saka</t>
  </si>
  <si>
    <t>ARS</t>
  </si>
  <si>
    <t>*067yz*</t>
  </si>
  <si>
    <t>Matheus Santos Carneiro Da Cunha</t>
  </si>
  <si>
    <t>*0646f*</t>
  </si>
  <si>
    <t>Alexander Isak</t>
  </si>
  <si>
    <t>NEW/LIV</t>
  </si>
  <si>
    <t>*05ocl*</t>
  </si>
  <si>
    <t>Ollie Watkins</t>
  </si>
  <si>
    <t>AVL</t>
  </si>
  <si>
    <t>*05trb*</t>
  </si>
  <si>
    <t>Bryan Mbeumo</t>
  </si>
  <si>
    <t>*06rf9*</t>
  </si>
  <si>
    <t>Omar Khaled Mohamed Abd Elsala Marmoush</t>
  </si>
  <si>
    <t>*05r9b*</t>
  </si>
  <si>
    <t>Martin Odegaard</t>
  </si>
  <si>
    <t>*05g2o*</t>
  </si>
  <si>
    <t>Joao Pedro Junqueira de Jesus</t>
  </si>
  <si>
    <t>*04tsb*</t>
  </si>
  <si>
    <t>Viktor GyÃ¶keres</t>
  </si>
  <si>
    <t>*05nt6*</t>
  </si>
  <si>
    <t>Eberechi Eze</t>
  </si>
  <si>
    <t>CRY/ARS</t>
  </si>
  <si>
    <t>*046c5*</t>
  </si>
  <si>
    <t>Jarrod Bowen</t>
  </si>
  <si>
    <t>WHU</t>
  </si>
  <si>
    <t>Bradical Tactics FC</t>
  </si>
  <si>
    <t>*05r34*</t>
  </si>
  <si>
    <t>Amad Diallo</t>
  </si>
  <si>
    <t>*06jgi*</t>
  </si>
  <si>
    <t>Daniel Munoz</t>
  </si>
  <si>
    <t>CRY</t>
  </si>
  <si>
    <t>*05uht*</t>
  </si>
  <si>
    <t>Morgan Rogers</t>
  </si>
  <si>
    <t>*04mdn*</t>
  </si>
  <si>
    <t>Anthony Gordon</t>
  </si>
  <si>
    <t>NEW</t>
  </si>
  <si>
    <t>*04abb*</t>
  </si>
  <si>
    <t>Phil Foden</t>
  </si>
  <si>
    <t>*062ci*</t>
  </si>
  <si>
    <t>Kaoru Mitoma</t>
  </si>
  <si>
    <t>BHA</t>
  </si>
  <si>
    <t>*06v05*</t>
  </si>
  <si>
    <t>Jeremie Frimpong</t>
  </si>
  <si>
    <t>*04qr9*</t>
  </si>
  <si>
    <t>Morgan Gibbs-White</t>
  </si>
  <si>
    <t>NOT</t>
  </si>
  <si>
    <t>*068ym*</t>
  </si>
  <si>
    <t>Enzo Fernandez</t>
  </si>
  <si>
    <t>*06zbz*</t>
  </si>
  <si>
    <t>Hugo EkitikÃ©</t>
  </si>
  <si>
    <t>*03fgo*</t>
  </si>
  <si>
    <t>Dominic Solanke</t>
  </si>
  <si>
    <t>TOT</t>
  </si>
  <si>
    <t>*06do9*</t>
  </si>
  <si>
    <t>Milos Kerkez</t>
  </si>
  <si>
    <t>*05nzu*</t>
  </si>
  <si>
    <t>Gabriel dos Santos Magalhaes</t>
  </si>
  <si>
    <t>*068y0*</t>
  </si>
  <si>
    <t>Antoine Semenyo</t>
  </si>
  <si>
    <t>BOU/MCI</t>
  </si>
  <si>
    <t>*05n07*</t>
  </si>
  <si>
    <t>Pedro Porro</t>
  </si>
  <si>
    <t>*04agz*</t>
  </si>
  <si>
    <t>Declan Rice</t>
  </si>
  <si>
    <t>*05r94*</t>
  </si>
  <si>
    <t>Iliman Ndiaye</t>
  </si>
  <si>
    <t>EVE</t>
  </si>
  <si>
    <t>*05os4*</t>
  </si>
  <si>
    <t>Rayan Ait-Nouri</t>
  </si>
  <si>
    <t>*06fv8*</t>
  </si>
  <si>
    <t>Mohammed Kudus</t>
  </si>
  <si>
    <t>*06v07*</t>
  </si>
  <si>
    <t>Rayan Cherki</t>
  </si>
  <si>
    <t>*03vlj*</t>
  </si>
  <si>
    <t>Virgil van Dijk</t>
  </si>
  <si>
    <t>*06fup*</t>
  </si>
  <si>
    <t>Jeremy Doku</t>
  </si>
  <si>
    <t>*02m5b*</t>
  </si>
  <si>
    <t>Chris Wood</t>
  </si>
  <si>
    <t>*05uor*</t>
  </si>
  <si>
    <t>Yoane Wissa</t>
  </si>
  <si>
    <t>BRF/NEW</t>
  </si>
  <si>
    <t>*05r8o*</t>
  </si>
  <si>
    <t>Jean-Philippe Mateta</t>
  </si>
  <si>
    <t>*04p0d*</t>
  </si>
  <si>
    <t>Dwight McNeil</t>
  </si>
  <si>
    <t>*06zxy*</t>
  </si>
  <si>
    <t>Benjamin Sesko</t>
  </si>
  <si>
    <t>*04f6h*</t>
  </si>
  <si>
    <t>Matz Sels</t>
  </si>
  <si>
    <t>*06ex4*</t>
  </si>
  <si>
    <t>Josko Gvardiol</t>
  </si>
  <si>
    <t>*06p6j*</t>
  </si>
  <si>
    <t>Francisco Evanilson de Lima Barbosa</t>
  </si>
  <si>
    <t>BOU</t>
  </si>
  <si>
    <t>*067yv*</t>
  </si>
  <si>
    <t>Cody Gakpo</t>
  </si>
  <si>
    <t>*05y9n*</t>
  </si>
  <si>
    <t>Lewis Hall</t>
  </si>
  <si>
    <t>*06mow*</t>
  </si>
  <si>
    <t>Jorgen Strand Larsen</t>
  </si>
  <si>
    <t>WOL/CRY</t>
  </si>
  <si>
    <t>*06mvz*</t>
  </si>
  <si>
    <t>Savio Moreira de Oliveira</t>
  </si>
  <si>
    <t>*05748*</t>
  </si>
  <si>
    <t>Ismaila Sarr</t>
  </si>
  <si>
    <t>*05ogb*</t>
  </si>
  <si>
    <t>Anthony Elanga</t>
  </si>
  <si>
    <t>*056iy*</t>
  </si>
  <si>
    <t>Pedro Lomba Neto</t>
  </si>
  <si>
    <t>*044ei*</t>
  </si>
  <si>
    <t>Nick Pope</t>
  </si>
  <si>
    <t>*03rzp*</t>
  </si>
  <si>
    <t>Antonee Robinson</t>
  </si>
  <si>
    <t>FUL</t>
  </si>
  <si>
    <t>*038ze*</t>
  </si>
  <si>
    <t>Alex Iwobi</t>
  </si>
  <si>
    <t>*05oig*</t>
  </si>
  <si>
    <t>Liam Delap</t>
  </si>
  <si>
    <t>*05ylj*</t>
  </si>
  <si>
    <t>Bruno Guimaraes Rodriguez Moura</t>
  </si>
  <si>
    <t>*0626q*</t>
  </si>
  <si>
    <t>Simon Adingra</t>
  </si>
  <si>
    <t>SUN</t>
  </si>
  <si>
    <t>*0522h*</t>
  </si>
  <si>
    <t>Alexis Mac Allister</t>
  </si>
  <si>
    <t>*04mi4*</t>
  </si>
  <si>
    <t>Callum Hudson-Odoi</t>
  </si>
  <si>
    <t>*06clt*</t>
  </si>
  <si>
    <t>Justin Kluivert</t>
  </si>
  <si>
    <t>*06v06*</t>
  </si>
  <si>
    <t>Tijjani Reijnders</t>
  </si>
  <si>
    <t>*06rm8*</t>
  </si>
  <si>
    <t>Mathys Tel</t>
  </si>
  <si>
    <t>*063q8*</t>
  </si>
  <si>
    <t>Mikkel Damsgaard</t>
  </si>
  <si>
    <t>BRF</t>
  </si>
  <si>
    <t>*04adp*</t>
  </si>
  <si>
    <t>Aaron Wan-Bissaka</t>
  </si>
  <si>
    <t>*04yo7*</t>
  </si>
  <si>
    <t>Youri Tielemans</t>
  </si>
  <si>
    <t>*05s08*</t>
  </si>
  <si>
    <t>Valentino Livramento</t>
  </si>
  <si>
    <t>*06rlj*</t>
  </si>
  <si>
    <t>Patrick Dorgu</t>
  </si>
  <si>
    <t>*06cmm*</t>
  </si>
  <si>
    <t>Dominik Szoboszlai</t>
  </si>
  <si>
    <t>*06dmj*</t>
  </si>
  <si>
    <t>Jurrien Timber</t>
  </si>
  <si>
    <t>*05o6h*</t>
  </si>
  <si>
    <t>Kai Havertz</t>
  </si>
  <si>
    <t>*06ymu*</t>
  </si>
  <si>
    <t>El Hadji Malick Diouf</t>
  </si>
  <si>
    <t>*02lnx*</t>
  </si>
  <si>
    <t>Danny Welbeck</t>
  </si>
  <si>
    <t>*051k7*</t>
  </si>
  <si>
    <t>Reece James</t>
  </si>
  <si>
    <t>*061ya*</t>
  </si>
  <si>
    <t>Brennan Johnson</t>
  </si>
  <si>
    <t>TOT/CRY</t>
  </si>
  <si>
    <t>*0558w*</t>
  </si>
  <si>
    <t>William Saliba</t>
  </si>
  <si>
    <t>*050jq*</t>
  </si>
  <si>
    <t>Marc Guehi</t>
  </si>
  <si>
    <t>CRY/MCI</t>
  </si>
  <si>
    <t>*05rb8*</t>
  </si>
  <si>
    <t>Moises Caicedo</t>
  </si>
  <si>
    <t>*05a6e*</t>
  </si>
  <si>
    <t>Neco Williams</t>
  </si>
  <si>
    <t>*03dx3*</t>
  </si>
  <si>
    <t>Kieran Trippier</t>
  </si>
  <si>
    <t>*063zi*</t>
  </si>
  <si>
    <t>Matheus Luiz Nunes</t>
  </si>
  <si>
    <t>*03rxs*</t>
  </si>
  <si>
    <t>Harry Wilson</t>
  </si>
  <si>
    <t>*06cm1*</t>
  </si>
  <si>
    <t>Nicolas Jackson</t>
  </si>
  <si>
    <t>*04xjr*</t>
  </si>
  <si>
    <t>Harvey Elliott</t>
  </si>
  <si>
    <t>LIV/AVL</t>
  </si>
  <si>
    <t>*06c6g*</t>
  </si>
  <si>
    <t>Yankuba Minteh</t>
  </si>
  <si>
    <t>*068n8*</t>
  </si>
  <si>
    <t>Noni Madueke</t>
  </si>
  <si>
    <t>*0427d*</t>
  </si>
  <si>
    <t>James Tarkowski</t>
  </si>
  <si>
    <t>*06mw0*</t>
  </si>
  <si>
    <t>Nikola Milenkovic</t>
  </si>
  <si>
    <t>*0524k*</t>
  </si>
  <si>
    <t>Rodrigo Hernandez Cascante</t>
  </si>
  <si>
    <t>*06nu7*</t>
  </si>
  <si>
    <t>Riccardo Calafiori</t>
  </si>
  <si>
    <t>*052h5*</t>
  </si>
  <si>
    <t>Gabriel Teodoro Martinelli Silva</t>
  </si>
  <si>
    <t>*06zce*</t>
  </si>
  <si>
    <t>Jhon Arias</t>
  </si>
  <si>
    <t>WOL</t>
  </si>
  <si>
    <t>*04qrc*</t>
  </si>
  <si>
    <t>Raul Jimenez</t>
  </si>
  <si>
    <t>*05ylx*</t>
  </si>
  <si>
    <t>Dejan Kulusevski</t>
  </si>
  <si>
    <t>*05ybq*</t>
  </si>
  <si>
    <t>Vitalii Mykolenko</t>
  </si>
  <si>
    <t>*05opj*</t>
  </si>
  <si>
    <t>Elliot Anderson</t>
  </si>
  <si>
    <t>*068lx*</t>
  </si>
  <si>
    <t>Dango Ouattara</t>
  </si>
  <si>
    <t>BOU/BRF</t>
  </si>
  <si>
    <t>*06cms*</t>
  </si>
  <si>
    <t>Sandro Tonali</t>
  </si>
  <si>
    <t>*02lm7*</t>
  </si>
  <si>
    <t>Jack Grealish</t>
  </si>
  <si>
    <t>*032f9*</t>
  </si>
  <si>
    <t>Jordan Pickford</t>
  </si>
  <si>
    <t>*0639x*</t>
  </si>
  <si>
    <t>Marcus Tavernier</t>
  </si>
  <si>
    <t>*04sjt*</t>
  </si>
  <si>
    <t>Alisson Ramses Becker</t>
  </si>
  <si>
    <t>*05akv*</t>
  </si>
  <si>
    <t>Tyrick Mitchell</t>
  </si>
  <si>
    <t>*067zv*</t>
  </si>
  <si>
    <t>Kevin Schade</t>
  </si>
  <si>
    <t>*05w9i*</t>
  </si>
  <si>
    <t>Marc Cucurella</t>
  </si>
  <si>
    <t>*052cb*</t>
  </si>
  <si>
    <t>Ian Maatsen</t>
  </si>
  <si>
    <t>*0689w*</t>
  </si>
  <si>
    <t>Georginio Rutter</t>
  </si>
  <si>
    <t>*06o2t*</t>
  </si>
  <si>
    <t>Niclas FÃ¼llkrug</t>
  </si>
  <si>
    <t>*0647t*</t>
  </si>
  <si>
    <t>Lucas Tolentino Coelho de Lima</t>
  </si>
  <si>
    <t>*066sd*</t>
  </si>
  <si>
    <t>Myles Lewis-Skelly</t>
  </si>
  <si>
    <t>*04qfz*</t>
  </si>
  <si>
    <t>Jose Diogo Dalot Teixeira</t>
  </si>
  <si>
    <t>*05oz3*</t>
  </si>
  <si>
    <t>James Trafford</t>
  </si>
  <si>
    <t>*06p4j*</t>
  </si>
  <si>
    <t>Noussair Mazraoui</t>
  </si>
  <si>
    <t>*0687c*</t>
  </si>
  <si>
    <t>Carlos Alcaraz</t>
  </si>
  <si>
    <t>*05gcc*</t>
  </si>
  <si>
    <t>Kiernan Dewsbury-Hall</t>
  </si>
  <si>
    <t>*06y9z*</t>
  </si>
  <si>
    <t>Martin Zubimendi</t>
  </si>
  <si>
    <t>*06y9n*</t>
  </si>
  <si>
    <t>Jamie Gittens</t>
  </si>
  <si>
    <t>*05u7f*</t>
  </si>
  <si>
    <t>Ibrahima Konate</t>
  </si>
  <si>
    <t>*04fk6*</t>
  </si>
  <si>
    <t>Bernardo Mota Veiga de Carvalho e Silva</t>
  </si>
  <si>
    <t>*04qfq*</t>
  </si>
  <si>
    <t>Matt O'Riley</t>
  </si>
  <si>
    <t>*04tm0*</t>
  </si>
  <si>
    <t>Lucas Digne</t>
  </si>
  <si>
    <t>*04qor*</t>
  </si>
  <si>
    <t>Bernd Leno</t>
  </si>
  <si>
    <t>*06rgg*</t>
  </si>
  <si>
    <t>Michael Kayode</t>
  </si>
  <si>
    <t>*06v02*</t>
  </si>
  <si>
    <t>Joel Piroe</t>
  </si>
  <si>
    <t>LEE</t>
  </si>
  <si>
    <t>*03yr0*</t>
  </si>
  <si>
    <t>Daniel James</t>
  </si>
  <si>
    <t>*06v0p*</t>
  </si>
  <si>
    <t>Enzo Le FÃ©e</t>
  </si>
  <si>
    <t>*04abn*</t>
  </si>
  <si>
    <t>Harvey Barnes</t>
  </si>
  <si>
    <t>*06y9m*</t>
  </si>
  <si>
    <t>Maxim De Cuyper</t>
  </si>
  <si>
    <t>*05ye7*</t>
  </si>
  <si>
    <t>Oscar Bobb</t>
  </si>
  <si>
    <t>MCI/FUL</t>
  </si>
  <si>
    <t>*05uoc*</t>
  </si>
  <si>
    <t>Cristian Romero</t>
  </si>
  <si>
    <t>*06zqq*</t>
  </si>
  <si>
    <t>Jorrel Hato</t>
  </si>
  <si>
    <t>*04sat*</t>
  </si>
  <si>
    <t>Emile Smith Rowe</t>
  </si>
  <si>
    <t>*06pia*</t>
  </si>
  <si>
    <t>Maxence Lacroix</t>
  </si>
  <si>
    <t>*05tqx*</t>
  </si>
  <si>
    <t>David Raya</t>
  </si>
  <si>
    <t>*061vp*</t>
  </si>
  <si>
    <t>Brenden Aaronson</t>
  </si>
  <si>
    <t>*05omu*</t>
  </si>
  <si>
    <t>Ruben Santos Gato Alves Dias</t>
  </si>
  <si>
    <t>*06yxe*</t>
  </si>
  <si>
    <t>Estevao Willian Almeida de Oliveira GonÃ§alves</t>
  </si>
  <si>
    <t>*03am7*</t>
  </si>
  <si>
    <t>Jacob Murphy</t>
  </si>
  <si>
    <t>*06jgs*</t>
  </si>
  <si>
    <t>Adam Wharton</t>
  </si>
  <si>
    <t>*06ybp*</t>
  </si>
  <si>
    <t>Thierno Barry</t>
  </si>
  <si>
    <t>*04fk5*</t>
  </si>
  <si>
    <t>Ederson Santana de Moraes</t>
  </si>
  <si>
    <t>*04ge7*</t>
  </si>
  <si>
    <t>Donyell Malen</t>
  </si>
  <si>
    <t>*06uyc*</t>
  </si>
  <si>
    <t>Adrien Truffert</t>
  </si>
  <si>
    <t>*06zna*</t>
  </si>
  <si>
    <t>Dan Ndoye</t>
  </si>
  <si>
    <t>*03frx*</t>
  </si>
  <si>
    <t>Ola Aina</t>
  </si>
  <si>
    <t>*0554i*</t>
  </si>
  <si>
    <t>Joelinton Cassio Apolinario de Lira</t>
  </si>
  <si>
    <t>*05oeh*</t>
  </si>
  <si>
    <t>Kenny Tete</t>
  </si>
  <si>
    <t>*06cmu*</t>
  </si>
  <si>
    <t>Bart Verbruggen</t>
  </si>
  <si>
    <t>*0520r*</t>
  </si>
  <si>
    <t>Leandro Trossard</t>
  </si>
  <si>
    <t>Historical Points - Player Points</t>
  </si>
  <si>
    <t>Player</t>
  </si>
  <si>
    <t>Overall Rank</t>
  </si>
  <si>
    <t>Status</t>
  </si>
  <si>
    <t>Opponent/Last Fixture</t>
  </si>
  <si>
    <t>Bruno Fernandes</t>
  </si>
  <si>
    <t>LUC</t>
  </si>
  <si>
    <t>MUN 3 @BHA 0 F</t>
  </si>
  <si>
    <t>AFL</t>
  </si>
  <si>
    <t>AVL 2 @MCI 1 F</t>
  </si>
  <si>
    <t>RAM</t>
  </si>
  <si>
    <t>*06mn0*</t>
  </si>
  <si>
    <t>Igor Thiago</t>
  </si>
  <si>
    <t>BRF 1 @LIV 1 F</t>
  </si>
  <si>
    <t>HAR</t>
  </si>
  <si>
    <t>ARS 2 @CRY 1 F</t>
  </si>
  <si>
    <t>BRD</t>
  </si>
  <si>
    <t>BOU 1 @NOT 1 F</t>
  </si>
  <si>
    <t>LEE 0 @WHU 3 F</t>
  </si>
  <si>
    <t>SCH</t>
  </si>
  <si>
    <t>TBE</t>
  </si>
  <si>
    <t>Joao Pedro</t>
  </si>
  <si>
    <t>JAS</t>
  </si>
  <si>
    <t>CHE 1 @SUN 2 F</t>
  </si>
  <si>
    <t>*04spw*</t>
  </si>
  <si>
    <t>James Garner</t>
  </si>
  <si>
    <t>EVE 0 @TOT 1 F</t>
  </si>
  <si>
    <t>MAT</t>
  </si>
  <si>
    <t>Gabriel Magalhaes</t>
  </si>
  <si>
    <t>*06zbx*</t>
  </si>
  <si>
    <t>Anton Stach</t>
  </si>
  <si>
    <t>Matheus Nunes</t>
  </si>
  <si>
    <t>FA</t>
  </si>
  <si>
    <t>CAL</t>
  </si>
  <si>
    <t>NEW 0 @FUL 2 F</t>
  </si>
  <si>
    <t>Matheus Cunha</t>
  </si>
  <si>
    <t>Enzo Le Fee</t>
  </si>
  <si>
    <t>Bruno Guimaraes</t>
  </si>
  <si>
    <t>*04lav*</t>
  </si>
  <si>
    <t>Ethan Ampadu</t>
  </si>
  <si>
    <t>*0703c*</t>
  </si>
  <si>
    <t>Nordi Mukiele</t>
  </si>
  <si>
    <t>*063e7*</t>
  </si>
  <si>
    <t>Marcos Senesi</t>
  </si>
  <si>
    <t>*0642l*</t>
  </si>
  <si>
    <t>Casemiro</t>
  </si>
  <si>
    <t>*049tq*</t>
  </si>
  <si>
    <t>Dominic Calvert-Lewin</t>
  </si>
  <si>
    <t>*05oh0*</t>
  </si>
  <si>
    <t>Jan-Paul van Hecke</t>
  </si>
  <si>
    <t>Pedro Neto</t>
  </si>
  <si>
    <t>*045ob*</t>
  </si>
  <si>
    <t>Caoimhin Kelleher</t>
  </si>
  <si>
    <t>*06znb*</t>
  </si>
  <si>
    <t>Robin Roefs</t>
  </si>
  <si>
    <t>*05raa*</t>
  </si>
  <si>
    <t>Hugo Bueno</t>
  </si>
  <si>
    <t>WOL 1 @BUR 1 F</t>
  </si>
  <si>
    <t>Diogo Dalot</t>
  </si>
  <si>
    <t>*061vk*</t>
  </si>
  <si>
    <t>Jaidon Anthony</t>
  </si>
  <si>
    <t>BUR</t>
  </si>
  <si>
    <t>*06fxe*</t>
  </si>
  <si>
    <t>Ryan Gravenberch</t>
  </si>
  <si>
    <t>*06pe1*</t>
  </si>
  <si>
    <t>Mateus Goncalo Espanha Fernandes</t>
  </si>
  <si>
    <t>SOU/WHU</t>
  </si>
  <si>
    <t>*03yww*</t>
  </si>
  <si>
    <t>Dean Henderson</t>
  </si>
  <si>
    <t>*070hs*</t>
  </si>
  <si>
    <t>Gianluigi Donnarumma</t>
  </si>
  <si>
    <t>D,M</t>
  </si>
  <si>
    <t>*06fuw*</t>
  </si>
  <si>
    <t>Djordje Petrovic</t>
  </si>
  <si>
    <t>Mohamed Salah</t>
  </si>
  <si>
    <t>*0635j*</t>
  </si>
  <si>
    <t>Chris Richards</t>
  </si>
  <si>
    <t>*05220*</t>
  </si>
  <si>
    <t>Sepp van den Berg</t>
  </si>
  <si>
    <t>Hugo Ekitike</t>
  </si>
  <si>
    <t>*062oh*</t>
  </si>
  <si>
    <t>Jake O'Brien</t>
  </si>
  <si>
    <t>*04io4*</t>
  </si>
  <si>
    <t>Richarlison</t>
  </si>
  <si>
    <t>*06f8y*</t>
  </si>
  <si>
    <t>Alex Scott</t>
  </si>
  <si>
    <t>*06v0g*</t>
  </si>
  <si>
    <t>Trai Hume</t>
  </si>
  <si>
    <t>*0700t*</t>
  </si>
  <si>
    <t>Omar Alderete</t>
  </si>
  <si>
    <t>*061vb*</t>
  </si>
  <si>
    <t>James Hill</t>
  </si>
  <si>
    <t>*0327r*</t>
  </si>
  <si>
    <t>Michael Keane</t>
  </si>
  <si>
    <t>Evanilson</t>
  </si>
  <si>
    <t>*0700p*</t>
  </si>
  <si>
    <t>Malick Thiaw</t>
  </si>
  <si>
    <t>*05rl4*</t>
  </si>
  <si>
    <t>Crysencio Summerville</t>
  </si>
  <si>
    <t>*04mr4*</t>
  </si>
  <si>
    <t>Martin Dubravka</t>
  </si>
  <si>
    <t>*06phe*</t>
  </si>
  <si>
    <t>Ferdi Kadioglu</t>
  </si>
  <si>
    <t>*05nns*</t>
  </si>
  <si>
    <t>Danny Ballard</t>
  </si>
  <si>
    <t>*0435m*</t>
  </si>
  <si>
    <t>Granit Xhaka</t>
  </si>
  <si>
    <t>*02lz0*</t>
  </si>
  <si>
    <t>Emiliano Martinez</t>
  </si>
  <si>
    <t>*04yme*</t>
  </si>
  <si>
    <t>Robert Sanchez</t>
  </si>
  <si>
    <t>*05o4b*</t>
  </si>
  <si>
    <t>Matty Cash</t>
  </si>
  <si>
    <t>*051k0*</t>
  </si>
  <si>
    <t>John McGinn</t>
  </si>
  <si>
    <t>Viktor Gyokeres</t>
  </si>
  <si>
    <t>*04mup*</t>
  </si>
  <si>
    <t>Trevoh Chalobah</t>
  </si>
  <si>
    <t>*067x8*</t>
  </si>
  <si>
    <t>Nico O'Reilly</t>
  </si>
  <si>
    <t>Bernardo Silva</t>
  </si>
  <si>
    <t>*05o8o*</t>
  </si>
  <si>
    <t>Jayden Bogle</t>
  </si>
  <si>
    <t>*06r5b*</t>
  </si>
  <si>
    <t>Diego Gomez</t>
  </si>
  <si>
    <t>*06xza*</t>
  </si>
  <si>
    <t>Eli Kroupi</t>
  </si>
  <si>
    <t>*02oq6*</t>
  </si>
  <si>
    <t>Luke Shaw</t>
  </si>
  <si>
    <t>*070cj*</t>
  </si>
  <si>
    <t>Noah Okafor</t>
  </si>
  <si>
    <t>*06y9o*</t>
  </si>
  <si>
    <t>Igor Jesus Maciel da Cruz</t>
  </si>
  <si>
    <t>*05u1m*</t>
  </si>
  <si>
    <t>Nathan Collins</t>
  </si>
  <si>
    <t>*05mzz*</t>
  </si>
  <si>
    <t>Pascal Struijk</t>
  </si>
  <si>
    <t>*05ubv*</t>
  </si>
  <si>
    <t>Omari Hutchinson</t>
  </si>
  <si>
    <t>IPS/NOT</t>
  </si>
  <si>
    <t>*05tr9*</t>
  </si>
  <si>
    <t>Mathias Jensen</t>
  </si>
  <si>
    <t>*04fk1*</t>
  </si>
  <si>
    <t>Pascal Gross</t>
  </si>
  <si>
    <t>*070f9*</t>
  </si>
  <si>
    <t>Yeremy Pino</t>
  </si>
  <si>
    <t>Ruben Dias</t>
  </si>
  <si>
    <t>*04ml6*</t>
  </si>
  <si>
    <t>Konstantinos Mavropanos</t>
  </si>
  <si>
    <t>*068yd*</t>
  </si>
  <si>
    <t>Joao Gomes</t>
  </si>
  <si>
    <t>*06uzo*</t>
  </si>
  <si>
    <t>Zian Flemming</t>
  </si>
  <si>
    <t>M,F</t>
  </si>
  <si>
    <t>*0521z*</t>
  </si>
  <si>
    <t>James Justin</t>
  </si>
  <si>
    <t>LEI/LEE</t>
  </si>
  <si>
    <t>*05os8*</t>
  </si>
  <si>
    <t>Joachim Andersen</t>
  </si>
  <si>
    <t>*070g7*</t>
  </si>
  <si>
    <t>Nick Woltemade</t>
  </si>
  <si>
    <t>*070fa*</t>
  </si>
  <si>
    <t>Xavi Simons</t>
  </si>
  <si>
    <t>*051kl*</t>
  </si>
  <si>
    <t>Emiliano Buendia</t>
  </si>
  <si>
    <t>*070hl*</t>
  </si>
  <si>
    <t>Senne Lammens</t>
  </si>
  <si>
    <t>*062dt*</t>
  </si>
  <si>
    <t>Joao Palhinha</t>
  </si>
  <si>
    <t>*06fvn*</t>
  </si>
  <si>
    <t>Beto</t>
  </si>
  <si>
    <t>*06rpm*</t>
  </si>
  <si>
    <t>Mateus Mane</t>
  </si>
  <si>
    <t>*05gcp*</t>
  </si>
  <si>
    <t>Tomas Soucek</t>
  </si>
  <si>
    <t>*06v51*</t>
  </si>
  <si>
    <t>Jaka Bijol</t>
  </si>
  <si>
    <t>*02lsa*</t>
  </si>
  <si>
    <t>Dan Burn</t>
  </si>
  <si>
    <t>*03yqz*</t>
  </si>
  <si>
    <t>Joe Rodon</t>
  </si>
  <si>
    <t>*06cmb*</t>
  </si>
  <si>
    <t>Guglielmo Vicario</t>
  </si>
  <si>
    <t>*068yc*</t>
  </si>
  <si>
    <t>Yasin Ayari</t>
  </si>
  <si>
    <t>*06yb7*</t>
  </si>
  <si>
    <t>Gabriel Gudmundsson</t>
  </si>
  <si>
    <t>*06clz*</t>
  </si>
  <si>
    <t>Malo Gusto</t>
  </si>
  <si>
    <t>*062a9*</t>
  </si>
  <si>
    <t>Sven Botman</t>
  </si>
  <si>
    <t>*070f4*</t>
  </si>
  <si>
    <t>Ladislav Krejci</t>
  </si>
  <si>
    <t>*066r9*</t>
  </si>
  <si>
    <t>Ehor Yarmolyuk</t>
  </si>
  <si>
    <t>*05gcs*</t>
  </si>
  <si>
    <t>Sander Berge</t>
  </si>
  <si>
    <t>*070gu*</t>
  </si>
  <si>
    <t>Alex Jimenez</t>
  </si>
  <si>
    <t>Alisson</t>
  </si>
  <si>
    <t>*04e1c*</t>
  </si>
  <si>
    <t>Lewis Dunk</t>
  </si>
  <si>
    <t>*070hq*</t>
  </si>
  <si>
    <t>Piero Hincapie</t>
  </si>
  <si>
    <t>Lucas Paqueta</t>
  </si>
  <si>
    <t>*03gu4*</t>
  </si>
  <si>
    <t>Harry Maguire</t>
  </si>
  <si>
    <t>*06ezb*</t>
  </si>
  <si>
    <t>Micky van de Ven</t>
  </si>
  <si>
    <t>*062ts*</t>
  </si>
  <si>
    <t>Djed Spence</t>
  </si>
  <si>
    <t>*067ys*</t>
  </si>
  <si>
    <t>Jack Hinshelwood</t>
  </si>
  <si>
    <t>Joelinton</t>
  </si>
  <si>
    <t>*06mga*</t>
  </si>
  <si>
    <t>Mads Hermansen</t>
  </si>
  <si>
    <t>*05udg*</t>
  </si>
  <si>
    <t>Jose Sa</t>
  </si>
  <si>
    <t>*070hc*</t>
  </si>
  <si>
    <t>Brian Brobbey</t>
  </si>
  <si>
    <t>*068yt*</t>
  </si>
  <si>
    <t>Sasa Lukic</t>
  </si>
  <si>
    <t>*062p3*</t>
  </si>
  <si>
    <t>Keane Lewis-Potter</t>
  </si>
  <si>
    <t>*070hd*</t>
  </si>
  <si>
    <t>Tolu Arokodare</t>
  </si>
  <si>
    <t>*05o4c*</t>
  </si>
  <si>
    <t>Timothy Castagne</t>
  </si>
  <si>
    <t>*06y59*</t>
  </si>
  <si>
    <t>Noah Sadiki</t>
  </si>
  <si>
    <t>*05opl*</t>
  </si>
  <si>
    <t>Wesley Fofana</t>
  </si>
  <si>
    <t>*03rxa*</t>
  </si>
  <si>
    <t>Idrissa Gueye</t>
  </si>
  <si>
    <t>*06eo0*</t>
  </si>
  <si>
    <t>Lesley Ugochukwu</t>
  </si>
  <si>
    <t>*06fwx*</t>
  </si>
  <si>
    <t>Santiago Bueno</t>
  </si>
  <si>
    <t>*06fxu*</t>
  </si>
  <si>
    <t>Ibrahim Sangare</t>
  </si>
  <si>
    <t>*05ylw*</t>
  </si>
  <si>
    <t>Rodrigo Bentancur</t>
  </si>
  <si>
    <t>*070hk*</t>
  </si>
  <si>
    <t>Samuel Chukwueze</t>
  </si>
  <si>
    <t>*070ha*</t>
  </si>
  <si>
    <t>Florentino Ibrain Morris Luis</t>
  </si>
  <si>
    <t>*072jf*</t>
  </si>
  <si>
    <t>Valentin Castellanos</t>
  </si>
  <si>
    <t>*060wh*</t>
  </si>
  <si>
    <t>Alejandro Garnacho</t>
  </si>
  <si>
    <t>MUN/CHE</t>
  </si>
  <si>
    <t>*06v6n*</t>
  </si>
  <si>
    <t>Quilindschy Hartman</t>
  </si>
  <si>
    <t>*03pif*</t>
  </si>
  <si>
    <t>Karl Darlow</t>
  </si>
  <si>
    <t>*072wq*</t>
  </si>
  <si>
    <t>Rayan Vitor Simplicio Rocha</t>
  </si>
  <si>
    <t>*070bg*</t>
  </si>
  <si>
    <t>Jackson Tchatchoua</t>
  </si>
  <si>
    <t>*03r8x*</t>
  </si>
  <si>
    <t>Callum Wilson</t>
  </si>
  <si>
    <t>*06mnc*</t>
  </si>
  <si>
    <t>Daichi Kamada</t>
  </si>
  <si>
    <t>*070hj*</t>
  </si>
  <si>
    <t>Kevin Santos Lopes de Macedo</t>
  </si>
  <si>
    <t>*05tre*</t>
  </si>
  <si>
    <t>Vitaly Janelt</t>
  </si>
  <si>
    <t>Rodri</t>
  </si>
  <si>
    <t>*04rh9*</t>
  </si>
  <si>
    <t>David Brooks</t>
  </si>
  <si>
    <t>*0554g*</t>
  </si>
  <si>
    <t>Calvin Bassey</t>
  </si>
  <si>
    <t>*0666p*</t>
  </si>
  <si>
    <t>Kobbie Mainoo</t>
  </si>
  <si>
    <t>*04lnu*</t>
  </si>
  <si>
    <t>Lukas Nmecha</t>
  </si>
  <si>
    <t>*04o82*</t>
  </si>
  <si>
    <t>Curtis Jones</t>
  </si>
  <si>
    <t>*063hu*</t>
  </si>
  <si>
    <t>Amadou Onana</t>
  </si>
  <si>
    <t>*05oef*</t>
  </si>
  <si>
    <t>Alphonse Areola</t>
  </si>
  <si>
    <t>*06ab3*</t>
  </si>
  <si>
    <t>Lewis Miley</t>
  </si>
  <si>
    <t>*05w7t*</t>
  </si>
  <si>
    <t>Pape Sarr</t>
  </si>
  <si>
    <t>*02lp9*</t>
  </si>
  <si>
    <t>Kyle Walker</t>
  </si>
  <si>
    <t>*04hk9*</t>
  </si>
  <si>
    <t>Mikel Merino</t>
  </si>
  <si>
    <t>*05uel*</t>
  </si>
  <si>
    <t>Kristoffer Ajer</t>
  </si>
  <si>
    <t>*04ug0*</t>
  </si>
  <si>
    <t>Sean Longstaff</t>
  </si>
  <si>
    <t>*06mpp*</t>
  </si>
  <si>
    <t>Mats Wieffer</t>
  </si>
  <si>
    <t>*06yb9*</t>
  </si>
  <si>
    <t>Reinildo Isnard Mandava</t>
  </si>
  <si>
    <t>*051k3*</t>
  </si>
  <si>
    <t>Jacob Ramsey</t>
  </si>
  <si>
    <t>AVL/NEW</t>
  </si>
  <si>
    <t>*070ci*</t>
  </si>
  <si>
    <t>Amine Adli</t>
  </si>
  <si>
    <t>*062h7*</t>
  </si>
  <si>
    <t>Tyler Adams</t>
  </si>
  <si>
    <t>*06uzy*</t>
  </si>
  <si>
    <t>Ao Tanaka</t>
  </si>
  <si>
    <t>*06ybq*</t>
  </si>
  <si>
    <t>Chemsdine Talbi</t>
  </si>
  <si>
    <t>*02lk5*</t>
  </si>
  <si>
    <t>Jordan Henderson</t>
  </si>
  <si>
    <t>*061va*</t>
  </si>
  <si>
    <t>Boubacar Kamara</t>
  </si>
  <si>
    <t>*06pic*</t>
  </si>
  <si>
    <t>Andre</t>
  </si>
  <si>
    <t>*04qfm*</t>
  </si>
  <si>
    <t>Ryan Sessegnon</t>
  </si>
  <si>
    <t>Estevao Willian Almeida de Oliveira Goncalves</t>
  </si>
  <si>
    <t>*06r9w*</t>
  </si>
  <si>
    <t>Abdukodir Khusanov</t>
  </si>
  <si>
    <t>*05t6x*</t>
  </si>
  <si>
    <t>William Osula</t>
  </si>
  <si>
    <t>*06fwz*</t>
  </si>
  <si>
    <t>Murillo</t>
  </si>
  <si>
    <t>*057cr*</t>
  </si>
  <si>
    <t>Kevin Danso</t>
  </si>
  <si>
    <t>*070hp*</t>
  </si>
  <si>
    <t>Randal Kolo Muani</t>
  </si>
  <si>
    <t>*03hff*</t>
  </si>
  <si>
    <t>Josh Cullen</t>
  </si>
  <si>
    <t>*06v0t*</t>
  </si>
  <si>
    <t>Wilson Isidor</t>
  </si>
  <si>
    <t>*06rm7*</t>
  </si>
  <si>
    <t>Nico Gonzalez</t>
  </si>
  <si>
    <t>*05t6y*</t>
  </si>
  <si>
    <t>Hannibal Mejbri</t>
  </si>
  <si>
    <t>*052ca*</t>
  </si>
  <si>
    <t>Ezri Konsa</t>
  </si>
  <si>
    <t>Gabriel Martinelli</t>
  </si>
  <si>
    <t>*04tzt*</t>
  </si>
  <si>
    <t>Jefferson Lerma</t>
  </si>
  <si>
    <t>*05t6z*</t>
  </si>
  <si>
    <t>Tim Iroegbunam</t>
  </si>
  <si>
    <t>*03gu5*</t>
  </si>
  <si>
    <t>Andrew Robertson</t>
  </si>
  <si>
    <t>*04tig*</t>
  </si>
  <si>
    <t>Fabian Schar</t>
  </si>
  <si>
    <t>*06jh3*</t>
  </si>
  <si>
    <t>Joshua King</t>
  </si>
  <si>
    <t>*06jgr*</t>
  </si>
  <si>
    <t>Maxime Esteve</t>
  </si>
  <si>
    <t>*061ve*</t>
  </si>
  <si>
    <t>Ryan Christie</t>
  </si>
  <si>
    <t>*06fy7*</t>
  </si>
  <si>
    <t>Nicolas Dominguez</t>
  </si>
  <si>
    <t>*06fhy*</t>
  </si>
  <si>
    <t>Wilson Odobert</t>
  </si>
  <si>
    <t>*06uzn*</t>
  </si>
  <si>
    <t>Lucas Pires</t>
  </si>
  <si>
    <t>*051k8*</t>
  </si>
  <si>
    <t>Conor Gallagher</t>
  </si>
  <si>
    <t>CHE/TOT</t>
  </si>
  <si>
    <t>*06y27*</t>
  </si>
  <si>
    <t>Loum Tchaouna</t>
  </si>
  <si>
    <t>*06y29*</t>
  </si>
  <si>
    <t>Habib Diarra</t>
  </si>
  <si>
    <t>*06r2g*</t>
  </si>
  <si>
    <t>Rio Ngumoha</t>
  </si>
  <si>
    <t>*02oq8*</t>
  </si>
  <si>
    <t>James Ward-Prowse</t>
  </si>
  <si>
    <t>WHU/BUR</t>
  </si>
  <si>
    <t>*04spp*</t>
  </si>
  <si>
    <t>Douglas Luiz</t>
  </si>
  <si>
    <t>AVL/NOT</t>
  </si>
  <si>
    <t>*06v01*</t>
  </si>
  <si>
    <t>Ilia Gruev</t>
  </si>
  <si>
    <t>*06fwi*</t>
  </si>
  <si>
    <t>Carlos Baleba</t>
  </si>
  <si>
    <t>*02lpf*</t>
  </si>
  <si>
    <t>Ross Barkley</t>
  </si>
  <si>
    <t>*06mx0*</t>
  </si>
  <si>
    <t>Leny Yoro</t>
  </si>
  <si>
    <t>*052cd*</t>
  </si>
  <si>
    <t>Mason Mount</t>
  </si>
  <si>
    <t>*044w8*</t>
  </si>
  <si>
    <t>Marcus Edwards</t>
  </si>
  <si>
    <t>Omar Marmoush</t>
  </si>
  <si>
    <t>*05ts6*</t>
  </si>
  <si>
    <t>Yerson Mosquera</t>
  </si>
  <si>
    <t>*06fxv*</t>
  </si>
  <si>
    <t>Jean-Ricner Bellegarde</t>
  </si>
  <si>
    <t>*070hb*</t>
  </si>
  <si>
    <t>Jaydee Canvot</t>
  </si>
  <si>
    <t>*05w91*</t>
  </si>
  <si>
    <t>Hwang Hee-Chan</t>
  </si>
  <si>
    <t>*06c4o*</t>
  </si>
  <si>
    <t>Lyle Foster</t>
  </si>
  <si>
    <t>*04e1e*</t>
  </si>
  <si>
    <t>Ben White</t>
  </si>
  <si>
    <t>*04f6o*</t>
  </si>
  <si>
    <t>Will Hughes</t>
  </si>
  <si>
    <t>Savio</t>
  </si>
  <si>
    <t>*06p4k*</t>
  </si>
  <si>
    <t>Matthijs de Ligt</t>
  </si>
  <si>
    <t>*06crm*</t>
  </si>
  <si>
    <t>Pau Torres</t>
  </si>
  <si>
    <t>*04gw7*</t>
  </si>
  <si>
    <t>Jadon Sancho</t>
  </si>
  <si>
    <t>MUN/AVL</t>
  </si>
  <si>
    <t>*06p5s*</t>
  </si>
  <si>
    <t>Brajan Gruda</t>
  </si>
  <si>
    <t>*04ge6*</t>
  </si>
  <si>
    <t>Joe Willock</t>
  </si>
  <si>
    <t>*070ho*</t>
  </si>
  <si>
    <t>Lutsharel Geertruida</t>
  </si>
  <si>
    <t>*06mn7*</t>
  </si>
  <si>
    <t>Lucas Bergvall</t>
  </si>
  <si>
    <t>*05y7c*</t>
  </si>
  <si>
    <t>Archie Gray</t>
  </si>
  <si>
    <t>*02lp5*</t>
  </si>
  <si>
    <t>Adam Smith</t>
  </si>
  <si>
    <t>*06c4h*</t>
  </si>
  <si>
    <t>Hjalmar Ekdal</t>
  </si>
  <si>
    <t>*03zsq*</t>
  </si>
  <si>
    <t>Kyle Walker-Peters</t>
  </si>
  <si>
    <t>*06xzd*</t>
  </si>
  <si>
    <t>Charalampos Kostoulas</t>
  </si>
  <si>
    <t>*06zwj*</t>
  </si>
  <si>
    <t>Evann Guessand</t>
  </si>
  <si>
    <t>AVL/CRY</t>
  </si>
  <si>
    <t>*072j8*</t>
  </si>
  <si>
    <t>Pablo Felipe Pereira de Jesus</t>
  </si>
  <si>
    <t>*03rec*</t>
  </si>
  <si>
    <t>Tyrone Mings</t>
  </si>
  <si>
    <t>*05uhj*</t>
  </si>
  <si>
    <t>Conor Bradley</t>
  </si>
  <si>
    <t>*04rzl*</t>
  </si>
  <si>
    <t>Taiwo Awoniyi</t>
  </si>
  <si>
    <t>*06mn8*</t>
  </si>
  <si>
    <t>Rodrigo Gomes</t>
  </si>
  <si>
    <t>*061vn*</t>
  </si>
  <si>
    <t>Rodrigo Muniz</t>
  </si>
  <si>
    <t>*05y5b*</t>
  </si>
  <si>
    <t>Freddie Potts</t>
  </si>
  <si>
    <t>*06rma*</t>
  </si>
  <si>
    <t>Marshall Munetsi</t>
  </si>
  <si>
    <t>*068a0*</t>
  </si>
  <si>
    <t>Andrey Santos</t>
  </si>
  <si>
    <t>*06y26*</t>
  </si>
  <si>
    <t>Olivier Boscagli</t>
  </si>
  <si>
    <t>*06mve*</t>
  </si>
  <si>
    <t>Joshua Zirkzee</t>
  </si>
  <si>
    <t>*062pl*</t>
  </si>
  <si>
    <t>Lisandro Martinez</t>
  </si>
  <si>
    <t>*05tqz*</t>
  </si>
  <si>
    <t>Rico Henry</t>
  </si>
  <si>
    <t>*03ar4*</t>
  </si>
  <si>
    <t>Adam Armstrong</t>
  </si>
  <si>
    <t>SOU/WOL</t>
  </si>
  <si>
    <t>*05l27*</t>
  </si>
  <si>
    <t>Jarrad Branthwaite</t>
  </si>
  <si>
    <t>*0700u*</t>
  </si>
  <si>
    <t>Bafode Diakite</t>
  </si>
  <si>
    <t>*06xzg*</t>
  </si>
  <si>
    <t>Giorgi Mamardashvili</t>
  </si>
  <si>
    <t>*070g8*</t>
  </si>
  <si>
    <t>Nicolo Savona</t>
  </si>
  <si>
    <t>*043qy*</t>
  </si>
  <si>
    <t>Lewis Cook</t>
  </si>
  <si>
    <t>*06v0l*</t>
  </si>
  <si>
    <t>Chris Rigg</t>
  </si>
  <si>
    <t>*06zqk*</t>
  </si>
  <si>
    <t>David Moller Wolfe</t>
  </si>
  <si>
    <t>*06dwm*</t>
  </si>
  <si>
    <t>Jacob Bruun Larsen</t>
  </si>
  <si>
    <t>*070g9*</t>
  </si>
  <si>
    <t>Soungoutou Magassa</t>
  </si>
  <si>
    <t>*066sh*</t>
  </si>
  <si>
    <t>Bashir Humphreys</t>
  </si>
  <si>
    <t>*06pib*</t>
  </si>
  <si>
    <t>Manuel Ugarte</t>
  </si>
  <si>
    <t>*06ew2*</t>
  </si>
  <si>
    <t>Axel Disasi</t>
  </si>
  <si>
    <t>CHE/WHU</t>
  </si>
  <si>
    <t>*05mxa*</t>
  </si>
  <si>
    <t>Joel Veltman</t>
  </si>
  <si>
    <t>*035n1*</t>
  </si>
  <si>
    <t>Bertrand Traore</t>
  </si>
  <si>
    <t>AVL/SUN</t>
  </si>
  <si>
    <t>*04ym7*</t>
  </si>
  <si>
    <t>Lucas Perri</t>
  </si>
  <si>
    <t>*06zbm*</t>
  </si>
  <si>
    <t>Cristhian Mosquera</t>
  </si>
  <si>
    <t>*05gvx*</t>
  </si>
  <si>
    <t>Armando Broja</t>
  </si>
  <si>
    <t>*06pig*</t>
  </si>
  <si>
    <t>Morato</t>
  </si>
  <si>
    <t>*03yeg*</t>
  </si>
  <si>
    <t>Tosin Adarabioyo</t>
  </si>
  <si>
    <t>*02lv9*</t>
  </si>
  <si>
    <t>James Milner</t>
  </si>
  <si>
    <t>*0328q*</t>
  </si>
  <si>
    <t>Tom Cairney</t>
  </si>
  <si>
    <t>*045c8*</t>
  </si>
  <si>
    <t>Gabriel Jesus</t>
  </si>
  <si>
    <t>*02y6o*</t>
  </si>
  <si>
    <t>Nathan Ake</t>
  </si>
  <si>
    <t>*070hi*</t>
  </si>
  <si>
    <t>Merlin Rohl</t>
  </si>
  <si>
    <t>*03dyx*</t>
  </si>
  <si>
    <t>Josh Laurent</t>
  </si>
  <si>
    <t>*070hn*</t>
  </si>
  <si>
    <t>Dilane Bakwa</t>
  </si>
  <si>
    <t>*02xtd*</t>
  </si>
  <si>
    <t>Sam Johnstone</t>
  </si>
  <si>
    <t>*06v0s*</t>
  </si>
  <si>
    <t>Eliezer Mayenda</t>
  </si>
  <si>
    <t>*06nyw*</t>
  </si>
  <si>
    <t>Jorge Cuenca</t>
  </si>
  <si>
    <t>*06kwp*</t>
  </si>
  <si>
    <t>Josh Acheampong</t>
  </si>
  <si>
    <t>*06kx1*</t>
  </si>
  <si>
    <t>Justin Devenny</t>
  </si>
  <si>
    <t>*04ge9*</t>
  </si>
  <si>
    <t>Eddie Nketiah</t>
  </si>
  <si>
    <t>*05uns*</t>
  </si>
  <si>
    <t>Leon Bailey</t>
  </si>
  <si>
    <t>*063y7*</t>
  </si>
  <si>
    <t>Destiny Udogie</t>
  </si>
  <si>
    <t>*064a0*</t>
  </si>
  <si>
    <t>Wilfried Gnonto</t>
  </si>
  <si>
    <t>*04yjx*</t>
  </si>
  <si>
    <t>Ki-Jana Hoever</t>
  </si>
  <si>
    <t>*061y6*</t>
  </si>
  <si>
    <t>Ryan Yates</t>
  </si>
  <si>
    <t>*03r93*</t>
  </si>
  <si>
    <t>Joseph Gomez</t>
  </si>
  <si>
    <t>*06635*</t>
  </si>
  <si>
    <t>Oliver Scarles</t>
  </si>
  <si>
    <t>*06kqy*</t>
  </si>
  <si>
    <t>Ayden Heaven</t>
  </si>
  <si>
    <t>*04amh*</t>
  </si>
  <si>
    <t>Aaron Ramsdale</t>
  </si>
  <si>
    <t>*05yg5*</t>
  </si>
  <si>
    <t>Toti</t>
  </si>
  <si>
    <t>*06phw*</t>
  </si>
  <si>
    <t>Federico Chiesa</t>
  </si>
  <si>
    <t>*06onx*</t>
  </si>
  <si>
    <t>Jean-Clair Todibo</t>
  </si>
  <si>
    <t>*06r7k*</t>
  </si>
  <si>
    <t>Emmanuel Agbadou</t>
  </si>
  <si>
    <t>*04yey*</t>
  </si>
  <si>
    <t>Max Kilman</t>
  </si>
  <si>
    <t>*0410j*</t>
  </si>
  <si>
    <t>Tammy Abraham</t>
  </si>
  <si>
    <t>CHE/AVL</t>
  </si>
  <si>
    <t>*02t1k*</t>
  </si>
  <si>
    <t>Nathaniel Clyne</t>
  </si>
  <si>
    <t>*06y28*</t>
  </si>
  <si>
    <t>Sebastiaan Bornauw</t>
  </si>
  <si>
    <t>*06onv*</t>
  </si>
  <si>
    <t>Harrison Armstrong</t>
  </si>
  <si>
    <t>*06r6s*</t>
  </si>
  <si>
    <t>Antonin Kinsky</t>
  </si>
  <si>
    <t>*06mnn*</t>
  </si>
  <si>
    <t>Chadi Riad</t>
  </si>
  <si>
    <t>*072zs*</t>
  </si>
  <si>
    <t>Nilson Angulo</t>
  </si>
  <si>
    <t>Niclas Fullkrug</t>
  </si>
  <si>
    <t>*06ymt*</t>
  </si>
  <si>
    <t>Marco Bizot</t>
  </si>
  <si>
    <t>*04fk8*</t>
  </si>
  <si>
    <t>Victor Lindelof</t>
  </si>
  <si>
    <t>*02m11*</t>
  </si>
  <si>
    <t>Matt Doherty</t>
  </si>
  <si>
    <t>*05yct*</t>
  </si>
  <si>
    <t>Nathan Patterson</t>
  </si>
  <si>
    <t>*062og*</t>
  </si>
  <si>
    <t>Aaron Hickey</t>
  </si>
  <si>
    <t>*06zbp*</t>
  </si>
  <si>
    <t>Max Dowman</t>
  </si>
  <si>
    <t>*04qos*</t>
  </si>
  <si>
    <t>Issa Diop</t>
  </si>
  <si>
    <t>*072zp*</t>
  </si>
  <si>
    <t>Melker Ellborg</t>
  </si>
  <si>
    <t>*04d9r*</t>
  </si>
  <si>
    <t>Angel Gomes</t>
  </si>
  <si>
    <t>MUN/WOL</t>
  </si>
  <si>
    <t>*03xrs*</t>
  </si>
  <si>
    <t>Axel Tuanzebe</t>
  </si>
  <si>
    <t>*06xzc*</t>
  </si>
  <si>
    <t>Stefanos Tzimas</t>
  </si>
  <si>
    <t>*06195*</t>
  </si>
  <si>
    <t>Tyler Dibling</t>
  </si>
  <si>
    <t>SOU/EVE</t>
  </si>
  <si>
    <t>*061xw*</t>
  </si>
  <si>
    <t>Joe Worrall</t>
  </si>
  <si>
    <t>*06ime*</t>
  </si>
  <si>
    <t>Radu Dragusin</t>
  </si>
  <si>
    <t>*06l4i*</t>
  </si>
  <si>
    <t>Tyrique George</t>
  </si>
  <si>
    <t>CHE/EVE</t>
  </si>
  <si>
    <t>*070h9*</t>
  </si>
  <si>
    <t>Veljko Milosavljevic</t>
  </si>
  <si>
    <t>*06mrz*</t>
  </si>
  <si>
    <t>Pedro Lima</t>
  </si>
  <si>
    <t>*062x7*</t>
  </si>
  <si>
    <t>Rico Lewis</t>
  </si>
  <si>
    <t>*05uhs*</t>
  </si>
  <si>
    <t>James Mcatee</t>
  </si>
  <si>
    <t>MCI/NOT</t>
  </si>
  <si>
    <t>*06v6m*</t>
  </si>
  <si>
    <t>Max Weiss</t>
  </si>
  <si>
    <t>*043c1*</t>
  </si>
  <si>
    <t>Oleksandr Zinchenko</t>
  </si>
  <si>
    <t>ARS/NOT</t>
  </si>
  <si>
    <t>*02oo1*</t>
  </si>
  <si>
    <t>Ben Davies</t>
  </si>
  <si>
    <t>*04sft*</t>
  </si>
  <si>
    <t>Yves Bissouma</t>
  </si>
  <si>
    <t>*062cw*</t>
  </si>
  <si>
    <t>Stefan Ortega</t>
  </si>
  <si>
    <t>*05tr1*</t>
  </si>
  <si>
    <t>Ethan Pinnock</t>
  </si>
  <si>
    <t>*05g4d*</t>
  </si>
  <si>
    <t>Dennis Cirkin</t>
  </si>
  <si>
    <t>*06ygm*</t>
  </si>
  <si>
    <t>Jair Paula da Cunha Filho</t>
  </si>
  <si>
    <t>*04spq*</t>
  </si>
  <si>
    <t>Jack Harrison</t>
  </si>
  <si>
    <t>*05unu*</t>
  </si>
  <si>
    <t>Romeo Lavia</t>
  </si>
  <si>
    <t>*037mt*</t>
  </si>
  <si>
    <t>Harrison Reed</t>
  </si>
  <si>
    <t>*04ge8*</t>
  </si>
  <si>
    <t>Reiss Nelson</t>
  </si>
  <si>
    <t>ARS/BRF</t>
  </si>
  <si>
    <t>*03u2b*</t>
  </si>
  <si>
    <t>Adama Traore</t>
  </si>
  <si>
    <t>FUL/WHU</t>
  </si>
  <si>
    <t>*06fx0*</t>
  </si>
  <si>
    <t>Altay Bayindir</t>
  </si>
  <si>
    <t>*04u41*</t>
  </si>
  <si>
    <t>Mateo Kovacic</t>
  </si>
  <si>
    <t>*06mnm*</t>
  </si>
  <si>
    <t>Marc Guiu</t>
  </si>
  <si>
    <t>SUN/CHE</t>
  </si>
  <si>
    <t>*03sbh*</t>
  </si>
  <si>
    <t>Enes Unal</t>
  </si>
  <si>
    <t>*067x6*</t>
  </si>
  <si>
    <t>Max Alleyne</t>
  </si>
  <si>
    <t>*05ue7*</t>
  </si>
  <si>
    <t>Frank Onyeka</t>
  </si>
  <si>
    <t>*06uzl*</t>
  </si>
  <si>
    <t>Oliver Sonne</t>
  </si>
  <si>
    <t>*06xze*</t>
  </si>
  <si>
    <t>Walter Benitez</t>
  </si>
  <si>
    <t>*072r2*</t>
  </si>
  <si>
    <t>Lorenzo Lucca</t>
  </si>
  <si>
    <t>*06v12*</t>
  </si>
  <si>
    <t>Fer Lopez</t>
  </si>
  <si>
    <t>*02yl5*</t>
  </si>
  <si>
    <t>John Stones</t>
  </si>
  <si>
    <t>*066nn*</t>
  </si>
  <si>
    <t>Ben Doak</t>
  </si>
  <si>
    <t>LIV/BOU</t>
  </si>
  <si>
    <t>*05udw*</t>
  </si>
  <si>
    <t>Romaine Mundle</t>
  </si>
  <si>
    <t>*06uyd*</t>
  </si>
  <si>
    <t>Diego Coppola</t>
  </si>
  <si>
    <t>*05r4h*</t>
  </si>
  <si>
    <t>Lamare Bogarde</t>
  </si>
  <si>
    <t>*072zr*</t>
  </si>
  <si>
    <t>Luca Netz</t>
  </si>
  <si>
    <t>*05ojf*</t>
  </si>
  <si>
    <t>Fabio Carvalho</t>
  </si>
  <si>
    <t>*06fso*</t>
  </si>
  <si>
    <t>Wataru Endo</t>
  </si>
  <si>
    <t>*06v0m*</t>
  </si>
  <si>
    <t>Luke O'Nien</t>
  </si>
  <si>
    <t>*06nv3*</t>
  </si>
  <si>
    <t>Filip Jorgensen</t>
  </si>
  <si>
    <t>*06kyx*</t>
  </si>
  <si>
    <t>Andy Irving</t>
  </si>
  <si>
    <t>*03m5i*</t>
  </si>
  <si>
    <t>Freddie Woodman</t>
  </si>
  <si>
    <t>*06qvu*</t>
  </si>
  <si>
    <t>Tom Edozie</t>
  </si>
  <si>
    <t>*072pc*</t>
  </si>
  <si>
    <t>Alex Toth</t>
  </si>
  <si>
    <t>*070hh*</t>
  </si>
  <si>
    <t>Christantus Uche</t>
  </si>
  <si>
    <t>*062p5*</t>
  </si>
  <si>
    <t>Levi Colwill</t>
  </si>
  <si>
    <t>*070gt*</t>
  </si>
  <si>
    <t>John Victor Maciel Furtado</t>
  </si>
  <si>
    <t>*06zbt*</t>
  </si>
  <si>
    <t>Rio Cardines</t>
  </si>
  <si>
    <t>*06442*</t>
  </si>
  <si>
    <t>Zach Abbott</t>
  </si>
  <si>
    <t>*06804*</t>
  </si>
  <si>
    <t>Benoit Badiashile</t>
  </si>
  <si>
    <t>*02lo6*</t>
  </si>
  <si>
    <t>Daniel Bentley</t>
  </si>
  <si>
    <t>*06xzb*</t>
  </si>
  <si>
    <t>Romelle Donovan</t>
  </si>
  <si>
    <t>*068yr*</t>
  </si>
  <si>
    <t>Hamed Traore</t>
  </si>
  <si>
    <t>*072py*</t>
  </si>
  <si>
    <t>Joao Victor de Souza Menezes</t>
  </si>
  <si>
    <t>*0703h*</t>
  </si>
  <si>
    <t>Arnaud Kalimuendo</t>
  </si>
  <si>
    <t>*045yy*</t>
  </si>
  <si>
    <t>Arthur Masuaku</t>
  </si>
  <si>
    <t>*065ao*</t>
  </si>
  <si>
    <t>Ethan Nwaneri</t>
  </si>
  <si>
    <t>*04u40*</t>
  </si>
  <si>
    <t>Kepa</t>
  </si>
  <si>
    <t>*067yu*</t>
  </si>
  <si>
    <t>Facundo Buonanotte</t>
  </si>
  <si>
    <t>BHA/CHE/LEE</t>
  </si>
  <si>
    <t>*06mul*</t>
  </si>
  <si>
    <t>Jack Fletcher</t>
  </si>
  <si>
    <t>*06qwj*</t>
  </si>
  <si>
    <t>Ezra Mayers</t>
  </si>
  <si>
    <t>*05tr8*</t>
  </si>
  <si>
    <t>Christian Norgaard</t>
  </si>
  <si>
    <t>*0738b*</t>
  </si>
  <si>
    <t>Jesse Derry</t>
  </si>
  <si>
    <t>*02lpl*</t>
  </si>
  <si>
    <t>Seamus Coleman</t>
  </si>
  <si>
    <t>*06v0c*</t>
  </si>
  <si>
    <t>Shea Lacey</t>
  </si>
  <si>
    <t>*06mgp*</t>
  </si>
  <si>
    <t>Luis Guilherme</t>
  </si>
  <si>
    <t>*06oav*</t>
  </si>
  <si>
    <t>Guido Rodriguez</t>
  </si>
  <si>
    <t>*06v0f*</t>
  </si>
  <si>
    <t>Jenson Seelt</t>
  </si>
  <si>
    <t>*06dn2*</t>
  </si>
  <si>
    <t>Zeki Amdouni</t>
  </si>
  <si>
    <t>*03dxr*</t>
  </si>
  <si>
    <t>Ashley Barnes</t>
  </si>
  <si>
    <t>*06s7s*</t>
  </si>
  <si>
    <t>Harry Howell</t>
  </si>
  <si>
    <t>*04e1k*</t>
  </si>
  <si>
    <t>Solly March</t>
  </si>
  <si>
    <t>*06y4g*</t>
  </si>
  <si>
    <t>Antoni Milambo</t>
  </si>
  <si>
    <t>*06zxx*</t>
  </si>
  <si>
    <t>Divine Mukasa</t>
  </si>
  <si>
    <t>*06fy5*</t>
  </si>
  <si>
    <t>Mike Tresor</t>
  </si>
  <si>
    <t>*072j3*</t>
  </si>
  <si>
    <t>Alysson Edward Franco da Rocha dos Santos</t>
  </si>
  <si>
    <t>*072o9*</t>
  </si>
  <si>
    <t>Djiamgone Jocelin Ta Bi</t>
  </si>
  <si>
    <t>*06hcm*</t>
  </si>
  <si>
    <t>Callum Marshall</t>
  </si>
  <si>
    <t>*06yey*</t>
  </si>
  <si>
    <t>Borna Sosa</t>
  </si>
  <si>
    <t>*072z1*</t>
  </si>
  <si>
    <t>Jerome Abbey</t>
  </si>
  <si>
    <t>*048xg*</t>
  </si>
  <si>
    <t>Josh Dasilva</t>
  </si>
  <si>
    <t>*06tf6*</t>
  </si>
  <si>
    <t>Bendito Mantato</t>
  </si>
  <si>
    <t>*06r9h*</t>
  </si>
  <si>
    <t>Romain Esse</t>
  </si>
  <si>
    <t>*06492*</t>
  </si>
  <si>
    <t>Sasa Kalajdzic</t>
  </si>
  <si>
    <t>*06hze*</t>
  </si>
  <si>
    <t>Treymaurice Nyoni</t>
  </si>
  <si>
    <t>*044i7*</t>
  </si>
  <si>
    <t>Angus Gunn</t>
  </si>
  <si>
    <t>*06zc3*</t>
  </si>
  <si>
    <t>Jun'ai Byfield</t>
  </si>
  <si>
    <t>*072h9*</t>
  </si>
  <si>
    <t>Joel Drakes-Thomas</t>
  </si>
  <si>
    <t>*05w9q*</t>
  </si>
  <si>
    <t>Odsonne Edouard</t>
  </si>
  <si>
    <t>*06nvg*</t>
  </si>
  <si>
    <t>Jota Silva</t>
  </si>
  <si>
    <t>*06v0j*</t>
  </si>
  <si>
    <t>Dan Neil</t>
  </si>
  <si>
    <t>*03brm*</t>
  </si>
  <si>
    <t>Patrick Roberts</t>
  </si>
  <si>
    <t>*064op*</t>
  </si>
  <si>
    <t>Tyler Fredricson</t>
  </si>
  <si>
    <t>*070hr*</t>
  </si>
  <si>
    <t>Jonah Kusi-Asare</t>
  </si>
  <si>
    <t>*0414o*</t>
  </si>
  <si>
    <t>James Maddison</t>
  </si>
  <si>
    <t>*06eka*</t>
  </si>
  <si>
    <t>Igor Julio</t>
  </si>
  <si>
    <t>BHA/WHU</t>
  </si>
  <si>
    <t>*06awq*</t>
  </si>
  <si>
    <t>George Abbott</t>
  </si>
  <si>
    <t>*06v0u*</t>
  </si>
  <si>
    <t>Ahmed Abdullahi</t>
  </si>
  <si>
    <t>*05ymb*</t>
  </si>
  <si>
    <t>Tayo Adaramola</t>
  </si>
  <si>
    <t>*06yb6*</t>
  </si>
  <si>
    <t>Oluwaseun Adewumi</t>
  </si>
  <si>
    <t>*067y2*</t>
  </si>
  <si>
    <t>Daniel Adu-Addei</t>
  </si>
  <si>
    <t>*06nvc*</t>
  </si>
  <si>
    <t>Asher Agbinone</t>
  </si>
  <si>
    <t>*06cly*</t>
  </si>
  <si>
    <t>Enock Agyei</t>
  </si>
  <si>
    <t>*068ys*</t>
  </si>
  <si>
    <t>Naouirou Ahamada</t>
  </si>
  <si>
    <t>*07394*</t>
  </si>
  <si>
    <t>Joshua Ajala</t>
  </si>
  <si>
    <t>*0649j*</t>
  </si>
  <si>
    <t>Manuel Akanji</t>
  </si>
  <si>
    <t>*06zc7*</t>
  </si>
  <si>
    <t>Yusuf Akhamrich</t>
  </si>
  <si>
    <t>*06r5r*</t>
  </si>
  <si>
    <t>Matai Akinmboni</t>
  </si>
  <si>
    <t>*072g3*</t>
  </si>
  <si>
    <t>Sam Alabi</t>
  </si>
  <si>
    <t>*06v0v*</t>
  </si>
  <si>
    <t>Milan Aleksic</t>
  </si>
  <si>
    <t>*05ogg*</t>
  </si>
  <si>
    <t>Ajibola Alese</t>
  </si>
  <si>
    <t>*06f81*</t>
  </si>
  <si>
    <t>Edson Alvarez</t>
  </si>
  <si>
    <t>*06l2r*</t>
  </si>
  <si>
    <t>Harry Amass</t>
  </si>
  <si>
    <t>*06ewp*</t>
  </si>
  <si>
    <t>Samuel Amissah</t>
  </si>
  <si>
    <t>*05uh0*</t>
  </si>
  <si>
    <t>Joseph Anderson</t>
  </si>
  <si>
    <t>*06r5m*</t>
  </si>
  <si>
    <t>Aaron Anselmino</t>
  </si>
  <si>
    <t>*03vll*</t>
  </si>
  <si>
    <t>Michail Antonio</t>
  </si>
  <si>
    <t>*06p4l*</t>
  </si>
  <si>
    <t>Julian Araujo</t>
  </si>
  <si>
    <t>*06zc4*</t>
  </si>
  <si>
    <t>Pele Arganese-McDermott</t>
  </si>
  <si>
    <t>*06kwh*</t>
  </si>
  <si>
    <t>Benjamin Arthur</t>
  </si>
  <si>
    <t>*05ogh*</t>
  </si>
  <si>
    <t>Harrison Ashby</t>
  </si>
  <si>
    <t>*06zc2*</t>
  </si>
  <si>
    <t>Tyrell Ashcroft</t>
  </si>
  <si>
    <t>*04gyd*</t>
  </si>
  <si>
    <t>Brandon Austin</t>
  </si>
  <si>
    <t>*06zcb*</t>
  </si>
  <si>
    <t>Lanre Awesu</t>
  </si>
  <si>
    <t>*06zef*</t>
  </si>
  <si>
    <t>Adam Aznou</t>
  </si>
  <si>
    <t>*06xzn*</t>
  </si>
  <si>
    <t>Abdoullah Ba</t>
  </si>
  <si>
    <t>*06zxz*</t>
  </si>
  <si>
    <t>Scott Bailey</t>
  </si>
  <si>
    <t>*072x8*</t>
  </si>
  <si>
    <t>Brando Bailey-Joseph</t>
  </si>
  <si>
    <t>*062p0*</t>
  </si>
  <si>
    <t>Stefan Bajcetic</t>
  </si>
  <si>
    <t>*05u40*</t>
  </si>
  <si>
    <t>Ellery Balcombe</t>
  </si>
  <si>
    <t>*03ek4*</t>
  </si>
  <si>
    <t>Patrick Bamford</t>
  </si>
  <si>
    <t>*06uzr*</t>
  </si>
  <si>
    <t>Jaydon Banel</t>
  </si>
  <si>
    <t>*06qqm*</t>
  </si>
  <si>
    <t>Callum Bates</t>
  </si>
  <si>
    <t>*06zod*</t>
  </si>
  <si>
    <t>Dean Benamar</t>
  </si>
  <si>
    <t>*06fwn*</t>
  </si>
  <si>
    <t>Steven Benda</t>
  </si>
  <si>
    <t>*072zo*</t>
  </si>
  <si>
    <t>Luka Bentt</t>
  </si>
  <si>
    <t>*0700s*</t>
  </si>
  <si>
    <t>Adam Berry</t>
  </si>
  <si>
    <t>*02ls8*</t>
  </si>
  <si>
    <t>Marcus Bettinelli</t>
  </si>
  <si>
    <t>*0643r*</t>
  </si>
  <si>
    <t>Owen Bevan</t>
  </si>
  <si>
    <t>*06clx*</t>
  </si>
  <si>
    <t>Jordan Beyer</t>
  </si>
  <si>
    <t>*04f67*</t>
  </si>
  <si>
    <t>Philip Billing</t>
  </si>
  <si>
    <t>*072c1*</t>
  </si>
  <si>
    <t>Zyan Blake</t>
  </si>
  <si>
    <t>*06zc1*</t>
  </si>
  <si>
    <t>Carey Bloedorn</t>
  </si>
  <si>
    <t>*04qr0*</t>
  </si>
  <si>
    <t>Willy Boly</t>
  </si>
  <si>
    <t>*06pru*</t>
  </si>
  <si>
    <t>Aidan Borland</t>
  </si>
  <si>
    <t>*06ex2*</t>
  </si>
  <si>
    <t>Aaron Bott</t>
  </si>
  <si>
    <t>*06cm7*</t>
  </si>
  <si>
    <t>Josh Bowler</t>
  </si>
  <si>
    <t>*06pry*</t>
  </si>
  <si>
    <t>Kaden Braithwaite</t>
  </si>
  <si>
    <t>*071xd*</t>
  </si>
  <si>
    <t>George Brierley</t>
  </si>
  <si>
    <t>*06prw*</t>
  </si>
  <si>
    <t>Ben Broggio</t>
  </si>
  <si>
    <t>*074vk*</t>
  </si>
  <si>
    <t>Alfie Brooks</t>
  </si>
  <si>
    <t>*06v0k*</t>
  </si>
  <si>
    <t>Alan Browne</t>
  </si>
  <si>
    <t>*06zoe*</t>
  </si>
  <si>
    <t>Luke Browne</t>
  </si>
  <si>
    <t>*05gcx*</t>
  </si>
  <si>
    <t>Josh Brownhill</t>
  </si>
  <si>
    <t>*06r7l*</t>
  </si>
  <si>
    <t>Bradley Burrowes</t>
  </si>
  <si>
    <t>*05ojg*</t>
  </si>
  <si>
    <t>Nelson Semedo</t>
  </si>
  <si>
    <t>*06uzw*</t>
  </si>
  <si>
    <t>Alex Cairns</t>
  </si>
  <si>
    <t>*06idv*</t>
  </si>
  <si>
    <t>Elijah Campbell</t>
  </si>
  <si>
    <t>*071xc*</t>
  </si>
  <si>
    <t>Murray Campbell</t>
  </si>
  <si>
    <t>*072j7*</t>
  </si>
  <si>
    <t>TJ Carroll</t>
  </si>
  <si>
    <t>*072h8*</t>
  </si>
  <si>
    <t>Ben Casey</t>
  </si>
  <si>
    <t>*066iy*</t>
  </si>
  <si>
    <t>Kaelan Casey</t>
  </si>
  <si>
    <t>*06q2g*</t>
  </si>
  <si>
    <t>Dante Cassanova</t>
  </si>
  <si>
    <t>*06yxd*</t>
  </si>
  <si>
    <t>Rhys Chadwick</t>
  </si>
  <si>
    <t>*06v00*</t>
  </si>
  <si>
    <t>Sam Chambers</t>
  </si>
  <si>
    <t>*03v6t*</t>
  </si>
  <si>
    <t>Ben Chilwell</t>
  </si>
  <si>
    <t>*06ib6*</t>
  </si>
  <si>
    <t>Tawanda Chirewa</t>
  </si>
  <si>
    <t>*05re5*</t>
  </si>
  <si>
    <t>Carney Chukwuemeka</t>
  </si>
  <si>
    <t>*06c4r*</t>
  </si>
  <si>
    <t>Darko Churlinov</t>
  </si>
  <si>
    <t>*071xe*</t>
  </si>
  <si>
    <t>Ellis Clark</t>
  </si>
  <si>
    <t>*07233*</t>
  </si>
  <si>
    <t>*06zbv*</t>
  </si>
  <si>
    <t>Justin Clarke</t>
  </si>
  <si>
    <t>*072ox*</t>
  </si>
  <si>
    <t>Sam Coffey</t>
  </si>
  <si>
    <t>*06crn*</t>
  </si>
  <si>
    <t>Toby Collyer</t>
  </si>
  <si>
    <t>*06zbo*</t>
  </si>
  <si>
    <t>Louie Copley</t>
  </si>
  <si>
    <t>*06xzh*</t>
  </si>
  <si>
    <t>Antonito Cordero</t>
  </si>
  <si>
    <t>*05xtq*</t>
  </si>
  <si>
    <t>Matthew Cox</t>
  </si>
  <si>
    <t>*075zi*</t>
  </si>
  <si>
    <t>Alfie Cresswell</t>
  </si>
  <si>
    <t>*06xzf*</t>
  </si>
  <si>
    <t>Charlie Crew</t>
  </si>
  <si>
    <t>*06jb3*</t>
  </si>
  <si>
    <t>Ted Curd</t>
  </si>
  <si>
    <t>*072ga*</t>
  </si>
  <si>
    <t>Malcom DaCosta</t>
  </si>
  <si>
    <t>*0689t*</t>
  </si>
  <si>
    <t>Michael Dacosta Gonzalez</t>
  </si>
  <si>
    <t>*06klv*</t>
  </si>
  <si>
    <t>Jayden Danns</t>
  </si>
  <si>
    <t>*06zrr*</t>
  </si>
  <si>
    <t>Josh Davidson</t>
  </si>
  <si>
    <t>*05rfp*</t>
  </si>
  <si>
    <t>Harvey Davies</t>
  </si>
  <si>
    <t>*06fuh*</t>
  </si>
  <si>
    <t>Hannes Delcroix</t>
  </si>
  <si>
    <t>*04u6i*</t>
  </si>
  <si>
    <t>Leander Dendoncker</t>
  </si>
  <si>
    <t>*05tz8*</t>
  </si>
  <si>
    <t>Emmanuel Dennis</t>
  </si>
  <si>
    <t>*056as*</t>
  </si>
  <si>
    <t>William Dennis</t>
  </si>
  <si>
    <t>*05nio*</t>
  </si>
  <si>
    <t>Alfie Devine</t>
  </si>
  <si>
    <t>*05yld*</t>
  </si>
  <si>
    <t>Luis Diaz</t>
  </si>
  <si>
    <t>*073ue*</t>
  </si>
  <si>
    <t>Jaden Dixon</t>
  </si>
  <si>
    <t>*05uog*</t>
  </si>
  <si>
    <t>Lewis Dobbin</t>
  </si>
  <si>
    <t>*05ux0*</t>
  </si>
  <si>
    <t>Owen Dodgson</t>
  </si>
  <si>
    <t>*066t3*</t>
  </si>
  <si>
    <t>Jamie Donley</t>
  </si>
  <si>
    <t>*062ot*</t>
  </si>
  <si>
    <t>Cheick Doucoure</t>
  </si>
  <si>
    <t>*074vj*</t>
  </si>
  <si>
    <t>Harrison Dudziak</t>
  </si>
  <si>
    <t>*06dmn*</t>
  </si>
  <si>
    <t>George Earthy</t>
  </si>
  <si>
    <t>*062ck*</t>
  </si>
  <si>
    <t>Malcolm Ebiowei</t>
  </si>
  <si>
    <t>*075qp*</t>
  </si>
  <si>
    <t>Mathis Eboue</t>
  </si>
  <si>
    <t>*06kyw*</t>
  </si>
  <si>
    <t>Claudio Echeverri</t>
  </si>
  <si>
    <t>*05yf8*</t>
  </si>
  <si>
    <t>Pierre Ekwah</t>
  </si>
  <si>
    <t>*06shp*</t>
  </si>
  <si>
    <t>Landon Emenalo</t>
  </si>
  <si>
    <t>*061xs*</t>
  </si>
  <si>
    <t>Julio Enciso</t>
  </si>
  <si>
    <t>*06on4*</t>
  </si>
  <si>
    <t>Julian Eyestone</t>
  </si>
  <si>
    <t>*02lym*</t>
  </si>
  <si>
    <t>Lukasz Fabianski</t>
  </si>
  <si>
    <t>*06jgk*</t>
  </si>
  <si>
    <t>Romain Faivre</t>
  </si>
  <si>
    <t>*06zcd*</t>
  </si>
  <si>
    <t>Preston Fearon</t>
  </si>
  <si>
    <t>*06873*</t>
  </si>
  <si>
    <t>Joao Felix</t>
  </si>
  <si>
    <t>*066j4*</t>
  </si>
  <si>
    <t>Mateo Joseph</t>
  </si>
  <si>
    <t>*072cf*</t>
  </si>
  <si>
    <t>Keyrol Figueroa</t>
  </si>
  <si>
    <t>*06v0a*</t>
  </si>
  <si>
    <t>Tyler Fletcher</t>
  </si>
  <si>
    <t>*05n0a*</t>
  </si>
  <si>
    <t>Wes Foderingham</t>
  </si>
  <si>
    <t>*067z4*</t>
  </si>
  <si>
    <t>David Datro Fofana</t>
  </si>
  <si>
    <t>*02ltw*</t>
  </si>
  <si>
    <t>Fraser Forster</t>
  </si>
  <si>
    <t>TOT/BOU</t>
  </si>
  <si>
    <t>*06exa*</t>
  </si>
  <si>
    <t>Matheus Franca</t>
  </si>
  <si>
    <t>*072mp*</t>
  </si>
  <si>
    <t>Kaye Furo</t>
  </si>
  <si>
    <t>*063e8*</t>
  </si>
  <si>
    <t>Goncalo Guedes</t>
  </si>
  <si>
    <t>*06jgt*</t>
  </si>
  <si>
    <t>Joe Gauci</t>
  </si>
  <si>
    <t>*05n3u*</t>
  </si>
  <si>
    <t>Joe Gelhardt</t>
  </si>
  <si>
    <t>*073vo*</t>
  </si>
  <si>
    <t>Finn Geragusyan</t>
  </si>
  <si>
    <t>*05uh9*</t>
  </si>
  <si>
    <t>Bryan Gil</t>
  </si>
  <si>
    <t>*066si*</t>
  </si>
  <si>
    <t>Alfie Gilchrist</t>
  </si>
  <si>
    <t>*05n09*</t>
  </si>
  <si>
    <t>Mark Gillespie</t>
  </si>
  <si>
    <t>*06441*</t>
  </si>
  <si>
    <t>Martial Godo</t>
  </si>
  <si>
    <t>*06zcc*</t>
  </si>
  <si>
    <t>Airidas Golambeckis</t>
  </si>
  <si>
    <t>*06fwo*</t>
  </si>
  <si>
    <t>Enso Gonzalez</t>
  </si>
  <si>
    <t>*062pb*</t>
  </si>
  <si>
    <t>Owen Goodman</t>
  </si>
  <si>
    <t>*05uhl*</t>
  </si>
  <si>
    <t>Kaide Gordon</t>
  </si>
  <si>
    <t>*075jv*</t>
  </si>
  <si>
    <t>Josh Gracey</t>
  </si>
  <si>
    <t>*072iu*</t>
  </si>
  <si>
    <t>Braiden Graham</t>
  </si>
  <si>
    <t>*072ht*</t>
  </si>
  <si>
    <t>Charlie Gray</t>
  </si>
  <si>
    <t>*06v03*</t>
  </si>
  <si>
    <t>Harry Gray</t>
  </si>
  <si>
    <t>*06uzk*</t>
  </si>
  <si>
    <t>Etienne Green</t>
  </si>
  <si>
    <t>*05r4r*</t>
  </si>
  <si>
    <t>Sam Greenwood</t>
  </si>
  <si>
    <t>*0435t*</t>
  </si>
  <si>
    <t>Ilkay Gundogan</t>
  </si>
  <si>
    <t>*06exj*</t>
  </si>
  <si>
    <t>Luca Gunter</t>
  </si>
  <si>
    <t>*062du*</t>
  </si>
  <si>
    <t>Darko Gyabi</t>
  </si>
  <si>
    <t>*072x9*</t>
  </si>
  <si>
    <t>Tye Hall</t>
  </si>
  <si>
    <t>*06lvm*</t>
  </si>
  <si>
    <t>Tyrese Hall</t>
  </si>
  <si>
    <t>*072dz*</t>
  </si>
  <si>
    <t>Ben Hammond</t>
  </si>
  <si>
    <t>*0746k*</t>
  </si>
  <si>
    <t>Justin Hanks</t>
  </si>
  <si>
    <t>*06qvv*</t>
  </si>
  <si>
    <t>Malachi Hardy</t>
  </si>
  <si>
    <t>*06zbq*</t>
  </si>
  <si>
    <t>Andre Harriman-Annous</t>
  </si>
  <si>
    <t>*06h1g*</t>
  </si>
  <si>
    <t>Aidan Harris</t>
  </si>
  <si>
    <t>*063dz*</t>
  </si>
  <si>
    <t>Luke Harris</t>
  </si>
  <si>
    <t>*06ids*</t>
  </si>
  <si>
    <t>Adam Harrison</t>
  </si>
  <si>
    <t>*06nv5*</t>
  </si>
  <si>
    <t>Alfie Harrison</t>
  </si>
  <si>
    <t>*06kji*</t>
  </si>
  <si>
    <t>Ollie Harrison</t>
  </si>
  <si>
    <t>*035mq*</t>
  </si>
  <si>
    <t>Isaac Hayden</t>
  </si>
  <si>
    <t>*06rnm*</t>
  </si>
  <si>
    <t>Isaac Heath</t>
  </si>
  <si>
    <t>*03dwz*</t>
  </si>
  <si>
    <t>Tom Heaton</t>
  </si>
  <si>
    <t>*0645w*</t>
  </si>
  <si>
    <t>Krisztian Hegyi</t>
  </si>
  <si>
    <t>*05oz4*</t>
  </si>
  <si>
    <t>Karl Hein</t>
  </si>
  <si>
    <t>*06zvn*</t>
  </si>
  <si>
    <t>George Hemmings</t>
  </si>
  <si>
    <t>*06jfq*</t>
  </si>
  <si>
    <t>Travis Hernes</t>
  </si>
  <si>
    <t>*06nyx*</t>
  </si>
  <si>
    <t>Finlay Herrick</t>
  </si>
  <si>
    <t>*06nbw*</t>
  </si>
  <si>
    <t>Jaden Heskey</t>
  </si>
  <si>
    <t>*06nlc*</t>
  </si>
  <si>
    <t>Reigan Heskey</t>
  </si>
  <si>
    <t>*06zbs*</t>
  </si>
  <si>
    <t>Marcus Hill</t>
  </si>
  <si>
    <t>*05x12*</t>
  </si>
  <si>
    <t>Leo Fuhr Hjelde</t>
  </si>
  <si>
    <t>*06mfw*</t>
  </si>
  <si>
    <t>Vaclav Hladky</t>
  </si>
  <si>
    <t>*03jly*</t>
  </si>
  <si>
    <t>Andreas Pereira</t>
  </si>
  <si>
    <t>*06exb*</t>
  </si>
  <si>
    <t>Rasmus Hojlund</t>
  </si>
  <si>
    <t>*044nm*</t>
  </si>
  <si>
    <t>Rob Holding</t>
  </si>
  <si>
    <t>*0730i*</t>
  </si>
  <si>
    <t>Charlie Holland</t>
  </si>
  <si>
    <t>*072gz*</t>
  </si>
  <si>
    <t>Ronnie Hollingshead</t>
  </si>
  <si>
    <t>*05r2t*</t>
  </si>
  <si>
    <t>Niall Huggins</t>
  </si>
  <si>
    <t>*072x7*</t>
  </si>
  <si>
    <t>Ife Ibrahim</t>
  </si>
  <si>
    <t>*06mnb*</t>
  </si>
  <si>
    <t>Samuel Iling-Junior</t>
  </si>
  <si>
    <t>*06kx0*</t>
  </si>
  <si>
    <t>Danny Imray</t>
  </si>
  <si>
    <t>*06zca*</t>
  </si>
  <si>
    <t>Oliver Irow</t>
  </si>
  <si>
    <t>*0746j*</t>
  </si>
  <si>
    <t>Jackson Izquierdo</t>
  </si>
  <si>
    <t>*06nva*</t>
  </si>
  <si>
    <t>Mofe Jemide</t>
  </si>
  <si>
    <t>*06prv*</t>
  </si>
  <si>
    <t>Jamaldeen Jimoh</t>
  </si>
  <si>
    <t>*06xzm*</t>
  </si>
  <si>
    <t>Zak Johnson</t>
  </si>
  <si>
    <t>*06v0q*</t>
  </si>
  <si>
    <t>Harrison Jones</t>
  </si>
  <si>
    <t>*070ep*</t>
  </si>
  <si>
    <t>Jayden Jones</t>
  </si>
  <si>
    <t>*070eo*</t>
  </si>
  <si>
    <t>Jenson Jones</t>
  </si>
  <si>
    <t>*06pms*</t>
  </si>
  <si>
    <t>Ismeal Kabia</t>
  </si>
  <si>
    <t>*062cl*</t>
  </si>
  <si>
    <t>Issa Kabore</t>
  </si>
  <si>
    <t>*06pez*</t>
  </si>
  <si>
    <t>Mohamadou Kante</t>
  </si>
  <si>
    <t>*072b6*</t>
  </si>
  <si>
    <t>Ryan Kavuma-McQueen</t>
  </si>
  <si>
    <t>*06dpv*</t>
  </si>
  <si>
    <t>Omari Kellyman</t>
  </si>
  <si>
    <t>*06ygl*</t>
  </si>
  <si>
    <t>George King</t>
  </si>
  <si>
    <t>*06cmt*</t>
  </si>
  <si>
    <t>Tom King</t>
  </si>
  <si>
    <t>WOL/EVE</t>
  </si>
  <si>
    <t>*068sd*</t>
  </si>
  <si>
    <t>Jakub Kiwior</t>
  </si>
  <si>
    <t>*06rkx*</t>
  </si>
  <si>
    <t>Joe Knight</t>
  </si>
  <si>
    <t>*06dqv*</t>
  </si>
  <si>
    <t>Luca Koleosho</t>
  </si>
  <si>
    <t>*06ils*</t>
  </si>
  <si>
    <t>Yunus Konak</t>
  </si>
  <si>
    <t>*06rkr*</t>
  </si>
  <si>
    <t>Trent Kone-Doherty</t>
  </si>
  <si>
    <t>*073aa*</t>
  </si>
  <si>
    <t>Mohamed Kone</t>
  </si>
  <si>
    <t>*06roh*</t>
  </si>
  <si>
    <t>Sekou Kone</t>
  </si>
  <si>
    <t>*06nvb*</t>
  </si>
  <si>
    <t>Caleb Kporha</t>
  </si>
  <si>
    <t>*06qx6*</t>
  </si>
  <si>
    <t>Godwill Kukonki</t>
  </si>
  <si>
    <t>*06mgn*</t>
  </si>
  <si>
    <t>Rio Kyerematen</t>
  </si>
  <si>
    <t>*06zrs*</t>
  </si>
  <si>
    <t>Michael Laffey</t>
  </si>
  <si>
    <t>*06zqj*</t>
  </si>
  <si>
    <t>Ethan Laidlaw</t>
  </si>
  <si>
    <t>*072pu*</t>
  </si>
  <si>
    <t>Keiber Lamadrid</t>
  </si>
  <si>
    <t>*05a6d*</t>
  </si>
  <si>
    <t>Tariq Lamptey</t>
  </si>
  <si>
    <t>*066t2*</t>
  </si>
  <si>
    <t>Will Lankshear</t>
  </si>
  <si>
    <t>*06zbw*</t>
  </si>
  <si>
    <t>Benjamin Lecomte</t>
  </si>
  <si>
    <t>*06zc9*</t>
  </si>
  <si>
    <t>Ellis Lehane</t>
  </si>
  <si>
    <t>*0701y*</t>
  </si>
  <si>
    <t>Giovanni Leoni</t>
  </si>
  <si>
    <t>*070em*</t>
  </si>
  <si>
    <t>Marley Leuluai</t>
  </si>
  <si>
    <t>*06yb8*</t>
  </si>
  <si>
    <t>Diego Leon</t>
  </si>
  <si>
    <t>*075sh*</t>
  </si>
  <si>
    <t>Jayden Lienou</t>
  </si>
  <si>
    <t>*06zrq*</t>
  </si>
  <si>
    <t>Wellity Lucky</t>
  </si>
  <si>
    <t>*072mq*</t>
  </si>
  <si>
    <t>Brian Madjo</t>
  </si>
  <si>
    <t>*04tsf*</t>
  </si>
  <si>
    <t>Paris Maghoma</t>
  </si>
  <si>
    <t>*06yxc*</t>
  </si>
  <si>
    <t>Rory Mahady</t>
  </si>
  <si>
    <t>*072x6*</t>
  </si>
  <si>
    <t>Christos Mandas</t>
  </si>
  <si>
    <t>*06c4p*</t>
  </si>
  <si>
    <t>Benson Manuel</t>
  </si>
  <si>
    <t>*05y6a*</t>
  </si>
  <si>
    <t>Filip Marschall</t>
  </si>
  <si>
    <t>*06do1*</t>
  </si>
  <si>
    <t>Zach Marsh</t>
  </si>
  <si>
    <t>*06xzo*</t>
  </si>
  <si>
    <t>Jay Matete</t>
  </si>
  <si>
    <t>*05ubh*</t>
  </si>
  <si>
    <t>Remi Matthews</t>
  </si>
  <si>
    <t>*0722t*</t>
  </si>
  <si>
    <t>Ryan McAidoo</t>
  </si>
  <si>
    <t>*06do3*</t>
  </si>
  <si>
    <t>James McConnell</t>
  </si>
  <si>
    <t>*05rbn*</t>
  </si>
  <si>
    <t>Thomas McGill</t>
  </si>
  <si>
    <t>*06jgu*</t>
  </si>
  <si>
    <t>Callan McKenna</t>
  </si>
  <si>
    <t>*073q9*</t>
  </si>
  <si>
    <t>Kian McMahon-Brown</t>
  </si>
  <si>
    <t>*06mwx*</t>
  </si>
  <si>
    <t>Conor McManus</t>
  </si>
  <si>
    <t>*072jc*</t>
  </si>
  <si>
    <t>Alfie McNally</t>
  </si>
  <si>
    <t>*06ews*</t>
  </si>
  <si>
    <t>Dermot Mee</t>
  </si>
  <si>
    <t>*06mgk*</t>
  </si>
  <si>
    <t>Jayden Meghoma</t>
  </si>
  <si>
    <t>*04ylt*</t>
  </si>
  <si>
    <t>Chris Mepham</t>
  </si>
  <si>
    <t>*06jfh*</t>
  </si>
  <si>
    <t>Max Merrick</t>
  </si>
  <si>
    <t>*05mzt*</t>
  </si>
  <si>
    <t>Illan Meslier</t>
  </si>
  <si>
    <t>*06nbu*</t>
  </si>
  <si>
    <t>Stephen Mfuni</t>
  </si>
  <si>
    <t>*06qgn*</t>
  </si>
  <si>
    <t>Shumaira Mheuka</t>
  </si>
  <si>
    <t>*06v0r*</t>
  </si>
  <si>
    <t>Ben Middlemas</t>
  </si>
  <si>
    <t>*06zby*</t>
  </si>
  <si>
    <t>Kornel Misciur</t>
  </si>
  <si>
    <t>*06lox*</t>
  </si>
  <si>
    <t>Mikey Moore</t>
  </si>
  <si>
    <t>*033l8*</t>
  </si>
  <si>
    <t>Simon Moore</t>
  </si>
  <si>
    <t>*06roi*</t>
  </si>
  <si>
    <t>Jack Moorhouse</t>
  </si>
  <si>
    <t>*05vyh*</t>
  </si>
  <si>
    <t>Andy Moran</t>
  </si>
  <si>
    <t>*0687b*</t>
  </si>
  <si>
    <t>Alex Moreno</t>
  </si>
  <si>
    <t>*06rkq*</t>
  </si>
  <si>
    <t>Kieran Morrison</t>
  </si>
  <si>
    <t>*05uhk*</t>
  </si>
  <si>
    <t>Tyler Morton</t>
  </si>
  <si>
    <t>*06xzj*</t>
  </si>
  <si>
    <t>David Mota Veiga Teixeira do Carmo</t>
  </si>
  <si>
    <t>*068a1*</t>
  </si>
  <si>
    <t>Mykhailo Mudryk</t>
  </si>
  <si>
    <t>*06on6*</t>
  </si>
  <si>
    <t>Anthony Munda</t>
  </si>
  <si>
    <t>*06v09*</t>
  </si>
  <si>
    <t>Reece Munro</t>
  </si>
  <si>
    <t>*063e3*</t>
  </si>
  <si>
    <t>Neto</t>
  </si>
  <si>
    <t>*06rqa*</t>
  </si>
  <si>
    <t>William Murdock</t>
  </si>
  <si>
    <t>*06rrr*</t>
  </si>
  <si>
    <t>Hindolo Mustapha</t>
  </si>
  <si>
    <t>*06kud*</t>
  </si>
  <si>
    <t>Amara Nallo</t>
  </si>
  <si>
    <t>*075kd*</t>
  </si>
  <si>
    <t>Talla Ndiaye</t>
  </si>
  <si>
    <t>*06nk3*</t>
  </si>
  <si>
    <t>Josh Nichols</t>
  </si>
  <si>
    <t>*06cm0*</t>
  </si>
  <si>
    <t>Christopher Nkunku</t>
  </si>
  <si>
    <t>*06v0e*</t>
  </si>
  <si>
    <t>Blondy Nna Noukeu</t>
  </si>
  <si>
    <t>*072p2*</t>
  </si>
  <si>
    <t>Kian Noble</t>
  </si>
  <si>
    <t>*06phr*</t>
  </si>
  <si>
    <t>Gustavo Nunes</t>
  </si>
  <si>
    <t>*061x2*</t>
  </si>
  <si>
    <t>Darwin Nunez</t>
  </si>
  <si>
    <t>*06ys4*</t>
  </si>
  <si>
    <t>Sverre Nypan</t>
  </si>
  <si>
    <t>*0722r*</t>
  </si>
  <si>
    <t>Rhys Oakley</t>
  </si>
  <si>
    <t>*04mmx*</t>
  </si>
  <si>
    <t>Michael Obafemi</t>
  </si>
  <si>
    <t>*06roj*</t>
  </si>
  <si>
    <t>Chido Obi-Martin</t>
  </si>
  <si>
    <t>*06v0w*</t>
  </si>
  <si>
    <t>Trey Ogunsuyi</t>
  </si>
  <si>
    <t>*06l53*</t>
  </si>
  <si>
    <t>Temple Ojinnaka</t>
  </si>
  <si>
    <t>*072hx*</t>
  </si>
  <si>
    <t>Saheed Olagunju</t>
  </si>
  <si>
    <t>*072lp*</t>
  </si>
  <si>
    <t>Malik Olayiwola</t>
  </si>
  <si>
    <t>*06qq8*</t>
  </si>
  <si>
    <t>Callum Olusesi</t>
  </si>
  <si>
    <t>*06dps*</t>
  </si>
  <si>
    <t>Andre Onana</t>
  </si>
  <si>
    <t>*05r93*</t>
  </si>
  <si>
    <t>Tyler Onyango</t>
  </si>
  <si>
    <t>*066iz*</t>
  </si>
  <si>
    <t>Lewis Orford</t>
  </si>
  <si>
    <t>*072at*</t>
  </si>
  <si>
    <t>Nehemiah Oriola</t>
  </si>
  <si>
    <t>*06mwu*</t>
  </si>
  <si>
    <t>Riley Owen</t>
  </si>
  <si>
    <t>*062ow*</t>
  </si>
  <si>
    <t>David Ozoh</t>
  </si>
  <si>
    <t>*073ac*</t>
  </si>
  <si>
    <t>Ceadach O'Neill</t>
  </si>
  <si>
    <t>*04mqv*</t>
  </si>
  <si>
    <t>Emerson</t>
  </si>
  <si>
    <t>*06zc0*</t>
  </si>
  <si>
    <t>Seung-Soo Park</t>
  </si>
  <si>
    <t>*06v0d*</t>
  </si>
  <si>
    <t>Anthony Patterson</t>
  </si>
  <si>
    <t>*06awp*</t>
  </si>
  <si>
    <t>Travis Patterson</t>
  </si>
  <si>
    <t>*06mex*</t>
  </si>
  <si>
    <t>Alex Paulsen</t>
  </si>
  <si>
    <t>*05nuf*</t>
  </si>
  <si>
    <t>Myles Peart-Harris</t>
  </si>
  <si>
    <t>*06xzk*</t>
  </si>
  <si>
    <t>Timothee Pembele</t>
  </si>
  <si>
    <t>*06uzt*</t>
  </si>
  <si>
    <t>Mike Penders</t>
  </si>
  <si>
    <t>*05n03*</t>
  </si>
  <si>
    <t>Kalvin Phillips</t>
  </si>
  <si>
    <t>*06yjz*</t>
  </si>
  <si>
    <t>Tommy Pilling</t>
  </si>
  <si>
    <t>*070en*</t>
  </si>
  <si>
    <t>Oliver Pimlott</t>
  </si>
  <si>
    <t>*072ce*</t>
  </si>
  <si>
    <t>Carter Pinnington</t>
  </si>
  <si>
    <t>*06fwj*</t>
  </si>
  <si>
    <t>Alfie Pond</t>
  </si>
  <si>
    <t>*06ppi*</t>
  </si>
  <si>
    <t>Jack Porter</t>
  </si>
  <si>
    <t>*071xf*</t>
  </si>
  <si>
    <t>Brandon Pouani</t>
  </si>
  <si>
    <t>*04ym3*</t>
  </si>
  <si>
    <t>Ian Poveda-Ocampo</t>
  </si>
  <si>
    <t>*06ie2*</t>
  </si>
  <si>
    <t>Sam Proctor</t>
  </si>
  <si>
    <t>*06v04*</t>
  </si>
  <si>
    <t>Armin Pecsi</t>
  </si>
  <si>
    <t>*05rjn*</t>
  </si>
  <si>
    <t>Jesurun Rak-Sakyi</t>
  </si>
  <si>
    <t>*06few*</t>
  </si>
  <si>
    <t>Youssef Chermiti</t>
  </si>
  <si>
    <t>*05afj*</t>
  </si>
  <si>
    <t>Largie Ramazani</t>
  </si>
  <si>
    <t>*072cd*</t>
  </si>
  <si>
    <t>Nils Ramming</t>
  </si>
  <si>
    <t>*061z5*</t>
  </si>
  <si>
    <t>Calvin Ramsay</t>
  </si>
  <si>
    <t>*05vyc*</t>
  </si>
  <si>
    <t>Aaron Ramsey</t>
  </si>
  <si>
    <t>*073y1*</t>
  </si>
  <si>
    <t>Khari Ranson</t>
  </si>
  <si>
    <t>*06nve*</t>
  </si>
  <si>
    <t>Luke Rawlings</t>
  </si>
  <si>
    <t>*06r3w*</t>
  </si>
  <si>
    <t>Remy Rees-Dottin</t>
  </si>
  <si>
    <t>*062op*</t>
  </si>
  <si>
    <t>Omar Richards</t>
  </si>
  <si>
    <t>*072cb*</t>
  </si>
  <si>
    <t>Seth Ridgeon</t>
  </si>
  <si>
    <t>*04azm*</t>
  </si>
  <si>
    <t>Connor Roberts</t>
  </si>
  <si>
    <t>*06nyy*</t>
  </si>
  <si>
    <t>Junior Robinson</t>
  </si>
  <si>
    <t>*062oi*</t>
  </si>
  <si>
    <t>Kaden Rodney</t>
  </si>
  <si>
    <t>*05tr5*</t>
  </si>
  <si>
    <t>Mads Roerslev</t>
  </si>
  <si>
    <t>*06nk2*</t>
  </si>
  <si>
    <t>Alexei Rojas Fedorushchenko</t>
  </si>
  <si>
    <t>*06nkh*</t>
  </si>
  <si>
    <t>Reggie Rose</t>
  </si>
  <si>
    <t>*072i1*</t>
  </si>
  <si>
    <t>Leon Routh</t>
  </si>
  <si>
    <t>*06prt*</t>
  </si>
  <si>
    <t>Triston Rowe</t>
  </si>
  <si>
    <t>*06zc5*</t>
  </si>
  <si>
    <t>James Rowswell</t>
  </si>
  <si>
    <t>*02m3v*</t>
  </si>
  <si>
    <t>John Ruddy</t>
  </si>
  <si>
    <t>*06zc6*</t>
  </si>
  <si>
    <t>Reiss-Alexander Russell-Denny</t>
  </si>
  <si>
    <t>*06xzq*</t>
  </si>
  <si>
    <t>Nazariy Rusyn</t>
  </si>
  <si>
    <t>*0643v*</t>
  </si>
  <si>
    <t>Dominic Sadi</t>
  </si>
  <si>
    <t>*066se*</t>
  </si>
  <si>
    <t>Charles Sagoe Junior</t>
  </si>
  <si>
    <t>*06zbn*</t>
  </si>
  <si>
    <t>Marli Salmon</t>
  </si>
  <si>
    <t>*073ab*</t>
  </si>
  <si>
    <t>Floyd Samba</t>
  </si>
  <si>
    <t>*072p3*</t>
  </si>
  <si>
    <t>Tyrone Samba</t>
  </si>
  <si>
    <t>*05ue3*</t>
  </si>
  <si>
    <t>Albert Sambi Lokonga</t>
  </si>
  <si>
    <t>*06uzm*</t>
  </si>
  <si>
    <t>Shurandy Sambo</t>
  </si>
  <si>
    <t>Ederson</t>
  </si>
  <si>
    <t>*05x9k*</t>
  </si>
  <si>
    <t>Jeremy Sarmiento</t>
  </si>
  <si>
    <t>*05nsf*</t>
  </si>
  <si>
    <t>Malang Sarr</t>
  </si>
  <si>
    <t>*06uzx*</t>
  </si>
  <si>
    <t>Isaac Schmidt</t>
  </si>
  <si>
    <t>*06nk0*</t>
  </si>
  <si>
    <t>Tommy Setford</t>
  </si>
  <si>
    <t>*06on5*</t>
  </si>
  <si>
    <t>Leo Shahar</t>
  </si>
  <si>
    <t>*05xtr*</t>
  </si>
  <si>
    <t>Teddy Sharman-Lowe</t>
  </si>
  <si>
    <t>*06po8*</t>
  </si>
  <si>
    <t>Martin Sherif</t>
  </si>
  <si>
    <t>*073b0*</t>
  </si>
  <si>
    <t>Ollie Shield</t>
  </si>
  <si>
    <t>*07659*</t>
  </si>
  <si>
    <t>Lamin Sillah</t>
  </si>
  <si>
    <t>*06xzp*</t>
  </si>
  <si>
    <t>Luis Hemir Silva Semedo</t>
  </si>
  <si>
    <t>*062cj*</t>
  </si>
  <si>
    <t>Abdallah Sima</t>
  </si>
  <si>
    <t>*06s7r*</t>
  </si>
  <si>
    <t>Freddie Simmonds</t>
  </si>
  <si>
    <t>*0700r*</t>
  </si>
  <si>
    <t>Jimmy Sinclair</t>
  </si>
  <si>
    <t>*062h9*</t>
  </si>
  <si>
    <t>Luis Sinisterra</t>
  </si>
  <si>
    <t>*063c2*</t>
  </si>
  <si>
    <t>Gabriel Slonina</t>
  </si>
  <si>
    <t>*05o8k*</t>
  </si>
  <si>
    <t>Fabio Silva</t>
  </si>
  <si>
    <t>*070hm*</t>
  </si>
  <si>
    <t>Luis Eduardo Soares da Silva</t>
  </si>
  <si>
    <t>*06329*</t>
  </si>
  <si>
    <t>Manor Solomon</t>
  </si>
  <si>
    <t>*03v9d*</t>
  </si>
  <si>
    <t>Son Heung-Min</t>
  </si>
  <si>
    <t>*06mmk*</t>
  </si>
  <si>
    <t>Marko Stamenic</t>
  </si>
  <si>
    <t>*04rha*</t>
  </si>
  <si>
    <t>Jason Steele</t>
  </si>
  <si>
    <t>*06zqi*</t>
  </si>
  <si>
    <t>Joshua Stephenson</t>
  </si>
  <si>
    <t>*06nl8*</t>
  </si>
  <si>
    <t>Luca Stephenson</t>
  </si>
  <si>
    <t>*02lkp*</t>
  </si>
  <si>
    <t>Raheem Sterling</t>
  </si>
  <si>
    <t>*072p7*</t>
  </si>
  <si>
    <t>Charlie Stevens</t>
  </si>
  <si>
    <t>*072iv*</t>
  </si>
  <si>
    <t>Ethan Sutherland</t>
  </si>
  <si>
    <t>*06ya6*</t>
  </si>
  <si>
    <t>Kota Takai</t>
  </si>
  <si>
    <t>*0372y*</t>
  </si>
  <si>
    <t>Matt Targett</t>
  </si>
  <si>
    <t>*06rwp*</t>
  </si>
  <si>
    <t>Charlie Tasker</t>
  </si>
  <si>
    <t>*06zbu*</t>
  </si>
  <si>
    <t>Aled Thomas</t>
  </si>
  <si>
    <t>*072dy*</t>
  </si>
  <si>
    <t>Jack Thompson</t>
  </si>
  <si>
    <t>*06zeg*</t>
  </si>
  <si>
    <t>Max Thompson</t>
  </si>
  <si>
    <t>*06zc8*</t>
  </si>
  <si>
    <t>Tynan Thompson</t>
  </si>
  <si>
    <t>*06v0b*</t>
  </si>
  <si>
    <t>Jim Thwaites</t>
  </si>
  <si>
    <t>*04vy4*</t>
  </si>
  <si>
    <t>Mark Travers</t>
  </si>
  <si>
    <t>*0643w*</t>
  </si>
  <si>
    <t>Ryan Trevitt</t>
  </si>
  <si>
    <t>*06xzl*</t>
  </si>
  <si>
    <t>Nectarios Triantis</t>
  </si>
  <si>
    <t>*05n3v*</t>
  </si>
  <si>
    <t>Konstantinos Tsimikas</t>
  </si>
  <si>
    <t>*062ds*</t>
  </si>
  <si>
    <t>Matt Turner</t>
  </si>
  <si>
    <t>*06v0x*</t>
  </si>
  <si>
    <t>Tymur Tutierov</t>
  </si>
  <si>
    <t>*06uzs*</t>
  </si>
  <si>
    <t>Tom Tweedy</t>
  </si>
  <si>
    <t>*05rc7*</t>
  </si>
  <si>
    <t>Harry Tyrer</t>
  </si>
  <si>
    <t>*06kk4*</t>
  </si>
  <si>
    <t>Franco Umeh-Chibueze</t>
  </si>
  <si>
    <t>*061z3*</t>
  </si>
  <si>
    <t>Fabio Vieira</t>
  </si>
  <si>
    <t>*06fxg*</t>
  </si>
  <si>
    <t>Odysseas Vlachodimos</t>
  </si>
  <si>
    <t>*06v0y*</t>
  </si>
  <si>
    <t>Luka Vuskovic</t>
  </si>
  <si>
    <t>*06rrq*</t>
  </si>
  <si>
    <t>Reggie Walsh</t>
  </si>
  <si>
    <t>*06uns*</t>
  </si>
  <si>
    <t>Tom Watson</t>
  </si>
  <si>
    <t>*056ir*</t>
  </si>
  <si>
    <t>Adam Webster</t>
  </si>
  <si>
    <t>*05rka*</t>
  </si>
  <si>
    <t>Reece Welch</t>
  </si>
  <si>
    <t>*06l4c*</t>
  </si>
  <si>
    <t>Ethan Wheatley</t>
  </si>
  <si>
    <t>*05wqy*</t>
  </si>
  <si>
    <t>Joe White</t>
  </si>
  <si>
    <t>*0700q*</t>
  </si>
  <si>
    <t>Archie Whitehall</t>
  </si>
  <si>
    <t>*070eq*</t>
  </si>
  <si>
    <t>Jack Whittaker</t>
  </si>
  <si>
    <t>*062pa*</t>
  </si>
  <si>
    <t>Joseph Whitworth</t>
  </si>
  <si>
    <t>*06nbq*</t>
  </si>
  <si>
    <t>Caleb Wiley</t>
  </si>
  <si>
    <t>*06zbr*</t>
  </si>
  <si>
    <t>Harold William</t>
  </si>
  <si>
    <t>*06muh*</t>
  </si>
  <si>
    <t>Ethan Williams</t>
  </si>
  <si>
    <t>*05oji*</t>
  </si>
  <si>
    <t>Rhys Williams</t>
  </si>
  <si>
    <t>*06qq9*</t>
  </si>
  <si>
    <t>Luca Williams-Barnett</t>
  </si>
  <si>
    <t>*06617*</t>
  </si>
  <si>
    <t>Keehan Willows</t>
  </si>
  <si>
    <t>*073k1*</t>
  </si>
  <si>
    <t>James Wilson</t>
  </si>
  <si>
    <t>*05wwd*</t>
  </si>
  <si>
    <t>Joshua Wilson-Esbrand</t>
  </si>
  <si>
    <t>*06qwh*</t>
  </si>
  <si>
    <t>Ben Winterburn</t>
  </si>
  <si>
    <t>*06avm*</t>
  </si>
  <si>
    <t>James Wright</t>
  </si>
  <si>
    <t>*06zrt*</t>
  </si>
  <si>
    <t>Will Wright</t>
  </si>
  <si>
    <t>*06msb*</t>
  </si>
  <si>
    <t>Malick Yalcouye</t>
  </si>
  <si>
    <t>*06r5d*</t>
  </si>
  <si>
    <t>Min-Hyeok Yang</t>
  </si>
  <si>
    <t>*066tb*</t>
  </si>
  <si>
    <t>Kadan Young</t>
  </si>
  <si>
    <t>*068yi*</t>
  </si>
  <si>
    <t>Illia Zabarnyi</t>
  </si>
  <si>
    <t>*056at*</t>
  </si>
  <si>
    <t>Jordan Zemura</t>
  </si>
  <si>
    <t>*06mnd*</t>
  </si>
  <si>
    <t>Eric da Silva Moreira</t>
  </si>
  <si>
    <t>*06r9x*</t>
  </si>
  <si>
    <t>Vitor Reis</t>
  </si>
  <si>
    <t>*06mx2*</t>
  </si>
  <si>
    <t>Carlos Miguel</t>
  </si>
  <si>
    <t>*0649i*</t>
  </si>
  <si>
    <t>Antony</t>
  </si>
  <si>
    <t>*06unr*</t>
  </si>
  <si>
    <t>Yasin Ozcan</t>
  </si>
  <si>
    <t>*06r9v*</t>
  </si>
  <si>
    <t>Andres Garcia</t>
  </si>
  <si>
    <t>*06ewy*</t>
  </si>
  <si>
    <t>Alex Murphy</t>
  </si>
  <si>
    <t>*06rnn*</t>
  </si>
  <si>
    <t>Sean Neave</t>
  </si>
  <si>
    <t>*05nip*</t>
  </si>
  <si>
    <t>Dane Scarlett</t>
  </si>
  <si>
    <t>*062ft*</t>
  </si>
  <si>
    <t>Tyrell Malacia</t>
  </si>
  <si>
    <t>*03ysd*</t>
  </si>
  <si>
    <t>Sam Byram</t>
  </si>
  <si>
    <t>*06uzv*</t>
  </si>
  <si>
    <t>Dario Essugo</t>
  </si>
  <si>
    <t>*06uzu*</t>
  </si>
  <si>
    <t>Mamadou Sarr</t>
  </si>
  <si>
    <t>*03pig*</t>
  </si>
  <si>
    <t>Jamaal Lascelles</t>
  </si>
  <si>
    <t>*06jfe*</t>
  </si>
  <si>
    <t>Hakon Valdimarsson</t>
  </si>
  <si>
    <t>*05746*</t>
  </si>
  <si>
    <t>Emil Krafth</t>
  </si>
  <si>
    <t>*06r7f*</t>
  </si>
  <si>
    <t>Julio Soler</t>
  </si>
  <si>
    <t>*0620k*</t>
  </si>
  <si>
    <t>Nayef Aguerd</t>
  </si>
  <si>
    <t>Helper Lists and Multipliers</t>
  </si>
  <si>
    <t>Tiers</t>
  </si>
  <si>
    <t>Positions</t>
  </si>
  <si>
    <t>Transfer Risk</t>
  </si>
  <si>
    <t>Transfer Mult</t>
  </si>
  <si>
    <t>Yes/No</t>
  </si>
  <si>
    <t>Risk Modes</t>
  </si>
  <si>
    <t>Statuses</t>
  </si>
  <si>
    <t>Nomination Types</t>
  </si>
  <si>
    <t>Low</t>
  </si>
  <si>
    <t>Available</t>
  </si>
  <si>
    <t>Target</t>
  </si>
  <si>
    <t>Medium</t>
  </si>
  <si>
    <t>No</t>
  </si>
  <si>
    <t>Sold</t>
  </si>
  <si>
    <t>Value Target</t>
  </si>
  <si>
    <t>High</t>
  </si>
  <si>
    <t>Budget Drainer</t>
  </si>
  <si>
    <t>Expected Leave</t>
  </si>
  <si>
    <t>Position Squeeze</t>
  </si>
  <si>
    <t>New Signing</t>
  </si>
  <si>
    <t>Market Tester</t>
  </si>
  <si>
    <t>Recommended</t>
  </si>
  <si>
    <t>Players - Draft Board and Valuation Engine</t>
  </si>
  <si>
    <t>Eligible Pos</t>
  </si>
  <si>
    <t>Locked Pos</t>
  </si>
  <si>
    <t>Preference 1-10</t>
  </si>
  <si>
    <t>Reliability 1-10</t>
  </si>
  <si>
    <t>Avoid Unless Cheap</t>
  </si>
  <si>
    <t>Manual Review</t>
  </si>
  <si>
    <t>2025/26 FPts</t>
  </si>
  <si>
    <t>2025/26 FP/G</t>
  </si>
  <si>
    <t>Final Projection</t>
  </si>
  <si>
    <t>Points Above Repl</t>
  </si>
  <si>
    <t>Base $ Value</t>
  </si>
  <si>
    <t>Tier Mult</t>
  </si>
  <si>
    <t>Preference Mult</t>
  </si>
  <si>
    <t>Reliability Mult</t>
  </si>
  <si>
    <t>Transfer Risk Mult</t>
  </si>
  <si>
    <t>Avoid Mult</t>
  </si>
  <si>
    <t>Adjusted $ Value</t>
  </si>
  <si>
    <t>Market $ Value</t>
  </si>
  <si>
    <t>Winning Manager</t>
  </si>
  <si>
    <t>Sold Price</t>
  </si>
  <si>
    <t>Opening Bid</t>
  </si>
  <si>
    <t>Good Price</t>
  </si>
  <si>
    <t>Fair Price</t>
  </si>
  <si>
    <t>Stretch Price</t>
  </si>
  <si>
    <t>Hard Max</t>
  </si>
  <si>
    <t>Live Max Bid</t>
  </si>
  <si>
    <t>Nomination Type</t>
  </si>
  <si>
    <t>Nomination Score</t>
  </si>
  <si>
    <t>Auction Log - Completed Sales</t>
  </si>
  <si>
    <t>Expected Value</t>
  </si>
  <si>
    <t>Vs Value</t>
  </si>
  <si>
    <t>Live Draft - Current Nomination</t>
  </si>
  <si>
    <t>Current Nominated Player</t>
  </si>
  <si>
    <t>Select/type the player being auctioned</t>
  </si>
  <si>
    <t>Formula</t>
  </si>
  <si>
    <t>Enter final winning bid after auction</t>
  </si>
  <si>
    <t>Enter/select manager who won the player</t>
  </si>
  <si>
    <t>Next Pick</t>
  </si>
  <si>
    <t>Pos</t>
  </si>
  <si>
    <t>Site Proj</t>
  </si>
  <si>
    <t>Your Proj</t>
  </si>
  <si>
    <t>Final Proj</t>
  </si>
  <si>
    <t>Adjusted Value</t>
  </si>
  <si>
    <t>Market Value</t>
  </si>
  <si>
    <t>Do Not Exceed</t>
  </si>
  <si>
    <t>Recommendation</t>
  </si>
  <si>
    <t>Why this price?</t>
  </si>
  <si>
    <t>Copy row 25 into Auction Log after the player is sold</t>
  </si>
  <si>
    <t>Draft Dashboard</t>
  </si>
  <si>
    <t>Metric</t>
  </si>
  <si>
    <t>Manager</t>
  </si>
  <si>
    <t>Remaining</t>
  </si>
  <si>
    <t>Max Bid</t>
  </si>
  <si>
    <t>Current nomination number</t>
  </si>
  <si>
    <t>Total Picks</t>
  </si>
  <si>
    <t>Managers x squad size</t>
  </si>
  <si>
    <t>Draft Complete</t>
  </si>
  <si>
    <t>Progress</t>
  </si>
  <si>
    <t>Your Budget</t>
  </si>
  <si>
    <t>Your Max Legal Bid</t>
  </si>
  <si>
    <t>Budget less $1 per remaining spot</t>
  </si>
  <si>
    <t>Market Spend Index</t>
  </si>
  <si>
    <t>100% = fair</t>
  </si>
  <si>
    <t>Actual spend versus expected value</t>
  </si>
  <si>
    <t>First 10% Window</t>
  </si>
  <si>
    <t>Target pick window</t>
  </si>
  <si>
    <t>Your Players Drafted</t>
  </si>
  <si>
    <t>Players on your squad</t>
  </si>
  <si>
    <t>First 10% Alert</t>
  </si>
  <si>
    <t>Early player target status</t>
  </si>
  <si>
    <t>Your Position Coverage</t>
  </si>
  <si>
    <t>Drafted</t>
  </si>
  <si>
    <t>Recent Sales</t>
  </si>
  <si>
    <t>Winner</t>
  </si>
  <si>
    <t>Price</t>
  </si>
  <si>
    <t>Expected</t>
  </si>
  <si>
    <t>Nomination Assistant</t>
  </si>
  <si>
    <t>Preference</t>
  </si>
  <si>
    <t>Type</t>
  </si>
  <si>
    <t>Score</t>
  </si>
  <si>
    <t>Reason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</si>
</sst>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$0"/>
  </numFmts>
  <fonts count="8">
    <font>
      <sz val="11.0"/>
      <color theme="1"/>
      <name val="Calibri"/>
      <scheme val="minor"/>
    </font>
    <font>
      <b/>
      <sz val="16.0"/>
      <color rgb="FFFFFFFF"/>
      <name val="Calibri"/>
    </font>
    <font/>
    <font>
      <sz val="11.0"/>
      <color rgb="FF0F172A"/>
      <name val="Calibri"/>
    </font>
    <font>
      <b/>
      <sz val="11.0"/>
      <color rgb="FFFFFFFF"/>
      <name val="Calibri"/>
    </font>
    <font>
      <sz val="11.0"/>
      <color rgb="FF111827"/>
      <name val="Calibri"/>
    </font>
    <font>
      <sz val="11.0"/>
      <color theme="1"/>
      <name val="Calibri"/>
    </font>
    <font>
      <b/>
      <sz val="18.0"/>
      <color rgb="FFFFFFFF"/>
      <name val="Calibri"/>
    </font>
  </fonts>
  <fills count="14">
    <fill>
      <patternFill patternType="none"/>
    </fill>
    <fill>
      <patternFill patternType="lightGray"/>
    </fill>
    <fill>
      <patternFill patternType="solid">
        <fgColor rgb="FF111827"/>
        <bgColor rgb="FF111827"/>
      </patternFill>
    </fill>
    <fill>
      <patternFill patternType="solid">
        <fgColor rgb="FFF8FAFC"/>
        <bgColor rgb="FFF8FAFC"/>
      </patternFill>
    </fill>
    <fill>
      <patternFill patternType="solid">
        <fgColor rgb="FF0F172A"/>
        <bgColor rgb="FF0F172A"/>
      </patternFill>
    </fill>
    <fill>
      <patternFill patternType="solid">
        <fgColor rgb="FF1F2937"/>
        <bgColor rgb="FF1F2937"/>
      </patternFill>
    </fill>
    <fill>
      <patternFill patternType="solid">
        <fgColor rgb="FFFEF3C7"/>
        <bgColor rgb="FFFEF3C7"/>
      </patternFill>
    </fill>
    <fill>
      <patternFill patternType="solid">
        <fgColor rgb="FFE0F2FE"/>
        <bgColor rgb="FFE0F2FE"/>
      </patternFill>
    </fill>
    <fill>
      <patternFill patternType="solid">
        <fgColor rgb="FF2563EB"/>
        <bgColor rgb="FF2563EB"/>
      </patternFill>
    </fill>
    <fill>
      <patternFill patternType="solid">
        <fgColor rgb="FF16A34A"/>
        <bgColor rgb="FF16A34A"/>
      </patternFill>
    </fill>
    <fill>
      <patternFill patternType="solid">
        <fgColor rgb="FFF59E0B"/>
        <bgColor rgb="FFF59E0B"/>
      </patternFill>
    </fill>
    <fill>
      <patternFill patternType="solid">
        <fgColor rgb="FFDC2626"/>
        <bgColor rgb="FFDC2626"/>
      </patternFill>
    </fill>
    <fill>
      <patternFill patternType="solid">
        <fgColor rgb="FF7C3AED"/>
        <bgColor rgb="FF7C3AED"/>
      </patternFill>
    </fill>
    <fill>
      <patternFill patternType="solid">
        <fgColor rgb="FF0B1220"/>
        <bgColor rgb="FF0B1220"/>
      </patternFill>
    </fill>
  </fills>
  <borders count="11">
    <border/>
    <border>
      <left/>
      <top/>
      <bottom/>
    </border>
    <border>
      <top/>
      <bottom/>
    </border>
    <border>
      <right/>
      <top/>
      <bottom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</border>
    <border>
      <left style="thin">
        <color rgb="FF334155"/>
      </left>
      <right style="thin">
        <color rgb="FF334155"/>
      </right>
      <top style="thin">
        <color rgb="FF334155"/>
      </top>
      <bottom style="thin">
        <color rgb="FF334155"/>
      </bottom>
    </border>
    <border>
      <left style="thin">
        <color rgb="FF334155"/>
      </left>
      <top style="thin">
        <color rgb="FF334155"/>
      </top>
      <bottom style="thin">
        <color rgb="FF334155"/>
      </bottom>
    </border>
    <border>
      <top style="thin">
        <color rgb="FF334155"/>
      </top>
      <bottom style="thin">
        <color rgb="FF334155"/>
      </bottom>
    </border>
    <border>
      <right style="thin">
        <color rgb="FF334155"/>
      </right>
      <top style="thin">
        <color rgb="FF334155"/>
      </top>
      <bottom style="thin">
        <color rgb="FF334155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334155"/>
      </left>
      <right style="medium">
        <color rgb="FF334155"/>
      </right>
      <top style="medium">
        <color rgb="FF334155"/>
      </top>
      <bottom style="medium">
        <color rgb="FF334155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shrinkToFit="0" vertical="top" wrapText="1"/>
    </xf>
    <xf borderId="5" fillId="4" fontId="4" numFmtId="0" xfId="0" applyAlignment="1" applyBorder="1" applyFill="1" applyFont="1">
      <alignment horizontal="center" vertical="center"/>
    </xf>
    <xf borderId="6" fillId="5" fontId="4" numFmtId="0" xfId="0" applyAlignment="1" applyBorder="1" applyFill="1" applyFont="1">
      <alignment horizontal="left" vertical="center"/>
    </xf>
    <xf borderId="7" fillId="0" fontId="2" numFmtId="0" xfId="0" applyBorder="1" applyFont="1"/>
    <xf borderId="8" fillId="0" fontId="2" numFmtId="0" xfId="0" applyBorder="1" applyFont="1"/>
    <xf borderId="5" fillId="5" fontId="4" numFmtId="0" xfId="0" applyAlignment="1" applyBorder="1" applyFont="1">
      <alignment horizontal="left" vertical="center"/>
    </xf>
    <xf borderId="4" fillId="6" fontId="5" numFmtId="0" xfId="0" applyAlignment="1" applyBorder="1" applyFill="1" applyFont="1">
      <alignment vertical="center"/>
    </xf>
    <xf borderId="4" fillId="6" fontId="5" numFmtId="0" xfId="0" applyAlignment="1" applyBorder="1" applyFont="1">
      <alignment readingOrder="0" vertical="center"/>
    </xf>
    <xf borderId="4" fillId="7" fontId="5" numFmtId="0" xfId="0" applyAlignment="1" applyBorder="1" applyFill="1" applyFont="1">
      <alignment vertical="center"/>
    </xf>
    <xf borderId="4" fillId="6" fontId="5" numFmtId="164" xfId="0" applyBorder="1" applyFont="1" applyNumberFormat="1"/>
    <xf borderId="4" fillId="0" fontId="6" numFmtId="0" xfId="0" applyBorder="1" applyFont="1"/>
    <xf borderId="9" fillId="8" fontId="4" numFmtId="0" xfId="0" applyAlignment="1" applyBorder="1" applyFill="1" applyFont="1">
      <alignment horizontal="center"/>
    </xf>
    <xf borderId="9" fillId="9" fontId="4" numFmtId="0" xfId="0" applyAlignment="1" applyBorder="1" applyFill="1" applyFont="1">
      <alignment horizontal="center"/>
    </xf>
    <xf borderId="9" fillId="10" fontId="4" numFmtId="0" xfId="0" applyAlignment="1" applyBorder="1" applyFill="1" applyFont="1">
      <alignment horizontal="center"/>
    </xf>
    <xf borderId="9" fillId="11" fontId="4" numFmtId="0" xfId="0" applyAlignment="1" applyBorder="1" applyFill="1" applyFont="1">
      <alignment horizontal="center"/>
    </xf>
    <xf borderId="9" fillId="12" fontId="4" numFmtId="0" xfId="0" applyAlignment="1" applyBorder="1" applyFill="1" applyFont="1">
      <alignment horizontal="center"/>
    </xf>
    <xf borderId="10" fillId="13" fontId="7" numFmtId="164" xfId="0" applyAlignment="1" applyBorder="1" applyFill="1" applyFont="1" applyNumberFormat="1">
      <alignment horizontal="center"/>
    </xf>
    <xf borderId="4" fillId="7" fontId="5" numFmtId="164" xfId="0" applyBorder="1" applyFont="1" applyNumberFormat="1"/>
  </cellXfs>
  <cellStyles count="1">
    <cellStyle xfId="0" name="Normal" builtinId="0"/>
  </cellStyles>
  <dxfs count="2">
    <dxf>
      <font>
        <color rgb="FFDC2626"/>
      </font>
      <fill>
        <patternFill patternType="none"/>
      </fill>
      <border/>
    </dxf>
    <dxf>
      <font>
        <color rgb="FF16A34A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71"/>
    <col customWidth="1" min="2" max="2" width="90.71"/>
    <col customWidth="1" min="3" max="10" width="18.71"/>
    <col customWidth="1" min="11" max="26" width="8.71"/>
  </cols>
  <sheetData>
    <row r="1" ht="27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</row>
    <row r="3">
      <c r="A3" s="4" t="s">
        <v>1</v>
      </c>
      <c r="B3" s="4" t="s">
        <v>2</v>
      </c>
    </row>
    <row r="4">
      <c r="A4" s="4" t="s">
        <v>3</v>
      </c>
      <c r="B4" s="4" t="s">
        <v>4</v>
      </c>
    </row>
    <row r="5">
      <c r="A5" s="4" t="s">
        <v>5</v>
      </c>
      <c r="B5" s="4" t="s">
        <v>6</v>
      </c>
    </row>
    <row r="6">
      <c r="A6" s="4" t="s">
        <v>7</v>
      </c>
      <c r="B6" s="4" t="s">
        <v>8</v>
      </c>
    </row>
    <row r="9">
      <c r="A9" s="5" t="s">
        <v>9</v>
      </c>
      <c r="B9" s="5" t="s">
        <v>10</v>
      </c>
    </row>
    <row r="10">
      <c r="A10" s="4" t="s">
        <v>11</v>
      </c>
      <c r="B10" s="4" t="s">
        <v>12</v>
      </c>
    </row>
    <row r="11">
      <c r="A11" s="4" t="s">
        <v>13</v>
      </c>
      <c r="B11" s="4" t="s">
        <v>14</v>
      </c>
    </row>
    <row r="12">
      <c r="A12" s="4" t="s">
        <v>15</v>
      </c>
      <c r="B12" s="4" t="s">
        <v>16</v>
      </c>
    </row>
    <row r="13">
      <c r="A13" s="4" t="s">
        <v>17</v>
      </c>
      <c r="B13" s="4" t="s">
        <v>18</v>
      </c>
    </row>
    <row r="14">
      <c r="A14" s="4" t="s">
        <v>19</v>
      </c>
      <c r="B14" s="4" t="s">
        <v>20</v>
      </c>
    </row>
    <row r="15">
      <c r="A15" s="4" t="s">
        <v>21</v>
      </c>
      <c r="B15" s="4" t="s">
        <v>22</v>
      </c>
    </row>
    <row r="16">
      <c r="A16" s="4" t="s">
        <v>23</v>
      </c>
      <c r="B16" s="4" t="s">
        <v>24</v>
      </c>
    </row>
    <row r="17">
      <c r="A17" s="4" t="s">
        <v>25</v>
      </c>
      <c r="B17" s="4" t="s">
        <v>26</v>
      </c>
    </row>
    <row r="18">
      <c r="A18" s="4" t="s">
        <v>27</v>
      </c>
      <c r="B18" s="4" t="s">
        <v>28</v>
      </c>
    </row>
    <row r="19">
      <c r="A19" s="4" t="s">
        <v>29</v>
      </c>
      <c r="B19" s="4" t="s">
        <v>30</v>
      </c>
    </row>
    <row r="21" ht="15.75" customHeight="1"/>
    <row r="22" ht="15.75" customHeight="1">
      <c r="A22" s="6" t="s">
        <v>31</v>
      </c>
      <c r="B22" s="7"/>
      <c r="C22" s="7"/>
      <c r="D22" s="7"/>
      <c r="E22" s="7"/>
      <c r="F22" s="7"/>
      <c r="G22" s="7"/>
      <c r="H22" s="7"/>
      <c r="I22" s="7"/>
      <c r="J22" s="8"/>
    </row>
    <row r="23" ht="15.75" customHeight="1"/>
    <row r="24" ht="15.75" customHeight="1">
      <c r="A24" s="4" t="s">
        <v>32</v>
      </c>
      <c r="B24" s="4" t="s">
        <v>33</v>
      </c>
    </row>
    <row r="25" ht="15.75" customHeight="1">
      <c r="A25" s="4" t="s">
        <v>34</v>
      </c>
      <c r="B25" s="4" t="s">
        <v>35</v>
      </c>
    </row>
    <row r="26" ht="15.75" customHeight="1">
      <c r="A26" s="4" t="s">
        <v>36</v>
      </c>
      <c r="B26" s="4" t="s">
        <v>37</v>
      </c>
    </row>
    <row r="27" ht="15.75" customHeight="1">
      <c r="A27" s="4" t="s">
        <v>38</v>
      </c>
      <c r="B27" s="4" t="s">
        <v>39</v>
      </c>
    </row>
    <row r="28" ht="15.75" customHeight="1">
      <c r="A28" s="4" t="s">
        <v>40</v>
      </c>
      <c r="B28" s="4" t="s">
        <v>41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J1"/>
    <mergeCell ref="A22:J22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4.71"/>
    <col customWidth="1" min="2" max="2" width="20.71"/>
    <col customWidth="1" min="3" max="3" width="54.71"/>
    <col customWidth="1" min="4" max="8" width="8.71"/>
    <col customWidth="1" min="9" max="9" width="25.71"/>
    <col customWidth="1" min="10" max="10" width="16.71"/>
    <col customWidth="1" min="11" max="11" width="54.71"/>
    <col customWidth="1" min="12" max="15" width="14.71"/>
    <col customWidth="1" min="16" max="16" width="8.71"/>
    <col customWidth="1" min="17" max="17" width="16.71"/>
    <col customWidth="1" min="18" max="18" width="48.71"/>
    <col customWidth="1" min="19" max="19" width="16.71"/>
    <col customWidth="1" min="20" max="26" width="8.71"/>
  </cols>
  <sheetData>
    <row r="1" ht="27.75" customHeight="1">
      <c r="A1" s="1" t="s">
        <v>42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</row>
    <row r="3" ht="21.75" customHeight="1">
      <c r="A3" s="5" t="s">
        <v>43</v>
      </c>
      <c r="B3" s="5" t="s">
        <v>44</v>
      </c>
      <c r="C3" s="5" t="s">
        <v>45</v>
      </c>
      <c r="I3" s="5" t="s">
        <v>46</v>
      </c>
      <c r="J3" s="5" t="s">
        <v>47</v>
      </c>
      <c r="K3" s="5" t="s">
        <v>45</v>
      </c>
    </row>
    <row r="4">
      <c r="A4" s="9" t="s">
        <v>48</v>
      </c>
      <c r="B4" s="10" t="s">
        <v>49</v>
      </c>
      <c r="C4" s="4" t="s">
        <v>50</v>
      </c>
      <c r="I4" s="9" t="s">
        <v>51</v>
      </c>
      <c r="J4" s="10">
        <v>0.55</v>
      </c>
      <c r="K4" s="4" t="s">
        <v>52</v>
      </c>
    </row>
    <row r="5">
      <c r="A5" s="9" t="s">
        <v>53</v>
      </c>
      <c r="B5" s="11">
        <v>9.0</v>
      </c>
      <c r="C5" s="4" t="s">
        <v>54</v>
      </c>
      <c r="I5" s="9" t="s">
        <v>55</v>
      </c>
      <c r="J5" s="10">
        <v>0.35</v>
      </c>
      <c r="K5" s="4" t="s">
        <v>56</v>
      </c>
    </row>
    <row r="6">
      <c r="A6" s="9" t="s">
        <v>57</v>
      </c>
      <c r="B6" s="10">
        <v>200.0</v>
      </c>
      <c r="C6" s="4" t="s">
        <v>58</v>
      </c>
      <c r="I6" s="9" t="s">
        <v>59</v>
      </c>
      <c r="J6" s="10">
        <v>0.1</v>
      </c>
      <c r="K6" s="4" t="s">
        <v>60</v>
      </c>
    </row>
    <row r="7">
      <c r="A7" s="9" t="s">
        <v>61</v>
      </c>
      <c r="B7" s="10">
        <v>15.0</v>
      </c>
      <c r="C7" s="4" t="s">
        <v>62</v>
      </c>
      <c r="I7" s="9" t="s">
        <v>63</v>
      </c>
      <c r="J7" s="12">
        <f t="array" ref="J7">XLOOKUP($B$10,$Q$15:$Q$17,$S$15:$S$17,1)</f>
        <v>1</v>
      </c>
      <c r="K7" s="4" t="s">
        <v>64</v>
      </c>
    </row>
    <row r="8">
      <c r="A8" s="9" t="s">
        <v>65</v>
      </c>
      <c r="B8" s="10">
        <v>11.0</v>
      </c>
      <c r="C8" s="4" t="s">
        <v>66</v>
      </c>
      <c r="I8" s="9" t="s">
        <v>67</v>
      </c>
      <c r="J8" s="10">
        <v>0.15</v>
      </c>
      <c r="K8" s="4" t="s">
        <v>68</v>
      </c>
    </row>
    <row r="9">
      <c r="A9" s="9" t="s">
        <v>69</v>
      </c>
      <c r="B9" s="10">
        <v>4.0</v>
      </c>
      <c r="C9" s="4" t="s">
        <v>70</v>
      </c>
      <c r="I9" s="9" t="s">
        <v>71</v>
      </c>
      <c r="J9" s="10">
        <v>0.15</v>
      </c>
      <c r="K9" s="4" t="s">
        <v>72</v>
      </c>
    </row>
    <row r="10">
      <c r="A10" s="9" t="s">
        <v>73</v>
      </c>
      <c r="B10" s="10" t="s">
        <v>74</v>
      </c>
      <c r="C10" s="4" t="s">
        <v>75</v>
      </c>
      <c r="I10" s="9" t="s">
        <v>76</v>
      </c>
      <c r="J10" s="10">
        <v>0.7</v>
      </c>
      <c r="K10" s="4" t="s">
        <v>77</v>
      </c>
    </row>
    <row r="11">
      <c r="A11" s="9" t="s">
        <v>78</v>
      </c>
      <c r="B11" s="10" t="s">
        <v>79</v>
      </c>
      <c r="C11" s="4" t="s">
        <v>80</v>
      </c>
    </row>
    <row r="12">
      <c r="A12" s="9" t="s">
        <v>81</v>
      </c>
      <c r="B12" s="10" t="s">
        <v>82</v>
      </c>
      <c r="C12" s="4" t="s">
        <v>83</v>
      </c>
    </row>
    <row r="13">
      <c r="A13" s="9" t="s">
        <v>84</v>
      </c>
      <c r="B13" s="10">
        <v>0.1</v>
      </c>
      <c r="C13" s="4" t="s">
        <v>85</v>
      </c>
    </row>
    <row r="14">
      <c r="A14" s="9" t="s">
        <v>86</v>
      </c>
      <c r="B14" s="12">
        <f>COUNTIF('Auction Log'!$B$3:$B$300,"&lt;&gt;")+1</f>
        <v>1</v>
      </c>
      <c r="C14" s="4" t="s">
        <v>87</v>
      </c>
      <c r="I14" s="5" t="s">
        <v>88</v>
      </c>
      <c r="J14" s="5" t="s">
        <v>89</v>
      </c>
      <c r="K14" s="5" t="s">
        <v>90</v>
      </c>
      <c r="L14" s="5" t="s">
        <v>91</v>
      </c>
      <c r="M14" s="5" t="s">
        <v>92</v>
      </c>
      <c r="N14" s="5" t="s">
        <v>93</v>
      </c>
      <c r="O14" s="5" t="s">
        <v>94</v>
      </c>
      <c r="Q14" s="5" t="s">
        <v>73</v>
      </c>
      <c r="R14" s="5" t="s">
        <v>95</v>
      </c>
      <c r="S14" s="5" t="s">
        <v>96</v>
      </c>
    </row>
    <row r="15">
      <c r="A15" s="9" t="s">
        <v>97</v>
      </c>
      <c r="B15" s="12">
        <f>B5*B7</f>
        <v>135</v>
      </c>
      <c r="C15" s="4" t="s">
        <v>98</v>
      </c>
      <c r="I15" s="10" t="s">
        <v>99</v>
      </c>
      <c r="J15" s="10">
        <v>1.15</v>
      </c>
      <c r="K15" s="10">
        <v>0.45</v>
      </c>
      <c r="L15" s="10">
        <v>0.8</v>
      </c>
      <c r="M15" s="10">
        <v>1.0</v>
      </c>
      <c r="N15" s="10">
        <v>1.1</v>
      </c>
      <c r="O15" s="10">
        <v>1.18</v>
      </c>
      <c r="Q15" s="10" t="s">
        <v>100</v>
      </c>
      <c r="R15" s="10" t="s">
        <v>101</v>
      </c>
      <c r="S15" s="10">
        <v>0.95</v>
      </c>
    </row>
    <row r="16">
      <c r="I16" s="10" t="s">
        <v>102</v>
      </c>
      <c r="J16" s="10">
        <v>1.05</v>
      </c>
      <c r="K16" s="10">
        <v>0.4</v>
      </c>
      <c r="L16" s="10">
        <v>0.78</v>
      </c>
      <c r="M16" s="10">
        <v>1.0</v>
      </c>
      <c r="N16" s="10">
        <v>1.06</v>
      </c>
      <c r="O16" s="10">
        <v>1.12</v>
      </c>
      <c r="Q16" s="10" t="s">
        <v>74</v>
      </c>
      <c r="R16" s="10" t="s">
        <v>103</v>
      </c>
      <c r="S16" s="10">
        <v>1.0</v>
      </c>
    </row>
    <row r="17">
      <c r="I17" s="10" t="s">
        <v>104</v>
      </c>
      <c r="J17" s="10">
        <v>1.0</v>
      </c>
      <c r="K17" s="10">
        <v>0.3</v>
      </c>
      <c r="L17" s="10">
        <v>0.7</v>
      </c>
      <c r="M17" s="10">
        <v>0.95</v>
      </c>
      <c r="N17" s="10">
        <v>1.0</v>
      </c>
      <c r="O17" s="10">
        <v>1.05</v>
      </c>
      <c r="Q17" s="10" t="s">
        <v>105</v>
      </c>
      <c r="R17" s="10" t="s">
        <v>106</v>
      </c>
      <c r="S17" s="10">
        <v>1.05</v>
      </c>
    </row>
    <row r="18">
      <c r="A18" s="5" t="s">
        <v>107</v>
      </c>
      <c r="B18" s="5" t="s">
        <v>108</v>
      </c>
      <c r="C18" s="5" t="s">
        <v>109</v>
      </c>
      <c r="D18" s="5" t="s">
        <v>110</v>
      </c>
      <c r="E18" s="5" t="s">
        <v>111</v>
      </c>
      <c r="F18" s="5" t="s">
        <v>112</v>
      </c>
      <c r="G18" s="5" t="s">
        <v>113</v>
      </c>
      <c r="I18" s="10" t="s">
        <v>114</v>
      </c>
      <c r="J18" s="10">
        <v>0.9</v>
      </c>
      <c r="K18" s="10">
        <v>0.25</v>
      </c>
      <c r="L18" s="10">
        <v>0.6</v>
      </c>
      <c r="M18" s="10">
        <v>0.85</v>
      </c>
      <c r="N18" s="10">
        <v>0.95</v>
      </c>
      <c r="O18" s="10">
        <v>1.0</v>
      </c>
    </row>
    <row r="19">
      <c r="A19" s="10" t="s">
        <v>115</v>
      </c>
      <c r="B19" s="10" t="s">
        <v>116</v>
      </c>
      <c r="C19" s="10">
        <v>1.0</v>
      </c>
      <c r="D19" s="10">
        <v>1.0</v>
      </c>
      <c r="E19" s="10">
        <v>1.0</v>
      </c>
      <c r="F19" s="10">
        <v>3.0</v>
      </c>
      <c r="G19" s="10">
        <v>249.25</v>
      </c>
      <c r="I19" s="10" t="s">
        <v>117</v>
      </c>
      <c r="J19" s="10">
        <v>0.75</v>
      </c>
      <c r="K19" s="10">
        <v>0.2</v>
      </c>
      <c r="L19" s="10">
        <v>0.5</v>
      </c>
      <c r="M19" s="10">
        <v>0.75</v>
      </c>
      <c r="N19" s="10">
        <v>0.85</v>
      </c>
      <c r="O19" s="10">
        <v>0.95</v>
      </c>
    </row>
    <row r="20">
      <c r="A20" s="10" t="s">
        <v>118</v>
      </c>
      <c r="B20" s="10" t="s">
        <v>119</v>
      </c>
      <c r="C20" s="10">
        <v>3.0</v>
      </c>
      <c r="D20" s="10">
        <v>5.0</v>
      </c>
      <c r="E20" s="10">
        <v>3.0</v>
      </c>
      <c r="F20" s="10">
        <v>7.0</v>
      </c>
      <c r="G20" s="10">
        <v>196.25</v>
      </c>
      <c r="I20" s="10" t="s">
        <v>120</v>
      </c>
      <c r="J20" s="10">
        <v>0.6</v>
      </c>
      <c r="K20" s="10">
        <v>0.1</v>
      </c>
      <c r="L20" s="10">
        <v>0.35</v>
      </c>
      <c r="M20" s="10">
        <v>0.6</v>
      </c>
      <c r="N20" s="10">
        <v>0.75</v>
      </c>
      <c r="O20" s="10">
        <v>0.85</v>
      </c>
    </row>
    <row r="21" ht="15.75" customHeight="1">
      <c r="A21" s="10" t="s">
        <v>121</v>
      </c>
      <c r="B21" s="10" t="s">
        <v>122</v>
      </c>
      <c r="C21" s="10">
        <v>3.0</v>
      </c>
      <c r="D21" s="10">
        <v>5.0</v>
      </c>
      <c r="E21" s="10">
        <v>3.0</v>
      </c>
      <c r="F21" s="10">
        <v>7.0</v>
      </c>
      <c r="G21" s="10">
        <v>206.0</v>
      </c>
    </row>
    <row r="22" ht="15.75" customHeight="1">
      <c r="A22" s="10" t="s">
        <v>123</v>
      </c>
      <c r="B22" s="10" t="s">
        <v>124</v>
      </c>
      <c r="C22" s="10">
        <v>1.0</v>
      </c>
      <c r="D22" s="10">
        <v>3.0</v>
      </c>
      <c r="E22" s="10">
        <v>1.0</v>
      </c>
      <c r="F22" s="10">
        <v>6.0</v>
      </c>
      <c r="G22" s="10">
        <v>203.0</v>
      </c>
    </row>
    <row r="23" ht="15.75" customHeight="1"/>
    <row r="24" ht="15.75" customHeight="1"/>
    <row r="25" ht="15.75" customHeight="1">
      <c r="A25" s="5" t="s">
        <v>125</v>
      </c>
      <c r="B25" s="5" t="s">
        <v>126</v>
      </c>
      <c r="C25" s="5" t="s">
        <v>127</v>
      </c>
    </row>
    <row r="26" ht="15.75" customHeight="1">
      <c r="A26" s="10" t="s">
        <v>128</v>
      </c>
      <c r="B26" s="10">
        <v>0.2</v>
      </c>
      <c r="C26" s="10" t="s">
        <v>129</v>
      </c>
    </row>
    <row r="27" ht="15.75" customHeight="1">
      <c r="A27" s="10" t="s">
        <v>130</v>
      </c>
      <c r="B27" s="10">
        <v>0.08</v>
      </c>
      <c r="C27" s="10" t="s">
        <v>131</v>
      </c>
    </row>
    <row r="28" ht="15.75" customHeight="1">
      <c r="A28" s="10" t="s">
        <v>132</v>
      </c>
      <c r="B28" s="10">
        <v>0.0</v>
      </c>
      <c r="C28" s="10" t="s">
        <v>133</v>
      </c>
    </row>
    <row r="29" ht="15.75" customHeight="1">
      <c r="A29" s="10" t="s">
        <v>134</v>
      </c>
      <c r="B29" s="10">
        <v>-0.08</v>
      </c>
      <c r="C29" s="10" t="s">
        <v>135</v>
      </c>
    </row>
    <row r="30" ht="15.75" customHeight="1">
      <c r="A30" s="10" t="s">
        <v>136</v>
      </c>
      <c r="B30" s="10">
        <v>-0.2</v>
      </c>
      <c r="C30" s="10" t="s">
        <v>137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S1"/>
  </mergeCells>
  <dataValidations>
    <dataValidation type="decimal" allowBlank="1" showErrorMessage="1" sqref="B5">
      <formula1>6.0</formula1>
      <formula2>12.0</formula2>
    </dataValidation>
    <dataValidation type="list" allowBlank="1" showErrorMessage="1" sqref="B11">
      <formula1>"Yes,No"</formula1>
    </dataValidation>
    <dataValidation type="list" allowBlank="1" showErrorMessage="1" sqref="B10">
      <formula1>"Safe,Balanced,Upside"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0.71"/>
    <col customWidth="1" min="2" max="2" width="28.71"/>
    <col customWidth="1" min="3" max="18" width="15.71"/>
    <col customWidth="1" min="19" max="26" width="8.71"/>
  </cols>
  <sheetData>
    <row r="1" ht="27.75" customHeight="1">
      <c r="A1" s="1" t="s">
        <v>138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</row>
    <row r="3">
      <c r="A3" s="5" t="s">
        <v>139</v>
      </c>
      <c r="B3" s="5" t="s">
        <v>140</v>
      </c>
      <c r="C3" s="5" t="s">
        <v>141</v>
      </c>
      <c r="D3" s="5" t="s">
        <v>57</v>
      </c>
      <c r="E3" s="5" t="s">
        <v>142</v>
      </c>
      <c r="F3" s="5" t="s">
        <v>143</v>
      </c>
      <c r="G3" s="5" t="s">
        <v>144</v>
      </c>
      <c r="H3" s="5" t="s">
        <v>145</v>
      </c>
      <c r="I3" s="5" t="s">
        <v>146</v>
      </c>
      <c r="J3" s="5" t="s">
        <v>147</v>
      </c>
      <c r="K3" s="5" t="s">
        <v>148</v>
      </c>
      <c r="L3" s="5" t="s">
        <v>149</v>
      </c>
      <c r="M3" s="5" t="s">
        <v>150</v>
      </c>
      <c r="N3" s="5" t="s">
        <v>151</v>
      </c>
      <c r="O3" s="5" t="s">
        <v>152</v>
      </c>
      <c r="P3" s="5" t="s">
        <v>153</v>
      </c>
      <c r="Q3" s="5" t="s">
        <v>154</v>
      </c>
      <c r="R3" s="5" t="s">
        <v>155</v>
      </c>
    </row>
    <row r="5">
      <c r="A5" s="10">
        <v>1.0</v>
      </c>
      <c r="B5" s="10" t="s">
        <v>156</v>
      </c>
      <c r="C5" s="12" t="str">
        <f>IF(A5&lt;=Settings!$B$5,"Yes","No")</f>
        <v>Yes</v>
      </c>
      <c r="D5" s="12">
        <f>IF(C5="Yes",Settings!$B$6,"")</f>
        <v>200</v>
      </c>
      <c r="E5" s="12">
        <f>IF(C5="Yes",D5-SUMIFS('Auction Log'!$F$3:$F$300,'Auction Log'!$G$3:$G$300,B5),"")</f>
        <v>200</v>
      </c>
      <c r="F5" s="12">
        <f>IF(C5="Yes",COUNTIFS('Auction Log'!$G$3:$G$300,B5),"")</f>
        <v>0</v>
      </c>
      <c r="G5" s="12">
        <f>IF(C5="Yes",Settings!$B$7-F5,"")</f>
        <v>15</v>
      </c>
      <c r="H5" s="12">
        <f t="shared" ref="H5:H16" si="1">IF(C5="Yes",MAX(0,E5-MAX(0,G5-1)),"")</f>
        <v>186</v>
      </c>
      <c r="I5" s="12">
        <f>IF(C5="Yes",COUNTIFS('Auction Log'!$G$3:$G$300,B5,'Auction Log'!$D$3:$D$300,"GK"),"")</f>
        <v>0</v>
      </c>
      <c r="J5" s="12">
        <f>IF(C5="Yes",COUNTIFS('Auction Log'!$G$3:$G$300,B5,'Auction Log'!$D$3:$D$300,"DEF"),"")</f>
        <v>0</v>
      </c>
      <c r="K5" s="12">
        <f>IF(C5="Yes",COUNTIFS('Auction Log'!$G$3:$G$300,B5,'Auction Log'!$D$3:$D$300,"MID"),"")</f>
        <v>0</v>
      </c>
      <c r="L5" s="12">
        <f>IF(C5="Yes",COUNTIFS('Auction Log'!$G$3:$G$300,B5,'Auction Log'!$D$3:$D$300,"FWD"),"")</f>
        <v>0</v>
      </c>
      <c r="M5" s="12">
        <f t="array" ref="M5">IF(C5="Yes",MAX(0,XLOOKUP("GK",Settings!$A$19:$A$22,Settings!$E$19:$E$22)-I5),"")</f>
        <v>1</v>
      </c>
      <c r="N5" s="12">
        <f t="array" ref="N5">IF(C5="Yes",MAX(0,XLOOKUP("DEF",Settings!$A$19:$A$22,Settings!$E$19:$E$22)-J5),"")</f>
        <v>3</v>
      </c>
      <c r="O5" s="12">
        <f t="array" ref="O5">IF(C5="Yes",MAX(0,XLOOKUP("MID",Settings!$A$19:$A$22,Settings!$E$19:$E$22)-K5),"")</f>
        <v>3</v>
      </c>
      <c r="P5" s="12">
        <f t="array" ref="P5">IF(C5="Yes",MAX(0,XLOOKUP("FWD",Settings!$A$19:$A$22,Settings!$E$19:$E$22)-L5),"")</f>
        <v>1</v>
      </c>
      <c r="Q5" s="12">
        <f t="shared" ref="Q5:Q16" si="2">IF(C5="Yes",SUM(M5:P5),"")</f>
        <v>8</v>
      </c>
      <c r="R5" s="12" t="str">
        <f>IF(C5&lt;&gt;"Yes","",IF(H5&gt;=LARGE($H$4:$H$15,MIN(3,Settings!$B$5)),"High",IF(H5&gt;=AVERAGEIF($C$4:$C$15,"Yes",$H$4:$H$15),"Medium","Low")))</f>
        <v>High</v>
      </c>
    </row>
    <row r="6">
      <c r="A6" s="10">
        <v>2.0</v>
      </c>
      <c r="B6" s="10" t="s">
        <v>157</v>
      </c>
      <c r="C6" s="12" t="str">
        <f>IF(A6&lt;=Settings!$B$5,"Yes","No")</f>
        <v>Yes</v>
      </c>
      <c r="D6" s="12">
        <f>IF(C6="Yes",Settings!$B$6,"")</f>
        <v>200</v>
      </c>
      <c r="E6" s="12">
        <f>IF(C6="Yes",D6-SUMIFS('Auction Log'!$F$3:$F$300,'Auction Log'!$G$3:$G$300,B6),"")</f>
        <v>200</v>
      </c>
      <c r="F6" s="12">
        <f>IF(C6="Yes",COUNTIFS('Auction Log'!$G$3:$G$300,B6),"")</f>
        <v>0</v>
      </c>
      <c r="G6" s="12">
        <f>IF(C6="Yes",Settings!$B$7-F6,"")</f>
        <v>15</v>
      </c>
      <c r="H6" s="12">
        <f t="shared" si="1"/>
        <v>186</v>
      </c>
      <c r="I6" s="12">
        <f>IF(C6="Yes",COUNTIFS('Auction Log'!$G$3:$G$300,B6,'Auction Log'!$D$3:$D$300,"GK"),"")</f>
        <v>0</v>
      </c>
      <c r="J6" s="12">
        <f>IF(C6="Yes",COUNTIFS('Auction Log'!$G$3:$G$300,B6,'Auction Log'!$D$3:$D$300,"DEF"),"")</f>
        <v>0</v>
      </c>
      <c r="K6" s="12">
        <f>IF(C6="Yes",COUNTIFS('Auction Log'!$G$3:$G$300,B6,'Auction Log'!$D$3:$D$300,"MID"),"")</f>
        <v>0</v>
      </c>
      <c r="L6" s="12">
        <f>IF(C6="Yes",COUNTIFS('Auction Log'!$G$3:$G$300,B6,'Auction Log'!$D$3:$D$300,"FWD"),"")</f>
        <v>0</v>
      </c>
      <c r="M6" s="12">
        <f t="array" ref="M6">IF(C6="Yes",MAX(0,XLOOKUP("GK",Settings!$A$19:$A$22,Settings!$E$19:$E$22)-I6),"")</f>
        <v>1</v>
      </c>
      <c r="N6" s="12">
        <f t="array" ref="N6">IF(C6="Yes",MAX(0,XLOOKUP("DEF",Settings!$A$19:$A$22,Settings!$E$19:$E$22)-J6),"")</f>
        <v>3</v>
      </c>
      <c r="O6" s="12">
        <f t="array" ref="O6">IF(C6="Yes",MAX(0,XLOOKUP("MID",Settings!$A$19:$A$22,Settings!$E$19:$E$22)-K6),"")</f>
        <v>3</v>
      </c>
      <c r="P6" s="12">
        <f t="array" ref="P6">IF(C6="Yes",MAX(0,XLOOKUP("FWD",Settings!$A$19:$A$22,Settings!$E$19:$E$22)-L6),"")</f>
        <v>1</v>
      </c>
      <c r="Q6" s="12">
        <f t="shared" si="2"/>
        <v>8</v>
      </c>
      <c r="R6" s="12" t="str">
        <f>IF(C6&lt;&gt;"Yes","",IF(H6&gt;=LARGE($H$4:$H$15,MIN(3,Settings!$B$5)),"High",IF(H6&gt;=AVERAGEIF($C$4:$C$15,"Yes",$H$4:$H$15),"Medium","Low")))</f>
        <v>High</v>
      </c>
    </row>
    <row r="7">
      <c r="A7" s="10">
        <v>3.0</v>
      </c>
      <c r="B7" s="10" t="s">
        <v>158</v>
      </c>
      <c r="C7" s="12" t="str">
        <f>IF(A7&lt;=Settings!$B$5,"Yes","No")</f>
        <v>Yes</v>
      </c>
      <c r="D7" s="12">
        <f>IF(C7="Yes",Settings!$B$6,"")</f>
        <v>200</v>
      </c>
      <c r="E7" s="12">
        <f>IF(C7="Yes",D7-SUMIFS('Auction Log'!$F$3:$F$300,'Auction Log'!$G$3:$G$300,B7),"")</f>
        <v>200</v>
      </c>
      <c r="F7" s="12">
        <f>IF(C7="Yes",COUNTIFS('Auction Log'!$G$3:$G$300,B7),"")</f>
        <v>0</v>
      </c>
      <c r="G7" s="12">
        <f>IF(C7="Yes",Settings!$B$7-F7,"")</f>
        <v>15</v>
      </c>
      <c r="H7" s="12">
        <f t="shared" si="1"/>
        <v>186</v>
      </c>
      <c r="I7" s="12">
        <f>IF(C7="Yes",COUNTIFS('Auction Log'!$G$3:$G$300,B7,'Auction Log'!$D$3:$D$300,"GK"),"")</f>
        <v>0</v>
      </c>
      <c r="J7" s="12">
        <f>IF(C7="Yes",COUNTIFS('Auction Log'!$G$3:$G$300,B7,'Auction Log'!$D$3:$D$300,"DEF"),"")</f>
        <v>0</v>
      </c>
      <c r="K7" s="12">
        <f>IF(C7="Yes",COUNTIFS('Auction Log'!$G$3:$G$300,B7,'Auction Log'!$D$3:$D$300,"MID"),"")</f>
        <v>0</v>
      </c>
      <c r="L7" s="12">
        <f>IF(C7="Yes",COUNTIFS('Auction Log'!$G$3:$G$300,B7,'Auction Log'!$D$3:$D$300,"FWD"),"")</f>
        <v>0</v>
      </c>
      <c r="M7" s="12">
        <f t="array" ref="M7">IF(C7="Yes",MAX(0,XLOOKUP("GK",Settings!$A$19:$A$22,Settings!$E$19:$E$22)-I7),"")</f>
        <v>1</v>
      </c>
      <c r="N7" s="12">
        <f t="array" ref="N7">IF(C7="Yes",MAX(0,XLOOKUP("DEF",Settings!$A$19:$A$22,Settings!$E$19:$E$22)-J7),"")</f>
        <v>3</v>
      </c>
      <c r="O7" s="12">
        <f t="array" ref="O7">IF(C7="Yes",MAX(0,XLOOKUP("MID",Settings!$A$19:$A$22,Settings!$E$19:$E$22)-K7),"")</f>
        <v>3</v>
      </c>
      <c r="P7" s="12">
        <f t="array" ref="P7">IF(C7="Yes",MAX(0,XLOOKUP("FWD",Settings!$A$19:$A$22,Settings!$E$19:$E$22)-L7),"")</f>
        <v>1</v>
      </c>
      <c r="Q7" s="12">
        <f t="shared" si="2"/>
        <v>8</v>
      </c>
      <c r="R7" s="12" t="str">
        <f>IF(C7&lt;&gt;"Yes","",IF(H7&gt;=LARGE($H$4:$H$15,MIN(3,Settings!$B$5)),"High",IF(H7&gt;=AVERAGEIF($C$4:$C$15,"Yes",$H$4:$H$15),"Medium","Low")))</f>
        <v>High</v>
      </c>
    </row>
    <row r="8">
      <c r="A8" s="10">
        <v>4.0</v>
      </c>
      <c r="B8" s="10" t="s">
        <v>159</v>
      </c>
      <c r="C8" s="12" t="str">
        <f>IF(A8&lt;=Settings!$B$5,"Yes","No")</f>
        <v>Yes</v>
      </c>
      <c r="D8" s="12">
        <f>IF(C8="Yes",Settings!$B$6,"")</f>
        <v>200</v>
      </c>
      <c r="E8" s="12">
        <f>IF(C8="Yes",D8-SUMIFS('Auction Log'!$F$3:$F$300,'Auction Log'!$G$3:$G$300,B8),"")</f>
        <v>200</v>
      </c>
      <c r="F8" s="12">
        <f>IF(C8="Yes",COUNTIFS('Auction Log'!$G$3:$G$300,B8),"")</f>
        <v>0</v>
      </c>
      <c r="G8" s="12">
        <f>IF(C8="Yes",Settings!$B$7-F8,"")</f>
        <v>15</v>
      </c>
      <c r="H8" s="12">
        <f t="shared" si="1"/>
        <v>186</v>
      </c>
      <c r="I8" s="12">
        <f>IF(C8="Yes",COUNTIFS('Auction Log'!$G$3:$G$300,B8,'Auction Log'!$D$3:$D$300,"GK"),"")</f>
        <v>0</v>
      </c>
      <c r="J8" s="12">
        <f>IF(C8="Yes",COUNTIFS('Auction Log'!$G$3:$G$300,B8,'Auction Log'!$D$3:$D$300,"DEF"),"")</f>
        <v>0</v>
      </c>
      <c r="K8" s="12">
        <f>IF(C8="Yes",COUNTIFS('Auction Log'!$G$3:$G$300,B8,'Auction Log'!$D$3:$D$300,"MID"),"")</f>
        <v>0</v>
      </c>
      <c r="L8" s="12">
        <f>IF(C8="Yes",COUNTIFS('Auction Log'!$G$3:$G$300,B8,'Auction Log'!$D$3:$D$300,"FWD"),"")</f>
        <v>0</v>
      </c>
      <c r="M8" s="12">
        <f t="array" ref="M8">IF(C8="Yes",MAX(0,XLOOKUP("GK",Settings!$A$19:$A$22,Settings!$E$19:$E$22)-I8),"")</f>
        <v>1</v>
      </c>
      <c r="N8" s="12">
        <f t="array" ref="N8">IF(C8="Yes",MAX(0,XLOOKUP("DEF",Settings!$A$19:$A$22,Settings!$E$19:$E$22)-J8),"")</f>
        <v>3</v>
      </c>
      <c r="O8" s="12">
        <f t="array" ref="O8">IF(C8="Yes",MAX(0,XLOOKUP("MID",Settings!$A$19:$A$22,Settings!$E$19:$E$22)-K8),"")</f>
        <v>3</v>
      </c>
      <c r="P8" s="12">
        <f t="array" ref="P8">IF(C8="Yes",MAX(0,XLOOKUP("FWD",Settings!$A$19:$A$22,Settings!$E$19:$E$22)-L8),"")</f>
        <v>1</v>
      </c>
      <c r="Q8" s="12">
        <f t="shared" si="2"/>
        <v>8</v>
      </c>
      <c r="R8" s="12" t="str">
        <f>IF(C8&lt;&gt;"Yes","",IF(H8&gt;=LARGE($H$4:$H$15,MIN(3,Settings!$B$5)),"High",IF(H8&gt;=AVERAGEIF($C$4:$C$15,"Yes",$H$4:$H$15),"Medium","Low")))</f>
        <v>High</v>
      </c>
    </row>
    <row r="9">
      <c r="A9" s="10">
        <v>5.0</v>
      </c>
      <c r="B9" s="10" t="s">
        <v>160</v>
      </c>
      <c r="C9" s="12" t="str">
        <f>IF(A9&lt;=Settings!$B$5,"Yes","No")</f>
        <v>Yes</v>
      </c>
      <c r="D9" s="12">
        <f>IF(C9="Yes",Settings!$B$6,"")</f>
        <v>200</v>
      </c>
      <c r="E9" s="12">
        <f>IF(C9="Yes",D9-SUMIFS('Auction Log'!$F$3:$F$300,'Auction Log'!$G$3:$G$300,B9),"")</f>
        <v>200</v>
      </c>
      <c r="F9" s="12">
        <f>IF(C9="Yes",COUNTIFS('Auction Log'!$G$3:$G$300,B9),"")</f>
        <v>0</v>
      </c>
      <c r="G9" s="12">
        <f>IF(C9="Yes",Settings!$B$7-F9,"")</f>
        <v>15</v>
      </c>
      <c r="H9" s="12">
        <f t="shared" si="1"/>
        <v>186</v>
      </c>
      <c r="I9" s="12">
        <f>IF(C9="Yes",COUNTIFS('Auction Log'!$G$3:$G$300,B9,'Auction Log'!$D$3:$D$300,"GK"),"")</f>
        <v>0</v>
      </c>
      <c r="J9" s="12">
        <f>IF(C9="Yes",COUNTIFS('Auction Log'!$G$3:$G$300,B9,'Auction Log'!$D$3:$D$300,"DEF"),"")</f>
        <v>0</v>
      </c>
      <c r="K9" s="12">
        <f>IF(C9="Yes",COUNTIFS('Auction Log'!$G$3:$G$300,B9,'Auction Log'!$D$3:$D$300,"MID"),"")</f>
        <v>0</v>
      </c>
      <c r="L9" s="12">
        <f>IF(C9="Yes",COUNTIFS('Auction Log'!$G$3:$G$300,B9,'Auction Log'!$D$3:$D$300,"FWD"),"")</f>
        <v>0</v>
      </c>
      <c r="M9" s="12">
        <f t="array" ref="M9">IF(C9="Yes",MAX(0,XLOOKUP("GK",Settings!$A$19:$A$22,Settings!$E$19:$E$22)-I9),"")</f>
        <v>1</v>
      </c>
      <c r="N9" s="12">
        <f t="array" ref="N9">IF(C9="Yes",MAX(0,XLOOKUP("DEF",Settings!$A$19:$A$22,Settings!$E$19:$E$22)-J9),"")</f>
        <v>3</v>
      </c>
      <c r="O9" s="12">
        <f t="array" ref="O9">IF(C9="Yes",MAX(0,XLOOKUP("MID",Settings!$A$19:$A$22,Settings!$E$19:$E$22)-K9),"")</f>
        <v>3</v>
      </c>
      <c r="P9" s="12">
        <f t="array" ref="P9">IF(C9="Yes",MAX(0,XLOOKUP("FWD",Settings!$A$19:$A$22,Settings!$E$19:$E$22)-L9),"")</f>
        <v>1</v>
      </c>
      <c r="Q9" s="12">
        <f t="shared" si="2"/>
        <v>8</v>
      </c>
      <c r="R9" s="12" t="str">
        <f>IF(C9&lt;&gt;"Yes","",IF(H9&gt;=LARGE($H$4:$H$15,MIN(3,Settings!$B$5)),"High",IF(H9&gt;=AVERAGEIF($C$4:$C$15,"Yes",$H$4:$H$15),"Medium","Low")))</f>
        <v>High</v>
      </c>
    </row>
    <row r="10">
      <c r="A10" s="10">
        <v>6.0</v>
      </c>
      <c r="B10" s="10" t="s">
        <v>161</v>
      </c>
      <c r="C10" s="12" t="str">
        <f>IF(A10&lt;=Settings!$B$5,"Yes","No")</f>
        <v>Yes</v>
      </c>
      <c r="D10" s="12">
        <f>IF(C10="Yes",Settings!$B$6,"")</f>
        <v>200</v>
      </c>
      <c r="E10" s="12">
        <f>IF(C10="Yes",D10-SUMIFS('Auction Log'!$F$3:$F$300,'Auction Log'!$G$3:$G$300,B10),"")</f>
        <v>200</v>
      </c>
      <c r="F10" s="12">
        <f>IF(C10="Yes",COUNTIFS('Auction Log'!$G$3:$G$300,B10),"")</f>
        <v>0</v>
      </c>
      <c r="G10" s="12">
        <f>IF(C10="Yes",Settings!$B$7-F10,"")</f>
        <v>15</v>
      </c>
      <c r="H10" s="12">
        <f t="shared" si="1"/>
        <v>186</v>
      </c>
      <c r="I10" s="12">
        <f>IF(C10="Yes",COUNTIFS('Auction Log'!$G$3:$G$300,B10,'Auction Log'!$D$3:$D$300,"GK"),"")</f>
        <v>0</v>
      </c>
      <c r="J10" s="12">
        <f>IF(C10="Yes",COUNTIFS('Auction Log'!$G$3:$G$300,B10,'Auction Log'!$D$3:$D$300,"DEF"),"")</f>
        <v>0</v>
      </c>
      <c r="K10" s="12">
        <f>IF(C10="Yes",COUNTIFS('Auction Log'!$G$3:$G$300,B10,'Auction Log'!$D$3:$D$300,"MID"),"")</f>
        <v>0</v>
      </c>
      <c r="L10" s="12">
        <f>IF(C10="Yes",COUNTIFS('Auction Log'!$G$3:$G$300,B10,'Auction Log'!$D$3:$D$300,"FWD"),"")</f>
        <v>0</v>
      </c>
      <c r="M10" s="12">
        <f t="array" ref="M10">IF(C10="Yes",MAX(0,XLOOKUP("GK",Settings!$A$19:$A$22,Settings!$E$19:$E$22)-I10),"")</f>
        <v>1</v>
      </c>
      <c r="N10" s="12">
        <f t="array" ref="N10">IF(C10="Yes",MAX(0,XLOOKUP("DEF",Settings!$A$19:$A$22,Settings!$E$19:$E$22)-J10),"")</f>
        <v>3</v>
      </c>
      <c r="O10" s="12">
        <f t="array" ref="O10">IF(C10="Yes",MAX(0,XLOOKUP("MID",Settings!$A$19:$A$22,Settings!$E$19:$E$22)-K10),"")</f>
        <v>3</v>
      </c>
      <c r="P10" s="12">
        <f t="array" ref="P10">IF(C10="Yes",MAX(0,XLOOKUP("FWD",Settings!$A$19:$A$22,Settings!$E$19:$E$22)-L10),"")</f>
        <v>1</v>
      </c>
      <c r="Q10" s="12">
        <f t="shared" si="2"/>
        <v>8</v>
      </c>
      <c r="R10" s="12" t="str">
        <f>IF(C10&lt;&gt;"Yes","",IF(H10&gt;=LARGE($H$4:$H$15,MIN(3,Settings!$B$5)),"High",IF(H10&gt;=AVERAGEIF($C$4:$C$15,"Yes",$H$4:$H$15),"Medium","Low")))</f>
        <v>High</v>
      </c>
    </row>
    <row r="11">
      <c r="A11" s="10">
        <v>7.0</v>
      </c>
      <c r="B11" s="10" t="s">
        <v>82</v>
      </c>
      <c r="C11" s="12" t="str">
        <f>IF(A11&lt;=Settings!$B$5,"Yes","No")</f>
        <v>Yes</v>
      </c>
      <c r="D11" s="12">
        <f>IF(C11="Yes",Settings!$B$6,"")</f>
        <v>200</v>
      </c>
      <c r="E11" s="12">
        <f>IF(C11="Yes",D11-SUMIFS('Auction Log'!$F$3:$F$300,'Auction Log'!$G$3:$G$300,B11),"")</f>
        <v>200</v>
      </c>
      <c r="F11" s="12">
        <f>IF(C11="Yes",COUNTIFS('Auction Log'!$G$3:$G$300,B11),"")</f>
        <v>0</v>
      </c>
      <c r="G11" s="12">
        <f>IF(C11="Yes",Settings!$B$7-F11,"")</f>
        <v>15</v>
      </c>
      <c r="H11" s="12">
        <f t="shared" si="1"/>
        <v>186</v>
      </c>
      <c r="I11" s="12">
        <f>IF(C11="Yes",COUNTIFS('Auction Log'!$G$3:$G$300,B11,'Auction Log'!$D$3:$D$300,"GK"),"")</f>
        <v>0</v>
      </c>
      <c r="J11" s="12">
        <f>IF(C11="Yes",COUNTIFS('Auction Log'!$G$3:$G$300,B11,'Auction Log'!$D$3:$D$300,"DEF"),"")</f>
        <v>0</v>
      </c>
      <c r="K11" s="12">
        <f>IF(C11="Yes",COUNTIFS('Auction Log'!$G$3:$G$300,B11,'Auction Log'!$D$3:$D$300,"MID"),"")</f>
        <v>0</v>
      </c>
      <c r="L11" s="12">
        <f>IF(C11="Yes",COUNTIFS('Auction Log'!$G$3:$G$300,B11,'Auction Log'!$D$3:$D$300,"FWD"),"")</f>
        <v>0</v>
      </c>
      <c r="M11" s="12">
        <f t="array" ref="M11">IF(C11="Yes",MAX(0,XLOOKUP("GK",Settings!$A$19:$A$22,Settings!$E$19:$E$22)-I11),"")</f>
        <v>1</v>
      </c>
      <c r="N11" s="12">
        <f t="array" ref="N11">IF(C11="Yes",MAX(0,XLOOKUP("DEF",Settings!$A$19:$A$22,Settings!$E$19:$E$22)-J11),"")</f>
        <v>3</v>
      </c>
      <c r="O11" s="12">
        <f t="array" ref="O11">IF(C11="Yes",MAX(0,XLOOKUP("MID",Settings!$A$19:$A$22,Settings!$E$19:$E$22)-K11),"")</f>
        <v>3</v>
      </c>
      <c r="P11" s="12">
        <f t="array" ref="P11">IF(C11="Yes",MAX(0,XLOOKUP("FWD",Settings!$A$19:$A$22,Settings!$E$19:$E$22)-L11),"")</f>
        <v>1</v>
      </c>
      <c r="Q11" s="12">
        <f t="shared" si="2"/>
        <v>8</v>
      </c>
      <c r="R11" s="12" t="str">
        <f>IF(C11&lt;&gt;"Yes","",IF(H11&gt;=LARGE($H$4:$H$15,MIN(3,Settings!$B$5)),"High",IF(H11&gt;=AVERAGEIF($C$4:$C$15,"Yes",$H$4:$H$15),"Medium","Low")))</f>
        <v>High</v>
      </c>
    </row>
    <row r="12">
      <c r="A12" s="10">
        <v>8.0</v>
      </c>
      <c r="B12" s="10" t="s">
        <v>162</v>
      </c>
      <c r="C12" s="12" t="str">
        <f>IF(A12&lt;=Settings!$B$5,"Yes","No")</f>
        <v>Yes</v>
      </c>
      <c r="D12" s="12">
        <f>IF(C12="Yes",Settings!$B$6,"")</f>
        <v>200</v>
      </c>
      <c r="E12" s="12">
        <f>IF(C12="Yes",D12-SUMIFS('Auction Log'!$F$3:$F$300,'Auction Log'!$G$3:$G$300,B12),"")</f>
        <v>200</v>
      </c>
      <c r="F12" s="12">
        <f>IF(C12="Yes",COUNTIFS('Auction Log'!$G$3:$G$300,B12),"")</f>
        <v>0</v>
      </c>
      <c r="G12" s="12">
        <f>IF(C12="Yes",Settings!$B$7-F12,"")</f>
        <v>15</v>
      </c>
      <c r="H12" s="12">
        <f t="shared" si="1"/>
        <v>186</v>
      </c>
      <c r="I12" s="12">
        <f>IF(C12="Yes",COUNTIFS('Auction Log'!$G$3:$G$300,B12,'Auction Log'!$D$3:$D$300,"GK"),"")</f>
        <v>0</v>
      </c>
      <c r="J12" s="12">
        <f>IF(C12="Yes",COUNTIFS('Auction Log'!$G$3:$G$300,B12,'Auction Log'!$D$3:$D$300,"DEF"),"")</f>
        <v>0</v>
      </c>
      <c r="K12" s="12">
        <f>IF(C12="Yes",COUNTIFS('Auction Log'!$G$3:$G$300,B12,'Auction Log'!$D$3:$D$300,"MID"),"")</f>
        <v>0</v>
      </c>
      <c r="L12" s="12">
        <f>IF(C12="Yes",COUNTIFS('Auction Log'!$G$3:$G$300,B12,'Auction Log'!$D$3:$D$300,"FWD"),"")</f>
        <v>0</v>
      </c>
      <c r="M12" s="12">
        <f t="array" ref="M12">IF(C12="Yes",MAX(0,XLOOKUP("GK",Settings!$A$19:$A$22,Settings!$E$19:$E$22)-I12),"")</f>
        <v>1</v>
      </c>
      <c r="N12" s="12">
        <f t="array" ref="N12">IF(C12="Yes",MAX(0,XLOOKUP("DEF",Settings!$A$19:$A$22,Settings!$E$19:$E$22)-J12),"")</f>
        <v>3</v>
      </c>
      <c r="O12" s="12">
        <f t="array" ref="O12">IF(C12="Yes",MAX(0,XLOOKUP("MID",Settings!$A$19:$A$22,Settings!$E$19:$E$22)-K12),"")</f>
        <v>3</v>
      </c>
      <c r="P12" s="12">
        <f t="array" ref="P12">IF(C12="Yes",MAX(0,XLOOKUP("FWD",Settings!$A$19:$A$22,Settings!$E$19:$E$22)-L12),"")</f>
        <v>1</v>
      </c>
      <c r="Q12" s="12">
        <f t="shared" si="2"/>
        <v>8</v>
      </c>
      <c r="R12" s="12" t="str">
        <f>IF(C12&lt;&gt;"Yes","",IF(H12&gt;=LARGE($H$4:$H$15,MIN(3,Settings!$B$5)),"High",IF(H12&gt;=AVERAGEIF($C$4:$C$15,"Yes",$H$4:$H$15),"Medium","Low")))</f>
        <v>High</v>
      </c>
    </row>
    <row r="13">
      <c r="A13" s="10">
        <v>9.0</v>
      </c>
      <c r="B13" s="10" t="s">
        <v>163</v>
      </c>
      <c r="C13" s="12" t="str">
        <f>IF(A13&lt;=Settings!$B$5,"Yes","No")</f>
        <v>Yes</v>
      </c>
      <c r="D13" s="12">
        <f>IF(C13="Yes",Settings!$B$6,"")</f>
        <v>200</v>
      </c>
      <c r="E13" s="12">
        <f>IF(C13="Yes",D13-SUMIFS('Auction Log'!$F$3:$F$300,'Auction Log'!$G$3:$G$300,B13),"")</f>
        <v>200</v>
      </c>
      <c r="F13" s="12">
        <f>IF(C13="Yes",COUNTIFS('Auction Log'!$G$3:$G$300,B13),"")</f>
        <v>0</v>
      </c>
      <c r="G13" s="12">
        <f>IF(C13="Yes",Settings!$B$7-F13,"")</f>
        <v>15</v>
      </c>
      <c r="H13" s="12">
        <f t="shared" si="1"/>
        <v>186</v>
      </c>
      <c r="I13" s="12">
        <f>IF(C13="Yes",COUNTIFS('Auction Log'!$G$3:$G$300,B13,'Auction Log'!$D$3:$D$300,"GK"),"")</f>
        <v>0</v>
      </c>
      <c r="J13" s="12">
        <f>IF(C13="Yes",COUNTIFS('Auction Log'!$G$3:$G$300,B13,'Auction Log'!$D$3:$D$300,"DEF"),"")</f>
        <v>0</v>
      </c>
      <c r="K13" s="12">
        <f>IF(C13="Yes",COUNTIFS('Auction Log'!$G$3:$G$300,B13,'Auction Log'!$D$3:$D$300,"MID"),"")</f>
        <v>0</v>
      </c>
      <c r="L13" s="12">
        <f>IF(C13="Yes",COUNTIFS('Auction Log'!$G$3:$G$300,B13,'Auction Log'!$D$3:$D$300,"FWD"),"")</f>
        <v>0</v>
      </c>
      <c r="M13" s="12">
        <f t="array" ref="M13">IF(C13="Yes",MAX(0,XLOOKUP("GK",Settings!$A$19:$A$22,Settings!$E$19:$E$22)-I13),"")</f>
        <v>1</v>
      </c>
      <c r="N13" s="12">
        <f t="array" ref="N13">IF(C13="Yes",MAX(0,XLOOKUP("DEF",Settings!$A$19:$A$22,Settings!$E$19:$E$22)-J13),"")</f>
        <v>3</v>
      </c>
      <c r="O13" s="12">
        <f t="array" ref="O13">IF(C13="Yes",MAX(0,XLOOKUP("MID",Settings!$A$19:$A$22,Settings!$E$19:$E$22)-K13),"")</f>
        <v>3</v>
      </c>
      <c r="P13" s="12">
        <f t="array" ref="P13">IF(C13="Yes",MAX(0,XLOOKUP("FWD",Settings!$A$19:$A$22,Settings!$E$19:$E$22)-L13),"")</f>
        <v>1</v>
      </c>
      <c r="Q13" s="12">
        <f t="shared" si="2"/>
        <v>8</v>
      </c>
      <c r="R13" s="12" t="str">
        <f>IF(C13&lt;&gt;"Yes","",IF(H13&gt;=LARGE($H$4:$H$15,MIN(3,Settings!$B$5)),"High",IF(H13&gt;=AVERAGEIF($C$4:$C$15,"Yes",$H$4:$H$15),"Medium","Low")))</f>
        <v>High</v>
      </c>
    </row>
    <row r="14">
      <c r="A14" s="10">
        <v>10.0</v>
      </c>
      <c r="B14" s="11"/>
      <c r="C14" s="12" t="str">
        <f>IF(A14&lt;=Settings!$B$5,"Yes","No")</f>
        <v>No</v>
      </c>
      <c r="D14" s="12" t="str">
        <f>IF(C14="Yes",Settings!$B$6,"")</f>
        <v/>
      </c>
      <c r="E14" s="12" t="str">
        <f>IF(C14="Yes",D14-SUMIFS('Auction Log'!$F$3:$F$300,'Auction Log'!$G$3:$G$300,B14),"")</f>
        <v/>
      </c>
      <c r="F14" s="12" t="str">
        <f>IF(C14="Yes",COUNTIFS('Auction Log'!$G$3:$G$300,B14),"")</f>
        <v/>
      </c>
      <c r="G14" s="12" t="str">
        <f>IF(C14="Yes",Settings!$B$7-F14,"")</f>
        <v/>
      </c>
      <c r="H14" s="12" t="str">
        <f t="shared" si="1"/>
        <v/>
      </c>
      <c r="I14" s="12" t="str">
        <f>IF(C14="Yes",COUNTIFS('Auction Log'!$G$3:$G$300,B14,'Auction Log'!$D$3:$D$300,"GK"),"")</f>
        <v/>
      </c>
      <c r="J14" s="12" t="str">
        <f>IF(C14="Yes",COUNTIFS('Auction Log'!$G$3:$G$300,B14,'Auction Log'!$D$3:$D$300,"DEF"),"")</f>
        <v/>
      </c>
      <c r="K14" s="12" t="str">
        <f>IF(C14="Yes",COUNTIFS('Auction Log'!$G$3:$G$300,B14,'Auction Log'!$D$3:$D$300,"MID"),"")</f>
        <v/>
      </c>
      <c r="L14" s="12" t="str">
        <f>IF(C14="Yes",COUNTIFS('Auction Log'!$G$3:$G$300,B14,'Auction Log'!$D$3:$D$300,"FWD"),"")</f>
        <v/>
      </c>
      <c r="M14" s="12" t="str">
        <f t="array" ref="M14">IF(C14="Yes",MAX(0,XLOOKUP("GK",Settings!$A$19:$A$22,Settings!$E$19:$E$22)-I14),"")</f>
        <v/>
      </c>
      <c r="N14" s="12" t="str">
        <f t="array" ref="N14">IF(C14="Yes",MAX(0,XLOOKUP("DEF",Settings!$A$19:$A$22,Settings!$E$19:$E$22)-J14),"")</f>
        <v/>
      </c>
      <c r="O14" s="12" t="str">
        <f t="array" ref="O14">IF(C14="Yes",MAX(0,XLOOKUP("MID",Settings!$A$19:$A$22,Settings!$E$19:$E$22)-K14),"")</f>
        <v/>
      </c>
      <c r="P14" s="12" t="str">
        <f t="array" ref="P14">IF(C14="Yes",MAX(0,XLOOKUP("FWD",Settings!$A$19:$A$22,Settings!$E$19:$E$22)-L14),"")</f>
        <v/>
      </c>
      <c r="Q14" s="12" t="str">
        <f t="shared" si="2"/>
        <v/>
      </c>
      <c r="R14" s="12" t="str">
        <f>IF(C14&lt;&gt;"Yes","",IF(H14&gt;=LARGE($H$4:$H$15,MIN(3,Settings!$B$5)),"High",IF(H14&gt;=AVERAGEIF($C$4:$C$15,"Yes",$H$4:$H$15),"Medium","Low")))</f>
        <v/>
      </c>
    </row>
    <row r="15">
      <c r="A15" s="10">
        <v>11.0</v>
      </c>
      <c r="B15" s="10"/>
      <c r="C15" s="12" t="str">
        <f>IF(A15&lt;=Settings!$B$5,"Yes","No")</f>
        <v>No</v>
      </c>
      <c r="D15" s="12" t="str">
        <f>IF(C15="Yes",Settings!$B$6,"")</f>
        <v/>
      </c>
      <c r="E15" s="12" t="str">
        <f>IF(C15="Yes",D15-SUMIFS('Auction Log'!$F$3:$F$300,'Auction Log'!$G$3:$G$300,B15),"")</f>
        <v/>
      </c>
      <c r="F15" s="12" t="str">
        <f>IF(C15="Yes",COUNTIFS('Auction Log'!$G$3:$G$300,B15),"")</f>
        <v/>
      </c>
      <c r="G15" s="12" t="str">
        <f>IF(C15="Yes",Settings!$B$7-F15,"")</f>
        <v/>
      </c>
      <c r="H15" s="12" t="str">
        <f t="shared" si="1"/>
        <v/>
      </c>
      <c r="I15" s="12" t="str">
        <f>IF(C15="Yes",COUNTIFS('Auction Log'!$G$3:$G$300,B15,'Auction Log'!$D$3:$D$300,"GK"),"")</f>
        <v/>
      </c>
      <c r="J15" s="12" t="str">
        <f>IF(C15="Yes",COUNTIFS('Auction Log'!$G$3:$G$300,B15,'Auction Log'!$D$3:$D$300,"DEF"),"")</f>
        <v/>
      </c>
      <c r="K15" s="12" t="str">
        <f>IF(C15="Yes",COUNTIFS('Auction Log'!$G$3:$G$300,B15,'Auction Log'!$D$3:$D$300,"MID"),"")</f>
        <v/>
      </c>
      <c r="L15" s="12" t="str">
        <f>IF(C15="Yes",COUNTIFS('Auction Log'!$G$3:$G$300,B15,'Auction Log'!$D$3:$D$300,"FWD"),"")</f>
        <v/>
      </c>
      <c r="M15" s="12" t="str">
        <f t="array" ref="M15">IF(C15="Yes",MAX(0,XLOOKUP("GK",Settings!$A$19:$A$22,Settings!$E$19:$E$22)-I15),"")</f>
        <v/>
      </c>
      <c r="N15" s="12" t="str">
        <f t="array" ref="N15">IF(C15="Yes",MAX(0,XLOOKUP("DEF",Settings!$A$19:$A$22,Settings!$E$19:$E$22)-J15),"")</f>
        <v/>
      </c>
      <c r="O15" s="12" t="str">
        <f t="array" ref="O15">IF(C15="Yes",MAX(0,XLOOKUP("MID",Settings!$A$19:$A$22,Settings!$E$19:$E$22)-K15),"")</f>
        <v/>
      </c>
      <c r="P15" s="12" t="str">
        <f t="array" ref="P15">IF(C15="Yes",MAX(0,XLOOKUP("FWD",Settings!$A$19:$A$22,Settings!$E$19:$E$22)-L15),"")</f>
        <v/>
      </c>
      <c r="Q15" s="12" t="str">
        <f t="shared" si="2"/>
        <v/>
      </c>
      <c r="R15" s="12" t="str">
        <f>IF(C15&lt;&gt;"Yes","",IF(H15&gt;=LARGE($H$4:$H$15,MIN(3,Settings!$B$5)),"High",IF(H15&gt;=AVERAGEIF($C$4:$C$15,"Yes",$H$4:$H$15),"Medium","Low")))</f>
        <v/>
      </c>
    </row>
    <row r="16">
      <c r="A16" s="10">
        <v>12.0</v>
      </c>
      <c r="B16" s="10"/>
      <c r="C16" s="12" t="str">
        <f>IF(A16&lt;=Settings!$B$5,"Yes","No")</f>
        <v>No</v>
      </c>
      <c r="D16" s="12" t="str">
        <f>IF(C16="Yes",Settings!$B$6,"")</f>
        <v/>
      </c>
      <c r="E16" s="12" t="str">
        <f>IF(C16="Yes",D16-SUMIFS('Auction Log'!$F$3:$F$300,'Auction Log'!$G$3:$G$300,B16),"")</f>
        <v/>
      </c>
      <c r="F16" s="12" t="str">
        <f>IF(C16="Yes",COUNTIFS('Auction Log'!$G$3:$G$300,B16),"")</f>
        <v/>
      </c>
      <c r="G16" s="12" t="str">
        <f>IF(C16="Yes",Settings!$B$7-F16,"")</f>
        <v/>
      </c>
      <c r="H16" s="12" t="str">
        <f t="shared" si="1"/>
        <v/>
      </c>
      <c r="I16" s="12" t="str">
        <f>IF(C16="Yes",COUNTIFS('Auction Log'!$G$3:$G$300,B16,'Auction Log'!$D$3:$D$300,"GK"),"")</f>
        <v/>
      </c>
      <c r="J16" s="12" t="str">
        <f>IF(C16="Yes",COUNTIFS('Auction Log'!$G$3:$G$300,B16,'Auction Log'!$D$3:$D$300,"DEF"),"")</f>
        <v/>
      </c>
      <c r="K16" s="12" t="str">
        <f>IF(C16="Yes",COUNTIFS('Auction Log'!$G$3:$G$300,B16,'Auction Log'!$D$3:$D$300,"MID"),"")</f>
        <v/>
      </c>
      <c r="L16" s="12" t="str">
        <f>IF(C16="Yes",COUNTIFS('Auction Log'!$G$3:$G$300,B16,'Auction Log'!$D$3:$D$300,"FWD"),"")</f>
        <v/>
      </c>
      <c r="M16" s="12" t="str">
        <f t="array" ref="M16">IF(C16="Yes",MAX(0,XLOOKUP("GK",Settings!$A$19:$A$22,Settings!$E$19:$E$22)-I16),"")</f>
        <v/>
      </c>
      <c r="N16" s="12" t="str">
        <f t="array" ref="N16">IF(C16="Yes",MAX(0,XLOOKUP("DEF",Settings!$A$19:$A$22,Settings!$E$19:$E$22)-J16),"")</f>
        <v/>
      </c>
      <c r="O16" s="12" t="str">
        <f t="array" ref="O16">IF(C16="Yes",MAX(0,XLOOKUP("MID",Settings!$A$19:$A$22,Settings!$E$19:$E$22)-K16),"")</f>
        <v/>
      </c>
      <c r="P16" s="12" t="str">
        <f t="array" ref="P16">IF(C16="Yes",MAX(0,XLOOKUP("FWD",Settings!$A$19:$A$22,Settings!$E$19:$E$22)-L16),"")</f>
        <v/>
      </c>
      <c r="Q16" s="12" t="str">
        <f t="shared" si="2"/>
        <v/>
      </c>
      <c r="R16" s="12" t="str">
        <f>IF(C16&lt;&gt;"Yes","",IF(H16&gt;=LARGE($H$4:$H$15,MIN(3,Settings!$B$5)),"High",IF(H16&gt;=AVERAGEIF($C$4:$C$15,"Yes",$H$4:$H$15),"Medium","Low")))</f>
        <v/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R1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4" width="14.71"/>
    <col customWidth="1" min="5" max="5" width="34.71"/>
    <col customWidth="1" min="6" max="6" width="8.71"/>
    <col customWidth="1" min="7" max="7" width="12.71"/>
    <col customWidth="1" min="8" max="8" width="28.71"/>
    <col customWidth="1" min="9" max="9" width="8.71"/>
    <col customWidth="1" min="10" max="11" width="12.71"/>
    <col customWidth="1" min="12" max="26" width="8.71"/>
  </cols>
  <sheetData>
    <row r="1" ht="27.75" customHeight="1">
      <c r="A1" s="1" t="s">
        <v>164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>
      <c r="G2" s="13"/>
    </row>
    <row r="3">
      <c r="A3" s="5" t="s">
        <v>48</v>
      </c>
      <c r="B3" s="5" t="s">
        <v>165</v>
      </c>
      <c r="C3" s="5" t="s">
        <v>166</v>
      </c>
      <c r="D3" s="5" t="s">
        <v>107</v>
      </c>
      <c r="E3" s="5" t="s">
        <v>167</v>
      </c>
      <c r="F3" s="5" t="s">
        <v>168</v>
      </c>
      <c r="G3" s="5" t="s">
        <v>169</v>
      </c>
      <c r="H3" s="5" t="s">
        <v>170</v>
      </c>
      <c r="I3" s="5" t="s">
        <v>171</v>
      </c>
      <c r="J3" s="5" t="s">
        <v>172</v>
      </c>
      <c r="K3" s="5" t="s">
        <v>173</v>
      </c>
      <c r="L3" s="5" t="s">
        <v>45</v>
      </c>
    </row>
    <row r="4">
      <c r="A4" s="14" t="s">
        <v>174</v>
      </c>
      <c r="B4" s="14" t="s">
        <v>175</v>
      </c>
      <c r="C4" s="14">
        <v>1.0</v>
      </c>
      <c r="D4" s="14" t="s">
        <v>123</v>
      </c>
      <c r="E4" s="14" t="s">
        <v>176</v>
      </c>
      <c r="F4" s="14" t="s">
        <v>177</v>
      </c>
      <c r="G4" s="14">
        <v>69.0</v>
      </c>
      <c r="H4" s="14" t="s">
        <v>156</v>
      </c>
      <c r="I4" s="14">
        <v>45879.2612962963</v>
      </c>
      <c r="J4" s="14">
        <v>285.0</v>
      </c>
      <c r="K4" s="14">
        <v>10.56</v>
      </c>
      <c r="L4" s="14"/>
    </row>
    <row r="5">
      <c r="A5" s="14" t="s">
        <v>174</v>
      </c>
      <c r="B5" s="14" t="s">
        <v>178</v>
      </c>
      <c r="C5" s="14">
        <v>2.0</v>
      </c>
      <c r="D5" s="14" t="s">
        <v>123</v>
      </c>
      <c r="E5" s="14" t="s">
        <v>179</v>
      </c>
      <c r="F5" s="14" t="s">
        <v>180</v>
      </c>
      <c r="G5" s="14">
        <v>67.0</v>
      </c>
      <c r="H5" s="14" t="s">
        <v>157</v>
      </c>
      <c r="I5" s="14">
        <v>45879.26241898148</v>
      </c>
      <c r="J5" s="14">
        <v>539.0</v>
      </c>
      <c r="K5" s="14">
        <v>15.4</v>
      </c>
      <c r="L5" s="14"/>
    </row>
    <row r="6">
      <c r="A6" s="14" t="s">
        <v>174</v>
      </c>
      <c r="B6" s="14" t="s">
        <v>181</v>
      </c>
      <c r="C6" s="14">
        <v>3.0</v>
      </c>
      <c r="D6" s="14" t="s">
        <v>121</v>
      </c>
      <c r="E6" s="14" t="s">
        <v>182</v>
      </c>
      <c r="F6" s="14" t="s">
        <v>177</v>
      </c>
      <c r="G6" s="14">
        <v>61.0</v>
      </c>
      <c r="H6" s="14" t="s">
        <v>156</v>
      </c>
      <c r="I6" s="14">
        <v>45879.26418981481</v>
      </c>
      <c r="J6" s="14">
        <v>325.5</v>
      </c>
      <c r="K6" s="14">
        <v>9.86</v>
      </c>
      <c r="L6" s="14"/>
    </row>
    <row r="7">
      <c r="A7" s="14" t="s">
        <v>174</v>
      </c>
      <c r="B7" s="14" t="s">
        <v>183</v>
      </c>
      <c r="C7" s="14">
        <v>4.0</v>
      </c>
      <c r="D7" s="14" t="s">
        <v>121</v>
      </c>
      <c r="E7" s="14" t="s">
        <v>184</v>
      </c>
      <c r="F7" s="14" t="s">
        <v>185</v>
      </c>
      <c r="G7" s="14">
        <v>62.0</v>
      </c>
      <c r="H7" s="14" t="s">
        <v>158</v>
      </c>
      <c r="I7" s="14">
        <v>45879.26546296296</v>
      </c>
      <c r="J7" s="14">
        <v>663.0</v>
      </c>
      <c r="K7" s="14">
        <v>18.94</v>
      </c>
      <c r="L7" s="14"/>
    </row>
    <row r="8">
      <c r="A8" s="14" t="s">
        <v>174</v>
      </c>
      <c r="B8" s="14" t="s">
        <v>186</v>
      </c>
      <c r="C8" s="14">
        <v>5.0</v>
      </c>
      <c r="D8" s="14" t="s">
        <v>121</v>
      </c>
      <c r="E8" s="14" t="s">
        <v>187</v>
      </c>
      <c r="F8" s="14" t="s">
        <v>188</v>
      </c>
      <c r="G8" s="14">
        <v>70.0</v>
      </c>
      <c r="H8" s="14" t="s">
        <v>159</v>
      </c>
      <c r="I8" s="14">
        <v>45879.26652777778</v>
      </c>
      <c r="J8" s="14">
        <v>246.0</v>
      </c>
      <c r="K8" s="14">
        <v>9.46</v>
      </c>
      <c r="L8" s="14"/>
    </row>
    <row r="9">
      <c r="A9" s="14" t="s">
        <v>174</v>
      </c>
      <c r="B9" s="14" t="s">
        <v>189</v>
      </c>
      <c r="C9" s="14">
        <v>6.0</v>
      </c>
      <c r="D9" s="14" t="s">
        <v>121</v>
      </c>
      <c r="E9" s="14" t="s">
        <v>190</v>
      </c>
      <c r="F9" s="14" t="s">
        <v>191</v>
      </c>
      <c r="G9" s="14">
        <v>75.0</v>
      </c>
      <c r="H9" s="14" t="s">
        <v>158</v>
      </c>
      <c r="I9" s="14">
        <v>45879.26753472222</v>
      </c>
      <c r="J9" s="14">
        <v>437.5</v>
      </c>
      <c r="K9" s="14">
        <v>14.11</v>
      </c>
      <c r="L9" s="14"/>
    </row>
    <row r="10">
      <c r="A10" s="14" t="s">
        <v>174</v>
      </c>
      <c r="B10" s="14" t="s">
        <v>192</v>
      </c>
      <c r="C10" s="14">
        <v>7.0</v>
      </c>
      <c r="D10" s="14" t="s">
        <v>123</v>
      </c>
      <c r="E10" s="14" t="s">
        <v>193</v>
      </c>
      <c r="F10" s="14" t="s">
        <v>185</v>
      </c>
      <c r="G10" s="14">
        <v>55.0</v>
      </c>
      <c r="H10" s="14" t="s">
        <v>160</v>
      </c>
      <c r="I10" s="14">
        <v>45879.26871527778</v>
      </c>
      <c r="J10" s="14">
        <v>352.0</v>
      </c>
      <c r="K10" s="14">
        <v>10.67</v>
      </c>
      <c r="L10" s="14"/>
    </row>
    <row r="11">
      <c r="A11" s="14" t="s">
        <v>174</v>
      </c>
      <c r="B11" s="14" t="s">
        <v>194</v>
      </c>
      <c r="C11" s="14">
        <v>8.0</v>
      </c>
      <c r="D11" s="14" t="s">
        <v>123</v>
      </c>
      <c r="E11" s="14" t="s">
        <v>195</v>
      </c>
      <c r="F11" s="14" t="s">
        <v>196</v>
      </c>
      <c r="G11" s="14">
        <v>66.0</v>
      </c>
      <c r="H11" s="14" t="s">
        <v>161</v>
      </c>
      <c r="I11" s="14">
        <v>45879.2694212963</v>
      </c>
      <c r="J11" s="14">
        <v>64.5</v>
      </c>
      <c r="K11" s="14">
        <v>4.61</v>
      </c>
      <c r="L11" s="14"/>
    </row>
    <row r="12">
      <c r="A12" s="14" t="s">
        <v>174</v>
      </c>
      <c r="B12" s="14" t="s">
        <v>197</v>
      </c>
      <c r="C12" s="14">
        <v>9.0</v>
      </c>
      <c r="D12" s="14" t="s">
        <v>123</v>
      </c>
      <c r="E12" s="14" t="s">
        <v>198</v>
      </c>
      <c r="F12" s="14" t="s">
        <v>199</v>
      </c>
      <c r="G12" s="14">
        <v>41.0</v>
      </c>
      <c r="H12" s="14" t="s">
        <v>82</v>
      </c>
      <c r="I12" s="14">
        <v>45879.27159722222</v>
      </c>
      <c r="J12" s="14">
        <v>353.5</v>
      </c>
      <c r="K12" s="14">
        <v>9.55</v>
      </c>
      <c r="L12" s="14"/>
    </row>
    <row r="13">
      <c r="A13" s="14" t="s">
        <v>174</v>
      </c>
      <c r="B13" s="14" t="s">
        <v>200</v>
      </c>
      <c r="C13" s="14">
        <v>10.0</v>
      </c>
      <c r="D13" s="14" t="s">
        <v>123</v>
      </c>
      <c r="E13" s="14" t="s">
        <v>201</v>
      </c>
      <c r="F13" s="14" t="s">
        <v>185</v>
      </c>
      <c r="G13" s="14">
        <v>42.0</v>
      </c>
      <c r="H13" s="14" t="s">
        <v>161</v>
      </c>
      <c r="I13" s="14">
        <v>45879.27283564815</v>
      </c>
      <c r="J13" s="14">
        <v>336.0</v>
      </c>
      <c r="K13" s="14">
        <v>10.18</v>
      </c>
      <c r="L13" s="14"/>
    </row>
    <row r="14">
      <c r="A14" s="14" t="s">
        <v>174</v>
      </c>
      <c r="B14" s="14" t="s">
        <v>202</v>
      </c>
      <c r="C14" s="14">
        <v>11.0</v>
      </c>
      <c r="D14" s="14" t="s">
        <v>123</v>
      </c>
      <c r="E14" s="14" t="s">
        <v>203</v>
      </c>
      <c r="F14" s="14" t="s">
        <v>180</v>
      </c>
      <c r="G14" s="14">
        <v>42.0</v>
      </c>
      <c r="H14" s="14" t="s">
        <v>162</v>
      </c>
      <c r="I14" s="14">
        <v>45879.27376157408</v>
      </c>
      <c r="J14" s="14">
        <v>101.5</v>
      </c>
      <c r="K14" s="14">
        <v>4.83</v>
      </c>
      <c r="L14" s="14"/>
    </row>
    <row r="15">
      <c r="A15" s="14" t="s">
        <v>174</v>
      </c>
      <c r="B15" s="14" t="s">
        <v>204</v>
      </c>
      <c r="C15" s="14">
        <v>12.0</v>
      </c>
      <c r="D15" s="14" t="s">
        <v>121</v>
      </c>
      <c r="E15" s="14" t="s">
        <v>205</v>
      </c>
      <c r="F15" s="14" t="s">
        <v>191</v>
      </c>
      <c r="G15" s="14">
        <v>38.0</v>
      </c>
      <c r="H15" s="14" t="s">
        <v>157</v>
      </c>
      <c r="I15" s="14">
        <v>45879.27472222222</v>
      </c>
      <c r="J15" s="14">
        <v>192.0</v>
      </c>
      <c r="K15" s="14">
        <v>8.0</v>
      </c>
      <c r="L15" s="14"/>
    </row>
    <row r="16">
      <c r="A16" s="14" t="s">
        <v>174</v>
      </c>
      <c r="B16" s="14" t="s">
        <v>206</v>
      </c>
      <c r="C16" s="14">
        <v>13.0</v>
      </c>
      <c r="D16" s="14" t="s">
        <v>123</v>
      </c>
      <c r="E16" s="14" t="s">
        <v>207</v>
      </c>
      <c r="F16" s="14" t="s">
        <v>188</v>
      </c>
      <c r="G16" s="14">
        <v>38.0</v>
      </c>
      <c r="H16" s="14" t="s">
        <v>159</v>
      </c>
      <c r="I16" s="14">
        <v>45879.27518518519</v>
      </c>
      <c r="J16" s="14">
        <v>393.0</v>
      </c>
      <c r="K16" s="14">
        <v>11.23</v>
      </c>
      <c r="L16" s="14"/>
    </row>
    <row r="17">
      <c r="A17" s="14" t="s">
        <v>174</v>
      </c>
      <c r="B17" s="14" t="s">
        <v>208</v>
      </c>
      <c r="C17" s="14">
        <v>14.0</v>
      </c>
      <c r="D17" s="14" t="s">
        <v>123</v>
      </c>
      <c r="E17" s="14" t="s">
        <v>209</v>
      </c>
      <c r="F17" s="14" t="s">
        <v>191</v>
      </c>
      <c r="G17" s="14">
        <v>48.0</v>
      </c>
      <c r="H17" s="14" t="s">
        <v>156</v>
      </c>
      <c r="I17" s="14">
        <v>45879.27599537037</v>
      </c>
      <c r="J17" s="14">
        <v>245.5</v>
      </c>
      <c r="K17" s="14">
        <v>6.82</v>
      </c>
      <c r="L17" s="14"/>
    </row>
    <row r="18">
      <c r="A18" s="14" t="s">
        <v>174</v>
      </c>
      <c r="B18" s="14" t="s">
        <v>210</v>
      </c>
      <c r="C18" s="14">
        <v>15.0</v>
      </c>
      <c r="D18" s="14" t="s">
        <v>121</v>
      </c>
      <c r="E18" s="14" t="s">
        <v>211</v>
      </c>
      <c r="F18" s="14" t="s">
        <v>212</v>
      </c>
      <c r="G18" s="14">
        <v>55.0</v>
      </c>
      <c r="H18" s="14" t="s">
        <v>163</v>
      </c>
      <c r="I18" s="14">
        <v>45879.2770949074</v>
      </c>
      <c r="J18" s="14">
        <v>238.0</v>
      </c>
      <c r="K18" s="14">
        <v>7.21</v>
      </c>
      <c r="L18" s="14"/>
    </row>
    <row r="19">
      <c r="A19" s="14" t="s">
        <v>174</v>
      </c>
      <c r="B19" s="14" t="s">
        <v>213</v>
      </c>
      <c r="C19" s="14">
        <v>16.0</v>
      </c>
      <c r="D19" s="14" t="s">
        <v>123</v>
      </c>
      <c r="E19" s="14" t="s">
        <v>214</v>
      </c>
      <c r="F19" s="14" t="s">
        <v>215</v>
      </c>
      <c r="G19" s="14">
        <v>49.0</v>
      </c>
      <c r="H19" s="14" t="s">
        <v>216</v>
      </c>
      <c r="I19" s="14">
        <v>45879.27832175926</v>
      </c>
      <c r="J19" s="14">
        <v>431.0</v>
      </c>
      <c r="K19" s="14">
        <v>11.34</v>
      </c>
      <c r="L19" s="14"/>
    </row>
    <row r="20">
      <c r="A20" s="14" t="s">
        <v>174</v>
      </c>
      <c r="B20" s="14" t="s">
        <v>217</v>
      </c>
      <c r="C20" s="14">
        <v>17.0</v>
      </c>
      <c r="D20" s="14" t="s">
        <v>121</v>
      </c>
      <c r="E20" s="14" t="s">
        <v>218</v>
      </c>
      <c r="F20" s="14" t="s">
        <v>185</v>
      </c>
      <c r="G20" s="14">
        <v>37.0</v>
      </c>
      <c r="H20" s="14" t="s">
        <v>158</v>
      </c>
      <c r="I20" s="14">
        <v>45879.27953703704</v>
      </c>
      <c r="J20" s="14">
        <v>286.5</v>
      </c>
      <c r="K20" s="14">
        <v>8.95</v>
      </c>
      <c r="L20" s="14"/>
    </row>
    <row r="21" ht="15.75" customHeight="1">
      <c r="A21" s="14" t="s">
        <v>174</v>
      </c>
      <c r="B21" s="14" t="s">
        <v>219</v>
      </c>
      <c r="C21" s="14">
        <v>18.0</v>
      </c>
      <c r="D21" s="14" t="s">
        <v>118</v>
      </c>
      <c r="E21" s="14" t="s">
        <v>220</v>
      </c>
      <c r="F21" s="14" t="s">
        <v>221</v>
      </c>
      <c r="G21" s="14">
        <v>37.0</v>
      </c>
      <c r="H21" s="14" t="s">
        <v>162</v>
      </c>
      <c r="I21" s="14">
        <v>45879.28094907408</v>
      </c>
      <c r="J21" s="14">
        <v>380.0</v>
      </c>
      <c r="K21" s="14">
        <v>13.1</v>
      </c>
      <c r="L21" s="14"/>
    </row>
    <row r="22" ht="15.75" customHeight="1">
      <c r="A22" s="14" t="s">
        <v>174</v>
      </c>
      <c r="B22" s="14" t="s">
        <v>222</v>
      </c>
      <c r="C22" s="14">
        <v>19.0</v>
      </c>
      <c r="D22" s="14" t="s">
        <v>121</v>
      </c>
      <c r="E22" s="14" t="s">
        <v>223</v>
      </c>
      <c r="F22" s="14" t="s">
        <v>199</v>
      </c>
      <c r="G22" s="14">
        <v>31.0</v>
      </c>
      <c r="H22" s="14" t="s">
        <v>82</v>
      </c>
      <c r="I22" s="14">
        <v>45879.28241898148</v>
      </c>
      <c r="J22" s="14">
        <v>380.5</v>
      </c>
      <c r="K22" s="14">
        <v>10.28</v>
      </c>
      <c r="L22" s="14"/>
    </row>
    <row r="23" ht="15.75" customHeight="1">
      <c r="A23" s="14" t="s">
        <v>174</v>
      </c>
      <c r="B23" s="14" t="s">
        <v>224</v>
      </c>
      <c r="C23" s="14">
        <v>20.0</v>
      </c>
      <c r="D23" s="14" t="s">
        <v>121</v>
      </c>
      <c r="E23" s="14" t="s">
        <v>225</v>
      </c>
      <c r="F23" s="14" t="s">
        <v>226</v>
      </c>
      <c r="G23" s="14">
        <v>31.0</v>
      </c>
      <c r="H23" s="14" t="s">
        <v>82</v>
      </c>
      <c r="I23" s="14">
        <v>45879.28325231482</v>
      </c>
      <c r="J23" s="14">
        <v>243.5</v>
      </c>
      <c r="K23" s="14">
        <v>9.37</v>
      </c>
      <c r="L23" s="14"/>
    </row>
    <row r="24" ht="15.75" customHeight="1">
      <c r="A24" s="14" t="s">
        <v>174</v>
      </c>
      <c r="B24" s="14" t="s">
        <v>227</v>
      </c>
      <c r="C24" s="14">
        <v>21.0</v>
      </c>
      <c r="D24" s="14" t="s">
        <v>121</v>
      </c>
      <c r="E24" s="14" t="s">
        <v>228</v>
      </c>
      <c r="F24" s="14" t="s">
        <v>180</v>
      </c>
      <c r="G24" s="14">
        <v>31.0</v>
      </c>
      <c r="H24" s="14" t="s">
        <v>163</v>
      </c>
      <c r="I24" s="14">
        <v>45879.28472222222</v>
      </c>
      <c r="J24" s="14">
        <v>309.5</v>
      </c>
      <c r="K24" s="14">
        <v>9.38</v>
      </c>
      <c r="L24" s="14"/>
    </row>
    <row r="25" ht="15.75" customHeight="1">
      <c r="A25" s="14" t="s">
        <v>174</v>
      </c>
      <c r="B25" s="14" t="s">
        <v>229</v>
      </c>
      <c r="C25" s="14">
        <v>22.0</v>
      </c>
      <c r="D25" s="14" t="s">
        <v>121</v>
      </c>
      <c r="E25" s="14" t="s">
        <v>230</v>
      </c>
      <c r="F25" s="14" t="s">
        <v>231</v>
      </c>
      <c r="G25" s="14">
        <v>35.0</v>
      </c>
      <c r="H25" s="14" t="s">
        <v>216</v>
      </c>
      <c r="I25" s="14">
        <v>45879.28572916667</v>
      </c>
      <c r="J25" s="14">
        <v>180.0</v>
      </c>
      <c r="K25" s="14">
        <v>7.2</v>
      </c>
      <c r="L25" s="14"/>
    </row>
    <row r="26" ht="15.75" customHeight="1">
      <c r="A26" s="14" t="s">
        <v>174</v>
      </c>
      <c r="B26" s="14" t="s">
        <v>232</v>
      </c>
      <c r="C26" s="14">
        <v>23.0</v>
      </c>
      <c r="D26" s="14" t="s">
        <v>118</v>
      </c>
      <c r="E26" s="14" t="s">
        <v>233</v>
      </c>
      <c r="F26" s="14" t="s">
        <v>177</v>
      </c>
      <c r="G26" s="14">
        <v>28.0</v>
      </c>
      <c r="H26" s="14" t="s">
        <v>159</v>
      </c>
      <c r="I26" s="14">
        <v>45879.28630787037</v>
      </c>
      <c r="J26" s="14">
        <v>143.75</v>
      </c>
      <c r="K26" s="14">
        <v>6.85</v>
      </c>
      <c r="L26" s="14"/>
    </row>
    <row r="27" ht="15.75" customHeight="1">
      <c r="A27" s="14" t="s">
        <v>174</v>
      </c>
      <c r="B27" s="14" t="s">
        <v>234</v>
      </c>
      <c r="C27" s="14">
        <v>24.0</v>
      </c>
      <c r="D27" s="14" t="s">
        <v>121</v>
      </c>
      <c r="E27" s="14" t="s">
        <v>235</v>
      </c>
      <c r="F27" s="14" t="s">
        <v>236</v>
      </c>
      <c r="G27" s="14">
        <v>33.0</v>
      </c>
      <c r="H27" s="14" t="s">
        <v>162</v>
      </c>
      <c r="I27" s="14">
        <v>45879.28726851852</v>
      </c>
      <c r="J27" s="14">
        <v>435.5</v>
      </c>
      <c r="K27" s="14">
        <v>11.77</v>
      </c>
      <c r="L27" s="14"/>
    </row>
    <row r="28" ht="15.75" customHeight="1">
      <c r="A28" s="14" t="s">
        <v>174</v>
      </c>
      <c r="B28" s="14" t="s">
        <v>237</v>
      </c>
      <c r="C28" s="14">
        <v>25.0</v>
      </c>
      <c r="D28" s="14" t="s">
        <v>121</v>
      </c>
      <c r="E28" s="14" t="s">
        <v>238</v>
      </c>
      <c r="F28" s="14" t="s">
        <v>188</v>
      </c>
      <c r="G28" s="14">
        <v>20.0</v>
      </c>
      <c r="H28" s="14" t="s">
        <v>163</v>
      </c>
      <c r="I28" s="14">
        <v>45879.28824074074</v>
      </c>
      <c r="J28" s="14">
        <v>391.0</v>
      </c>
      <c r="K28" s="14">
        <v>10.86</v>
      </c>
      <c r="L28" s="14"/>
    </row>
    <row r="29" ht="15.75" customHeight="1">
      <c r="A29" s="14" t="s">
        <v>174</v>
      </c>
      <c r="B29" s="14" t="s">
        <v>239</v>
      </c>
      <c r="C29" s="14">
        <v>26.0</v>
      </c>
      <c r="D29" s="14" t="s">
        <v>123</v>
      </c>
      <c r="E29" s="14" t="s">
        <v>240</v>
      </c>
      <c r="F29" s="14" t="s">
        <v>177</v>
      </c>
      <c r="G29" s="14">
        <v>41.0</v>
      </c>
      <c r="H29" s="14" t="s">
        <v>82</v>
      </c>
      <c r="I29" s="14">
        <v>45879.28927083333</v>
      </c>
      <c r="J29" s="14">
        <v>274.5</v>
      </c>
      <c r="K29" s="14">
        <v>9.8</v>
      </c>
      <c r="L29" s="14"/>
    </row>
    <row r="30" ht="15.75" customHeight="1">
      <c r="A30" s="14" t="s">
        <v>174</v>
      </c>
      <c r="B30" s="14" t="s">
        <v>241</v>
      </c>
      <c r="C30" s="14">
        <v>27.0</v>
      </c>
      <c r="D30" s="14" t="s">
        <v>123</v>
      </c>
      <c r="E30" s="14" t="s">
        <v>242</v>
      </c>
      <c r="F30" s="14" t="s">
        <v>243</v>
      </c>
      <c r="G30" s="14">
        <v>15.0</v>
      </c>
      <c r="H30" s="14" t="s">
        <v>216</v>
      </c>
      <c r="I30" s="14">
        <v>45879.29063657407</v>
      </c>
      <c r="J30" s="14">
        <v>102.5</v>
      </c>
      <c r="K30" s="14">
        <v>6.83</v>
      </c>
      <c r="L30" s="14"/>
    </row>
    <row r="31" ht="15.75" customHeight="1">
      <c r="A31" s="14" t="s">
        <v>174</v>
      </c>
      <c r="B31" s="14" t="s">
        <v>244</v>
      </c>
      <c r="C31" s="14">
        <v>28.0</v>
      </c>
      <c r="D31" s="14" t="s">
        <v>118</v>
      </c>
      <c r="E31" s="14" t="s">
        <v>245</v>
      </c>
      <c r="F31" s="14" t="s">
        <v>177</v>
      </c>
      <c r="G31" s="14">
        <v>15.0</v>
      </c>
      <c r="H31" s="14" t="s">
        <v>162</v>
      </c>
      <c r="I31" s="14">
        <v>45879.29111111111</v>
      </c>
      <c r="J31" s="14">
        <v>181.25</v>
      </c>
      <c r="K31" s="14">
        <v>5.33</v>
      </c>
      <c r="L31" s="14"/>
    </row>
    <row r="32" ht="15.75" customHeight="1">
      <c r="A32" s="14" t="s">
        <v>174</v>
      </c>
      <c r="B32" s="14" t="s">
        <v>246</v>
      </c>
      <c r="C32" s="14">
        <v>29.0</v>
      </c>
      <c r="D32" s="14" t="s">
        <v>118</v>
      </c>
      <c r="E32" s="14" t="s">
        <v>247</v>
      </c>
      <c r="F32" s="14" t="s">
        <v>191</v>
      </c>
      <c r="G32" s="14">
        <v>30.0</v>
      </c>
      <c r="H32" s="14" t="s">
        <v>216</v>
      </c>
      <c r="I32" s="14">
        <v>45879.29222222222</v>
      </c>
      <c r="J32" s="14">
        <v>386.25</v>
      </c>
      <c r="K32" s="14">
        <v>12.07</v>
      </c>
      <c r="L32" s="14"/>
    </row>
    <row r="33" ht="15.75" customHeight="1">
      <c r="A33" s="14" t="s">
        <v>174</v>
      </c>
      <c r="B33" s="14" t="s">
        <v>248</v>
      </c>
      <c r="C33" s="14">
        <v>30.0</v>
      </c>
      <c r="D33" s="14" t="s">
        <v>123</v>
      </c>
      <c r="E33" s="14" t="s">
        <v>249</v>
      </c>
      <c r="F33" s="14" t="s">
        <v>250</v>
      </c>
      <c r="G33" s="14">
        <v>32.0</v>
      </c>
      <c r="H33" s="14" t="s">
        <v>160</v>
      </c>
      <c r="I33" s="14">
        <v>45879.29282407407</v>
      </c>
      <c r="J33" s="14">
        <v>462.5</v>
      </c>
      <c r="K33" s="14">
        <v>12.5</v>
      </c>
      <c r="L33" s="14"/>
    </row>
    <row r="34" ht="15.75" customHeight="1">
      <c r="A34" s="14" t="s">
        <v>174</v>
      </c>
      <c r="B34" s="14" t="s">
        <v>251</v>
      </c>
      <c r="C34" s="14">
        <v>31.0</v>
      </c>
      <c r="D34" s="14" t="s">
        <v>118</v>
      </c>
      <c r="E34" s="14" t="s">
        <v>252</v>
      </c>
      <c r="F34" s="14" t="s">
        <v>243</v>
      </c>
      <c r="G34" s="14">
        <v>26.0</v>
      </c>
      <c r="H34" s="14" t="s">
        <v>160</v>
      </c>
      <c r="I34" s="14">
        <v>45879.30261574074</v>
      </c>
      <c r="J34" s="14">
        <v>325.0</v>
      </c>
      <c r="K34" s="14">
        <v>9.56</v>
      </c>
      <c r="L34" s="14"/>
    </row>
    <row r="35" ht="15.75" customHeight="1">
      <c r="A35" s="14" t="s">
        <v>174</v>
      </c>
      <c r="B35" s="14" t="s">
        <v>253</v>
      </c>
      <c r="C35" s="14">
        <v>32.0</v>
      </c>
      <c r="D35" s="14" t="s">
        <v>121</v>
      </c>
      <c r="E35" s="14" t="s">
        <v>254</v>
      </c>
      <c r="F35" s="14" t="s">
        <v>191</v>
      </c>
      <c r="G35" s="14">
        <v>17.0</v>
      </c>
      <c r="H35" s="14" t="s">
        <v>82</v>
      </c>
      <c r="I35" s="14">
        <v>45879.30331018518</v>
      </c>
      <c r="J35" s="14">
        <v>420.0</v>
      </c>
      <c r="K35" s="14">
        <v>11.67</v>
      </c>
      <c r="L35" s="14"/>
    </row>
    <row r="36" ht="15.75" customHeight="1">
      <c r="A36" s="14" t="s">
        <v>174</v>
      </c>
      <c r="B36" s="14" t="s">
        <v>255</v>
      </c>
      <c r="C36" s="14">
        <v>33.0</v>
      </c>
      <c r="D36" s="14" t="s">
        <v>121</v>
      </c>
      <c r="E36" s="14" t="s">
        <v>256</v>
      </c>
      <c r="F36" s="14" t="s">
        <v>257</v>
      </c>
      <c r="G36" s="14">
        <v>25.0</v>
      </c>
      <c r="H36" s="14" t="s">
        <v>216</v>
      </c>
      <c r="I36" s="14">
        <v>45879.30459490741</v>
      </c>
      <c r="J36" s="14">
        <v>325.5</v>
      </c>
      <c r="K36" s="14">
        <v>10.17</v>
      </c>
      <c r="L36" s="14"/>
    </row>
    <row r="37" ht="15.75" customHeight="1">
      <c r="A37" s="14" t="s">
        <v>174</v>
      </c>
      <c r="B37" s="14" t="s">
        <v>258</v>
      </c>
      <c r="C37" s="14">
        <v>34.0</v>
      </c>
      <c r="D37" s="14" t="s">
        <v>118</v>
      </c>
      <c r="E37" s="14" t="s">
        <v>259</v>
      </c>
      <c r="F37" s="14" t="s">
        <v>180</v>
      </c>
      <c r="G37" s="14">
        <v>26.0</v>
      </c>
      <c r="H37" s="14" t="s">
        <v>160</v>
      </c>
      <c r="I37" s="14">
        <v>45879.30543981482</v>
      </c>
      <c r="J37" s="14">
        <v>140.5</v>
      </c>
      <c r="K37" s="14">
        <v>8.26</v>
      </c>
      <c r="L37" s="14"/>
    </row>
    <row r="38" ht="15.75" customHeight="1">
      <c r="A38" s="14" t="s">
        <v>174</v>
      </c>
      <c r="B38" s="14" t="s">
        <v>260</v>
      </c>
      <c r="C38" s="14">
        <v>35.0</v>
      </c>
      <c r="D38" s="14" t="s">
        <v>121</v>
      </c>
      <c r="E38" s="14" t="s">
        <v>261</v>
      </c>
      <c r="F38" s="14" t="s">
        <v>243</v>
      </c>
      <c r="G38" s="14">
        <v>29.0</v>
      </c>
      <c r="H38" s="14" t="s">
        <v>162</v>
      </c>
      <c r="I38" s="14">
        <v>45879.30643518519</v>
      </c>
      <c r="J38" s="14">
        <v>205.5</v>
      </c>
      <c r="K38" s="14">
        <v>10.82</v>
      </c>
      <c r="L38" s="14"/>
    </row>
    <row r="39" ht="15.75" customHeight="1">
      <c r="A39" s="14" t="s">
        <v>174</v>
      </c>
      <c r="B39" s="14" t="s">
        <v>262</v>
      </c>
      <c r="C39" s="14">
        <v>36.0</v>
      </c>
      <c r="D39" s="14" t="s">
        <v>121</v>
      </c>
      <c r="E39" s="14" t="s">
        <v>263</v>
      </c>
      <c r="F39" s="14" t="s">
        <v>180</v>
      </c>
      <c r="G39" s="14">
        <v>17.0</v>
      </c>
      <c r="H39" s="14" t="s">
        <v>161</v>
      </c>
      <c r="I39" s="14">
        <v>45879.30767361111</v>
      </c>
      <c r="J39" s="14">
        <v>357.5</v>
      </c>
      <c r="K39" s="14">
        <v>10.83</v>
      </c>
      <c r="L39" s="14"/>
    </row>
    <row r="40" ht="15.75" customHeight="1">
      <c r="A40" s="14" t="s">
        <v>174</v>
      </c>
      <c r="B40" s="14" t="s">
        <v>264</v>
      </c>
      <c r="C40" s="14">
        <v>37.0</v>
      </c>
      <c r="D40" s="14" t="s">
        <v>118</v>
      </c>
      <c r="E40" s="14" t="s">
        <v>265</v>
      </c>
      <c r="F40" s="14" t="s">
        <v>177</v>
      </c>
      <c r="G40" s="14">
        <v>16.0</v>
      </c>
      <c r="H40" s="14" t="s">
        <v>163</v>
      </c>
      <c r="I40" s="14">
        <v>45879.3087962963</v>
      </c>
      <c r="J40" s="14">
        <v>390.5</v>
      </c>
      <c r="K40" s="14">
        <v>10.28</v>
      </c>
      <c r="L40" s="14"/>
    </row>
    <row r="41" ht="15.75" customHeight="1">
      <c r="A41" s="14" t="s">
        <v>174</v>
      </c>
      <c r="B41" s="14" t="s">
        <v>266</v>
      </c>
      <c r="C41" s="14">
        <v>38.0</v>
      </c>
      <c r="D41" s="14" t="s">
        <v>121</v>
      </c>
      <c r="E41" s="14" t="s">
        <v>267</v>
      </c>
      <c r="F41" s="14" t="s">
        <v>180</v>
      </c>
      <c r="G41" s="14">
        <v>21.0</v>
      </c>
      <c r="H41" s="14" t="s">
        <v>160</v>
      </c>
      <c r="I41" s="14">
        <v>45879.30947916667</v>
      </c>
      <c r="J41" s="14">
        <v>376.5</v>
      </c>
      <c r="K41" s="14">
        <v>12.55</v>
      </c>
      <c r="L41" s="14"/>
    </row>
    <row r="42" ht="15.75" customHeight="1">
      <c r="A42" s="14" t="s">
        <v>174</v>
      </c>
      <c r="B42" s="14" t="s">
        <v>268</v>
      </c>
      <c r="C42" s="14">
        <v>39.0</v>
      </c>
      <c r="D42" s="14" t="s">
        <v>123</v>
      </c>
      <c r="E42" s="14" t="s">
        <v>269</v>
      </c>
      <c r="F42" s="14" t="s">
        <v>236</v>
      </c>
      <c r="G42" s="14">
        <v>16.0</v>
      </c>
      <c r="H42" s="14" t="s">
        <v>157</v>
      </c>
      <c r="I42" s="14">
        <v>45879.31082175926</v>
      </c>
      <c r="J42" s="14">
        <v>81.0</v>
      </c>
      <c r="K42" s="14">
        <v>5.4</v>
      </c>
      <c r="L42" s="14"/>
    </row>
    <row r="43" ht="15.75" customHeight="1">
      <c r="A43" s="14" t="s">
        <v>174</v>
      </c>
      <c r="B43" s="14" t="s">
        <v>270</v>
      </c>
      <c r="C43" s="14">
        <v>40.0</v>
      </c>
      <c r="D43" s="14" t="s">
        <v>123</v>
      </c>
      <c r="E43" s="14" t="s">
        <v>271</v>
      </c>
      <c r="F43" s="14" t="s">
        <v>272</v>
      </c>
      <c r="G43" s="14">
        <v>15.0</v>
      </c>
      <c r="H43" s="14" t="s">
        <v>158</v>
      </c>
      <c r="I43" s="14">
        <v>45879.31180555555</v>
      </c>
      <c r="J43" s="14">
        <v>37.5</v>
      </c>
      <c r="K43" s="14">
        <v>1.97</v>
      </c>
      <c r="L43" s="14"/>
    </row>
    <row r="44" ht="15.75" customHeight="1">
      <c r="A44" s="14" t="s">
        <v>174</v>
      </c>
      <c r="B44" s="14" t="s">
        <v>273</v>
      </c>
      <c r="C44" s="14">
        <v>41.0</v>
      </c>
      <c r="D44" s="14" t="s">
        <v>123</v>
      </c>
      <c r="E44" s="14" t="s">
        <v>274</v>
      </c>
      <c r="F44" s="14" t="s">
        <v>221</v>
      </c>
      <c r="G44" s="14">
        <v>18.0</v>
      </c>
      <c r="H44" s="14" t="s">
        <v>159</v>
      </c>
      <c r="I44" s="14">
        <v>45879.31317129629</v>
      </c>
      <c r="J44" s="14">
        <v>251.0</v>
      </c>
      <c r="K44" s="14">
        <v>7.84</v>
      </c>
      <c r="L44" s="14"/>
    </row>
    <row r="45" ht="15.75" customHeight="1">
      <c r="A45" s="14" t="s">
        <v>174</v>
      </c>
      <c r="B45" s="14" t="s">
        <v>275</v>
      </c>
      <c r="C45" s="14">
        <v>42.0</v>
      </c>
      <c r="D45" s="14" t="s">
        <v>121</v>
      </c>
      <c r="E45" s="14" t="s">
        <v>276</v>
      </c>
      <c r="F45" s="14" t="s">
        <v>257</v>
      </c>
      <c r="G45" s="14">
        <v>16.0</v>
      </c>
      <c r="H45" s="14" t="s">
        <v>163</v>
      </c>
      <c r="I45" s="14">
        <v>45879.31396990741</v>
      </c>
      <c r="J45" s="14">
        <v>113.0</v>
      </c>
      <c r="K45" s="14">
        <v>5.14</v>
      </c>
      <c r="L45" s="14"/>
    </row>
    <row r="46" ht="15.75" customHeight="1">
      <c r="A46" s="14" t="s">
        <v>174</v>
      </c>
      <c r="B46" s="14" t="s">
        <v>277</v>
      </c>
      <c r="C46" s="14">
        <v>43.0</v>
      </c>
      <c r="D46" s="14" t="s">
        <v>123</v>
      </c>
      <c r="E46" s="14" t="s">
        <v>278</v>
      </c>
      <c r="F46" s="14" t="s">
        <v>185</v>
      </c>
      <c r="G46" s="14">
        <v>18.0</v>
      </c>
      <c r="H46" s="14" t="s">
        <v>82</v>
      </c>
      <c r="I46" s="14">
        <v>45879.31512731482</v>
      </c>
      <c r="J46" s="14">
        <v>240.5</v>
      </c>
      <c r="K46" s="14">
        <v>8.02</v>
      </c>
      <c r="L46" s="14"/>
    </row>
    <row r="47" ht="15.75" customHeight="1">
      <c r="A47" s="14" t="s">
        <v>174</v>
      </c>
      <c r="B47" s="14" t="s">
        <v>279</v>
      </c>
      <c r="C47" s="14">
        <v>44.0</v>
      </c>
      <c r="D47" s="14" t="s">
        <v>115</v>
      </c>
      <c r="E47" s="14" t="s">
        <v>280</v>
      </c>
      <c r="F47" s="14" t="s">
        <v>236</v>
      </c>
      <c r="G47" s="14">
        <v>3.0</v>
      </c>
      <c r="H47" s="14" t="s">
        <v>216</v>
      </c>
      <c r="I47" s="14">
        <v>45879.3162037037</v>
      </c>
      <c r="J47" s="14">
        <v>225.5</v>
      </c>
      <c r="K47" s="14">
        <v>7.27</v>
      </c>
      <c r="L47" s="14"/>
    </row>
    <row r="48" ht="15.75" customHeight="1">
      <c r="A48" s="14" t="s">
        <v>174</v>
      </c>
      <c r="B48" s="14" t="s">
        <v>281</v>
      </c>
      <c r="C48" s="14">
        <v>45.0</v>
      </c>
      <c r="D48" s="14" t="s">
        <v>118</v>
      </c>
      <c r="E48" s="14" t="s">
        <v>282</v>
      </c>
      <c r="F48" s="14" t="s">
        <v>180</v>
      </c>
      <c r="G48" s="14">
        <v>10.0</v>
      </c>
      <c r="H48" s="14" t="s">
        <v>216</v>
      </c>
      <c r="I48" s="14">
        <v>45879.31664351852</v>
      </c>
      <c r="J48" s="14">
        <v>155.25</v>
      </c>
      <c r="K48" s="14">
        <v>8.62</v>
      </c>
      <c r="L48" s="14"/>
    </row>
    <row r="49" ht="15.75" customHeight="1">
      <c r="A49" s="14" t="s">
        <v>174</v>
      </c>
      <c r="B49" s="14" t="s">
        <v>283</v>
      </c>
      <c r="C49" s="14">
        <v>46.0</v>
      </c>
      <c r="D49" s="14" t="s">
        <v>123</v>
      </c>
      <c r="E49" s="14" t="s">
        <v>284</v>
      </c>
      <c r="F49" s="14" t="s">
        <v>285</v>
      </c>
      <c r="G49" s="14">
        <v>9.0</v>
      </c>
      <c r="H49" s="14" t="s">
        <v>163</v>
      </c>
      <c r="I49" s="14">
        <v>45879.31734953704</v>
      </c>
      <c r="J49" s="14">
        <v>260.5</v>
      </c>
      <c r="K49" s="14">
        <v>7.24</v>
      </c>
      <c r="L49" s="14"/>
    </row>
    <row r="50" ht="15.75" customHeight="1">
      <c r="A50" s="14" t="s">
        <v>174</v>
      </c>
      <c r="B50" s="14" t="s">
        <v>286</v>
      </c>
      <c r="C50" s="14">
        <v>47.0</v>
      </c>
      <c r="D50" s="14" t="s">
        <v>123</v>
      </c>
      <c r="E50" s="14" t="s">
        <v>287</v>
      </c>
      <c r="F50" s="14" t="s">
        <v>177</v>
      </c>
      <c r="G50" s="14">
        <v>21.0</v>
      </c>
      <c r="H50" s="14" t="s">
        <v>157</v>
      </c>
      <c r="I50" s="14">
        <v>45879.31810185185</v>
      </c>
      <c r="J50" s="14">
        <v>346.5</v>
      </c>
      <c r="K50" s="14">
        <v>9.62</v>
      </c>
      <c r="L50" s="14"/>
    </row>
    <row r="51" ht="15.75" customHeight="1">
      <c r="A51" s="14" t="s">
        <v>174</v>
      </c>
      <c r="B51" s="14" t="s">
        <v>288</v>
      </c>
      <c r="C51" s="14">
        <v>48.0</v>
      </c>
      <c r="D51" s="14" t="s">
        <v>118</v>
      </c>
      <c r="E51" s="14" t="s">
        <v>289</v>
      </c>
      <c r="F51" s="14" t="s">
        <v>226</v>
      </c>
      <c r="G51" s="14">
        <v>6.0</v>
      </c>
      <c r="H51" s="14" t="s">
        <v>216</v>
      </c>
      <c r="I51" s="14">
        <v>45879.31891203704</v>
      </c>
      <c r="J51" s="14">
        <v>191.0</v>
      </c>
      <c r="K51" s="14">
        <v>6.37</v>
      </c>
      <c r="L51" s="14"/>
    </row>
    <row r="52" ht="15.75" customHeight="1">
      <c r="A52" s="14" t="s">
        <v>174</v>
      </c>
      <c r="B52" s="14" t="s">
        <v>290</v>
      </c>
      <c r="C52" s="14">
        <v>49.0</v>
      </c>
      <c r="D52" s="14" t="s">
        <v>123</v>
      </c>
      <c r="E52" s="14" t="s">
        <v>291</v>
      </c>
      <c r="F52" s="14" t="s">
        <v>292</v>
      </c>
      <c r="G52" s="14">
        <v>5.0</v>
      </c>
      <c r="H52" s="14" t="s">
        <v>216</v>
      </c>
      <c r="I52" s="14">
        <v>45879.31975694445</v>
      </c>
      <c r="J52" s="14">
        <v>144.5</v>
      </c>
      <c r="K52" s="14">
        <v>4.01</v>
      </c>
      <c r="L52" s="14"/>
    </row>
    <row r="53" ht="15.75" customHeight="1">
      <c r="A53" s="14" t="s">
        <v>174</v>
      </c>
      <c r="B53" s="14" t="s">
        <v>293</v>
      </c>
      <c r="C53" s="14">
        <v>50.0</v>
      </c>
      <c r="D53" s="14" t="s">
        <v>121</v>
      </c>
      <c r="E53" s="14" t="s">
        <v>294</v>
      </c>
      <c r="F53" s="14" t="s">
        <v>180</v>
      </c>
      <c r="G53" s="14">
        <v>10.0</v>
      </c>
      <c r="H53" s="14" t="s">
        <v>157</v>
      </c>
      <c r="I53" s="14">
        <v>45879.32015046296</v>
      </c>
      <c r="J53" s="14">
        <v>95.0</v>
      </c>
      <c r="K53" s="14">
        <v>3.96</v>
      </c>
      <c r="L53" s="14"/>
    </row>
    <row r="54" ht="15.75" customHeight="1">
      <c r="A54" s="14" t="s">
        <v>174</v>
      </c>
      <c r="B54" s="14" t="s">
        <v>295</v>
      </c>
      <c r="C54" s="14">
        <v>51.0</v>
      </c>
      <c r="D54" s="14" t="s">
        <v>121</v>
      </c>
      <c r="E54" s="14" t="s">
        <v>296</v>
      </c>
      <c r="F54" s="14" t="s">
        <v>221</v>
      </c>
      <c r="G54" s="14">
        <v>14.0</v>
      </c>
      <c r="H54" s="14" t="s">
        <v>157</v>
      </c>
      <c r="I54" s="14">
        <v>45879.32127314815</v>
      </c>
      <c r="J54" s="14">
        <v>226.0</v>
      </c>
      <c r="K54" s="14">
        <v>8.07</v>
      </c>
      <c r="L54" s="14"/>
    </row>
    <row r="55" ht="15.75" customHeight="1">
      <c r="A55" s="14" t="s">
        <v>174</v>
      </c>
      <c r="B55" s="14" t="s">
        <v>297</v>
      </c>
      <c r="C55" s="14">
        <v>52.0</v>
      </c>
      <c r="D55" s="14" t="s">
        <v>123</v>
      </c>
      <c r="E55" s="14" t="s">
        <v>298</v>
      </c>
      <c r="F55" s="14" t="s">
        <v>226</v>
      </c>
      <c r="G55" s="14">
        <v>12.0</v>
      </c>
      <c r="H55" s="14" t="s">
        <v>82</v>
      </c>
      <c r="I55" s="14">
        <v>45879.32215277778</v>
      </c>
      <c r="J55" s="14">
        <v>94.5</v>
      </c>
      <c r="K55" s="14">
        <v>2.95</v>
      </c>
      <c r="L55" s="14"/>
    </row>
    <row r="56" ht="15.75" customHeight="1">
      <c r="A56" s="14" t="s">
        <v>174</v>
      </c>
      <c r="B56" s="14" t="s">
        <v>299</v>
      </c>
      <c r="C56" s="14">
        <v>53.0</v>
      </c>
      <c r="D56" s="14" t="s">
        <v>123</v>
      </c>
      <c r="E56" s="14" t="s">
        <v>300</v>
      </c>
      <c r="F56" s="14" t="s">
        <v>188</v>
      </c>
      <c r="G56" s="14">
        <v>18.0</v>
      </c>
      <c r="H56" s="14" t="s">
        <v>163</v>
      </c>
      <c r="I56" s="14">
        <v>45879.32315972223</v>
      </c>
      <c r="J56" s="14">
        <v>318.5</v>
      </c>
      <c r="K56" s="14">
        <v>9.37</v>
      </c>
      <c r="L56" s="14"/>
    </row>
    <row r="57" ht="15.75" customHeight="1">
      <c r="A57" s="14" t="s">
        <v>174</v>
      </c>
      <c r="B57" s="14" t="s">
        <v>301</v>
      </c>
      <c r="C57" s="14">
        <v>54.0</v>
      </c>
      <c r="D57" s="14" t="s">
        <v>115</v>
      </c>
      <c r="E57" s="14" t="s">
        <v>302</v>
      </c>
      <c r="F57" s="14" t="s">
        <v>226</v>
      </c>
      <c r="G57" s="14">
        <v>1.0</v>
      </c>
      <c r="H57" s="14" t="s">
        <v>158</v>
      </c>
      <c r="I57" s="14">
        <v>45879.32449074074</v>
      </c>
      <c r="J57" s="14">
        <v>215.75</v>
      </c>
      <c r="K57" s="14">
        <v>7.99</v>
      </c>
      <c r="L57" s="14"/>
    </row>
    <row r="58" ht="15.75" customHeight="1">
      <c r="A58" s="14" t="s">
        <v>174</v>
      </c>
      <c r="B58" s="14" t="s">
        <v>303</v>
      </c>
      <c r="C58" s="14">
        <v>55.0</v>
      </c>
      <c r="D58" s="14" t="s">
        <v>118</v>
      </c>
      <c r="E58" s="14" t="s">
        <v>304</v>
      </c>
      <c r="F58" s="14" t="s">
        <v>305</v>
      </c>
      <c r="G58" s="14">
        <v>11.0</v>
      </c>
      <c r="H58" s="14" t="s">
        <v>159</v>
      </c>
      <c r="I58" s="14">
        <v>45879.32506944444</v>
      </c>
      <c r="J58" s="14">
        <v>166.25</v>
      </c>
      <c r="K58" s="14">
        <v>7.56</v>
      </c>
      <c r="L58" s="14"/>
    </row>
    <row r="59" ht="15.75" customHeight="1">
      <c r="A59" s="14" t="s">
        <v>174</v>
      </c>
      <c r="B59" s="14" t="s">
        <v>306</v>
      </c>
      <c r="C59" s="14">
        <v>56.0</v>
      </c>
      <c r="D59" s="14" t="s">
        <v>121</v>
      </c>
      <c r="E59" s="14" t="s">
        <v>307</v>
      </c>
      <c r="F59" s="14" t="s">
        <v>305</v>
      </c>
      <c r="G59" s="14">
        <v>18.0</v>
      </c>
      <c r="H59" s="14" t="s">
        <v>163</v>
      </c>
      <c r="I59" s="14">
        <v>45879.3259837963</v>
      </c>
      <c r="J59" s="14">
        <v>261.0</v>
      </c>
      <c r="K59" s="14">
        <v>9.0</v>
      </c>
      <c r="L59" s="14"/>
    </row>
    <row r="60" ht="15.75" customHeight="1">
      <c r="A60" s="14" t="s">
        <v>174</v>
      </c>
      <c r="B60" s="14" t="s">
        <v>308</v>
      </c>
      <c r="C60" s="14">
        <v>57.0</v>
      </c>
      <c r="D60" s="14" t="s">
        <v>123</v>
      </c>
      <c r="E60" s="14" t="s">
        <v>309</v>
      </c>
      <c r="F60" s="14" t="s">
        <v>188</v>
      </c>
      <c r="G60" s="14">
        <v>6.0</v>
      </c>
      <c r="H60" s="14" t="s">
        <v>159</v>
      </c>
      <c r="I60" s="14">
        <v>45879.32728009259</v>
      </c>
      <c r="J60" s="14">
        <v>65.0</v>
      </c>
      <c r="K60" s="14">
        <v>2.32</v>
      </c>
      <c r="L60" s="14"/>
    </row>
    <row r="61" ht="15.75" customHeight="1">
      <c r="A61" s="14" t="s">
        <v>174</v>
      </c>
      <c r="B61" s="14" t="s">
        <v>310</v>
      </c>
      <c r="C61" s="14">
        <v>58.0</v>
      </c>
      <c r="D61" s="14" t="s">
        <v>121</v>
      </c>
      <c r="E61" s="14" t="s">
        <v>311</v>
      </c>
      <c r="F61" s="14" t="s">
        <v>226</v>
      </c>
      <c r="G61" s="14">
        <v>6.0</v>
      </c>
      <c r="H61" s="14" t="s">
        <v>163</v>
      </c>
      <c r="I61" s="14">
        <v>45879.32803240741</v>
      </c>
      <c r="J61" s="14">
        <v>342.5</v>
      </c>
      <c r="K61" s="14">
        <v>11.81</v>
      </c>
      <c r="L61" s="14"/>
    </row>
    <row r="62" ht="15.75" customHeight="1">
      <c r="A62" s="14" t="s">
        <v>174</v>
      </c>
      <c r="B62" s="14" t="s">
        <v>312</v>
      </c>
      <c r="C62" s="14">
        <v>59.0</v>
      </c>
      <c r="D62" s="14" t="s">
        <v>121</v>
      </c>
      <c r="E62" s="14" t="s">
        <v>313</v>
      </c>
      <c r="F62" s="14" t="s">
        <v>314</v>
      </c>
      <c r="G62" s="14">
        <v>5.0</v>
      </c>
      <c r="H62" s="14" t="s">
        <v>161</v>
      </c>
      <c r="I62" s="14">
        <v>45879.32891203704</v>
      </c>
      <c r="J62" s="14">
        <v>62.5</v>
      </c>
      <c r="K62" s="14">
        <v>4.46</v>
      </c>
      <c r="L62" s="14"/>
    </row>
    <row r="63" ht="15.75" customHeight="1">
      <c r="A63" s="14" t="s">
        <v>174</v>
      </c>
      <c r="B63" s="14" t="s">
        <v>315</v>
      </c>
      <c r="C63" s="14">
        <v>60.0</v>
      </c>
      <c r="D63" s="14" t="s">
        <v>121</v>
      </c>
      <c r="E63" s="14" t="s">
        <v>316</v>
      </c>
      <c r="F63" s="14" t="s">
        <v>177</v>
      </c>
      <c r="G63" s="14">
        <v>4.0</v>
      </c>
      <c r="H63" s="14" t="s">
        <v>161</v>
      </c>
      <c r="I63" s="14">
        <v>45879.32950231482</v>
      </c>
      <c r="J63" s="14">
        <v>216.5</v>
      </c>
      <c r="K63" s="14">
        <v>5.85</v>
      </c>
      <c r="L63" s="14"/>
    </row>
    <row r="64" ht="15.75" customHeight="1">
      <c r="A64" s="14" t="s">
        <v>174</v>
      </c>
      <c r="B64" s="14" t="s">
        <v>317</v>
      </c>
      <c r="C64" s="14">
        <v>61.0</v>
      </c>
      <c r="D64" s="14" t="s">
        <v>123</v>
      </c>
      <c r="E64" s="14" t="s">
        <v>318</v>
      </c>
      <c r="F64" s="14" t="s">
        <v>236</v>
      </c>
      <c r="G64" s="14">
        <v>5.0</v>
      </c>
      <c r="H64" s="14" t="s">
        <v>161</v>
      </c>
      <c r="I64" s="14">
        <v>45879.33030092593</v>
      </c>
      <c r="J64" s="14">
        <v>227.0</v>
      </c>
      <c r="K64" s="14">
        <v>7.57</v>
      </c>
      <c r="L64" s="14"/>
    </row>
    <row r="65" ht="15.75" customHeight="1">
      <c r="A65" s="14" t="s">
        <v>174</v>
      </c>
      <c r="B65" s="14" t="s">
        <v>319</v>
      </c>
      <c r="C65" s="14">
        <v>62.0</v>
      </c>
      <c r="D65" s="14" t="s">
        <v>121</v>
      </c>
      <c r="E65" s="14" t="s">
        <v>320</v>
      </c>
      <c r="F65" s="14" t="s">
        <v>285</v>
      </c>
      <c r="G65" s="14">
        <v>16.0</v>
      </c>
      <c r="H65" s="14" t="s">
        <v>162</v>
      </c>
      <c r="I65" s="14">
        <v>45879.33092592593</v>
      </c>
      <c r="J65" s="14">
        <v>91.5</v>
      </c>
      <c r="K65" s="14">
        <v>4.58</v>
      </c>
      <c r="L65" s="14"/>
    </row>
    <row r="66" ht="15.75" customHeight="1">
      <c r="A66" s="14" t="s">
        <v>174</v>
      </c>
      <c r="B66" s="14" t="s">
        <v>321</v>
      </c>
      <c r="C66" s="14">
        <v>63.0</v>
      </c>
      <c r="D66" s="14" t="s">
        <v>121</v>
      </c>
      <c r="E66" s="14" t="s">
        <v>322</v>
      </c>
      <c r="F66" s="14" t="s">
        <v>180</v>
      </c>
      <c r="G66" s="14">
        <v>19.0</v>
      </c>
      <c r="H66" s="14" t="s">
        <v>161</v>
      </c>
      <c r="I66" s="14">
        <v>45879.33163194444</v>
      </c>
      <c r="J66" s="14">
        <v>181.5</v>
      </c>
      <c r="K66" s="14">
        <v>6.48</v>
      </c>
      <c r="L66" s="14"/>
    </row>
    <row r="67" ht="15.75" customHeight="1">
      <c r="A67" s="14" t="s">
        <v>174</v>
      </c>
      <c r="B67" s="14" t="s">
        <v>323</v>
      </c>
      <c r="C67" s="14">
        <v>64.0</v>
      </c>
      <c r="D67" s="14" t="s">
        <v>123</v>
      </c>
      <c r="E67" s="14" t="s">
        <v>324</v>
      </c>
      <c r="F67" s="14" t="s">
        <v>243</v>
      </c>
      <c r="G67" s="14">
        <v>3.0</v>
      </c>
      <c r="H67" s="14" t="s">
        <v>156</v>
      </c>
      <c r="I67" s="14">
        <v>45879.33302083334</v>
      </c>
      <c r="J67" s="14">
        <v>185.5</v>
      </c>
      <c r="K67" s="14">
        <v>5.98</v>
      </c>
      <c r="L67" s="14"/>
    </row>
    <row r="68" ht="15.75" customHeight="1">
      <c r="A68" s="14" t="s">
        <v>174</v>
      </c>
      <c r="B68" s="14" t="s">
        <v>325</v>
      </c>
      <c r="C68" s="14">
        <v>65.0</v>
      </c>
      <c r="D68" s="14" t="s">
        <v>121</v>
      </c>
      <c r="E68" s="14" t="s">
        <v>326</v>
      </c>
      <c r="F68" s="14" t="s">
        <v>327</v>
      </c>
      <c r="G68" s="14">
        <v>8.0</v>
      </c>
      <c r="H68" s="14" t="s">
        <v>160</v>
      </c>
      <c r="I68" s="14">
        <v>45879.3337962963</v>
      </c>
      <c r="J68" s="14">
        <v>284.0</v>
      </c>
      <c r="K68" s="14">
        <v>8.61</v>
      </c>
      <c r="L68" s="14"/>
    </row>
    <row r="69" ht="15.75" customHeight="1">
      <c r="A69" s="14" t="s">
        <v>174</v>
      </c>
      <c r="B69" s="14" t="s">
        <v>328</v>
      </c>
      <c r="C69" s="14">
        <v>66.0</v>
      </c>
      <c r="D69" s="14" t="s">
        <v>118</v>
      </c>
      <c r="E69" s="14" t="s">
        <v>329</v>
      </c>
      <c r="F69" s="14" t="s">
        <v>215</v>
      </c>
      <c r="G69" s="14">
        <v>6.0</v>
      </c>
      <c r="H69" s="14" t="s">
        <v>216</v>
      </c>
      <c r="I69" s="14">
        <v>45879.33495370371</v>
      </c>
      <c r="J69" s="14">
        <v>168.75</v>
      </c>
      <c r="K69" s="14">
        <v>6.75</v>
      </c>
      <c r="L69" s="14"/>
    </row>
    <row r="70" ht="15.75" customHeight="1">
      <c r="A70" s="14" t="s">
        <v>174</v>
      </c>
      <c r="B70" s="14" t="s">
        <v>330</v>
      </c>
      <c r="C70" s="14">
        <v>67.0</v>
      </c>
      <c r="D70" s="14" t="s">
        <v>121</v>
      </c>
      <c r="E70" s="14" t="s">
        <v>331</v>
      </c>
      <c r="F70" s="14" t="s">
        <v>199</v>
      </c>
      <c r="G70" s="14">
        <v>7.0</v>
      </c>
      <c r="H70" s="14" t="s">
        <v>159</v>
      </c>
      <c r="I70" s="14">
        <v>45879.33556712963</v>
      </c>
      <c r="J70" s="14">
        <v>203.5</v>
      </c>
      <c r="K70" s="14">
        <v>8.14</v>
      </c>
      <c r="L70" s="14"/>
    </row>
    <row r="71" ht="15.75" customHeight="1">
      <c r="A71" s="14" t="s">
        <v>174</v>
      </c>
      <c r="B71" s="14" t="s">
        <v>332</v>
      </c>
      <c r="C71" s="14">
        <v>68.0</v>
      </c>
      <c r="D71" s="14" t="s">
        <v>118</v>
      </c>
      <c r="E71" s="14" t="s">
        <v>333</v>
      </c>
      <c r="F71" s="14" t="s">
        <v>226</v>
      </c>
      <c r="G71" s="14">
        <v>6.0</v>
      </c>
      <c r="H71" s="14" t="s">
        <v>156</v>
      </c>
      <c r="I71" s="14">
        <v>45879.3365162037</v>
      </c>
      <c r="J71" s="14">
        <v>109.75</v>
      </c>
      <c r="K71" s="14">
        <v>6.46</v>
      </c>
      <c r="L71" s="14"/>
    </row>
    <row r="72" ht="15.75" customHeight="1">
      <c r="A72" s="14" t="s">
        <v>174</v>
      </c>
      <c r="B72" s="14" t="s">
        <v>334</v>
      </c>
      <c r="C72" s="14">
        <v>69.0</v>
      </c>
      <c r="D72" s="14" t="s">
        <v>118</v>
      </c>
      <c r="E72" s="14" t="s">
        <v>335</v>
      </c>
      <c r="F72" s="14" t="s">
        <v>185</v>
      </c>
      <c r="G72" s="14">
        <v>7.0</v>
      </c>
      <c r="H72" s="14" t="s">
        <v>159</v>
      </c>
      <c r="I72" s="14">
        <v>45879.33717592592</v>
      </c>
      <c r="J72" s="14">
        <v>280.0</v>
      </c>
      <c r="K72" s="14">
        <v>10.77</v>
      </c>
      <c r="L72" s="14"/>
    </row>
    <row r="73" ht="15.75" customHeight="1">
      <c r="A73" s="14" t="s">
        <v>174</v>
      </c>
      <c r="B73" s="14" t="s">
        <v>336</v>
      </c>
      <c r="C73" s="14">
        <v>70.0</v>
      </c>
      <c r="D73" s="14" t="s">
        <v>121</v>
      </c>
      <c r="E73" s="14" t="s">
        <v>337</v>
      </c>
      <c r="F73" s="14" t="s">
        <v>177</v>
      </c>
      <c r="G73" s="14">
        <v>9.0</v>
      </c>
      <c r="H73" s="14" t="s">
        <v>162</v>
      </c>
      <c r="I73" s="14">
        <v>45879.33780092592</v>
      </c>
      <c r="J73" s="14">
        <v>415.5</v>
      </c>
      <c r="K73" s="14">
        <v>11.54</v>
      </c>
      <c r="L73" s="14"/>
    </row>
    <row r="74" ht="15.75" customHeight="1">
      <c r="A74" s="14" t="s">
        <v>174</v>
      </c>
      <c r="B74" s="14" t="s">
        <v>338</v>
      </c>
      <c r="C74" s="14">
        <v>71.0</v>
      </c>
      <c r="D74" s="14" t="s">
        <v>118</v>
      </c>
      <c r="E74" s="14" t="s">
        <v>339</v>
      </c>
      <c r="F74" s="14" t="s">
        <v>191</v>
      </c>
      <c r="G74" s="14">
        <v>6.0</v>
      </c>
      <c r="H74" s="14" t="s">
        <v>157</v>
      </c>
      <c r="I74" s="14">
        <v>45879.3469212963</v>
      </c>
      <c r="J74" s="14">
        <v>331.0</v>
      </c>
      <c r="K74" s="14">
        <v>11.03</v>
      </c>
      <c r="L74" s="14"/>
    </row>
    <row r="75" ht="15.75" customHeight="1">
      <c r="A75" s="14" t="s">
        <v>174</v>
      </c>
      <c r="B75" s="14" t="s">
        <v>340</v>
      </c>
      <c r="C75" s="14">
        <v>72.0</v>
      </c>
      <c r="D75" s="14" t="s">
        <v>123</v>
      </c>
      <c r="E75" s="14" t="s">
        <v>341</v>
      </c>
      <c r="F75" s="14" t="s">
        <v>191</v>
      </c>
      <c r="G75" s="14">
        <v>5.0</v>
      </c>
      <c r="H75" s="14" t="s">
        <v>161</v>
      </c>
      <c r="I75" s="14">
        <v>45879.34767361111</v>
      </c>
      <c r="J75" s="14">
        <v>84.5</v>
      </c>
      <c r="K75" s="14">
        <v>7.04</v>
      </c>
      <c r="L75" s="14"/>
    </row>
    <row r="76" ht="15.75" customHeight="1">
      <c r="A76" s="14" t="s">
        <v>174</v>
      </c>
      <c r="B76" s="14" t="s">
        <v>342</v>
      </c>
      <c r="C76" s="14">
        <v>73.0</v>
      </c>
      <c r="D76" s="14" t="s">
        <v>118</v>
      </c>
      <c r="E76" s="14" t="s">
        <v>343</v>
      </c>
      <c r="F76" s="14" t="s">
        <v>215</v>
      </c>
      <c r="G76" s="14">
        <v>3.0</v>
      </c>
      <c r="H76" s="14" t="s">
        <v>159</v>
      </c>
      <c r="I76" s="14">
        <v>45879.34850694444</v>
      </c>
      <c r="J76" s="14">
        <v>294.5</v>
      </c>
      <c r="K76" s="14">
        <v>9.2</v>
      </c>
      <c r="L76" s="14"/>
    </row>
    <row r="77" ht="15.75" customHeight="1">
      <c r="A77" s="14" t="s">
        <v>174</v>
      </c>
      <c r="B77" s="14" t="s">
        <v>344</v>
      </c>
      <c r="C77" s="14">
        <v>74.0</v>
      </c>
      <c r="D77" s="14" t="s">
        <v>123</v>
      </c>
      <c r="E77" s="14" t="s">
        <v>345</v>
      </c>
      <c r="F77" s="14" t="s">
        <v>231</v>
      </c>
      <c r="G77" s="14">
        <v>2.0</v>
      </c>
      <c r="H77" s="14" t="s">
        <v>163</v>
      </c>
      <c r="I77" s="14">
        <v>45879.34898148148</v>
      </c>
      <c r="J77" s="14">
        <v>255.5</v>
      </c>
      <c r="K77" s="14">
        <v>6.91</v>
      </c>
      <c r="L77" s="14"/>
    </row>
    <row r="78" ht="15.75" customHeight="1">
      <c r="A78" s="14" t="s">
        <v>174</v>
      </c>
      <c r="B78" s="14" t="s">
        <v>346</v>
      </c>
      <c r="C78" s="14">
        <v>75.0</v>
      </c>
      <c r="D78" s="14" t="s">
        <v>118</v>
      </c>
      <c r="E78" s="14" t="s">
        <v>347</v>
      </c>
      <c r="F78" s="14" t="s">
        <v>188</v>
      </c>
      <c r="G78" s="14">
        <v>6.0</v>
      </c>
      <c r="H78" s="14" t="s">
        <v>161</v>
      </c>
      <c r="I78" s="14">
        <v>45879.34951388889</v>
      </c>
      <c r="J78" s="14">
        <v>295.75</v>
      </c>
      <c r="K78" s="14">
        <v>10.2</v>
      </c>
      <c r="L78" s="14"/>
    </row>
    <row r="79" ht="15.75" customHeight="1">
      <c r="A79" s="14" t="s">
        <v>174</v>
      </c>
      <c r="B79" s="14" t="s">
        <v>348</v>
      </c>
      <c r="C79" s="14">
        <v>76.0</v>
      </c>
      <c r="D79" s="14" t="s">
        <v>123</v>
      </c>
      <c r="E79" s="14" t="s">
        <v>349</v>
      </c>
      <c r="F79" s="14" t="s">
        <v>350</v>
      </c>
      <c r="G79" s="14">
        <v>3.0</v>
      </c>
      <c r="H79" s="14" t="s">
        <v>157</v>
      </c>
      <c r="I79" s="14">
        <v>45879.35049768518</v>
      </c>
      <c r="J79" s="14">
        <v>115.5</v>
      </c>
      <c r="K79" s="14">
        <v>3.4</v>
      </c>
      <c r="L79" s="14"/>
    </row>
    <row r="80" ht="15.75" customHeight="1">
      <c r="A80" s="14" t="s">
        <v>174</v>
      </c>
      <c r="B80" s="14" t="s">
        <v>351</v>
      </c>
      <c r="C80" s="14">
        <v>77.0</v>
      </c>
      <c r="D80" s="14" t="s">
        <v>118</v>
      </c>
      <c r="E80" s="14" t="s">
        <v>352</v>
      </c>
      <c r="F80" s="14" t="s">
        <v>191</v>
      </c>
      <c r="G80" s="14">
        <v>3.0</v>
      </c>
      <c r="H80" s="14" t="s">
        <v>156</v>
      </c>
      <c r="I80" s="14">
        <v>45879.35115740741</v>
      </c>
      <c r="J80" s="14">
        <v>270.75</v>
      </c>
      <c r="K80" s="14">
        <v>8.73</v>
      </c>
      <c r="L80" s="14"/>
    </row>
    <row r="81" ht="15.75" customHeight="1">
      <c r="A81" s="14" t="s">
        <v>174</v>
      </c>
      <c r="B81" s="14" t="s">
        <v>353</v>
      </c>
      <c r="C81" s="14">
        <v>78.0</v>
      </c>
      <c r="D81" s="14" t="s">
        <v>118</v>
      </c>
      <c r="E81" s="14" t="s">
        <v>354</v>
      </c>
      <c r="F81" s="14" t="s">
        <v>355</v>
      </c>
      <c r="G81" s="14">
        <v>2.0</v>
      </c>
      <c r="H81" s="14" t="s">
        <v>163</v>
      </c>
      <c r="I81" s="14">
        <v>45879.35177083333</v>
      </c>
      <c r="J81" s="14">
        <v>391.75</v>
      </c>
      <c r="K81" s="14">
        <v>11.19</v>
      </c>
      <c r="L81" s="14"/>
    </row>
    <row r="82" ht="15.75" customHeight="1">
      <c r="A82" s="14" t="s">
        <v>174</v>
      </c>
      <c r="B82" s="14" t="s">
        <v>356</v>
      </c>
      <c r="C82" s="14">
        <v>79.0</v>
      </c>
      <c r="D82" s="14" t="s">
        <v>121</v>
      </c>
      <c r="E82" s="14" t="s">
        <v>357</v>
      </c>
      <c r="F82" s="14" t="s">
        <v>188</v>
      </c>
      <c r="G82" s="14">
        <v>2.0</v>
      </c>
      <c r="H82" s="14" t="s">
        <v>216</v>
      </c>
      <c r="I82" s="14">
        <v>45879.35238425926</v>
      </c>
      <c r="J82" s="14">
        <v>203.0</v>
      </c>
      <c r="K82" s="14">
        <v>6.15</v>
      </c>
      <c r="L82" s="14"/>
    </row>
    <row r="83" ht="15.75" customHeight="1">
      <c r="A83" s="14" t="s">
        <v>174</v>
      </c>
      <c r="B83" s="14" t="s">
        <v>358</v>
      </c>
      <c r="C83" s="14">
        <v>80.0</v>
      </c>
      <c r="D83" s="14" t="s">
        <v>118</v>
      </c>
      <c r="E83" s="14" t="s">
        <v>359</v>
      </c>
      <c r="F83" s="14" t="s">
        <v>236</v>
      </c>
      <c r="G83" s="14">
        <v>2.0</v>
      </c>
      <c r="H83" s="14" t="s">
        <v>163</v>
      </c>
      <c r="I83" s="14">
        <v>45879.35273148148</v>
      </c>
      <c r="J83" s="14">
        <v>349.75</v>
      </c>
      <c r="K83" s="14">
        <v>9.45</v>
      </c>
      <c r="L83" s="14"/>
    </row>
    <row r="84" ht="15.75" customHeight="1">
      <c r="A84" s="14" t="s">
        <v>174</v>
      </c>
      <c r="B84" s="14" t="s">
        <v>360</v>
      </c>
      <c r="C84" s="14">
        <v>81.0</v>
      </c>
      <c r="D84" s="14" t="s">
        <v>118</v>
      </c>
      <c r="E84" s="14" t="s">
        <v>361</v>
      </c>
      <c r="F84" s="14" t="s">
        <v>226</v>
      </c>
      <c r="G84" s="14">
        <v>1.0</v>
      </c>
      <c r="H84" s="14" t="s">
        <v>161</v>
      </c>
      <c r="I84" s="14">
        <v>45879.35324074074</v>
      </c>
      <c r="J84" s="14">
        <v>129.75</v>
      </c>
      <c r="K84" s="14">
        <v>6.18</v>
      </c>
      <c r="L84" s="14"/>
    </row>
    <row r="85" ht="15.75" customHeight="1">
      <c r="A85" s="14" t="s">
        <v>174</v>
      </c>
      <c r="B85" s="14" t="s">
        <v>362</v>
      </c>
      <c r="C85" s="14">
        <v>82.0</v>
      </c>
      <c r="D85" s="14" t="s">
        <v>118</v>
      </c>
      <c r="E85" s="14" t="s">
        <v>363</v>
      </c>
      <c r="F85" s="14" t="s">
        <v>180</v>
      </c>
      <c r="G85" s="14">
        <v>3.0</v>
      </c>
      <c r="H85" s="14" t="s">
        <v>157</v>
      </c>
      <c r="I85" s="14">
        <v>45879.35378472223</v>
      </c>
      <c r="J85" s="14">
        <v>353.75</v>
      </c>
      <c r="K85" s="14">
        <v>10.4</v>
      </c>
      <c r="L85" s="14"/>
    </row>
    <row r="86" ht="15.75" customHeight="1">
      <c r="A86" s="14" t="s">
        <v>174</v>
      </c>
      <c r="B86" s="14" t="s">
        <v>364</v>
      </c>
      <c r="C86" s="14">
        <v>83.0</v>
      </c>
      <c r="D86" s="14" t="s">
        <v>121</v>
      </c>
      <c r="E86" s="14" t="s">
        <v>365</v>
      </c>
      <c r="F86" s="14" t="s">
        <v>305</v>
      </c>
      <c r="G86" s="14">
        <v>8.0</v>
      </c>
      <c r="H86" s="14" t="s">
        <v>162</v>
      </c>
      <c r="I86" s="14">
        <v>45879.35410879629</v>
      </c>
      <c r="J86" s="14">
        <v>353.5</v>
      </c>
      <c r="K86" s="14">
        <v>9.82</v>
      </c>
      <c r="L86" s="14"/>
    </row>
    <row r="87" ht="15.75" customHeight="1">
      <c r="A87" s="14" t="s">
        <v>174</v>
      </c>
      <c r="B87" s="14" t="s">
        <v>366</v>
      </c>
      <c r="C87" s="14">
        <v>84.0</v>
      </c>
      <c r="D87" s="14" t="s">
        <v>123</v>
      </c>
      <c r="E87" s="14" t="s">
        <v>367</v>
      </c>
      <c r="F87" s="14" t="s">
        <v>188</v>
      </c>
      <c r="G87" s="14">
        <v>3.0</v>
      </c>
      <c r="H87" s="14" t="s">
        <v>160</v>
      </c>
      <c r="I87" s="14">
        <v>45879.35488425926</v>
      </c>
      <c r="J87" s="14">
        <v>0.0</v>
      </c>
      <c r="K87" s="14">
        <v>0.0</v>
      </c>
      <c r="L87" s="14"/>
    </row>
    <row r="88" ht="15.75" customHeight="1">
      <c r="A88" s="14" t="s">
        <v>174</v>
      </c>
      <c r="B88" s="14" t="s">
        <v>368</v>
      </c>
      <c r="C88" s="14">
        <v>85.0</v>
      </c>
      <c r="D88" s="14" t="s">
        <v>121</v>
      </c>
      <c r="E88" s="14" t="s">
        <v>369</v>
      </c>
      <c r="F88" s="14" t="s">
        <v>370</v>
      </c>
      <c r="G88" s="14">
        <v>1.0</v>
      </c>
      <c r="H88" s="14" t="s">
        <v>160</v>
      </c>
      <c r="I88" s="14">
        <v>45879.35560185185</v>
      </c>
      <c r="J88" s="14">
        <v>4.5</v>
      </c>
      <c r="K88" s="14">
        <v>0.9</v>
      </c>
      <c r="L88" s="14"/>
    </row>
    <row r="89" ht="15.75" customHeight="1">
      <c r="A89" s="14" t="s">
        <v>174</v>
      </c>
      <c r="B89" s="14" t="s">
        <v>371</v>
      </c>
      <c r="C89" s="14">
        <v>86.0</v>
      </c>
      <c r="D89" s="14" t="s">
        <v>121</v>
      </c>
      <c r="E89" s="14" t="s">
        <v>372</v>
      </c>
      <c r="F89" s="14" t="s">
        <v>231</v>
      </c>
      <c r="G89" s="14">
        <v>4.0</v>
      </c>
      <c r="H89" s="14" t="s">
        <v>161</v>
      </c>
      <c r="I89" s="14">
        <v>45879.35614583334</v>
      </c>
      <c r="J89" s="14">
        <v>360.5</v>
      </c>
      <c r="K89" s="14">
        <v>10.6</v>
      </c>
      <c r="L89" s="14"/>
    </row>
    <row r="90" ht="15.75" customHeight="1">
      <c r="A90" s="14" t="s">
        <v>174</v>
      </c>
      <c r="B90" s="14" t="s">
        <v>373</v>
      </c>
      <c r="C90" s="14">
        <v>87.0</v>
      </c>
      <c r="D90" s="14" t="s">
        <v>121</v>
      </c>
      <c r="E90" s="14" t="s">
        <v>374</v>
      </c>
      <c r="F90" s="14" t="s">
        <v>191</v>
      </c>
      <c r="G90" s="14">
        <v>3.0</v>
      </c>
      <c r="H90" s="14" t="s">
        <v>160</v>
      </c>
      <c r="I90" s="14">
        <v>45879.35663194444</v>
      </c>
      <c r="J90" s="14">
        <v>164.5</v>
      </c>
      <c r="K90" s="14">
        <v>6.33</v>
      </c>
      <c r="L90" s="14"/>
    </row>
    <row r="91" ht="15.75" customHeight="1">
      <c r="A91" s="14" t="s">
        <v>174</v>
      </c>
      <c r="B91" s="14" t="s">
        <v>375</v>
      </c>
      <c r="C91" s="14">
        <v>88.0</v>
      </c>
      <c r="D91" s="14" t="s">
        <v>118</v>
      </c>
      <c r="E91" s="14" t="s">
        <v>376</v>
      </c>
      <c r="F91" s="14" t="s">
        <v>257</v>
      </c>
      <c r="G91" s="14">
        <v>1.0</v>
      </c>
      <c r="H91" s="14" t="s">
        <v>162</v>
      </c>
      <c r="I91" s="14">
        <v>45879.35733796296</v>
      </c>
      <c r="J91" s="14">
        <v>367.0</v>
      </c>
      <c r="K91" s="14">
        <v>9.92</v>
      </c>
      <c r="L91" s="14"/>
    </row>
    <row r="92" ht="15.75" customHeight="1">
      <c r="A92" s="14" t="s">
        <v>174</v>
      </c>
      <c r="B92" s="14" t="s">
        <v>377</v>
      </c>
      <c r="C92" s="14">
        <v>89.0</v>
      </c>
      <c r="D92" s="14" t="s">
        <v>118</v>
      </c>
      <c r="E92" s="14" t="s">
        <v>378</v>
      </c>
      <c r="F92" s="14" t="s">
        <v>236</v>
      </c>
      <c r="G92" s="14">
        <v>4.0</v>
      </c>
      <c r="H92" s="14" t="s">
        <v>216</v>
      </c>
      <c r="I92" s="14">
        <v>45879.35777777778</v>
      </c>
      <c r="J92" s="14">
        <v>174.75</v>
      </c>
      <c r="K92" s="14">
        <v>4.6</v>
      </c>
      <c r="L92" s="14"/>
    </row>
    <row r="93" ht="15.75" customHeight="1">
      <c r="A93" s="14" t="s">
        <v>174</v>
      </c>
      <c r="B93" s="14" t="s">
        <v>379</v>
      </c>
      <c r="C93" s="14">
        <v>90.0</v>
      </c>
      <c r="D93" s="14" t="s">
        <v>121</v>
      </c>
      <c r="E93" s="14" t="s">
        <v>380</v>
      </c>
      <c r="F93" s="14" t="s">
        <v>180</v>
      </c>
      <c r="G93" s="14">
        <v>2.0</v>
      </c>
      <c r="H93" s="14" t="s">
        <v>161</v>
      </c>
      <c r="I93" s="14">
        <v>45879.3584375</v>
      </c>
      <c r="J93" s="14">
        <v>146.5</v>
      </c>
      <c r="K93" s="14">
        <v>6.98</v>
      </c>
      <c r="L93" s="14"/>
    </row>
    <row r="94" ht="15.75" customHeight="1">
      <c r="A94" s="14" t="s">
        <v>174</v>
      </c>
      <c r="B94" s="14" t="s">
        <v>381</v>
      </c>
      <c r="C94" s="14">
        <v>91.0</v>
      </c>
      <c r="D94" s="14" t="s">
        <v>118</v>
      </c>
      <c r="E94" s="14" t="s">
        <v>382</v>
      </c>
      <c r="F94" s="14" t="s">
        <v>191</v>
      </c>
      <c r="G94" s="14">
        <v>2.0</v>
      </c>
      <c r="H94" s="14" t="s">
        <v>160</v>
      </c>
      <c r="I94" s="14">
        <v>45879.35913194445</v>
      </c>
      <c r="J94" s="14">
        <v>247.25</v>
      </c>
      <c r="K94" s="14">
        <v>9.51</v>
      </c>
      <c r="L94" s="14"/>
    </row>
    <row r="95" ht="15.75" customHeight="1">
      <c r="A95" s="14" t="s">
        <v>174</v>
      </c>
      <c r="B95" s="14" t="s">
        <v>383</v>
      </c>
      <c r="C95" s="14">
        <v>92.0</v>
      </c>
      <c r="D95" s="14" t="s">
        <v>121</v>
      </c>
      <c r="E95" s="14" t="s">
        <v>384</v>
      </c>
      <c r="F95" s="14" t="s">
        <v>191</v>
      </c>
      <c r="G95" s="14">
        <v>15.0</v>
      </c>
      <c r="H95" s="14" t="s">
        <v>161</v>
      </c>
      <c r="I95" s="14">
        <v>45879.35953703704</v>
      </c>
      <c r="J95" s="14">
        <v>121.0</v>
      </c>
      <c r="K95" s="14">
        <v>4.03</v>
      </c>
      <c r="L95" s="14"/>
    </row>
    <row r="96" ht="15.75" customHeight="1">
      <c r="A96" s="14" t="s">
        <v>174</v>
      </c>
      <c r="B96" s="14" t="s">
        <v>385</v>
      </c>
      <c r="C96" s="14">
        <v>93.0</v>
      </c>
      <c r="D96" s="14" t="s">
        <v>121</v>
      </c>
      <c r="E96" s="14" t="s">
        <v>386</v>
      </c>
      <c r="F96" s="14" t="s">
        <v>387</v>
      </c>
      <c r="G96" s="14">
        <v>3.0</v>
      </c>
      <c r="H96" s="14" t="s">
        <v>159</v>
      </c>
      <c r="I96" s="14">
        <v>45879.36053240741</v>
      </c>
      <c r="J96" s="14">
        <v>90.5</v>
      </c>
      <c r="K96" s="14">
        <v>3.93</v>
      </c>
      <c r="L96" s="14"/>
    </row>
    <row r="97" ht="15.75" customHeight="1">
      <c r="A97" s="14" t="s">
        <v>174</v>
      </c>
      <c r="B97" s="14" t="s">
        <v>388</v>
      </c>
      <c r="C97" s="14">
        <v>94.0</v>
      </c>
      <c r="D97" s="14" t="s">
        <v>123</v>
      </c>
      <c r="E97" s="14" t="s">
        <v>389</v>
      </c>
      <c r="F97" s="14" t="s">
        <v>305</v>
      </c>
      <c r="G97" s="14">
        <v>1.0</v>
      </c>
      <c r="H97" s="14" t="s">
        <v>158</v>
      </c>
      <c r="I97" s="14">
        <v>45879.36107638889</v>
      </c>
      <c r="J97" s="14">
        <v>280.5</v>
      </c>
      <c r="K97" s="14">
        <v>7.79</v>
      </c>
      <c r="L97" s="14"/>
    </row>
    <row r="98" ht="15.75" customHeight="1">
      <c r="A98" s="14" t="s">
        <v>174</v>
      </c>
      <c r="B98" s="14" t="s">
        <v>390</v>
      </c>
      <c r="C98" s="14">
        <v>95.0</v>
      </c>
      <c r="D98" s="14" t="s">
        <v>121</v>
      </c>
      <c r="E98" s="14" t="s">
        <v>391</v>
      </c>
      <c r="F98" s="14" t="s">
        <v>243</v>
      </c>
      <c r="G98" s="14">
        <v>3.0</v>
      </c>
      <c r="H98" s="14" t="s">
        <v>157</v>
      </c>
      <c r="I98" s="14">
        <v>45879.36153935185</v>
      </c>
      <c r="J98" s="14">
        <v>0.0</v>
      </c>
      <c r="K98" s="14">
        <v>0.0</v>
      </c>
      <c r="L98" s="14"/>
    </row>
    <row r="99" ht="15.75" customHeight="1">
      <c r="A99" s="14" t="s">
        <v>174</v>
      </c>
      <c r="B99" s="14" t="s">
        <v>392</v>
      </c>
      <c r="C99" s="14">
        <v>96.0</v>
      </c>
      <c r="D99" s="14" t="s">
        <v>118</v>
      </c>
      <c r="E99" s="14" t="s">
        <v>393</v>
      </c>
      <c r="F99" s="14" t="s">
        <v>257</v>
      </c>
      <c r="G99" s="14">
        <v>1.0</v>
      </c>
      <c r="H99" s="14" t="s">
        <v>163</v>
      </c>
      <c r="I99" s="14">
        <v>45879.36196759259</v>
      </c>
      <c r="J99" s="14">
        <v>195.5</v>
      </c>
      <c r="K99" s="14">
        <v>5.92</v>
      </c>
      <c r="L99" s="14"/>
    </row>
    <row r="100" ht="15.75" customHeight="1">
      <c r="A100" s="14" t="s">
        <v>174</v>
      </c>
      <c r="B100" s="14" t="s">
        <v>394</v>
      </c>
      <c r="C100" s="14">
        <v>97.0</v>
      </c>
      <c r="D100" s="14" t="s">
        <v>121</v>
      </c>
      <c r="E100" s="14" t="s">
        <v>395</v>
      </c>
      <c r="F100" s="14" t="s">
        <v>236</v>
      </c>
      <c r="G100" s="14">
        <v>1.0</v>
      </c>
      <c r="H100" s="14" t="s">
        <v>82</v>
      </c>
      <c r="I100" s="14">
        <v>45879.36226851852</v>
      </c>
      <c r="J100" s="14">
        <v>405.0</v>
      </c>
      <c r="K100" s="14">
        <v>10.66</v>
      </c>
      <c r="L100" s="14"/>
    </row>
    <row r="101" ht="15.75" customHeight="1">
      <c r="A101" s="14" t="s">
        <v>174</v>
      </c>
      <c r="B101" s="14" t="s">
        <v>396</v>
      </c>
      <c r="C101" s="14">
        <v>98.0</v>
      </c>
      <c r="D101" s="14" t="s">
        <v>121</v>
      </c>
      <c r="E101" s="14" t="s">
        <v>397</v>
      </c>
      <c r="F101" s="14" t="s">
        <v>398</v>
      </c>
      <c r="G101" s="14">
        <v>2.0</v>
      </c>
      <c r="H101" s="14" t="s">
        <v>216</v>
      </c>
      <c r="I101" s="14">
        <v>45879.36283564815</v>
      </c>
      <c r="J101" s="14">
        <v>306.5</v>
      </c>
      <c r="K101" s="14">
        <v>9.58</v>
      </c>
      <c r="L101" s="14"/>
    </row>
    <row r="102" ht="15.75" customHeight="1">
      <c r="A102" s="14" t="s">
        <v>174</v>
      </c>
      <c r="B102" s="14" t="s">
        <v>399</v>
      </c>
      <c r="C102" s="14">
        <v>99.0</v>
      </c>
      <c r="D102" s="14" t="s">
        <v>121</v>
      </c>
      <c r="E102" s="14" t="s">
        <v>400</v>
      </c>
      <c r="F102" s="14" t="s">
        <v>226</v>
      </c>
      <c r="G102" s="14">
        <v>5.0</v>
      </c>
      <c r="H102" s="14" t="s">
        <v>216</v>
      </c>
      <c r="I102" s="14">
        <v>45879.36322916667</v>
      </c>
      <c r="J102" s="14">
        <v>203.5</v>
      </c>
      <c r="K102" s="14">
        <v>5.81</v>
      </c>
      <c r="L102" s="14"/>
    </row>
    <row r="103" ht="15.75" customHeight="1">
      <c r="A103" s="14" t="s">
        <v>174</v>
      </c>
      <c r="B103" s="14" t="s">
        <v>401</v>
      </c>
      <c r="C103" s="14">
        <v>100.0</v>
      </c>
      <c r="D103" s="14" t="s">
        <v>121</v>
      </c>
      <c r="E103" s="14" t="s">
        <v>402</v>
      </c>
      <c r="F103" s="14" t="s">
        <v>257</v>
      </c>
      <c r="G103" s="14">
        <v>5.0</v>
      </c>
      <c r="H103" s="14" t="s">
        <v>159</v>
      </c>
      <c r="I103" s="14">
        <v>45879.36386574074</v>
      </c>
      <c r="J103" s="14">
        <v>205.5</v>
      </c>
      <c r="K103" s="14">
        <v>10.28</v>
      </c>
      <c r="L103" s="14"/>
    </row>
    <row r="104" ht="15.75" customHeight="1">
      <c r="A104" s="14" t="s">
        <v>174</v>
      </c>
      <c r="B104" s="14" t="s">
        <v>403</v>
      </c>
      <c r="C104" s="14">
        <v>101.0</v>
      </c>
      <c r="D104" s="14" t="s">
        <v>115</v>
      </c>
      <c r="E104" s="14" t="s">
        <v>404</v>
      </c>
      <c r="F104" s="14" t="s">
        <v>257</v>
      </c>
      <c r="G104" s="14">
        <v>1.0</v>
      </c>
      <c r="H104" s="14" t="s">
        <v>161</v>
      </c>
      <c r="I104" s="14">
        <v>45879.36446759259</v>
      </c>
      <c r="J104" s="14">
        <v>265.25</v>
      </c>
      <c r="K104" s="14">
        <v>6.98</v>
      </c>
      <c r="L104" s="14"/>
    </row>
    <row r="105" ht="15.75" customHeight="1">
      <c r="A105" s="14" t="s">
        <v>174</v>
      </c>
      <c r="B105" s="14" t="s">
        <v>405</v>
      </c>
      <c r="C105" s="14">
        <v>102.0</v>
      </c>
      <c r="D105" s="14" t="s">
        <v>121</v>
      </c>
      <c r="E105" s="14" t="s">
        <v>406</v>
      </c>
      <c r="F105" s="14" t="s">
        <v>285</v>
      </c>
      <c r="G105" s="14">
        <v>1.0</v>
      </c>
      <c r="H105" s="14" t="s">
        <v>157</v>
      </c>
      <c r="I105" s="14">
        <v>45879.36482638889</v>
      </c>
      <c r="J105" s="14">
        <v>350.0</v>
      </c>
      <c r="K105" s="14">
        <v>10.29</v>
      </c>
      <c r="L105" s="14"/>
    </row>
    <row r="106" ht="15.75" customHeight="1">
      <c r="A106" s="14" t="s">
        <v>174</v>
      </c>
      <c r="B106" s="14" t="s">
        <v>407</v>
      </c>
      <c r="C106" s="14">
        <v>103.0</v>
      </c>
      <c r="D106" s="14" t="s">
        <v>115</v>
      </c>
      <c r="E106" s="14" t="s">
        <v>408</v>
      </c>
      <c r="F106" s="14" t="s">
        <v>177</v>
      </c>
      <c r="G106" s="14">
        <v>2.0</v>
      </c>
      <c r="H106" s="14" t="s">
        <v>157</v>
      </c>
      <c r="I106" s="14">
        <v>45879.36511574074</v>
      </c>
      <c r="J106" s="14">
        <v>175.25</v>
      </c>
      <c r="K106" s="14">
        <v>6.74</v>
      </c>
      <c r="L106" s="14"/>
    </row>
    <row r="107" ht="15.75" customHeight="1">
      <c r="A107" s="14" t="s">
        <v>174</v>
      </c>
      <c r="B107" s="14" t="s">
        <v>409</v>
      </c>
      <c r="C107" s="14">
        <v>104.0</v>
      </c>
      <c r="D107" s="14" t="s">
        <v>118</v>
      </c>
      <c r="E107" s="14" t="s">
        <v>410</v>
      </c>
      <c r="F107" s="14" t="s">
        <v>221</v>
      </c>
      <c r="G107" s="14">
        <v>2.0</v>
      </c>
      <c r="H107" s="14" t="s">
        <v>160</v>
      </c>
      <c r="I107" s="14">
        <v>45879.36553240741</v>
      </c>
      <c r="J107" s="14">
        <v>368.25</v>
      </c>
      <c r="K107" s="14">
        <v>9.69</v>
      </c>
      <c r="L107" s="14"/>
    </row>
    <row r="108" ht="15.75" customHeight="1">
      <c r="A108" s="14" t="s">
        <v>174</v>
      </c>
      <c r="B108" s="14" t="s">
        <v>411</v>
      </c>
      <c r="C108" s="14">
        <v>105.0</v>
      </c>
      <c r="D108" s="14" t="s">
        <v>123</v>
      </c>
      <c r="E108" s="14" t="s">
        <v>412</v>
      </c>
      <c r="F108" s="14" t="s">
        <v>327</v>
      </c>
      <c r="G108" s="14">
        <v>1.0</v>
      </c>
      <c r="H108" s="14" t="s">
        <v>160</v>
      </c>
      <c r="I108" s="14">
        <v>45879.3659837963</v>
      </c>
      <c r="J108" s="14">
        <v>295.5</v>
      </c>
      <c r="K108" s="14">
        <v>8.44</v>
      </c>
      <c r="L108" s="14"/>
    </row>
    <row r="109" ht="15.75" customHeight="1">
      <c r="A109" s="14" t="s">
        <v>174</v>
      </c>
      <c r="B109" s="14" t="s">
        <v>413</v>
      </c>
      <c r="C109" s="14">
        <v>106.0</v>
      </c>
      <c r="D109" s="14" t="s">
        <v>118</v>
      </c>
      <c r="E109" s="14" t="s">
        <v>414</v>
      </c>
      <c r="F109" s="14" t="s">
        <v>188</v>
      </c>
      <c r="G109" s="14">
        <v>1.0</v>
      </c>
      <c r="H109" s="14" t="s">
        <v>163</v>
      </c>
      <c r="I109" s="14">
        <v>45879.36628472222</v>
      </c>
      <c r="J109" s="14">
        <v>264.25</v>
      </c>
      <c r="K109" s="14">
        <v>7.77</v>
      </c>
      <c r="L109" s="14"/>
    </row>
    <row r="110" ht="15.75" customHeight="1">
      <c r="A110" s="14" t="s">
        <v>174</v>
      </c>
      <c r="B110" s="14" t="s">
        <v>415</v>
      </c>
      <c r="C110" s="14">
        <v>107.0</v>
      </c>
      <c r="D110" s="14" t="s">
        <v>118</v>
      </c>
      <c r="E110" s="14" t="s">
        <v>416</v>
      </c>
      <c r="F110" s="14" t="s">
        <v>199</v>
      </c>
      <c r="G110" s="14">
        <v>1.0</v>
      </c>
      <c r="H110" s="14" t="s">
        <v>82</v>
      </c>
      <c r="I110" s="14">
        <v>45879.36685185185</v>
      </c>
      <c r="J110" s="14">
        <v>142.75</v>
      </c>
      <c r="K110" s="14">
        <v>4.76</v>
      </c>
      <c r="L110" s="14"/>
    </row>
    <row r="111" ht="15.75" customHeight="1">
      <c r="A111" s="14" t="s">
        <v>174</v>
      </c>
      <c r="B111" s="14" t="s">
        <v>417</v>
      </c>
      <c r="C111" s="14">
        <v>108.0</v>
      </c>
      <c r="D111" s="14" t="s">
        <v>123</v>
      </c>
      <c r="E111" s="14" t="s">
        <v>418</v>
      </c>
      <c r="F111" s="14" t="s">
        <v>231</v>
      </c>
      <c r="G111" s="14">
        <v>4.0</v>
      </c>
      <c r="H111" s="14" t="s">
        <v>162</v>
      </c>
      <c r="I111" s="14">
        <v>45879.36719907408</v>
      </c>
      <c r="J111" s="14">
        <v>179.5</v>
      </c>
      <c r="K111" s="14">
        <v>5.61</v>
      </c>
      <c r="L111" s="14"/>
    </row>
    <row r="112" ht="15.75" customHeight="1">
      <c r="A112" s="14" t="s">
        <v>174</v>
      </c>
      <c r="B112" s="14" t="s">
        <v>419</v>
      </c>
      <c r="C112" s="14">
        <v>109.0</v>
      </c>
      <c r="D112" s="14" t="s">
        <v>123</v>
      </c>
      <c r="E112" s="14" t="s">
        <v>420</v>
      </c>
      <c r="F112" s="14" t="s">
        <v>215</v>
      </c>
      <c r="G112" s="14">
        <v>1.0</v>
      </c>
      <c r="H112" s="14" t="s">
        <v>216</v>
      </c>
      <c r="I112" s="14">
        <v>45879.36799768519</v>
      </c>
      <c r="J112" s="14">
        <v>34.0</v>
      </c>
      <c r="K112" s="14">
        <v>4.25</v>
      </c>
      <c r="L112" s="14"/>
    </row>
    <row r="113" ht="15.75" customHeight="1">
      <c r="A113" s="14" t="s">
        <v>174</v>
      </c>
      <c r="B113" s="14" t="s">
        <v>421</v>
      </c>
      <c r="C113" s="14">
        <v>110.0</v>
      </c>
      <c r="D113" s="14" t="s">
        <v>121</v>
      </c>
      <c r="E113" s="14" t="s">
        <v>422</v>
      </c>
      <c r="F113" s="14" t="s">
        <v>215</v>
      </c>
      <c r="G113" s="14">
        <v>3.0</v>
      </c>
      <c r="H113" s="14" t="s">
        <v>157</v>
      </c>
      <c r="I113" s="14">
        <v>45879.36829861111</v>
      </c>
      <c r="J113" s="14">
        <v>172.0</v>
      </c>
      <c r="K113" s="14">
        <v>9.56</v>
      </c>
      <c r="L113" s="14"/>
    </row>
    <row r="114" ht="15.75" customHeight="1">
      <c r="A114" s="14" t="s">
        <v>174</v>
      </c>
      <c r="B114" s="14" t="s">
        <v>423</v>
      </c>
      <c r="C114" s="14">
        <v>111.0</v>
      </c>
      <c r="D114" s="14" t="s">
        <v>118</v>
      </c>
      <c r="E114" s="14" t="s">
        <v>424</v>
      </c>
      <c r="F114" s="14" t="s">
        <v>191</v>
      </c>
      <c r="G114" s="14">
        <v>3.0</v>
      </c>
      <c r="H114" s="14" t="s">
        <v>161</v>
      </c>
      <c r="I114" s="14">
        <v>45879.36875</v>
      </c>
      <c r="J114" s="14">
        <v>26.25</v>
      </c>
      <c r="K114" s="14">
        <v>1.31</v>
      </c>
      <c r="L114" s="14"/>
    </row>
    <row r="115" ht="15.75" customHeight="1">
      <c r="A115" s="14" t="s">
        <v>174</v>
      </c>
      <c r="B115" s="14" t="s">
        <v>425</v>
      </c>
      <c r="C115" s="14">
        <v>112.0</v>
      </c>
      <c r="D115" s="14" t="s">
        <v>118</v>
      </c>
      <c r="E115" s="14" t="s">
        <v>426</v>
      </c>
      <c r="F115" s="14" t="s">
        <v>185</v>
      </c>
      <c r="G115" s="14">
        <v>3.0</v>
      </c>
      <c r="H115" s="14" t="s">
        <v>157</v>
      </c>
      <c r="I115" s="14">
        <v>45879.36921296296</v>
      </c>
      <c r="J115" s="14">
        <v>309.5</v>
      </c>
      <c r="K115" s="14">
        <v>9.1</v>
      </c>
      <c r="L115" s="14"/>
    </row>
    <row r="116" ht="15.75" customHeight="1">
      <c r="A116" s="14" t="s">
        <v>174</v>
      </c>
      <c r="B116" s="14" t="s">
        <v>427</v>
      </c>
      <c r="C116" s="14">
        <v>113.0</v>
      </c>
      <c r="D116" s="14" t="s">
        <v>115</v>
      </c>
      <c r="E116" s="14" t="s">
        <v>428</v>
      </c>
      <c r="F116" s="14" t="s">
        <v>180</v>
      </c>
      <c r="G116" s="14">
        <v>1.0</v>
      </c>
      <c r="H116" s="14" t="s">
        <v>159</v>
      </c>
      <c r="I116" s="14">
        <v>45879.36971064815</v>
      </c>
      <c r="J116" s="14">
        <v>31.5</v>
      </c>
      <c r="K116" s="14">
        <v>7.88</v>
      </c>
      <c r="L116" s="14"/>
    </row>
    <row r="117" ht="15.75" customHeight="1">
      <c r="A117" s="14" t="s">
        <v>174</v>
      </c>
      <c r="B117" s="14" t="s">
        <v>429</v>
      </c>
      <c r="C117" s="14">
        <v>114.0</v>
      </c>
      <c r="D117" s="14" t="s">
        <v>118</v>
      </c>
      <c r="E117" s="14" t="s">
        <v>430</v>
      </c>
      <c r="F117" s="14" t="s">
        <v>185</v>
      </c>
      <c r="G117" s="14">
        <v>1.0</v>
      </c>
      <c r="H117" s="14" t="s">
        <v>158</v>
      </c>
      <c r="I117" s="14">
        <v>45879.36998842593</v>
      </c>
      <c r="J117" s="14">
        <v>105.5</v>
      </c>
      <c r="K117" s="14">
        <v>5.28</v>
      </c>
      <c r="L117" s="14"/>
    </row>
    <row r="118" ht="15.75" customHeight="1">
      <c r="A118" s="14" t="s">
        <v>174</v>
      </c>
      <c r="B118" s="14" t="s">
        <v>431</v>
      </c>
      <c r="C118" s="14">
        <v>115.0</v>
      </c>
      <c r="D118" s="14" t="s">
        <v>121</v>
      </c>
      <c r="E118" s="14" t="s">
        <v>432</v>
      </c>
      <c r="F118" s="14" t="s">
        <v>257</v>
      </c>
      <c r="G118" s="14">
        <v>1.0</v>
      </c>
      <c r="H118" s="14" t="s">
        <v>160</v>
      </c>
      <c r="I118" s="14">
        <v>45879.37041666666</v>
      </c>
      <c r="J118" s="14">
        <v>58.0</v>
      </c>
      <c r="K118" s="14">
        <v>2.9</v>
      </c>
      <c r="L118" s="14"/>
    </row>
    <row r="119" ht="15.75" customHeight="1">
      <c r="A119" s="14" t="s">
        <v>174</v>
      </c>
      <c r="B119" s="14" t="s">
        <v>433</v>
      </c>
      <c r="C119" s="14">
        <v>116.0</v>
      </c>
      <c r="D119" s="14" t="s">
        <v>121</v>
      </c>
      <c r="E119" s="14" t="s">
        <v>434</v>
      </c>
      <c r="F119" s="14" t="s">
        <v>257</v>
      </c>
      <c r="G119" s="14">
        <v>4.0</v>
      </c>
      <c r="H119" s="14" t="s">
        <v>160</v>
      </c>
      <c r="I119" s="14">
        <v>45879.37076388889</v>
      </c>
      <c r="J119" s="14">
        <v>305.5</v>
      </c>
      <c r="K119" s="14">
        <v>9.85</v>
      </c>
      <c r="L119" s="14"/>
    </row>
    <row r="120" ht="15.75" customHeight="1">
      <c r="A120" s="14" t="s">
        <v>174</v>
      </c>
      <c r="B120" s="14" t="s">
        <v>435</v>
      </c>
      <c r="C120" s="14">
        <v>117.0</v>
      </c>
      <c r="D120" s="14" t="s">
        <v>121</v>
      </c>
      <c r="E120" s="14" t="s">
        <v>436</v>
      </c>
      <c r="F120" s="14" t="s">
        <v>191</v>
      </c>
      <c r="G120" s="14">
        <v>1.0</v>
      </c>
      <c r="H120" s="14" t="s">
        <v>82</v>
      </c>
      <c r="I120" s="14">
        <v>45879.3716087963</v>
      </c>
      <c r="J120" s="14">
        <v>263.5</v>
      </c>
      <c r="K120" s="14">
        <v>6.93</v>
      </c>
      <c r="L120" s="14"/>
    </row>
    <row r="121" ht="15.75" customHeight="1">
      <c r="A121" s="14" t="s">
        <v>174</v>
      </c>
      <c r="B121" s="14" t="s">
        <v>437</v>
      </c>
      <c r="C121" s="14">
        <v>118.0</v>
      </c>
      <c r="D121" s="14" t="s">
        <v>123</v>
      </c>
      <c r="E121" s="14" t="s">
        <v>438</v>
      </c>
      <c r="F121" s="14" t="s">
        <v>188</v>
      </c>
      <c r="G121" s="14">
        <v>3.0</v>
      </c>
      <c r="H121" s="14" t="s">
        <v>163</v>
      </c>
      <c r="I121" s="14">
        <v>45879.37216435185</v>
      </c>
      <c r="J121" s="14">
        <v>60.5</v>
      </c>
      <c r="K121" s="14">
        <v>3.78</v>
      </c>
      <c r="L121" s="14"/>
    </row>
    <row r="122" ht="15.75" customHeight="1">
      <c r="A122" s="14" t="s">
        <v>174</v>
      </c>
      <c r="B122" s="14" t="s">
        <v>439</v>
      </c>
      <c r="C122" s="14">
        <v>119.0</v>
      </c>
      <c r="D122" s="14" t="s">
        <v>118</v>
      </c>
      <c r="E122" s="14" t="s">
        <v>440</v>
      </c>
      <c r="F122" s="14" t="s">
        <v>177</v>
      </c>
      <c r="G122" s="14">
        <v>1.0</v>
      </c>
      <c r="H122" s="14" t="s">
        <v>156</v>
      </c>
      <c r="I122" s="14">
        <v>45879.37361111111</v>
      </c>
      <c r="J122" s="14">
        <v>258.25</v>
      </c>
      <c r="K122" s="14">
        <v>7.17</v>
      </c>
      <c r="L122" s="14"/>
    </row>
    <row r="123" ht="15.75" customHeight="1">
      <c r="A123" s="14" t="s">
        <v>174</v>
      </c>
      <c r="B123" s="14" t="s">
        <v>441</v>
      </c>
      <c r="C123" s="14">
        <v>120.0</v>
      </c>
      <c r="D123" s="14" t="s">
        <v>121</v>
      </c>
      <c r="E123" s="14" t="s">
        <v>442</v>
      </c>
      <c r="F123" s="14" t="s">
        <v>180</v>
      </c>
      <c r="G123" s="14">
        <v>1.0</v>
      </c>
      <c r="H123" s="14" t="s">
        <v>157</v>
      </c>
      <c r="I123" s="14">
        <v>45879.37392361111</v>
      </c>
      <c r="J123" s="14">
        <v>238.5</v>
      </c>
      <c r="K123" s="14">
        <v>6.28</v>
      </c>
      <c r="L123" s="14"/>
    </row>
    <row r="124" ht="15.75" customHeight="1">
      <c r="A124" s="14" t="s">
        <v>174</v>
      </c>
      <c r="B124" s="14" t="s">
        <v>443</v>
      </c>
      <c r="C124" s="14">
        <v>121.0</v>
      </c>
      <c r="D124" s="14" t="s">
        <v>121</v>
      </c>
      <c r="E124" s="14" t="s">
        <v>444</v>
      </c>
      <c r="F124" s="14" t="s">
        <v>231</v>
      </c>
      <c r="G124" s="14">
        <v>1.0</v>
      </c>
      <c r="H124" s="14" t="s">
        <v>159</v>
      </c>
      <c r="I124" s="14">
        <v>45879.37449074074</v>
      </c>
      <c r="J124" s="14">
        <v>29.0</v>
      </c>
      <c r="K124" s="14">
        <v>4.83</v>
      </c>
      <c r="L124" s="14"/>
    </row>
    <row r="125" ht="15.75" customHeight="1">
      <c r="A125" s="14" t="s">
        <v>174</v>
      </c>
      <c r="B125" s="14" t="s">
        <v>445</v>
      </c>
      <c r="C125" s="14">
        <v>122.0</v>
      </c>
      <c r="D125" s="14" t="s">
        <v>118</v>
      </c>
      <c r="E125" s="14" t="s">
        <v>446</v>
      </c>
      <c r="F125" s="14" t="s">
        <v>199</v>
      </c>
      <c r="G125" s="14">
        <v>2.0</v>
      </c>
      <c r="H125" s="14" t="s">
        <v>82</v>
      </c>
      <c r="I125" s="14">
        <v>45879.37497685185</v>
      </c>
      <c r="J125" s="14">
        <v>240.5</v>
      </c>
      <c r="K125" s="14">
        <v>7.76</v>
      </c>
      <c r="L125" s="14"/>
    </row>
    <row r="126" ht="15.75" customHeight="1">
      <c r="A126" s="14" t="s">
        <v>174</v>
      </c>
      <c r="B126" s="14" t="s">
        <v>447</v>
      </c>
      <c r="C126" s="14">
        <v>123.0</v>
      </c>
      <c r="D126" s="14" t="s">
        <v>115</v>
      </c>
      <c r="E126" s="14" t="s">
        <v>448</v>
      </c>
      <c r="F126" s="14" t="s">
        <v>305</v>
      </c>
      <c r="G126" s="14">
        <v>1.0</v>
      </c>
      <c r="H126" s="14" t="s">
        <v>160</v>
      </c>
      <c r="I126" s="14">
        <v>45879.37560185185</v>
      </c>
      <c r="J126" s="14">
        <v>249.25</v>
      </c>
      <c r="K126" s="14">
        <v>6.56</v>
      </c>
      <c r="L126" s="14"/>
    </row>
    <row r="127" ht="15.75" customHeight="1">
      <c r="A127" s="14" t="s">
        <v>174</v>
      </c>
      <c r="B127" s="14" t="s">
        <v>449</v>
      </c>
      <c r="C127" s="14">
        <v>124.0</v>
      </c>
      <c r="D127" s="14" t="s">
        <v>118</v>
      </c>
      <c r="E127" s="14" t="s">
        <v>450</v>
      </c>
      <c r="F127" s="14" t="s">
        <v>327</v>
      </c>
      <c r="G127" s="14">
        <v>1.0</v>
      </c>
      <c r="H127" s="14" t="s">
        <v>82</v>
      </c>
      <c r="I127" s="14">
        <v>45879.3759375</v>
      </c>
      <c r="J127" s="14">
        <v>272.5</v>
      </c>
      <c r="K127" s="14">
        <v>7.36</v>
      </c>
      <c r="L127" s="14"/>
    </row>
    <row r="128" ht="15.75" customHeight="1">
      <c r="A128" s="14" t="s">
        <v>174</v>
      </c>
      <c r="B128" s="14" t="s">
        <v>451</v>
      </c>
      <c r="C128" s="14">
        <v>125.0</v>
      </c>
      <c r="D128" s="14" t="s">
        <v>123</v>
      </c>
      <c r="E128" s="14" t="s">
        <v>452</v>
      </c>
      <c r="F128" s="14" t="s">
        <v>453</v>
      </c>
      <c r="G128" s="14">
        <v>1.0</v>
      </c>
      <c r="H128" s="14" t="s">
        <v>162</v>
      </c>
      <c r="I128" s="14">
        <v>45879.37633101852</v>
      </c>
      <c r="J128" s="14">
        <v>14.0</v>
      </c>
      <c r="K128" s="14">
        <v>0.88</v>
      </c>
      <c r="L128" s="14"/>
    </row>
    <row r="129" ht="15.75" customHeight="1">
      <c r="A129" s="14" t="s">
        <v>174</v>
      </c>
      <c r="B129" s="14" t="s">
        <v>454</v>
      </c>
      <c r="C129" s="14">
        <v>126.0</v>
      </c>
      <c r="D129" s="14" t="s">
        <v>121</v>
      </c>
      <c r="E129" s="14" t="s">
        <v>455</v>
      </c>
      <c r="F129" s="14" t="s">
        <v>453</v>
      </c>
      <c r="G129" s="14">
        <v>1.0</v>
      </c>
      <c r="H129" s="14" t="s">
        <v>156</v>
      </c>
      <c r="I129" s="14">
        <v>45879.37662037037</v>
      </c>
      <c r="J129" s="14">
        <v>51.0</v>
      </c>
      <c r="K129" s="14">
        <v>2.68</v>
      </c>
      <c r="L129" s="14"/>
    </row>
    <row r="130" ht="15.75" customHeight="1">
      <c r="A130" s="14" t="s">
        <v>174</v>
      </c>
      <c r="B130" s="14" t="s">
        <v>456</v>
      </c>
      <c r="C130" s="14">
        <v>127.0</v>
      </c>
      <c r="D130" s="14" t="s">
        <v>121</v>
      </c>
      <c r="E130" s="14" t="s">
        <v>457</v>
      </c>
      <c r="F130" s="14" t="s">
        <v>314</v>
      </c>
      <c r="G130" s="14">
        <v>1.0</v>
      </c>
      <c r="H130" s="14" t="s">
        <v>159</v>
      </c>
      <c r="I130" s="14">
        <v>45879.37695601852</v>
      </c>
      <c r="J130" s="14">
        <v>343.0</v>
      </c>
      <c r="K130" s="14">
        <v>9.53</v>
      </c>
      <c r="L130" s="14"/>
    </row>
    <row r="131" ht="15.75" customHeight="1">
      <c r="A131" s="14" t="s">
        <v>174</v>
      </c>
      <c r="B131" s="14" t="s">
        <v>458</v>
      </c>
      <c r="C131" s="14">
        <v>128.0</v>
      </c>
      <c r="D131" s="14" t="s">
        <v>121</v>
      </c>
      <c r="E131" s="14" t="s">
        <v>459</v>
      </c>
      <c r="F131" s="14" t="s">
        <v>226</v>
      </c>
      <c r="G131" s="14">
        <v>1.0</v>
      </c>
      <c r="H131" s="14" t="s">
        <v>158</v>
      </c>
      <c r="I131" s="14">
        <v>45879.37725694444</v>
      </c>
      <c r="J131" s="14">
        <v>208.0</v>
      </c>
      <c r="K131" s="14">
        <v>5.62</v>
      </c>
      <c r="L131" s="14"/>
    </row>
    <row r="132" ht="15.75" customHeight="1">
      <c r="A132" s="14" t="s">
        <v>174</v>
      </c>
      <c r="B132" s="14" t="s">
        <v>460</v>
      </c>
      <c r="C132" s="14">
        <v>129.0</v>
      </c>
      <c r="D132" s="14" t="s">
        <v>118</v>
      </c>
      <c r="E132" s="14" t="s">
        <v>461</v>
      </c>
      <c r="F132" s="14" t="s">
        <v>231</v>
      </c>
      <c r="G132" s="14">
        <v>2.0</v>
      </c>
      <c r="H132" s="14" t="s">
        <v>162</v>
      </c>
      <c r="I132" s="14">
        <v>45879.37761574074</v>
      </c>
      <c r="J132" s="14">
        <v>200.75</v>
      </c>
      <c r="K132" s="14">
        <v>6.69</v>
      </c>
      <c r="L132" s="14"/>
    </row>
    <row r="133" ht="15.75" customHeight="1">
      <c r="A133" s="14" t="s">
        <v>174</v>
      </c>
      <c r="B133" s="14" t="s">
        <v>462</v>
      </c>
      <c r="C133" s="14">
        <v>130.0</v>
      </c>
      <c r="D133" s="14" t="s">
        <v>121</v>
      </c>
      <c r="E133" s="14" t="s">
        <v>463</v>
      </c>
      <c r="F133" s="14" t="s">
        <v>464</v>
      </c>
      <c r="G133" s="14">
        <v>1.0</v>
      </c>
      <c r="H133" s="14" t="s">
        <v>162</v>
      </c>
      <c r="I133" s="14">
        <v>45879.37898148148</v>
      </c>
      <c r="J133" s="14">
        <v>118.5</v>
      </c>
      <c r="K133" s="14">
        <v>5.15</v>
      </c>
      <c r="L133" s="14"/>
    </row>
    <row r="134" ht="15.75" customHeight="1">
      <c r="A134" s="14" t="s">
        <v>174</v>
      </c>
      <c r="B134" s="14" t="s">
        <v>465</v>
      </c>
      <c r="C134" s="14">
        <v>131.0</v>
      </c>
      <c r="D134" s="14" t="s">
        <v>118</v>
      </c>
      <c r="E134" s="14" t="s">
        <v>466</v>
      </c>
      <c r="F134" s="14" t="s">
        <v>243</v>
      </c>
      <c r="G134" s="14">
        <v>1.0</v>
      </c>
      <c r="H134" s="14" t="s">
        <v>156</v>
      </c>
      <c r="I134" s="14">
        <v>45879.37950231481</v>
      </c>
      <c r="J134" s="14">
        <v>196.25</v>
      </c>
      <c r="K134" s="14">
        <v>8.53</v>
      </c>
      <c r="L134" s="14"/>
    </row>
    <row r="135" ht="15.75" customHeight="1">
      <c r="A135" s="14" t="s">
        <v>174</v>
      </c>
      <c r="B135" s="14" t="s">
        <v>467</v>
      </c>
      <c r="C135" s="14">
        <v>132.0</v>
      </c>
      <c r="D135" s="14" t="s">
        <v>118</v>
      </c>
      <c r="E135" s="14" t="s">
        <v>468</v>
      </c>
      <c r="F135" s="14" t="s">
        <v>188</v>
      </c>
      <c r="G135" s="14">
        <v>1.0</v>
      </c>
      <c r="H135" s="14" t="s">
        <v>159</v>
      </c>
      <c r="I135" s="14">
        <v>45879.38033564815</v>
      </c>
      <c r="J135" s="14">
        <v>27.75</v>
      </c>
      <c r="K135" s="14">
        <v>1.26</v>
      </c>
      <c r="L135" s="14"/>
    </row>
    <row r="136" ht="15.75" customHeight="1">
      <c r="A136" s="14" t="s">
        <v>174</v>
      </c>
      <c r="B136" s="14" t="s">
        <v>469</v>
      </c>
      <c r="C136" s="14">
        <v>133.0</v>
      </c>
      <c r="D136" s="14" t="s">
        <v>121</v>
      </c>
      <c r="E136" s="14" t="s">
        <v>470</v>
      </c>
      <c r="F136" s="14" t="s">
        <v>305</v>
      </c>
      <c r="G136" s="14">
        <v>1.0</v>
      </c>
      <c r="H136" s="14" t="s">
        <v>158</v>
      </c>
      <c r="I136" s="14">
        <v>45879.38065972222</v>
      </c>
      <c r="J136" s="14">
        <v>164.0</v>
      </c>
      <c r="K136" s="14">
        <v>4.43</v>
      </c>
      <c r="L136" s="14"/>
    </row>
    <row r="137" ht="15.75" customHeight="1">
      <c r="A137" s="14" t="s">
        <v>174</v>
      </c>
      <c r="B137" s="14" t="s">
        <v>471</v>
      </c>
      <c r="C137" s="14">
        <v>134.0</v>
      </c>
      <c r="D137" s="14" t="s">
        <v>118</v>
      </c>
      <c r="E137" s="14" t="s">
        <v>472</v>
      </c>
      <c r="F137" s="14" t="s">
        <v>221</v>
      </c>
      <c r="G137" s="14">
        <v>1.0</v>
      </c>
      <c r="H137" s="14" t="s">
        <v>82</v>
      </c>
      <c r="I137" s="14">
        <v>45879.38094907408</v>
      </c>
      <c r="J137" s="14">
        <v>326.25</v>
      </c>
      <c r="K137" s="14">
        <v>9.32</v>
      </c>
      <c r="L137" s="14"/>
    </row>
    <row r="138" ht="15.75" customHeight="1">
      <c r="A138" s="14" t="s">
        <v>174</v>
      </c>
      <c r="B138" s="14" t="s">
        <v>473</v>
      </c>
      <c r="C138" s="14">
        <v>135.0</v>
      </c>
      <c r="D138" s="14" t="s">
        <v>115</v>
      </c>
      <c r="E138" s="14" t="s">
        <v>474</v>
      </c>
      <c r="F138" s="14" t="s">
        <v>191</v>
      </c>
      <c r="G138" s="14">
        <v>1.0</v>
      </c>
      <c r="H138" s="14" t="s">
        <v>162</v>
      </c>
      <c r="I138" s="14">
        <v>45879.38162037037</v>
      </c>
      <c r="J138" s="14">
        <v>296.0</v>
      </c>
      <c r="K138" s="14">
        <v>8.0</v>
      </c>
      <c r="L138" s="14"/>
    </row>
    <row r="139" ht="15.75" customHeight="1">
      <c r="A139" s="14" t="s">
        <v>174</v>
      </c>
      <c r="B139" s="14" t="s">
        <v>475</v>
      </c>
      <c r="C139" s="14">
        <v>136.0</v>
      </c>
      <c r="D139" s="14" t="s">
        <v>121</v>
      </c>
      <c r="E139" s="14" t="s">
        <v>476</v>
      </c>
      <c r="F139" s="14" t="s">
        <v>453</v>
      </c>
      <c r="G139" s="14">
        <v>1.0</v>
      </c>
      <c r="H139" s="14" t="s">
        <v>156</v>
      </c>
      <c r="I139" s="14">
        <v>45879.38216435185</v>
      </c>
      <c r="J139" s="14">
        <v>278.0</v>
      </c>
      <c r="K139" s="14">
        <v>7.51</v>
      </c>
      <c r="L139" s="14"/>
    </row>
    <row r="140" ht="15.75" customHeight="1">
      <c r="A140" s="14" t="s">
        <v>174</v>
      </c>
      <c r="B140" s="14" t="s">
        <v>477</v>
      </c>
      <c r="C140" s="14">
        <v>137.0</v>
      </c>
      <c r="D140" s="14" t="s">
        <v>118</v>
      </c>
      <c r="E140" s="14" t="s">
        <v>478</v>
      </c>
      <c r="F140" s="14" t="s">
        <v>180</v>
      </c>
      <c r="G140" s="14">
        <v>1.0</v>
      </c>
      <c r="H140" s="14" t="s">
        <v>158</v>
      </c>
      <c r="I140" s="14">
        <v>45879.38266203704</v>
      </c>
      <c r="J140" s="14">
        <v>218.75</v>
      </c>
      <c r="K140" s="14">
        <v>8.41</v>
      </c>
      <c r="L140" s="14"/>
    </row>
    <row r="141" ht="15.75" customHeight="1">
      <c r="A141" s="14" t="s">
        <v>174</v>
      </c>
      <c r="B141" s="14" t="s">
        <v>479</v>
      </c>
      <c r="C141" s="14">
        <v>138.0</v>
      </c>
      <c r="D141" s="14" t="s">
        <v>123</v>
      </c>
      <c r="E141" s="14" t="s">
        <v>480</v>
      </c>
      <c r="F141" s="14" t="s">
        <v>188</v>
      </c>
      <c r="G141" s="14">
        <v>1.0</v>
      </c>
      <c r="H141" s="14" t="s">
        <v>82</v>
      </c>
      <c r="I141" s="14">
        <v>45879.38296296296</v>
      </c>
      <c r="J141" s="14">
        <v>129.0</v>
      </c>
      <c r="K141" s="14">
        <v>5.86</v>
      </c>
      <c r="L141" s="14"/>
    </row>
    <row r="142" ht="15.75" customHeight="1">
      <c r="A142" s="14" t="s">
        <v>174</v>
      </c>
      <c r="B142" s="14" t="s">
        <v>481</v>
      </c>
      <c r="C142" s="14">
        <v>139.0</v>
      </c>
      <c r="D142" s="14" t="s">
        <v>121</v>
      </c>
      <c r="E142" s="14" t="s">
        <v>482</v>
      </c>
      <c r="F142" s="14" t="s">
        <v>226</v>
      </c>
      <c r="G142" s="14">
        <v>1.0</v>
      </c>
      <c r="H142" s="14" t="s">
        <v>162</v>
      </c>
      <c r="I142" s="14">
        <v>45879.38329861111</v>
      </c>
      <c r="J142" s="14">
        <v>192.0</v>
      </c>
      <c r="K142" s="14">
        <v>5.82</v>
      </c>
      <c r="L142" s="14"/>
    </row>
    <row r="143" ht="15.75" customHeight="1">
      <c r="A143" s="14" t="s">
        <v>174</v>
      </c>
      <c r="B143" s="14" t="s">
        <v>483</v>
      </c>
      <c r="C143" s="14">
        <v>140.0</v>
      </c>
      <c r="D143" s="14" t="s">
        <v>121</v>
      </c>
      <c r="E143" s="14" t="s">
        <v>484</v>
      </c>
      <c r="F143" s="14" t="s">
        <v>221</v>
      </c>
      <c r="G143" s="14">
        <v>1.0</v>
      </c>
      <c r="H143" s="14" t="s">
        <v>156</v>
      </c>
      <c r="I143" s="14">
        <v>45879.38373842592</v>
      </c>
      <c r="J143" s="14">
        <v>259.0</v>
      </c>
      <c r="K143" s="14">
        <v>7.62</v>
      </c>
      <c r="L143" s="14"/>
    </row>
    <row r="144" ht="15.75" customHeight="1">
      <c r="A144" s="14" t="s">
        <v>174</v>
      </c>
      <c r="B144" s="14" t="s">
        <v>485</v>
      </c>
      <c r="C144" s="14">
        <v>141.0</v>
      </c>
      <c r="D144" s="14" t="s">
        <v>123</v>
      </c>
      <c r="E144" s="14" t="s">
        <v>486</v>
      </c>
      <c r="F144" s="14" t="s">
        <v>257</v>
      </c>
      <c r="G144" s="14">
        <v>1.0</v>
      </c>
      <c r="H144" s="14" t="s">
        <v>158</v>
      </c>
      <c r="I144" s="14">
        <v>45879.38444444445</v>
      </c>
      <c r="J144" s="14">
        <v>208.0</v>
      </c>
      <c r="K144" s="14">
        <v>5.47</v>
      </c>
      <c r="L144" s="14"/>
    </row>
    <row r="145" ht="15.75" customHeight="1">
      <c r="A145" s="14" t="s">
        <v>174</v>
      </c>
      <c r="B145" s="14" t="s">
        <v>487</v>
      </c>
      <c r="C145" s="14">
        <v>142.0</v>
      </c>
      <c r="D145" s="14" t="s">
        <v>115</v>
      </c>
      <c r="E145" s="14" t="s">
        <v>488</v>
      </c>
      <c r="F145" s="14" t="s">
        <v>180</v>
      </c>
      <c r="G145" s="14">
        <v>1.0</v>
      </c>
      <c r="H145" s="14" t="s">
        <v>82</v>
      </c>
      <c r="I145" s="14">
        <v>45879.38483796296</v>
      </c>
      <c r="J145" s="14">
        <v>0.0</v>
      </c>
      <c r="K145" s="14">
        <v>0.0</v>
      </c>
      <c r="L145" s="14"/>
    </row>
    <row r="146" ht="15.75" customHeight="1">
      <c r="A146" s="14" t="s">
        <v>174</v>
      </c>
      <c r="B146" s="14" t="s">
        <v>489</v>
      </c>
      <c r="C146" s="14">
        <v>143.0</v>
      </c>
      <c r="D146" s="14" t="s">
        <v>123</v>
      </c>
      <c r="E146" s="14" t="s">
        <v>490</v>
      </c>
      <c r="F146" s="14" t="s">
        <v>199</v>
      </c>
      <c r="G146" s="14">
        <v>1.0</v>
      </c>
      <c r="H146" s="14" t="s">
        <v>156</v>
      </c>
      <c r="I146" s="14">
        <v>45879.38547453703</v>
      </c>
      <c r="J146" s="14">
        <v>93.0</v>
      </c>
      <c r="K146" s="14">
        <v>4.43</v>
      </c>
      <c r="L146" s="14"/>
    </row>
    <row r="147" ht="15.75" customHeight="1">
      <c r="A147" s="14" t="s">
        <v>174</v>
      </c>
      <c r="B147" s="14" t="s">
        <v>491</v>
      </c>
      <c r="C147" s="14">
        <v>144.0</v>
      </c>
      <c r="D147" s="14" t="s">
        <v>118</v>
      </c>
      <c r="E147" s="14" t="s">
        <v>492</v>
      </c>
      <c r="F147" s="14" t="s">
        <v>285</v>
      </c>
      <c r="G147" s="14">
        <v>1.0</v>
      </c>
      <c r="H147" s="14" t="s">
        <v>158</v>
      </c>
      <c r="I147" s="14">
        <v>45879.38579861111</v>
      </c>
      <c r="J147" s="14">
        <v>363.0</v>
      </c>
      <c r="K147" s="14">
        <v>9.55</v>
      </c>
      <c r="L147" s="14"/>
    </row>
    <row r="148" ht="15.75" customHeight="1">
      <c r="A148" s="14" t="s">
        <v>174</v>
      </c>
      <c r="B148" s="14" t="s">
        <v>493</v>
      </c>
      <c r="C148" s="14">
        <v>145.0</v>
      </c>
      <c r="D148" s="14" t="s">
        <v>123</v>
      </c>
      <c r="E148" s="14" t="s">
        <v>494</v>
      </c>
      <c r="F148" s="14" t="s">
        <v>236</v>
      </c>
      <c r="G148" s="14">
        <v>1.0</v>
      </c>
      <c r="H148" s="14" t="s">
        <v>156</v>
      </c>
      <c r="I148" s="14">
        <v>45879.38613425926</v>
      </c>
      <c r="J148" s="14">
        <v>107.0</v>
      </c>
      <c r="K148" s="14">
        <v>4.46</v>
      </c>
      <c r="L148" s="14"/>
    </row>
    <row r="149" ht="15.75" customHeight="1">
      <c r="A149" s="14" t="s">
        <v>174</v>
      </c>
      <c r="B149" s="14" t="s">
        <v>495</v>
      </c>
      <c r="C149" s="14">
        <v>146.0</v>
      </c>
      <c r="D149" s="14" t="s">
        <v>118</v>
      </c>
      <c r="E149" s="14" t="s">
        <v>496</v>
      </c>
      <c r="F149" s="14" t="s">
        <v>236</v>
      </c>
      <c r="G149" s="14">
        <v>1.0</v>
      </c>
      <c r="H149" s="14" t="s">
        <v>158</v>
      </c>
      <c r="I149" s="14">
        <v>45879.38666666667</v>
      </c>
      <c r="J149" s="14">
        <v>153.0</v>
      </c>
      <c r="K149" s="14">
        <v>8.5</v>
      </c>
      <c r="L149" s="14"/>
    </row>
    <row r="150" ht="15.75" customHeight="1">
      <c r="A150" s="14" t="s">
        <v>174</v>
      </c>
      <c r="B150" s="14" t="s">
        <v>497</v>
      </c>
      <c r="C150" s="14">
        <v>147.0</v>
      </c>
      <c r="D150" s="14" t="s">
        <v>121</v>
      </c>
      <c r="E150" s="14" t="s">
        <v>498</v>
      </c>
      <c r="F150" s="14" t="s">
        <v>226</v>
      </c>
      <c r="G150" s="14">
        <v>1.0</v>
      </c>
      <c r="H150" s="14" t="s">
        <v>156</v>
      </c>
      <c r="I150" s="14">
        <v>45879.38695601852</v>
      </c>
      <c r="J150" s="14">
        <v>169.0</v>
      </c>
      <c r="K150" s="14">
        <v>6.26</v>
      </c>
      <c r="L150" s="14"/>
    </row>
    <row r="151" ht="15.75" customHeight="1">
      <c r="A151" s="14" t="s">
        <v>174</v>
      </c>
      <c r="B151" s="14" t="s">
        <v>499</v>
      </c>
      <c r="C151" s="14">
        <v>148.0</v>
      </c>
      <c r="D151" s="14" t="s">
        <v>118</v>
      </c>
      <c r="E151" s="14" t="s">
        <v>500</v>
      </c>
      <c r="F151" s="14" t="s">
        <v>305</v>
      </c>
      <c r="G151" s="14">
        <v>1.0</v>
      </c>
      <c r="H151" s="14" t="s">
        <v>158</v>
      </c>
      <c r="I151" s="14">
        <v>45879.38755787037</v>
      </c>
      <c r="J151" s="14">
        <v>164.5</v>
      </c>
      <c r="K151" s="14">
        <v>7.48</v>
      </c>
      <c r="L151" s="14"/>
    </row>
    <row r="152" ht="15.75" customHeight="1">
      <c r="A152" s="14" t="s">
        <v>174</v>
      </c>
      <c r="B152" s="14" t="s">
        <v>501</v>
      </c>
      <c r="C152" s="14">
        <v>149.0</v>
      </c>
      <c r="D152" s="14" t="s">
        <v>115</v>
      </c>
      <c r="E152" s="14" t="s">
        <v>502</v>
      </c>
      <c r="F152" s="14" t="s">
        <v>231</v>
      </c>
      <c r="G152" s="14">
        <v>1.0</v>
      </c>
      <c r="H152" s="14" t="s">
        <v>156</v>
      </c>
      <c r="I152" s="14">
        <v>45879.38792824074</v>
      </c>
      <c r="J152" s="14">
        <v>266.0</v>
      </c>
      <c r="K152" s="14">
        <v>7.0</v>
      </c>
      <c r="L152" s="14"/>
    </row>
    <row r="153" ht="15.75" customHeight="1">
      <c r="A153" s="14" t="s">
        <v>174</v>
      </c>
      <c r="B153" s="14" t="s">
        <v>503</v>
      </c>
      <c r="C153" s="14">
        <v>150.0</v>
      </c>
      <c r="D153" s="14" t="s">
        <v>121</v>
      </c>
      <c r="E153" s="14" t="s">
        <v>504</v>
      </c>
      <c r="F153" s="14" t="s">
        <v>191</v>
      </c>
      <c r="G153" s="14">
        <v>1.0</v>
      </c>
      <c r="H153" s="14" t="s">
        <v>158</v>
      </c>
      <c r="I153" s="14">
        <v>45879.38821759259</v>
      </c>
      <c r="J153" s="14">
        <v>269.0</v>
      </c>
      <c r="K153" s="14">
        <v>8.68</v>
      </c>
      <c r="L153" s="14"/>
    </row>
    <row r="154" ht="15.75" customHeight="1">
      <c r="G154" s="13"/>
    </row>
    <row r="155" ht="15.75" customHeight="1">
      <c r="G155" s="13"/>
    </row>
    <row r="156" ht="15.75" customHeight="1">
      <c r="G156" s="13"/>
    </row>
    <row r="157" ht="15.75" customHeight="1">
      <c r="G157" s="13"/>
    </row>
    <row r="158" ht="15.75" customHeight="1">
      <c r="G158" s="13"/>
    </row>
    <row r="159" ht="15.75" customHeight="1">
      <c r="G159" s="13"/>
    </row>
    <row r="160" ht="15.75" customHeight="1">
      <c r="G160" s="13"/>
    </row>
    <row r="161" ht="15.75" customHeight="1">
      <c r="G161" s="13"/>
    </row>
    <row r="162" ht="15.75" customHeight="1">
      <c r="G162" s="13"/>
    </row>
    <row r="163" ht="15.75" customHeight="1">
      <c r="G163" s="13"/>
    </row>
    <row r="164" ht="15.75" customHeight="1">
      <c r="G164" s="13"/>
    </row>
    <row r="165" ht="15.75" customHeight="1">
      <c r="G165" s="13"/>
    </row>
    <row r="166" ht="15.75" customHeight="1">
      <c r="G166" s="13"/>
    </row>
    <row r="167" ht="15.75" customHeight="1">
      <c r="G167" s="13"/>
    </row>
    <row r="168" ht="15.75" customHeight="1">
      <c r="G168" s="13"/>
    </row>
    <row r="169" ht="15.75" customHeight="1">
      <c r="G169" s="13"/>
    </row>
    <row r="170" ht="15.75" customHeight="1">
      <c r="G170" s="13"/>
    </row>
    <row r="171" ht="15.75" customHeight="1">
      <c r="G171" s="13"/>
    </row>
    <row r="172" ht="15.75" customHeight="1">
      <c r="G172" s="13"/>
    </row>
    <row r="173" ht="15.75" customHeight="1">
      <c r="G173" s="13"/>
    </row>
    <row r="174" ht="15.75" customHeight="1">
      <c r="G174" s="13"/>
    </row>
    <row r="175" ht="15.75" customHeight="1">
      <c r="G175" s="13"/>
    </row>
    <row r="176" ht="15.75" customHeight="1">
      <c r="G176" s="13"/>
    </row>
    <row r="177" ht="15.75" customHeight="1">
      <c r="G177" s="13"/>
    </row>
    <row r="178" ht="15.75" customHeight="1">
      <c r="G178" s="13"/>
    </row>
    <row r="179" ht="15.75" customHeight="1">
      <c r="G179" s="13"/>
    </row>
    <row r="180" ht="15.75" customHeight="1">
      <c r="G180" s="13"/>
    </row>
    <row r="181" ht="15.75" customHeight="1">
      <c r="G181" s="13"/>
    </row>
    <row r="182" ht="15.75" customHeight="1">
      <c r="G182" s="13"/>
    </row>
    <row r="183" ht="15.75" customHeight="1">
      <c r="G183" s="13"/>
    </row>
    <row r="184" ht="15.75" customHeight="1">
      <c r="G184" s="13"/>
    </row>
    <row r="185" ht="15.75" customHeight="1">
      <c r="G185" s="13"/>
    </row>
    <row r="186" ht="15.75" customHeight="1">
      <c r="G186" s="13"/>
    </row>
    <row r="187" ht="15.75" customHeight="1">
      <c r="G187" s="13"/>
    </row>
    <row r="188" ht="15.75" customHeight="1">
      <c r="G188" s="13"/>
    </row>
    <row r="189" ht="15.75" customHeight="1">
      <c r="G189" s="13"/>
    </row>
    <row r="190" ht="15.75" customHeight="1">
      <c r="G190" s="13"/>
    </row>
    <row r="191" ht="15.75" customHeight="1">
      <c r="G191" s="13"/>
    </row>
    <row r="192" ht="15.75" customHeight="1">
      <c r="G192" s="13"/>
    </row>
    <row r="193" ht="15.75" customHeight="1">
      <c r="G193" s="13"/>
    </row>
    <row r="194" ht="15.75" customHeight="1">
      <c r="G194" s="13"/>
    </row>
    <row r="195" ht="15.75" customHeight="1">
      <c r="G195" s="13"/>
    </row>
    <row r="196" ht="15.75" customHeight="1">
      <c r="G196" s="13"/>
    </row>
    <row r="197" ht="15.75" customHeight="1">
      <c r="G197" s="13"/>
    </row>
    <row r="198" ht="15.75" customHeight="1">
      <c r="G198" s="13"/>
    </row>
    <row r="199" ht="15.75" customHeight="1">
      <c r="G199" s="13"/>
    </row>
    <row r="200" ht="15.75" customHeight="1">
      <c r="G200" s="13"/>
    </row>
    <row r="201" ht="15.75" customHeight="1">
      <c r="G201" s="13"/>
    </row>
    <row r="202" ht="15.75" customHeight="1">
      <c r="G202" s="13"/>
    </row>
    <row r="203" ht="15.75" customHeight="1">
      <c r="G203" s="13"/>
    </row>
    <row r="204" ht="15.75" customHeight="1">
      <c r="G204" s="13"/>
    </row>
    <row r="205" ht="15.75" customHeight="1">
      <c r="G205" s="13"/>
    </row>
    <row r="206" ht="15.75" customHeight="1">
      <c r="G206" s="13"/>
    </row>
    <row r="207" ht="15.75" customHeight="1">
      <c r="G207" s="13"/>
    </row>
    <row r="208" ht="15.75" customHeight="1">
      <c r="G208" s="13"/>
    </row>
    <row r="209" ht="15.75" customHeight="1">
      <c r="G209" s="13"/>
    </row>
    <row r="210" ht="15.75" customHeight="1">
      <c r="G210" s="13"/>
    </row>
    <row r="211" ht="15.75" customHeight="1">
      <c r="G211" s="13"/>
    </row>
    <row r="212" ht="15.75" customHeight="1">
      <c r="G212" s="13"/>
    </row>
    <row r="213" ht="15.75" customHeight="1">
      <c r="G213" s="13"/>
    </row>
    <row r="214" ht="15.75" customHeight="1">
      <c r="G214" s="13"/>
    </row>
    <row r="215" ht="15.75" customHeight="1">
      <c r="G215" s="13"/>
    </row>
    <row r="216" ht="15.75" customHeight="1">
      <c r="G216" s="13"/>
    </row>
    <row r="217" ht="15.75" customHeight="1">
      <c r="G217" s="13"/>
    </row>
    <row r="218" ht="15.75" customHeight="1">
      <c r="G218" s="13"/>
    </row>
    <row r="219" ht="15.75" customHeight="1">
      <c r="G219" s="13"/>
    </row>
    <row r="220" ht="15.75" customHeight="1">
      <c r="G220" s="13"/>
    </row>
    <row r="221" ht="15.75" customHeight="1">
      <c r="G221" s="13"/>
    </row>
    <row r="222" ht="15.75" customHeight="1">
      <c r="G222" s="13"/>
    </row>
    <row r="223" ht="15.75" customHeight="1">
      <c r="G223" s="13"/>
    </row>
    <row r="224" ht="15.75" customHeight="1">
      <c r="G224" s="13"/>
    </row>
    <row r="225" ht="15.75" customHeight="1">
      <c r="G225" s="13"/>
    </row>
    <row r="226" ht="15.75" customHeight="1">
      <c r="G226" s="13"/>
    </row>
    <row r="227" ht="15.75" customHeight="1">
      <c r="G227" s="13"/>
    </row>
    <row r="228" ht="15.75" customHeight="1">
      <c r="G228" s="13"/>
    </row>
    <row r="229" ht="15.75" customHeight="1">
      <c r="G229" s="13"/>
    </row>
    <row r="230" ht="15.75" customHeight="1">
      <c r="G230" s="13"/>
    </row>
    <row r="231" ht="15.75" customHeight="1">
      <c r="G231" s="13"/>
    </row>
    <row r="232" ht="15.75" customHeight="1">
      <c r="G232" s="13"/>
    </row>
    <row r="233" ht="15.75" customHeight="1">
      <c r="G233" s="13"/>
    </row>
    <row r="234" ht="15.75" customHeight="1">
      <c r="G234" s="13"/>
    </row>
    <row r="235" ht="15.75" customHeight="1">
      <c r="G235" s="13"/>
    </row>
    <row r="236" ht="15.75" customHeight="1">
      <c r="G236" s="13"/>
    </row>
    <row r="237" ht="15.75" customHeight="1">
      <c r="G237" s="13"/>
    </row>
    <row r="238" ht="15.75" customHeight="1">
      <c r="G238" s="13"/>
    </row>
    <row r="239" ht="15.75" customHeight="1">
      <c r="G239" s="13"/>
    </row>
    <row r="240" ht="15.75" customHeight="1">
      <c r="G240" s="13"/>
    </row>
    <row r="241" ht="15.75" customHeight="1">
      <c r="G241" s="13"/>
    </row>
    <row r="242" ht="15.75" customHeight="1">
      <c r="G242" s="13"/>
    </row>
    <row r="243" ht="15.75" customHeight="1">
      <c r="G243" s="13"/>
    </row>
    <row r="244" ht="15.75" customHeight="1">
      <c r="G244" s="13"/>
    </row>
    <row r="245" ht="15.75" customHeight="1">
      <c r="G245" s="13"/>
    </row>
    <row r="246" ht="15.75" customHeight="1">
      <c r="G246" s="13"/>
    </row>
    <row r="247" ht="15.75" customHeight="1">
      <c r="G247" s="13"/>
    </row>
    <row r="248" ht="15.75" customHeight="1">
      <c r="G248" s="13"/>
    </row>
    <row r="249" ht="15.75" customHeight="1">
      <c r="G249" s="13"/>
    </row>
    <row r="250" ht="15.75" customHeight="1">
      <c r="G250" s="13"/>
    </row>
    <row r="251" ht="15.75" customHeight="1">
      <c r="G251" s="13"/>
    </row>
    <row r="252" ht="15.75" customHeight="1">
      <c r="G252" s="13"/>
    </row>
    <row r="253" ht="15.75" customHeight="1">
      <c r="G253" s="13"/>
    </row>
    <row r="254" ht="15.75" customHeight="1">
      <c r="G254" s="13"/>
    </row>
    <row r="255" ht="15.75" customHeight="1">
      <c r="G255" s="13"/>
    </row>
    <row r="256" ht="15.75" customHeight="1">
      <c r="G256" s="13"/>
    </row>
    <row r="257" ht="15.75" customHeight="1">
      <c r="G257" s="13"/>
    </row>
    <row r="258" ht="15.75" customHeight="1">
      <c r="G258" s="13"/>
    </row>
    <row r="259" ht="15.75" customHeight="1">
      <c r="G259" s="13"/>
    </row>
    <row r="260" ht="15.75" customHeight="1">
      <c r="G260" s="13"/>
    </row>
    <row r="261" ht="15.75" customHeight="1">
      <c r="G261" s="13"/>
    </row>
    <row r="262" ht="15.75" customHeight="1">
      <c r="G262" s="13"/>
    </row>
    <row r="263" ht="15.75" customHeight="1">
      <c r="G263" s="13"/>
    </row>
    <row r="264" ht="15.75" customHeight="1">
      <c r="G264" s="13"/>
    </row>
    <row r="265" ht="15.75" customHeight="1">
      <c r="G265" s="13"/>
    </row>
    <row r="266" ht="15.75" customHeight="1">
      <c r="G266" s="13"/>
    </row>
    <row r="267" ht="15.75" customHeight="1">
      <c r="G267" s="13"/>
    </row>
    <row r="268" ht="15.75" customHeight="1">
      <c r="G268" s="13"/>
    </row>
    <row r="269" ht="15.75" customHeight="1">
      <c r="G269" s="13"/>
    </row>
    <row r="270" ht="15.75" customHeight="1">
      <c r="G270" s="13"/>
    </row>
    <row r="271" ht="15.75" customHeight="1">
      <c r="G271" s="13"/>
    </row>
    <row r="272" ht="15.75" customHeight="1">
      <c r="G272" s="13"/>
    </row>
    <row r="273" ht="15.75" customHeight="1">
      <c r="G273" s="13"/>
    </row>
    <row r="274" ht="15.75" customHeight="1">
      <c r="G274" s="13"/>
    </row>
    <row r="275" ht="15.75" customHeight="1">
      <c r="G275" s="13"/>
    </row>
    <row r="276" ht="15.75" customHeight="1">
      <c r="G276" s="13"/>
    </row>
    <row r="277" ht="15.75" customHeight="1">
      <c r="G277" s="13"/>
    </row>
    <row r="278" ht="15.75" customHeight="1">
      <c r="G278" s="13"/>
    </row>
    <row r="279" ht="15.75" customHeight="1">
      <c r="G279" s="13"/>
    </row>
    <row r="280" ht="15.75" customHeight="1">
      <c r="G280" s="13"/>
    </row>
    <row r="281" ht="15.75" customHeight="1">
      <c r="G281" s="13"/>
    </row>
    <row r="282" ht="15.75" customHeight="1">
      <c r="G282" s="13"/>
    </row>
    <row r="283" ht="15.75" customHeight="1">
      <c r="G283" s="13"/>
    </row>
    <row r="284" ht="15.75" customHeight="1">
      <c r="G284" s="13"/>
    </row>
    <row r="285" ht="15.75" customHeight="1">
      <c r="G285" s="13"/>
    </row>
    <row r="286" ht="15.75" customHeight="1">
      <c r="G286" s="13"/>
    </row>
    <row r="287" ht="15.75" customHeight="1">
      <c r="G287" s="13"/>
    </row>
    <row r="288" ht="15.75" customHeight="1">
      <c r="G288" s="13"/>
    </row>
    <row r="289" ht="15.75" customHeight="1">
      <c r="G289" s="13"/>
    </row>
    <row r="290" ht="15.75" customHeight="1">
      <c r="G290" s="13"/>
    </row>
    <row r="291" ht="15.75" customHeight="1">
      <c r="G291" s="13"/>
    </row>
    <row r="292" ht="15.75" customHeight="1">
      <c r="G292" s="13"/>
    </row>
    <row r="293" ht="15.75" customHeight="1">
      <c r="G293" s="13"/>
    </row>
    <row r="294" ht="15.75" customHeight="1">
      <c r="G294" s="13"/>
    </row>
    <row r="295" ht="15.75" customHeight="1">
      <c r="G295" s="13"/>
    </row>
    <row r="296" ht="15.75" customHeight="1">
      <c r="G296" s="13"/>
    </row>
    <row r="297" ht="15.75" customHeight="1">
      <c r="G297" s="13"/>
    </row>
    <row r="298" ht="15.75" customHeight="1">
      <c r="G298" s="13"/>
    </row>
    <row r="299" ht="15.75" customHeight="1">
      <c r="G299" s="13"/>
    </row>
    <row r="300" ht="15.75" customHeight="1">
      <c r="G300" s="13"/>
    </row>
    <row r="301" ht="15.75" customHeight="1">
      <c r="G301" s="13"/>
    </row>
    <row r="302" ht="15.75" customHeight="1">
      <c r="G302" s="13"/>
    </row>
    <row r="303" ht="15.75" customHeight="1">
      <c r="G303" s="13"/>
    </row>
    <row r="304" ht="15.75" customHeight="1">
      <c r="G304" s="13"/>
    </row>
    <row r="305" ht="15.75" customHeight="1">
      <c r="G305" s="13"/>
    </row>
    <row r="306" ht="15.75" customHeight="1">
      <c r="G306" s="13"/>
    </row>
    <row r="307" ht="15.75" customHeight="1">
      <c r="G307" s="13"/>
    </row>
    <row r="308" ht="15.75" customHeight="1">
      <c r="G308" s="13"/>
    </row>
    <row r="309" ht="15.75" customHeight="1">
      <c r="G309" s="13"/>
    </row>
    <row r="310" ht="15.75" customHeight="1">
      <c r="G310" s="13"/>
    </row>
    <row r="311" ht="15.75" customHeight="1">
      <c r="G311" s="13"/>
    </row>
    <row r="312" ht="15.75" customHeight="1">
      <c r="G312" s="13"/>
    </row>
    <row r="313" ht="15.75" customHeight="1">
      <c r="G313" s="13"/>
    </row>
    <row r="314" ht="15.75" customHeight="1">
      <c r="G314" s="13"/>
    </row>
    <row r="315" ht="15.75" customHeight="1">
      <c r="G315" s="13"/>
    </row>
    <row r="316" ht="15.75" customHeight="1">
      <c r="G316" s="13"/>
    </row>
    <row r="317" ht="15.75" customHeight="1">
      <c r="G317" s="13"/>
    </row>
    <row r="318" ht="15.75" customHeight="1">
      <c r="G318" s="13"/>
    </row>
    <row r="319" ht="15.75" customHeight="1">
      <c r="G319" s="13"/>
    </row>
    <row r="320" ht="15.75" customHeight="1">
      <c r="G320" s="13"/>
    </row>
    <row r="321" ht="15.75" customHeight="1">
      <c r="G321" s="13"/>
    </row>
    <row r="322" ht="15.75" customHeight="1">
      <c r="G322" s="13"/>
    </row>
    <row r="323" ht="15.75" customHeight="1">
      <c r="G323" s="13"/>
    </row>
    <row r="324" ht="15.75" customHeight="1">
      <c r="G324" s="13"/>
    </row>
    <row r="325" ht="15.75" customHeight="1">
      <c r="G325" s="13"/>
    </row>
    <row r="326" ht="15.75" customHeight="1">
      <c r="G326" s="13"/>
    </row>
    <row r="327" ht="15.75" customHeight="1">
      <c r="G327" s="13"/>
    </row>
    <row r="328" ht="15.75" customHeight="1">
      <c r="G328" s="13"/>
    </row>
    <row r="329" ht="15.75" customHeight="1">
      <c r="G329" s="13"/>
    </row>
    <row r="330" ht="15.75" customHeight="1">
      <c r="G330" s="13"/>
    </row>
    <row r="331" ht="15.75" customHeight="1">
      <c r="G331" s="13"/>
    </row>
    <row r="332" ht="15.75" customHeight="1">
      <c r="G332" s="13"/>
    </row>
    <row r="333" ht="15.75" customHeight="1">
      <c r="G333" s="13"/>
    </row>
    <row r="334" ht="15.75" customHeight="1">
      <c r="G334" s="13"/>
    </row>
    <row r="335" ht="15.75" customHeight="1">
      <c r="G335" s="13"/>
    </row>
    <row r="336" ht="15.75" customHeight="1">
      <c r="G336" s="13"/>
    </row>
    <row r="337" ht="15.75" customHeight="1">
      <c r="G337" s="13"/>
    </row>
    <row r="338" ht="15.75" customHeight="1">
      <c r="G338" s="13"/>
    </row>
    <row r="339" ht="15.75" customHeight="1">
      <c r="G339" s="13"/>
    </row>
    <row r="340" ht="15.75" customHeight="1">
      <c r="G340" s="13"/>
    </row>
    <row r="341" ht="15.75" customHeight="1">
      <c r="G341" s="13"/>
    </row>
    <row r="342" ht="15.75" customHeight="1">
      <c r="G342" s="13"/>
    </row>
    <row r="343" ht="15.75" customHeight="1">
      <c r="G343" s="13"/>
    </row>
    <row r="344" ht="15.75" customHeight="1">
      <c r="G344" s="13"/>
    </row>
    <row r="345" ht="15.75" customHeight="1">
      <c r="G345" s="13"/>
    </row>
    <row r="346" ht="15.75" customHeight="1">
      <c r="G346" s="13"/>
    </row>
    <row r="347" ht="15.75" customHeight="1">
      <c r="G347" s="13"/>
    </row>
    <row r="348" ht="15.75" customHeight="1">
      <c r="G348" s="13"/>
    </row>
    <row r="349" ht="15.75" customHeight="1">
      <c r="G349" s="13"/>
    </row>
    <row r="350" ht="15.75" customHeight="1">
      <c r="G350" s="13"/>
    </row>
    <row r="351" ht="15.75" customHeight="1">
      <c r="G351" s="13"/>
    </row>
    <row r="352" ht="15.75" customHeight="1">
      <c r="G352" s="13"/>
    </row>
    <row r="353" ht="15.75" customHeight="1">
      <c r="G353" s="13"/>
    </row>
    <row r="354" ht="15.75" customHeight="1">
      <c r="G354" s="13"/>
    </row>
    <row r="355" ht="15.75" customHeight="1">
      <c r="G355" s="13"/>
    </row>
    <row r="356" ht="15.75" customHeight="1">
      <c r="G356" s="13"/>
    </row>
    <row r="357" ht="15.75" customHeight="1">
      <c r="G357" s="13"/>
    </row>
    <row r="358" ht="15.75" customHeight="1">
      <c r="G358" s="13"/>
    </row>
    <row r="359" ht="15.75" customHeight="1">
      <c r="G359" s="13"/>
    </row>
    <row r="360" ht="15.75" customHeight="1">
      <c r="G360" s="13"/>
    </row>
    <row r="361" ht="15.75" customHeight="1">
      <c r="G361" s="13"/>
    </row>
    <row r="362" ht="15.75" customHeight="1">
      <c r="G362" s="13"/>
    </row>
    <row r="363" ht="15.75" customHeight="1">
      <c r="G363" s="13"/>
    </row>
    <row r="364" ht="15.75" customHeight="1">
      <c r="G364" s="13"/>
    </row>
    <row r="365" ht="15.75" customHeight="1">
      <c r="G365" s="13"/>
    </row>
    <row r="366" ht="15.75" customHeight="1">
      <c r="G366" s="13"/>
    </row>
    <row r="367" ht="15.75" customHeight="1">
      <c r="G367" s="13"/>
    </row>
    <row r="368" ht="15.75" customHeight="1">
      <c r="G368" s="13"/>
    </row>
    <row r="369" ht="15.75" customHeight="1">
      <c r="G369" s="13"/>
    </row>
    <row r="370" ht="15.75" customHeight="1">
      <c r="G370" s="13"/>
    </row>
    <row r="371" ht="15.75" customHeight="1">
      <c r="G371" s="13"/>
    </row>
    <row r="372" ht="15.75" customHeight="1">
      <c r="G372" s="13"/>
    </row>
    <row r="373" ht="15.75" customHeight="1">
      <c r="G373" s="13"/>
    </row>
    <row r="374" ht="15.75" customHeight="1">
      <c r="G374" s="13"/>
    </row>
    <row r="375" ht="15.75" customHeight="1">
      <c r="G375" s="13"/>
    </row>
    <row r="376" ht="15.75" customHeight="1">
      <c r="G376" s="13"/>
    </row>
    <row r="377" ht="15.75" customHeight="1">
      <c r="G377" s="13"/>
    </row>
    <row r="378" ht="15.75" customHeight="1">
      <c r="G378" s="13"/>
    </row>
    <row r="379" ht="15.75" customHeight="1">
      <c r="G379" s="13"/>
    </row>
    <row r="380" ht="15.75" customHeight="1">
      <c r="G380" s="13"/>
    </row>
    <row r="381" ht="15.75" customHeight="1">
      <c r="G381" s="13"/>
    </row>
    <row r="382" ht="15.75" customHeight="1">
      <c r="G382" s="13"/>
    </row>
    <row r="383" ht="15.75" customHeight="1">
      <c r="G383" s="13"/>
    </row>
    <row r="384" ht="15.75" customHeight="1">
      <c r="G384" s="13"/>
    </row>
    <row r="385" ht="15.75" customHeight="1">
      <c r="G385" s="13"/>
    </row>
    <row r="386" ht="15.75" customHeight="1">
      <c r="G386" s="13"/>
    </row>
    <row r="387" ht="15.75" customHeight="1">
      <c r="G387" s="13"/>
    </row>
    <row r="388" ht="15.75" customHeight="1">
      <c r="G388" s="13"/>
    </row>
    <row r="389" ht="15.75" customHeight="1">
      <c r="G389" s="13"/>
    </row>
    <row r="390" ht="15.75" customHeight="1">
      <c r="G390" s="13"/>
    </row>
    <row r="391" ht="15.75" customHeight="1">
      <c r="G391" s="13"/>
    </row>
    <row r="392" ht="15.75" customHeight="1">
      <c r="G392" s="13"/>
    </row>
    <row r="393" ht="15.75" customHeight="1">
      <c r="G393" s="13"/>
    </row>
    <row r="394" ht="15.75" customHeight="1">
      <c r="G394" s="13"/>
    </row>
    <row r="395" ht="15.75" customHeight="1">
      <c r="G395" s="13"/>
    </row>
    <row r="396" ht="15.75" customHeight="1">
      <c r="G396" s="13"/>
    </row>
    <row r="397" ht="15.75" customHeight="1">
      <c r="G397" s="13"/>
    </row>
    <row r="398" ht="15.75" customHeight="1">
      <c r="G398" s="13"/>
    </row>
    <row r="399" ht="15.75" customHeight="1">
      <c r="G399" s="13"/>
    </row>
    <row r="400" ht="15.75" customHeight="1">
      <c r="G400" s="13"/>
    </row>
    <row r="401" ht="15.75" customHeight="1">
      <c r="G401" s="13"/>
    </row>
    <row r="402" ht="15.75" customHeight="1">
      <c r="G402" s="13"/>
    </row>
    <row r="403" ht="15.75" customHeight="1">
      <c r="G403" s="13"/>
    </row>
    <row r="404" ht="15.75" customHeight="1">
      <c r="G404" s="13"/>
    </row>
    <row r="405" ht="15.75" customHeight="1">
      <c r="G405" s="13"/>
    </row>
    <row r="406" ht="15.75" customHeight="1">
      <c r="G406" s="13"/>
    </row>
    <row r="407" ht="15.75" customHeight="1">
      <c r="G407" s="13"/>
    </row>
    <row r="408" ht="15.75" customHeight="1">
      <c r="G408" s="13"/>
    </row>
    <row r="409" ht="15.75" customHeight="1">
      <c r="G409" s="13"/>
    </row>
    <row r="410" ht="15.75" customHeight="1">
      <c r="G410" s="13"/>
    </row>
    <row r="411" ht="15.75" customHeight="1">
      <c r="G411" s="13"/>
    </row>
    <row r="412" ht="15.75" customHeight="1">
      <c r="G412" s="13"/>
    </row>
    <row r="413" ht="15.75" customHeight="1">
      <c r="G413" s="13"/>
    </row>
    <row r="414" ht="15.75" customHeight="1">
      <c r="G414" s="13"/>
    </row>
    <row r="415" ht="15.75" customHeight="1">
      <c r="G415" s="13"/>
    </row>
    <row r="416" ht="15.75" customHeight="1">
      <c r="G416" s="13"/>
    </row>
    <row r="417" ht="15.75" customHeight="1">
      <c r="G417" s="13"/>
    </row>
    <row r="418" ht="15.75" customHeight="1">
      <c r="G418" s="13"/>
    </row>
    <row r="419" ht="15.75" customHeight="1">
      <c r="G419" s="13"/>
    </row>
    <row r="420" ht="15.75" customHeight="1">
      <c r="G420" s="13"/>
    </row>
    <row r="421" ht="15.75" customHeight="1">
      <c r="G421" s="13"/>
    </row>
    <row r="422" ht="15.75" customHeight="1">
      <c r="G422" s="13"/>
    </row>
    <row r="423" ht="15.75" customHeight="1">
      <c r="G423" s="13"/>
    </row>
    <row r="424" ht="15.75" customHeight="1">
      <c r="G424" s="13"/>
    </row>
    <row r="425" ht="15.75" customHeight="1">
      <c r="G425" s="13"/>
    </row>
    <row r="426" ht="15.75" customHeight="1">
      <c r="G426" s="13"/>
    </row>
    <row r="427" ht="15.75" customHeight="1">
      <c r="G427" s="13"/>
    </row>
    <row r="428" ht="15.75" customHeight="1">
      <c r="G428" s="13"/>
    </row>
    <row r="429" ht="15.75" customHeight="1">
      <c r="G429" s="13"/>
    </row>
    <row r="430" ht="15.75" customHeight="1">
      <c r="G430" s="13"/>
    </row>
    <row r="431" ht="15.75" customHeight="1">
      <c r="G431" s="13"/>
    </row>
    <row r="432" ht="15.75" customHeight="1">
      <c r="G432" s="13"/>
    </row>
    <row r="433" ht="15.75" customHeight="1">
      <c r="G433" s="13"/>
    </row>
    <row r="434" ht="15.75" customHeight="1">
      <c r="G434" s="13"/>
    </row>
    <row r="435" ht="15.75" customHeight="1">
      <c r="G435" s="13"/>
    </row>
    <row r="436" ht="15.75" customHeight="1">
      <c r="G436" s="13"/>
    </row>
    <row r="437" ht="15.75" customHeight="1">
      <c r="G437" s="13"/>
    </row>
    <row r="438" ht="15.75" customHeight="1">
      <c r="G438" s="13"/>
    </row>
    <row r="439" ht="15.75" customHeight="1">
      <c r="G439" s="13"/>
    </row>
    <row r="440" ht="15.75" customHeight="1">
      <c r="G440" s="13"/>
    </row>
    <row r="441" ht="15.75" customHeight="1">
      <c r="G441" s="13"/>
    </row>
    <row r="442" ht="15.75" customHeight="1">
      <c r="G442" s="13"/>
    </row>
    <row r="443" ht="15.75" customHeight="1">
      <c r="G443" s="13"/>
    </row>
    <row r="444" ht="15.75" customHeight="1">
      <c r="G444" s="13"/>
    </row>
    <row r="445" ht="15.75" customHeight="1">
      <c r="G445" s="13"/>
    </row>
    <row r="446" ht="15.75" customHeight="1">
      <c r="G446" s="13"/>
    </row>
    <row r="447" ht="15.75" customHeight="1">
      <c r="G447" s="13"/>
    </row>
    <row r="448" ht="15.75" customHeight="1">
      <c r="G448" s="13"/>
    </row>
    <row r="449" ht="15.75" customHeight="1">
      <c r="G449" s="13"/>
    </row>
    <row r="450" ht="15.75" customHeight="1">
      <c r="G450" s="13"/>
    </row>
    <row r="451" ht="15.75" customHeight="1">
      <c r="G451" s="13"/>
    </row>
    <row r="452" ht="15.75" customHeight="1">
      <c r="G452" s="13"/>
    </row>
    <row r="453" ht="15.75" customHeight="1">
      <c r="G453" s="13"/>
    </row>
    <row r="454" ht="15.75" customHeight="1">
      <c r="G454" s="13"/>
    </row>
    <row r="455" ht="15.75" customHeight="1">
      <c r="G455" s="13"/>
    </row>
    <row r="456" ht="15.75" customHeight="1">
      <c r="G456" s="13"/>
    </row>
    <row r="457" ht="15.75" customHeight="1">
      <c r="G457" s="13"/>
    </row>
    <row r="458" ht="15.75" customHeight="1">
      <c r="G458" s="13"/>
    </row>
    <row r="459" ht="15.75" customHeight="1">
      <c r="G459" s="13"/>
    </row>
    <row r="460" ht="15.75" customHeight="1">
      <c r="G460" s="13"/>
    </row>
    <row r="461" ht="15.75" customHeight="1">
      <c r="G461" s="13"/>
    </row>
    <row r="462" ht="15.75" customHeight="1">
      <c r="G462" s="13"/>
    </row>
    <row r="463" ht="15.75" customHeight="1">
      <c r="G463" s="13"/>
    </row>
    <row r="464" ht="15.75" customHeight="1">
      <c r="G464" s="13"/>
    </row>
    <row r="465" ht="15.75" customHeight="1">
      <c r="G465" s="13"/>
    </row>
    <row r="466" ht="15.75" customHeight="1">
      <c r="G466" s="13"/>
    </row>
    <row r="467" ht="15.75" customHeight="1">
      <c r="G467" s="13"/>
    </row>
    <row r="468" ht="15.75" customHeight="1">
      <c r="G468" s="13"/>
    </row>
    <row r="469" ht="15.75" customHeight="1">
      <c r="G469" s="13"/>
    </row>
    <row r="470" ht="15.75" customHeight="1">
      <c r="G470" s="13"/>
    </row>
    <row r="471" ht="15.75" customHeight="1">
      <c r="G471" s="13"/>
    </row>
    <row r="472" ht="15.75" customHeight="1">
      <c r="G472" s="13"/>
    </row>
    <row r="473" ht="15.75" customHeight="1">
      <c r="G473" s="13"/>
    </row>
    <row r="474" ht="15.75" customHeight="1">
      <c r="G474" s="13"/>
    </row>
    <row r="475" ht="15.75" customHeight="1">
      <c r="G475" s="13"/>
    </row>
    <row r="476" ht="15.75" customHeight="1">
      <c r="G476" s="13"/>
    </row>
    <row r="477" ht="15.75" customHeight="1">
      <c r="G477" s="13"/>
    </row>
    <row r="478" ht="15.75" customHeight="1">
      <c r="G478" s="13"/>
    </row>
    <row r="479" ht="15.75" customHeight="1">
      <c r="G479" s="13"/>
    </row>
    <row r="480" ht="15.75" customHeight="1">
      <c r="G480" s="13"/>
    </row>
    <row r="481" ht="15.75" customHeight="1">
      <c r="G481" s="13"/>
    </row>
    <row r="482" ht="15.75" customHeight="1">
      <c r="G482" s="13"/>
    </row>
    <row r="483" ht="15.75" customHeight="1">
      <c r="G483" s="13"/>
    </row>
    <row r="484" ht="15.75" customHeight="1">
      <c r="G484" s="13"/>
    </row>
    <row r="485" ht="15.75" customHeight="1">
      <c r="G485" s="13"/>
    </row>
    <row r="486" ht="15.75" customHeight="1">
      <c r="G486" s="13"/>
    </row>
    <row r="487" ht="15.75" customHeight="1">
      <c r="G487" s="13"/>
    </row>
    <row r="488" ht="15.75" customHeight="1">
      <c r="G488" s="13"/>
    </row>
    <row r="489" ht="15.75" customHeight="1">
      <c r="G489" s="13"/>
    </row>
    <row r="490" ht="15.75" customHeight="1">
      <c r="G490" s="13"/>
    </row>
    <row r="491" ht="15.75" customHeight="1">
      <c r="G491" s="13"/>
    </row>
    <row r="492" ht="15.75" customHeight="1">
      <c r="G492" s="13"/>
    </row>
    <row r="493" ht="15.75" customHeight="1">
      <c r="G493" s="13"/>
    </row>
    <row r="494" ht="15.75" customHeight="1">
      <c r="G494" s="13"/>
    </row>
    <row r="495" ht="15.75" customHeight="1">
      <c r="G495" s="13"/>
    </row>
    <row r="496" ht="15.75" customHeight="1">
      <c r="G496" s="13"/>
    </row>
    <row r="497" ht="15.75" customHeight="1">
      <c r="G497" s="13"/>
    </row>
    <row r="498" ht="15.75" customHeight="1">
      <c r="G498" s="13"/>
    </row>
    <row r="499" ht="15.75" customHeight="1">
      <c r="G499" s="13"/>
    </row>
    <row r="500" ht="15.75" customHeight="1">
      <c r="G500" s="13"/>
    </row>
    <row r="501" ht="15.75" customHeight="1">
      <c r="G501" s="13"/>
    </row>
    <row r="502" ht="15.75" customHeight="1">
      <c r="G502" s="13"/>
    </row>
    <row r="503" ht="15.75" customHeight="1">
      <c r="G503" s="13"/>
    </row>
    <row r="504" ht="15.75" customHeight="1">
      <c r="G504" s="13"/>
    </row>
    <row r="505" ht="15.75" customHeight="1">
      <c r="G505" s="13"/>
    </row>
    <row r="506" ht="15.75" customHeight="1">
      <c r="G506" s="13"/>
    </row>
    <row r="507" ht="15.75" customHeight="1">
      <c r="G507" s="13"/>
    </row>
    <row r="508" ht="15.75" customHeight="1">
      <c r="G508" s="13"/>
    </row>
    <row r="509" ht="15.75" customHeight="1">
      <c r="G509" s="13"/>
    </row>
    <row r="510" ht="15.75" customHeight="1">
      <c r="G510" s="13"/>
    </row>
    <row r="511" ht="15.75" customHeight="1">
      <c r="G511" s="13"/>
    </row>
    <row r="512" ht="15.75" customHeight="1">
      <c r="G512" s="13"/>
    </row>
    <row r="513" ht="15.75" customHeight="1">
      <c r="G513" s="13"/>
    </row>
    <row r="514" ht="15.75" customHeight="1">
      <c r="G514" s="13"/>
    </row>
    <row r="515" ht="15.75" customHeight="1">
      <c r="G515" s="13"/>
    </row>
    <row r="516" ht="15.75" customHeight="1">
      <c r="G516" s="13"/>
    </row>
    <row r="517" ht="15.75" customHeight="1">
      <c r="G517" s="13"/>
    </row>
    <row r="518" ht="15.75" customHeight="1">
      <c r="G518" s="13"/>
    </row>
    <row r="519" ht="15.75" customHeight="1">
      <c r="G519" s="13"/>
    </row>
    <row r="520" ht="15.75" customHeight="1">
      <c r="G520" s="13"/>
    </row>
    <row r="521" ht="15.75" customHeight="1">
      <c r="G521" s="13"/>
    </row>
    <row r="522" ht="15.75" customHeight="1">
      <c r="G522" s="13"/>
    </row>
    <row r="523" ht="15.75" customHeight="1">
      <c r="G523" s="13"/>
    </row>
    <row r="524" ht="15.75" customHeight="1">
      <c r="G524" s="13"/>
    </row>
    <row r="525" ht="15.75" customHeight="1">
      <c r="G525" s="13"/>
    </row>
    <row r="526" ht="15.75" customHeight="1">
      <c r="G526" s="13"/>
    </row>
    <row r="527" ht="15.75" customHeight="1">
      <c r="G527" s="13"/>
    </row>
    <row r="528" ht="15.75" customHeight="1">
      <c r="G528" s="13"/>
    </row>
    <row r="529" ht="15.75" customHeight="1">
      <c r="G529" s="13"/>
    </row>
    <row r="530" ht="15.75" customHeight="1">
      <c r="G530" s="13"/>
    </row>
    <row r="531" ht="15.75" customHeight="1">
      <c r="G531" s="13"/>
    </row>
    <row r="532" ht="15.75" customHeight="1">
      <c r="G532" s="13"/>
    </row>
    <row r="533" ht="15.75" customHeight="1">
      <c r="G533" s="13"/>
    </row>
    <row r="534" ht="15.75" customHeight="1">
      <c r="G534" s="13"/>
    </row>
    <row r="535" ht="15.75" customHeight="1">
      <c r="G535" s="13"/>
    </row>
    <row r="536" ht="15.75" customHeight="1">
      <c r="G536" s="13"/>
    </row>
    <row r="537" ht="15.75" customHeight="1">
      <c r="G537" s="13"/>
    </row>
    <row r="538" ht="15.75" customHeight="1">
      <c r="G538" s="13"/>
    </row>
    <row r="539" ht="15.75" customHeight="1">
      <c r="G539" s="13"/>
    </row>
    <row r="540" ht="15.75" customHeight="1">
      <c r="G540" s="13"/>
    </row>
    <row r="541" ht="15.75" customHeight="1">
      <c r="G541" s="13"/>
    </row>
    <row r="542" ht="15.75" customHeight="1">
      <c r="G542" s="13"/>
    </row>
    <row r="543" ht="15.75" customHeight="1">
      <c r="G543" s="13"/>
    </row>
    <row r="544" ht="15.75" customHeight="1">
      <c r="G544" s="13"/>
    </row>
    <row r="545" ht="15.75" customHeight="1">
      <c r="G545" s="13"/>
    </row>
    <row r="546" ht="15.75" customHeight="1">
      <c r="G546" s="13"/>
    </row>
    <row r="547" ht="15.75" customHeight="1">
      <c r="G547" s="13"/>
    </row>
    <row r="548" ht="15.75" customHeight="1">
      <c r="G548" s="13"/>
    </row>
    <row r="549" ht="15.75" customHeight="1">
      <c r="G549" s="13"/>
    </row>
    <row r="550" ht="15.75" customHeight="1">
      <c r="G550" s="13"/>
    </row>
    <row r="551" ht="15.75" customHeight="1">
      <c r="G551" s="13"/>
    </row>
    <row r="552" ht="15.75" customHeight="1">
      <c r="G552" s="13"/>
    </row>
    <row r="553" ht="15.75" customHeight="1">
      <c r="G553" s="13"/>
    </row>
    <row r="554" ht="15.75" customHeight="1">
      <c r="G554" s="13"/>
    </row>
    <row r="555" ht="15.75" customHeight="1">
      <c r="G555" s="13"/>
    </row>
    <row r="556" ht="15.75" customHeight="1">
      <c r="G556" s="13"/>
    </row>
    <row r="557" ht="15.75" customHeight="1">
      <c r="G557" s="13"/>
    </row>
    <row r="558" ht="15.75" customHeight="1">
      <c r="G558" s="13"/>
    </row>
    <row r="559" ht="15.75" customHeight="1">
      <c r="G559" s="13"/>
    </row>
    <row r="560" ht="15.75" customHeight="1">
      <c r="G560" s="13"/>
    </row>
    <row r="561" ht="15.75" customHeight="1">
      <c r="G561" s="13"/>
    </row>
    <row r="562" ht="15.75" customHeight="1">
      <c r="G562" s="13"/>
    </row>
    <row r="563" ht="15.75" customHeight="1">
      <c r="G563" s="13"/>
    </row>
    <row r="564" ht="15.75" customHeight="1">
      <c r="G564" s="13"/>
    </row>
    <row r="565" ht="15.75" customHeight="1">
      <c r="G565" s="13"/>
    </row>
    <row r="566" ht="15.75" customHeight="1">
      <c r="G566" s="13"/>
    </row>
    <row r="567" ht="15.75" customHeight="1">
      <c r="G567" s="13"/>
    </row>
    <row r="568" ht="15.75" customHeight="1">
      <c r="G568" s="13"/>
    </row>
    <row r="569" ht="15.75" customHeight="1">
      <c r="G569" s="13"/>
    </row>
    <row r="570" ht="15.75" customHeight="1">
      <c r="G570" s="13"/>
    </row>
    <row r="571" ht="15.75" customHeight="1">
      <c r="G571" s="13"/>
    </row>
    <row r="572" ht="15.75" customHeight="1">
      <c r="G572" s="13"/>
    </row>
    <row r="573" ht="15.75" customHeight="1">
      <c r="G573" s="13"/>
    </row>
    <row r="574" ht="15.75" customHeight="1">
      <c r="G574" s="13"/>
    </row>
    <row r="575" ht="15.75" customHeight="1">
      <c r="G575" s="13"/>
    </row>
    <row r="576" ht="15.75" customHeight="1">
      <c r="G576" s="13"/>
    </row>
    <row r="577" ht="15.75" customHeight="1">
      <c r="G577" s="13"/>
    </row>
    <row r="578" ht="15.75" customHeight="1">
      <c r="G578" s="13"/>
    </row>
    <row r="579" ht="15.75" customHeight="1">
      <c r="G579" s="13"/>
    </row>
    <row r="580" ht="15.75" customHeight="1">
      <c r="G580" s="13"/>
    </row>
    <row r="581" ht="15.75" customHeight="1">
      <c r="G581" s="13"/>
    </row>
    <row r="582" ht="15.75" customHeight="1">
      <c r="G582" s="13"/>
    </row>
    <row r="583" ht="15.75" customHeight="1">
      <c r="G583" s="13"/>
    </row>
    <row r="584" ht="15.75" customHeight="1">
      <c r="G584" s="13"/>
    </row>
    <row r="585" ht="15.75" customHeight="1">
      <c r="G585" s="13"/>
    </row>
    <row r="586" ht="15.75" customHeight="1">
      <c r="G586" s="13"/>
    </row>
    <row r="587" ht="15.75" customHeight="1">
      <c r="G587" s="13"/>
    </row>
    <row r="588" ht="15.75" customHeight="1">
      <c r="G588" s="13"/>
    </row>
    <row r="589" ht="15.75" customHeight="1">
      <c r="G589" s="13"/>
    </row>
    <row r="590" ht="15.75" customHeight="1">
      <c r="G590" s="13"/>
    </row>
    <row r="591" ht="15.75" customHeight="1">
      <c r="G591" s="13"/>
    </row>
    <row r="592" ht="15.75" customHeight="1">
      <c r="G592" s="13"/>
    </row>
    <row r="593" ht="15.75" customHeight="1">
      <c r="G593" s="13"/>
    </row>
    <row r="594" ht="15.75" customHeight="1">
      <c r="G594" s="13"/>
    </row>
    <row r="595" ht="15.75" customHeight="1">
      <c r="G595" s="13"/>
    </row>
    <row r="596" ht="15.75" customHeight="1">
      <c r="G596" s="13"/>
    </row>
    <row r="597" ht="15.75" customHeight="1">
      <c r="G597" s="13"/>
    </row>
    <row r="598" ht="15.75" customHeight="1">
      <c r="G598" s="13"/>
    </row>
    <row r="599" ht="15.75" customHeight="1">
      <c r="G599" s="13"/>
    </row>
    <row r="600" ht="15.75" customHeight="1">
      <c r="G600" s="13"/>
    </row>
    <row r="601" ht="15.75" customHeight="1">
      <c r="G601" s="13"/>
    </row>
    <row r="602" ht="15.75" customHeight="1">
      <c r="G602" s="13"/>
    </row>
    <row r="603" ht="15.75" customHeight="1">
      <c r="G603" s="13"/>
    </row>
    <row r="604" ht="15.75" customHeight="1">
      <c r="G604" s="13"/>
    </row>
    <row r="605" ht="15.75" customHeight="1">
      <c r="G605" s="13"/>
    </row>
    <row r="606" ht="15.75" customHeight="1">
      <c r="G606" s="13"/>
    </row>
    <row r="607" ht="15.75" customHeight="1">
      <c r="G607" s="13"/>
    </row>
    <row r="608" ht="15.75" customHeight="1">
      <c r="G608" s="13"/>
    </row>
    <row r="609" ht="15.75" customHeight="1">
      <c r="G609" s="13"/>
    </row>
    <row r="610" ht="15.75" customHeight="1">
      <c r="G610" s="13"/>
    </row>
    <row r="611" ht="15.75" customHeight="1">
      <c r="G611" s="13"/>
    </row>
    <row r="612" ht="15.75" customHeight="1">
      <c r="G612" s="13"/>
    </row>
    <row r="613" ht="15.75" customHeight="1">
      <c r="G613" s="13"/>
    </row>
    <row r="614" ht="15.75" customHeight="1">
      <c r="G614" s="13"/>
    </row>
    <row r="615" ht="15.75" customHeight="1">
      <c r="G615" s="13"/>
    </row>
    <row r="616" ht="15.75" customHeight="1">
      <c r="G616" s="13"/>
    </row>
    <row r="617" ht="15.75" customHeight="1">
      <c r="G617" s="13"/>
    </row>
    <row r="618" ht="15.75" customHeight="1">
      <c r="G618" s="13"/>
    </row>
    <row r="619" ht="15.75" customHeight="1">
      <c r="G619" s="13"/>
    </row>
    <row r="620" ht="15.75" customHeight="1">
      <c r="G620" s="13"/>
    </row>
    <row r="621" ht="15.75" customHeight="1">
      <c r="G621" s="13"/>
    </row>
    <row r="622" ht="15.75" customHeight="1">
      <c r="G622" s="13"/>
    </row>
    <row r="623" ht="15.75" customHeight="1">
      <c r="G623" s="13"/>
    </row>
    <row r="624" ht="15.75" customHeight="1">
      <c r="G624" s="13"/>
    </row>
    <row r="625" ht="15.75" customHeight="1">
      <c r="G625" s="13"/>
    </row>
    <row r="626" ht="15.75" customHeight="1">
      <c r="G626" s="13"/>
    </row>
    <row r="627" ht="15.75" customHeight="1">
      <c r="G627" s="13"/>
    </row>
    <row r="628" ht="15.75" customHeight="1">
      <c r="G628" s="13"/>
    </row>
    <row r="629" ht="15.75" customHeight="1">
      <c r="G629" s="13"/>
    </row>
    <row r="630" ht="15.75" customHeight="1">
      <c r="G630" s="13"/>
    </row>
    <row r="631" ht="15.75" customHeight="1">
      <c r="G631" s="13"/>
    </row>
    <row r="632" ht="15.75" customHeight="1">
      <c r="G632" s="13"/>
    </row>
    <row r="633" ht="15.75" customHeight="1">
      <c r="G633" s="13"/>
    </row>
    <row r="634" ht="15.75" customHeight="1">
      <c r="G634" s="13"/>
    </row>
    <row r="635" ht="15.75" customHeight="1">
      <c r="G635" s="13"/>
    </row>
    <row r="636" ht="15.75" customHeight="1">
      <c r="G636" s="13"/>
    </row>
    <row r="637" ht="15.75" customHeight="1">
      <c r="G637" s="13"/>
    </row>
    <row r="638" ht="15.75" customHeight="1">
      <c r="G638" s="13"/>
    </row>
    <row r="639" ht="15.75" customHeight="1">
      <c r="G639" s="13"/>
    </row>
    <row r="640" ht="15.75" customHeight="1">
      <c r="G640" s="13"/>
    </row>
    <row r="641" ht="15.75" customHeight="1">
      <c r="G641" s="13"/>
    </row>
    <row r="642" ht="15.75" customHeight="1">
      <c r="G642" s="13"/>
    </row>
    <row r="643" ht="15.75" customHeight="1">
      <c r="G643" s="13"/>
    </row>
    <row r="644" ht="15.75" customHeight="1">
      <c r="G644" s="13"/>
    </row>
    <row r="645" ht="15.75" customHeight="1">
      <c r="G645" s="13"/>
    </row>
    <row r="646" ht="15.75" customHeight="1">
      <c r="G646" s="13"/>
    </row>
    <row r="647" ht="15.75" customHeight="1">
      <c r="G647" s="13"/>
    </row>
    <row r="648" ht="15.75" customHeight="1">
      <c r="G648" s="13"/>
    </row>
    <row r="649" ht="15.75" customHeight="1">
      <c r="G649" s="13"/>
    </row>
    <row r="650" ht="15.75" customHeight="1">
      <c r="G650" s="13"/>
    </row>
    <row r="651" ht="15.75" customHeight="1">
      <c r="G651" s="13"/>
    </row>
    <row r="652" ht="15.75" customHeight="1">
      <c r="G652" s="13"/>
    </row>
    <row r="653" ht="15.75" customHeight="1">
      <c r="G653" s="13"/>
    </row>
    <row r="654" ht="15.75" customHeight="1">
      <c r="G654" s="13"/>
    </row>
    <row r="655" ht="15.75" customHeight="1">
      <c r="G655" s="13"/>
    </row>
    <row r="656" ht="15.75" customHeight="1">
      <c r="G656" s="13"/>
    </row>
    <row r="657" ht="15.75" customHeight="1">
      <c r="G657" s="13"/>
    </row>
    <row r="658" ht="15.75" customHeight="1">
      <c r="G658" s="13"/>
    </row>
    <row r="659" ht="15.75" customHeight="1">
      <c r="G659" s="13"/>
    </row>
    <row r="660" ht="15.75" customHeight="1">
      <c r="G660" s="13"/>
    </row>
    <row r="661" ht="15.75" customHeight="1">
      <c r="G661" s="13"/>
    </row>
    <row r="662" ht="15.75" customHeight="1">
      <c r="G662" s="13"/>
    </row>
    <row r="663" ht="15.75" customHeight="1">
      <c r="G663" s="13"/>
    </row>
    <row r="664" ht="15.75" customHeight="1">
      <c r="G664" s="13"/>
    </row>
    <row r="665" ht="15.75" customHeight="1">
      <c r="G665" s="13"/>
    </row>
    <row r="666" ht="15.75" customHeight="1">
      <c r="G666" s="13"/>
    </row>
    <row r="667" ht="15.75" customHeight="1">
      <c r="G667" s="13"/>
    </row>
    <row r="668" ht="15.75" customHeight="1">
      <c r="G668" s="13"/>
    </row>
    <row r="669" ht="15.75" customHeight="1">
      <c r="G669" s="13"/>
    </row>
    <row r="670" ht="15.75" customHeight="1">
      <c r="G670" s="13"/>
    </row>
    <row r="671" ht="15.75" customHeight="1">
      <c r="G671" s="13"/>
    </row>
    <row r="672" ht="15.75" customHeight="1">
      <c r="G672" s="13"/>
    </row>
    <row r="673" ht="15.75" customHeight="1">
      <c r="G673" s="13"/>
    </row>
    <row r="674" ht="15.75" customHeight="1">
      <c r="G674" s="13"/>
    </row>
    <row r="675" ht="15.75" customHeight="1">
      <c r="G675" s="13"/>
    </row>
    <row r="676" ht="15.75" customHeight="1">
      <c r="G676" s="13"/>
    </row>
    <row r="677" ht="15.75" customHeight="1">
      <c r="G677" s="13"/>
    </row>
    <row r="678" ht="15.75" customHeight="1">
      <c r="G678" s="13"/>
    </row>
    <row r="679" ht="15.75" customHeight="1">
      <c r="G679" s="13"/>
    </row>
    <row r="680" ht="15.75" customHeight="1">
      <c r="G680" s="13"/>
    </row>
    <row r="681" ht="15.75" customHeight="1">
      <c r="G681" s="13"/>
    </row>
    <row r="682" ht="15.75" customHeight="1">
      <c r="G682" s="13"/>
    </row>
    <row r="683" ht="15.75" customHeight="1">
      <c r="G683" s="13"/>
    </row>
    <row r="684" ht="15.75" customHeight="1">
      <c r="G684" s="13"/>
    </row>
    <row r="685" ht="15.75" customHeight="1">
      <c r="G685" s="13"/>
    </row>
    <row r="686" ht="15.75" customHeight="1">
      <c r="G686" s="13"/>
    </row>
    <row r="687" ht="15.75" customHeight="1">
      <c r="G687" s="13"/>
    </row>
    <row r="688" ht="15.75" customHeight="1">
      <c r="G688" s="13"/>
    </row>
    <row r="689" ht="15.75" customHeight="1">
      <c r="G689" s="13"/>
    </row>
    <row r="690" ht="15.75" customHeight="1">
      <c r="G690" s="13"/>
    </row>
    <row r="691" ht="15.75" customHeight="1">
      <c r="G691" s="13"/>
    </row>
    <row r="692" ht="15.75" customHeight="1">
      <c r="G692" s="13"/>
    </row>
    <row r="693" ht="15.75" customHeight="1">
      <c r="G693" s="13"/>
    </row>
    <row r="694" ht="15.75" customHeight="1">
      <c r="G694" s="13"/>
    </row>
    <row r="695" ht="15.75" customHeight="1">
      <c r="G695" s="13"/>
    </row>
    <row r="696" ht="15.75" customHeight="1">
      <c r="G696" s="13"/>
    </row>
    <row r="697" ht="15.75" customHeight="1">
      <c r="G697" s="13"/>
    </row>
    <row r="698" ht="15.75" customHeight="1">
      <c r="G698" s="13"/>
    </row>
    <row r="699" ht="15.75" customHeight="1">
      <c r="G699" s="13"/>
    </row>
    <row r="700" ht="15.75" customHeight="1">
      <c r="G700" s="13"/>
    </row>
    <row r="701" ht="15.75" customHeight="1">
      <c r="G701" s="13"/>
    </row>
    <row r="702" ht="15.75" customHeight="1">
      <c r="G702" s="13"/>
    </row>
    <row r="703" ht="15.75" customHeight="1">
      <c r="G703" s="13"/>
    </row>
    <row r="704" ht="15.75" customHeight="1">
      <c r="G704" s="13"/>
    </row>
    <row r="705" ht="15.75" customHeight="1">
      <c r="G705" s="13"/>
    </row>
    <row r="706" ht="15.75" customHeight="1">
      <c r="G706" s="13"/>
    </row>
    <row r="707" ht="15.75" customHeight="1">
      <c r="G707" s="13"/>
    </row>
    <row r="708" ht="15.75" customHeight="1">
      <c r="G708" s="13"/>
    </row>
    <row r="709" ht="15.75" customHeight="1">
      <c r="G709" s="13"/>
    </row>
    <row r="710" ht="15.75" customHeight="1">
      <c r="G710" s="13"/>
    </row>
    <row r="711" ht="15.75" customHeight="1">
      <c r="G711" s="13"/>
    </row>
    <row r="712" ht="15.75" customHeight="1">
      <c r="G712" s="13"/>
    </row>
    <row r="713" ht="15.75" customHeight="1">
      <c r="G713" s="13"/>
    </row>
    <row r="714" ht="15.75" customHeight="1">
      <c r="G714" s="13"/>
    </row>
    <row r="715" ht="15.75" customHeight="1">
      <c r="G715" s="13"/>
    </row>
    <row r="716" ht="15.75" customHeight="1">
      <c r="G716" s="13"/>
    </row>
    <row r="717" ht="15.75" customHeight="1">
      <c r="G717" s="13"/>
    </row>
    <row r="718" ht="15.75" customHeight="1">
      <c r="G718" s="13"/>
    </row>
    <row r="719" ht="15.75" customHeight="1">
      <c r="G719" s="13"/>
    </row>
    <row r="720" ht="15.75" customHeight="1">
      <c r="G720" s="13"/>
    </row>
    <row r="721" ht="15.75" customHeight="1">
      <c r="G721" s="13"/>
    </row>
    <row r="722" ht="15.75" customHeight="1">
      <c r="G722" s="13"/>
    </row>
    <row r="723" ht="15.75" customHeight="1">
      <c r="G723" s="13"/>
    </row>
    <row r="724" ht="15.75" customHeight="1">
      <c r="G724" s="13"/>
    </row>
    <row r="725" ht="15.75" customHeight="1">
      <c r="G725" s="13"/>
    </row>
    <row r="726" ht="15.75" customHeight="1">
      <c r="G726" s="13"/>
    </row>
    <row r="727" ht="15.75" customHeight="1">
      <c r="G727" s="13"/>
    </row>
    <row r="728" ht="15.75" customHeight="1">
      <c r="G728" s="13"/>
    </row>
    <row r="729" ht="15.75" customHeight="1">
      <c r="G729" s="13"/>
    </row>
    <row r="730" ht="15.75" customHeight="1">
      <c r="G730" s="13"/>
    </row>
    <row r="731" ht="15.75" customHeight="1">
      <c r="G731" s="13"/>
    </row>
    <row r="732" ht="15.75" customHeight="1">
      <c r="G732" s="13"/>
    </row>
    <row r="733" ht="15.75" customHeight="1">
      <c r="G733" s="13"/>
    </row>
    <row r="734" ht="15.75" customHeight="1">
      <c r="G734" s="13"/>
    </row>
    <row r="735" ht="15.75" customHeight="1">
      <c r="G735" s="13"/>
    </row>
    <row r="736" ht="15.75" customHeight="1">
      <c r="G736" s="13"/>
    </row>
    <row r="737" ht="15.75" customHeight="1">
      <c r="G737" s="13"/>
    </row>
    <row r="738" ht="15.75" customHeight="1">
      <c r="G738" s="13"/>
    </row>
    <row r="739" ht="15.75" customHeight="1">
      <c r="G739" s="13"/>
    </row>
    <row r="740" ht="15.75" customHeight="1">
      <c r="G740" s="13"/>
    </row>
    <row r="741" ht="15.75" customHeight="1">
      <c r="G741" s="13"/>
    </row>
    <row r="742" ht="15.75" customHeight="1">
      <c r="G742" s="13"/>
    </row>
    <row r="743" ht="15.75" customHeight="1">
      <c r="G743" s="13"/>
    </row>
    <row r="744" ht="15.75" customHeight="1">
      <c r="G744" s="13"/>
    </row>
    <row r="745" ht="15.75" customHeight="1">
      <c r="G745" s="13"/>
    </row>
    <row r="746" ht="15.75" customHeight="1">
      <c r="G746" s="13"/>
    </row>
    <row r="747" ht="15.75" customHeight="1">
      <c r="G747" s="13"/>
    </row>
    <row r="748" ht="15.75" customHeight="1">
      <c r="G748" s="13"/>
    </row>
    <row r="749" ht="15.75" customHeight="1">
      <c r="G749" s="13"/>
    </row>
    <row r="750" ht="15.75" customHeight="1">
      <c r="G750" s="13"/>
    </row>
    <row r="751" ht="15.75" customHeight="1">
      <c r="G751" s="13"/>
    </row>
    <row r="752" ht="15.75" customHeight="1">
      <c r="G752" s="13"/>
    </row>
    <row r="753" ht="15.75" customHeight="1">
      <c r="G753" s="13"/>
    </row>
    <row r="754" ht="15.75" customHeight="1">
      <c r="G754" s="13"/>
    </row>
    <row r="755" ht="15.75" customHeight="1">
      <c r="G755" s="13"/>
    </row>
    <row r="756" ht="15.75" customHeight="1">
      <c r="G756" s="13"/>
    </row>
    <row r="757" ht="15.75" customHeight="1">
      <c r="G757" s="13"/>
    </row>
    <row r="758" ht="15.75" customHeight="1">
      <c r="G758" s="13"/>
    </row>
    <row r="759" ht="15.75" customHeight="1">
      <c r="G759" s="13"/>
    </row>
    <row r="760" ht="15.75" customHeight="1">
      <c r="G760" s="13"/>
    </row>
    <row r="761" ht="15.75" customHeight="1">
      <c r="G761" s="13"/>
    </row>
    <row r="762" ht="15.75" customHeight="1">
      <c r="G762" s="13"/>
    </row>
    <row r="763" ht="15.75" customHeight="1">
      <c r="G763" s="13"/>
    </row>
    <row r="764" ht="15.75" customHeight="1">
      <c r="G764" s="13"/>
    </row>
    <row r="765" ht="15.75" customHeight="1">
      <c r="G765" s="13"/>
    </row>
    <row r="766" ht="15.75" customHeight="1">
      <c r="G766" s="13"/>
    </row>
    <row r="767" ht="15.75" customHeight="1">
      <c r="G767" s="13"/>
    </row>
    <row r="768" ht="15.75" customHeight="1">
      <c r="G768" s="13"/>
    </row>
    <row r="769" ht="15.75" customHeight="1">
      <c r="G769" s="13"/>
    </row>
    <row r="770" ht="15.75" customHeight="1">
      <c r="G770" s="13"/>
    </row>
    <row r="771" ht="15.75" customHeight="1">
      <c r="G771" s="13"/>
    </row>
    <row r="772" ht="15.75" customHeight="1">
      <c r="G772" s="13"/>
    </row>
    <row r="773" ht="15.75" customHeight="1">
      <c r="G773" s="13"/>
    </row>
    <row r="774" ht="15.75" customHeight="1">
      <c r="G774" s="13"/>
    </row>
    <row r="775" ht="15.75" customHeight="1">
      <c r="G775" s="13"/>
    </row>
    <row r="776" ht="15.75" customHeight="1">
      <c r="G776" s="13"/>
    </row>
    <row r="777" ht="15.75" customHeight="1">
      <c r="G777" s="13"/>
    </row>
    <row r="778" ht="15.75" customHeight="1">
      <c r="G778" s="13"/>
    </row>
    <row r="779" ht="15.75" customHeight="1">
      <c r="G779" s="13"/>
    </row>
    <row r="780" ht="15.75" customHeight="1">
      <c r="G780" s="13"/>
    </row>
    <row r="781" ht="15.75" customHeight="1">
      <c r="G781" s="13"/>
    </row>
    <row r="782" ht="15.75" customHeight="1">
      <c r="G782" s="13"/>
    </row>
    <row r="783" ht="15.75" customHeight="1">
      <c r="G783" s="13"/>
    </row>
    <row r="784" ht="15.75" customHeight="1">
      <c r="G784" s="13"/>
    </row>
    <row r="785" ht="15.75" customHeight="1">
      <c r="G785" s="13"/>
    </row>
    <row r="786" ht="15.75" customHeight="1">
      <c r="G786" s="13"/>
    </row>
    <row r="787" ht="15.75" customHeight="1">
      <c r="G787" s="13"/>
    </row>
    <row r="788" ht="15.75" customHeight="1">
      <c r="G788" s="13"/>
    </row>
    <row r="789" ht="15.75" customHeight="1">
      <c r="G789" s="13"/>
    </row>
    <row r="790" ht="15.75" customHeight="1">
      <c r="G790" s="13"/>
    </row>
    <row r="791" ht="15.75" customHeight="1">
      <c r="G791" s="13"/>
    </row>
    <row r="792" ht="15.75" customHeight="1">
      <c r="G792" s="13"/>
    </row>
    <row r="793" ht="15.75" customHeight="1">
      <c r="G793" s="13"/>
    </row>
    <row r="794" ht="15.75" customHeight="1">
      <c r="G794" s="13"/>
    </row>
    <row r="795" ht="15.75" customHeight="1">
      <c r="G795" s="13"/>
    </row>
    <row r="796" ht="15.75" customHeight="1">
      <c r="G796" s="13"/>
    </row>
    <row r="797" ht="15.75" customHeight="1">
      <c r="G797" s="13"/>
    </row>
    <row r="798" ht="15.75" customHeight="1">
      <c r="G798" s="13"/>
    </row>
    <row r="799" ht="15.75" customHeight="1">
      <c r="G799" s="13"/>
    </row>
    <row r="800" ht="15.75" customHeight="1">
      <c r="G800" s="13"/>
    </row>
    <row r="801" ht="15.75" customHeight="1">
      <c r="G801" s="13"/>
    </row>
    <row r="802" ht="15.75" customHeight="1">
      <c r="G802" s="13"/>
    </row>
    <row r="803" ht="15.75" customHeight="1">
      <c r="G803" s="13"/>
    </row>
    <row r="804" ht="15.75" customHeight="1">
      <c r="G804" s="13"/>
    </row>
    <row r="805" ht="15.75" customHeight="1">
      <c r="G805" s="13"/>
    </row>
    <row r="806" ht="15.75" customHeight="1">
      <c r="G806" s="13"/>
    </row>
    <row r="807" ht="15.75" customHeight="1">
      <c r="G807" s="13"/>
    </row>
    <row r="808" ht="15.75" customHeight="1">
      <c r="G808" s="13"/>
    </row>
    <row r="809" ht="15.75" customHeight="1">
      <c r="G809" s="13"/>
    </row>
    <row r="810" ht="15.75" customHeight="1">
      <c r="G810" s="13"/>
    </row>
    <row r="811" ht="15.75" customHeight="1">
      <c r="G811" s="13"/>
    </row>
    <row r="812" ht="15.75" customHeight="1">
      <c r="G812" s="13"/>
    </row>
    <row r="813" ht="15.75" customHeight="1">
      <c r="G813" s="13"/>
    </row>
    <row r="814" ht="15.75" customHeight="1">
      <c r="G814" s="13"/>
    </row>
    <row r="815" ht="15.75" customHeight="1">
      <c r="G815" s="13"/>
    </row>
    <row r="816" ht="15.75" customHeight="1">
      <c r="G816" s="13"/>
    </row>
    <row r="817" ht="15.75" customHeight="1">
      <c r="G817" s="13"/>
    </row>
    <row r="818" ht="15.75" customHeight="1">
      <c r="G818" s="13"/>
    </row>
    <row r="819" ht="15.75" customHeight="1">
      <c r="G819" s="13"/>
    </row>
    <row r="820" ht="15.75" customHeight="1">
      <c r="G820" s="13"/>
    </row>
    <row r="821" ht="15.75" customHeight="1">
      <c r="G821" s="13"/>
    </row>
    <row r="822" ht="15.75" customHeight="1">
      <c r="G822" s="13"/>
    </row>
    <row r="823" ht="15.75" customHeight="1">
      <c r="G823" s="13"/>
    </row>
    <row r="824" ht="15.75" customHeight="1">
      <c r="G824" s="13"/>
    </row>
    <row r="825" ht="15.75" customHeight="1">
      <c r="G825" s="13"/>
    </row>
    <row r="826" ht="15.75" customHeight="1">
      <c r="G826" s="13"/>
    </row>
    <row r="827" ht="15.75" customHeight="1">
      <c r="G827" s="13"/>
    </row>
    <row r="828" ht="15.75" customHeight="1">
      <c r="G828" s="13"/>
    </row>
    <row r="829" ht="15.75" customHeight="1">
      <c r="G829" s="13"/>
    </row>
    <row r="830" ht="15.75" customHeight="1">
      <c r="G830" s="13"/>
    </row>
    <row r="831" ht="15.75" customHeight="1">
      <c r="G831" s="13"/>
    </row>
    <row r="832" ht="15.75" customHeight="1">
      <c r="G832" s="13"/>
    </row>
    <row r="833" ht="15.75" customHeight="1">
      <c r="G833" s="13"/>
    </row>
    <row r="834" ht="15.75" customHeight="1">
      <c r="G834" s="13"/>
    </row>
    <row r="835" ht="15.75" customHeight="1">
      <c r="G835" s="13"/>
    </row>
    <row r="836" ht="15.75" customHeight="1">
      <c r="G836" s="13"/>
    </row>
    <row r="837" ht="15.75" customHeight="1">
      <c r="G837" s="13"/>
    </row>
    <row r="838" ht="15.75" customHeight="1">
      <c r="G838" s="13"/>
    </row>
    <row r="839" ht="15.75" customHeight="1">
      <c r="G839" s="13"/>
    </row>
    <row r="840" ht="15.75" customHeight="1">
      <c r="G840" s="13"/>
    </row>
    <row r="841" ht="15.75" customHeight="1">
      <c r="G841" s="13"/>
    </row>
    <row r="842" ht="15.75" customHeight="1">
      <c r="G842" s="13"/>
    </row>
    <row r="843" ht="15.75" customHeight="1">
      <c r="G843" s="13"/>
    </row>
    <row r="844" ht="15.75" customHeight="1">
      <c r="G844" s="13"/>
    </row>
    <row r="845" ht="15.75" customHeight="1">
      <c r="G845" s="13"/>
    </row>
    <row r="846" ht="15.75" customHeight="1">
      <c r="G846" s="13"/>
    </row>
    <row r="847" ht="15.75" customHeight="1">
      <c r="G847" s="13"/>
    </row>
    <row r="848" ht="15.75" customHeight="1">
      <c r="G848" s="13"/>
    </row>
    <row r="849" ht="15.75" customHeight="1">
      <c r="G849" s="13"/>
    </row>
    <row r="850" ht="15.75" customHeight="1">
      <c r="G850" s="13"/>
    </row>
    <row r="851" ht="15.75" customHeight="1">
      <c r="G851" s="13"/>
    </row>
    <row r="852" ht="15.75" customHeight="1">
      <c r="G852" s="13"/>
    </row>
    <row r="853" ht="15.75" customHeight="1">
      <c r="G853" s="13"/>
    </row>
    <row r="854" ht="15.75" customHeight="1">
      <c r="G854" s="13"/>
    </row>
    <row r="855" ht="15.75" customHeight="1">
      <c r="G855" s="13"/>
    </row>
    <row r="856" ht="15.75" customHeight="1">
      <c r="G856" s="13"/>
    </row>
    <row r="857" ht="15.75" customHeight="1">
      <c r="G857" s="13"/>
    </row>
    <row r="858" ht="15.75" customHeight="1">
      <c r="G858" s="13"/>
    </row>
    <row r="859" ht="15.75" customHeight="1">
      <c r="G859" s="13"/>
    </row>
    <row r="860" ht="15.75" customHeight="1">
      <c r="G860" s="13"/>
    </row>
    <row r="861" ht="15.75" customHeight="1">
      <c r="G861" s="13"/>
    </row>
    <row r="862" ht="15.75" customHeight="1">
      <c r="G862" s="13"/>
    </row>
    <row r="863" ht="15.75" customHeight="1">
      <c r="G863" s="13"/>
    </row>
    <row r="864" ht="15.75" customHeight="1">
      <c r="G864" s="13"/>
    </row>
    <row r="865" ht="15.75" customHeight="1">
      <c r="G865" s="13"/>
    </row>
    <row r="866" ht="15.75" customHeight="1">
      <c r="G866" s="13"/>
    </row>
    <row r="867" ht="15.75" customHeight="1">
      <c r="G867" s="13"/>
    </row>
    <row r="868" ht="15.75" customHeight="1">
      <c r="G868" s="13"/>
    </row>
    <row r="869" ht="15.75" customHeight="1">
      <c r="G869" s="13"/>
    </row>
    <row r="870" ht="15.75" customHeight="1">
      <c r="G870" s="13"/>
    </row>
    <row r="871" ht="15.75" customHeight="1">
      <c r="G871" s="13"/>
    </row>
    <row r="872" ht="15.75" customHeight="1">
      <c r="G872" s="13"/>
    </row>
    <row r="873" ht="15.75" customHeight="1">
      <c r="G873" s="13"/>
    </row>
    <row r="874" ht="15.75" customHeight="1">
      <c r="G874" s="13"/>
    </row>
    <row r="875" ht="15.75" customHeight="1">
      <c r="G875" s="13"/>
    </row>
    <row r="876" ht="15.75" customHeight="1">
      <c r="G876" s="13"/>
    </row>
    <row r="877" ht="15.75" customHeight="1">
      <c r="G877" s="13"/>
    </row>
    <row r="878" ht="15.75" customHeight="1">
      <c r="G878" s="13"/>
    </row>
    <row r="879" ht="15.75" customHeight="1">
      <c r="G879" s="13"/>
    </row>
    <row r="880" ht="15.75" customHeight="1">
      <c r="G880" s="13"/>
    </row>
    <row r="881" ht="15.75" customHeight="1">
      <c r="G881" s="13"/>
    </row>
    <row r="882" ht="15.75" customHeight="1">
      <c r="G882" s="13"/>
    </row>
    <row r="883" ht="15.75" customHeight="1">
      <c r="G883" s="13"/>
    </row>
    <row r="884" ht="15.75" customHeight="1">
      <c r="G884" s="13"/>
    </row>
    <row r="885" ht="15.75" customHeight="1">
      <c r="G885" s="13"/>
    </row>
    <row r="886" ht="15.75" customHeight="1">
      <c r="G886" s="13"/>
    </row>
    <row r="887" ht="15.75" customHeight="1">
      <c r="G887" s="13"/>
    </row>
    <row r="888" ht="15.75" customHeight="1">
      <c r="G888" s="13"/>
    </row>
    <row r="889" ht="15.75" customHeight="1">
      <c r="G889" s="13"/>
    </row>
    <row r="890" ht="15.75" customHeight="1">
      <c r="G890" s="13"/>
    </row>
    <row r="891" ht="15.75" customHeight="1">
      <c r="G891" s="13"/>
    </row>
    <row r="892" ht="15.75" customHeight="1">
      <c r="G892" s="13"/>
    </row>
    <row r="893" ht="15.75" customHeight="1">
      <c r="G893" s="13"/>
    </row>
    <row r="894" ht="15.75" customHeight="1">
      <c r="G894" s="13"/>
    </row>
    <row r="895" ht="15.75" customHeight="1">
      <c r="G895" s="13"/>
    </row>
    <row r="896" ht="15.75" customHeight="1">
      <c r="G896" s="13"/>
    </row>
    <row r="897" ht="15.75" customHeight="1">
      <c r="G897" s="13"/>
    </row>
    <row r="898" ht="15.75" customHeight="1">
      <c r="G898" s="13"/>
    </row>
    <row r="899" ht="15.75" customHeight="1">
      <c r="G899" s="13"/>
    </row>
    <row r="900" ht="15.75" customHeight="1">
      <c r="G900" s="13"/>
    </row>
    <row r="901" ht="15.75" customHeight="1">
      <c r="G901" s="13"/>
    </row>
    <row r="902" ht="15.75" customHeight="1">
      <c r="G902" s="13"/>
    </row>
    <row r="903" ht="15.75" customHeight="1">
      <c r="G903" s="13"/>
    </row>
    <row r="904" ht="15.75" customHeight="1">
      <c r="G904" s="13"/>
    </row>
    <row r="905" ht="15.75" customHeight="1">
      <c r="G905" s="13"/>
    </row>
    <row r="906" ht="15.75" customHeight="1">
      <c r="G906" s="13"/>
    </row>
    <row r="907" ht="15.75" customHeight="1">
      <c r="G907" s="13"/>
    </row>
    <row r="908" ht="15.75" customHeight="1">
      <c r="G908" s="13"/>
    </row>
    <row r="909" ht="15.75" customHeight="1">
      <c r="G909" s="13"/>
    </row>
    <row r="910" ht="15.75" customHeight="1">
      <c r="G910" s="13"/>
    </row>
    <row r="911" ht="15.75" customHeight="1">
      <c r="G911" s="13"/>
    </row>
    <row r="912" ht="15.75" customHeight="1">
      <c r="G912" s="13"/>
    </row>
    <row r="913" ht="15.75" customHeight="1">
      <c r="G913" s="13"/>
    </row>
    <row r="914" ht="15.75" customHeight="1">
      <c r="G914" s="13"/>
    </row>
    <row r="915" ht="15.75" customHeight="1">
      <c r="G915" s="13"/>
    </row>
    <row r="916" ht="15.75" customHeight="1">
      <c r="G916" s="13"/>
    </row>
    <row r="917" ht="15.75" customHeight="1">
      <c r="G917" s="13"/>
    </row>
    <row r="918" ht="15.75" customHeight="1">
      <c r="G918" s="13"/>
    </row>
    <row r="919" ht="15.75" customHeight="1">
      <c r="G919" s="13"/>
    </row>
    <row r="920" ht="15.75" customHeight="1">
      <c r="G920" s="13"/>
    </row>
    <row r="921" ht="15.75" customHeight="1">
      <c r="G921" s="13"/>
    </row>
    <row r="922" ht="15.75" customHeight="1">
      <c r="G922" s="13"/>
    </row>
    <row r="923" ht="15.75" customHeight="1">
      <c r="G923" s="13"/>
    </row>
    <row r="924" ht="15.75" customHeight="1">
      <c r="G924" s="13"/>
    </row>
    <row r="925" ht="15.75" customHeight="1">
      <c r="G925" s="13"/>
    </row>
    <row r="926" ht="15.75" customHeight="1">
      <c r="G926" s="13"/>
    </row>
    <row r="927" ht="15.75" customHeight="1">
      <c r="G927" s="13"/>
    </row>
    <row r="928" ht="15.75" customHeight="1">
      <c r="G928" s="13"/>
    </row>
    <row r="929" ht="15.75" customHeight="1">
      <c r="G929" s="13"/>
    </row>
    <row r="930" ht="15.75" customHeight="1">
      <c r="G930" s="13"/>
    </row>
    <row r="931" ht="15.75" customHeight="1">
      <c r="G931" s="13"/>
    </row>
    <row r="932" ht="15.75" customHeight="1">
      <c r="G932" s="13"/>
    </row>
    <row r="933" ht="15.75" customHeight="1">
      <c r="G933" s="13"/>
    </row>
    <row r="934" ht="15.75" customHeight="1">
      <c r="G934" s="13"/>
    </row>
    <row r="935" ht="15.75" customHeight="1">
      <c r="G935" s="13"/>
    </row>
    <row r="936" ht="15.75" customHeight="1">
      <c r="G936" s="13"/>
    </row>
    <row r="937" ht="15.75" customHeight="1">
      <c r="G937" s="13"/>
    </row>
    <row r="938" ht="15.75" customHeight="1">
      <c r="G938" s="13"/>
    </row>
    <row r="939" ht="15.75" customHeight="1">
      <c r="G939" s="13"/>
    </row>
    <row r="940" ht="15.75" customHeight="1">
      <c r="G940" s="13"/>
    </row>
    <row r="941" ht="15.75" customHeight="1">
      <c r="G941" s="13"/>
    </row>
    <row r="942" ht="15.75" customHeight="1">
      <c r="G942" s="13"/>
    </row>
    <row r="943" ht="15.75" customHeight="1">
      <c r="G943" s="13"/>
    </row>
    <row r="944" ht="15.75" customHeight="1">
      <c r="G944" s="13"/>
    </row>
    <row r="945" ht="15.75" customHeight="1">
      <c r="G945" s="13"/>
    </row>
    <row r="946" ht="15.75" customHeight="1">
      <c r="G946" s="13"/>
    </row>
    <row r="947" ht="15.75" customHeight="1">
      <c r="G947" s="13"/>
    </row>
    <row r="948" ht="15.75" customHeight="1">
      <c r="G948" s="13"/>
    </row>
    <row r="949" ht="15.75" customHeight="1">
      <c r="G949" s="13"/>
    </row>
    <row r="950" ht="15.75" customHeight="1">
      <c r="G950" s="13"/>
    </row>
    <row r="951" ht="15.75" customHeight="1">
      <c r="G951" s="13"/>
    </row>
    <row r="952" ht="15.75" customHeight="1">
      <c r="G952" s="13"/>
    </row>
    <row r="953" ht="15.75" customHeight="1">
      <c r="G953" s="13"/>
    </row>
    <row r="954" ht="15.75" customHeight="1">
      <c r="G954" s="13"/>
    </row>
    <row r="955" ht="15.75" customHeight="1">
      <c r="G955" s="13"/>
    </row>
    <row r="956" ht="15.75" customHeight="1">
      <c r="G956" s="13"/>
    </row>
    <row r="957" ht="15.75" customHeight="1">
      <c r="G957" s="13"/>
    </row>
    <row r="958" ht="15.75" customHeight="1">
      <c r="G958" s="13"/>
    </row>
    <row r="959" ht="15.75" customHeight="1">
      <c r="G959" s="13"/>
    </row>
    <row r="960" ht="15.75" customHeight="1">
      <c r="G960" s="13"/>
    </row>
    <row r="961" ht="15.75" customHeight="1">
      <c r="G961" s="13"/>
    </row>
    <row r="962" ht="15.75" customHeight="1">
      <c r="G962" s="13"/>
    </row>
    <row r="963" ht="15.75" customHeight="1">
      <c r="G963" s="13"/>
    </row>
    <row r="964" ht="15.75" customHeight="1">
      <c r="G964" s="13"/>
    </row>
    <row r="965" ht="15.75" customHeight="1">
      <c r="G965" s="13"/>
    </row>
    <row r="966" ht="15.75" customHeight="1">
      <c r="G966" s="13"/>
    </row>
    <row r="967" ht="15.75" customHeight="1">
      <c r="G967" s="13"/>
    </row>
    <row r="968" ht="15.75" customHeight="1">
      <c r="G968" s="13"/>
    </row>
    <row r="969" ht="15.75" customHeight="1">
      <c r="G969" s="13"/>
    </row>
    <row r="970" ht="15.75" customHeight="1">
      <c r="G970" s="13"/>
    </row>
    <row r="971" ht="15.75" customHeight="1">
      <c r="G971" s="13"/>
    </row>
    <row r="972" ht="15.75" customHeight="1">
      <c r="G972" s="13"/>
    </row>
    <row r="973" ht="15.75" customHeight="1">
      <c r="G973" s="13"/>
    </row>
    <row r="974" ht="15.75" customHeight="1">
      <c r="G974" s="13"/>
    </row>
    <row r="975" ht="15.75" customHeight="1">
      <c r="G975" s="13"/>
    </row>
    <row r="976" ht="15.75" customHeight="1">
      <c r="G976" s="13"/>
    </row>
    <row r="977" ht="15.75" customHeight="1">
      <c r="G977" s="13"/>
    </row>
    <row r="978" ht="15.75" customHeight="1">
      <c r="G978" s="13"/>
    </row>
    <row r="979" ht="15.75" customHeight="1">
      <c r="G979" s="13"/>
    </row>
    <row r="980" ht="15.75" customHeight="1">
      <c r="G980" s="13"/>
    </row>
    <row r="981" ht="15.75" customHeight="1">
      <c r="G981" s="13"/>
    </row>
    <row r="982" ht="15.75" customHeight="1">
      <c r="G982" s="13"/>
    </row>
    <row r="983" ht="15.75" customHeight="1">
      <c r="G983" s="13"/>
    </row>
    <row r="984" ht="15.75" customHeight="1">
      <c r="G984" s="13"/>
    </row>
    <row r="985" ht="15.75" customHeight="1">
      <c r="G985" s="13"/>
    </row>
    <row r="986" ht="15.75" customHeight="1">
      <c r="G986" s="13"/>
    </row>
    <row r="987" ht="15.75" customHeight="1">
      <c r="G987" s="13"/>
    </row>
    <row r="988" ht="15.75" customHeight="1">
      <c r="G988" s="13"/>
    </row>
    <row r="989" ht="15.75" customHeight="1">
      <c r="G989" s="13"/>
    </row>
    <row r="990" ht="15.75" customHeight="1">
      <c r="G990" s="13"/>
    </row>
    <row r="991" ht="15.75" customHeight="1">
      <c r="G991" s="13"/>
    </row>
    <row r="992" ht="15.75" customHeight="1">
      <c r="G992" s="13"/>
    </row>
    <row r="993" ht="15.75" customHeight="1">
      <c r="G993" s="13"/>
    </row>
    <row r="994" ht="15.75" customHeight="1">
      <c r="G994" s="13"/>
    </row>
    <row r="995" ht="15.75" customHeight="1">
      <c r="G995" s="13"/>
    </row>
    <row r="996" ht="15.75" customHeight="1">
      <c r="G996" s="13"/>
    </row>
    <row r="997" ht="15.75" customHeight="1">
      <c r="G997" s="13"/>
    </row>
    <row r="998" ht="15.75" customHeight="1">
      <c r="G998" s="13"/>
    </row>
    <row r="999" ht="15.75" customHeight="1">
      <c r="G999" s="13"/>
    </row>
    <row r="1000" ht="15.75" customHeight="1">
      <c r="G1000" s="13"/>
    </row>
  </sheetData>
  <mergeCells count="1">
    <mergeCell ref="A1:L1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2" width="14.71"/>
    <col customWidth="1" min="3" max="3" width="34.71"/>
    <col customWidth="1" min="4" max="7" width="8.71"/>
    <col customWidth="1" min="8" max="8" width="32.71"/>
    <col customWidth="1" min="9" max="10" width="12.71"/>
    <col customWidth="1" min="11" max="26" width="8.71"/>
  </cols>
  <sheetData>
    <row r="1" ht="27.75" customHeight="1">
      <c r="A1" s="1" t="s">
        <v>505</v>
      </c>
      <c r="B1" s="2"/>
      <c r="C1" s="2"/>
      <c r="D1" s="2"/>
      <c r="E1" s="2"/>
      <c r="F1" s="2"/>
      <c r="G1" s="2"/>
      <c r="H1" s="2"/>
      <c r="I1" s="2"/>
      <c r="J1" s="3"/>
    </row>
    <row r="3">
      <c r="A3" s="5" t="s">
        <v>48</v>
      </c>
      <c r="B3" s="5" t="s">
        <v>165</v>
      </c>
      <c r="C3" s="5" t="s">
        <v>506</v>
      </c>
      <c r="D3" s="5" t="s">
        <v>168</v>
      </c>
      <c r="E3" s="5" t="s">
        <v>107</v>
      </c>
      <c r="F3" s="5" t="s">
        <v>507</v>
      </c>
      <c r="G3" s="5" t="s">
        <v>508</v>
      </c>
      <c r="H3" s="5" t="s">
        <v>509</v>
      </c>
      <c r="I3" s="5" t="s">
        <v>172</v>
      </c>
      <c r="J3" s="5" t="s">
        <v>173</v>
      </c>
    </row>
    <row r="4">
      <c r="A4" s="14" t="s">
        <v>174</v>
      </c>
      <c r="B4" s="14" t="s">
        <v>183</v>
      </c>
      <c r="C4" s="14" t="s">
        <v>510</v>
      </c>
      <c r="D4" s="14" t="s">
        <v>185</v>
      </c>
      <c r="E4" s="14" t="s">
        <v>121</v>
      </c>
      <c r="F4" s="14">
        <v>1.0</v>
      </c>
      <c r="G4" s="14" t="s">
        <v>511</v>
      </c>
      <c r="H4" s="14" t="s">
        <v>512</v>
      </c>
      <c r="I4" s="14">
        <v>663.0</v>
      </c>
      <c r="J4" s="14">
        <v>18.94</v>
      </c>
    </row>
    <row r="5">
      <c r="A5" s="14" t="s">
        <v>174</v>
      </c>
      <c r="B5" s="14" t="s">
        <v>178</v>
      </c>
      <c r="C5" s="14" t="s">
        <v>179</v>
      </c>
      <c r="D5" s="14" t="s">
        <v>180</v>
      </c>
      <c r="E5" s="14" t="s">
        <v>123</v>
      </c>
      <c r="F5" s="14">
        <v>2.0</v>
      </c>
      <c r="G5" s="14" t="s">
        <v>513</v>
      </c>
      <c r="H5" s="14" t="s">
        <v>514</v>
      </c>
      <c r="I5" s="14">
        <v>539.0</v>
      </c>
      <c r="J5" s="14">
        <v>15.4</v>
      </c>
    </row>
    <row r="6">
      <c r="A6" s="14" t="s">
        <v>174</v>
      </c>
      <c r="B6" s="14" t="s">
        <v>248</v>
      </c>
      <c r="C6" s="14" t="s">
        <v>249</v>
      </c>
      <c r="D6" s="14" t="s">
        <v>250</v>
      </c>
      <c r="E6" s="14" t="s">
        <v>123</v>
      </c>
      <c r="F6" s="14">
        <v>3.0</v>
      </c>
      <c r="G6" s="14" t="s">
        <v>515</v>
      </c>
      <c r="H6" s="14" t="s">
        <v>514</v>
      </c>
      <c r="I6" s="14">
        <v>462.5</v>
      </c>
      <c r="J6" s="14">
        <v>12.5</v>
      </c>
    </row>
    <row r="7">
      <c r="A7" s="14" t="s">
        <v>174</v>
      </c>
      <c r="B7" s="14" t="s">
        <v>516</v>
      </c>
      <c r="C7" s="14" t="s">
        <v>517</v>
      </c>
      <c r="D7" s="14" t="s">
        <v>327</v>
      </c>
      <c r="E7" s="14" t="s">
        <v>123</v>
      </c>
      <c r="F7" s="14">
        <v>4.0</v>
      </c>
      <c r="G7" s="14" t="s">
        <v>515</v>
      </c>
      <c r="H7" s="14" t="s">
        <v>518</v>
      </c>
      <c r="I7" s="14">
        <v>452.0</v>
      </c>
      <c r="J7" s="14">
        <v>11.89</v>
      </c>
    </row>
    <row r="8">
      <c r="A8" s="14" t="s">
        <v>174</v>
      </c>
      <c r="B8" s="14" t="s">
        <v>189</v>
      </c>
      <c r="C8" s="14" t="s">
        <v>190</v>
      </c>
      <c r="D8" s="14" t="s">
        <v>191</v>
      </c>
      <c r="E8" s="14" t="s">
        <v>121</v>
      </c>
      <c r="F8" s="14">
        <v>5.0</v>
      </c>
      <c r="G8" s="14" t="s">
        <v>519</v>
      </c>
      <c r="H8" s="14" t="s">
        <v>520</v>
      </c>
      <c r="I8" s="14">
        <v>437.5</v>
      </c>
      <c r="J8" s="14">
        <v>14.11</v>
      </c>
    </row>
    <row r="9">
      <c r="A9" s="14" t="s">
        <v>174</v>
      </c>
      <c r="B9" s="14" t="s">
        <v>234</v>
      </c>
      <c r="C9" s="14" t="s">
        <v>235</v>
      </c>
      <c r="D9" s="14" t="s">
        <v>236</v>
      </c>
      <c r="E9" s="14" t="s">
        <v>121</v>
      </c>
      <c r="F9" s="14">
        <v>6.0</v>
      </c>
      <c r="G9" s="14" t="s">
        <v>521</v>
      </c>
      <c r="H9" s="14" t="s">
        <v>522</v>
      </c>
      <c r="I9" s="14">
        <v>435.5</v>
      </c>
      <c r="J9" s="14">
        <v>11.77</v>
      </c>
    </row>
    <row r="10">
      <c r="A10" s="14" t="s">
        <v>174</v>
      </c>
      <c r="B10" s="14" t="s">
        <v>213</v>
      </c>
      <c r="C10" s="14" t="s">
        <v>214</v>
      </c>
      <c r="D10" s="14" t="s">
        <v>215</v>
      </c>
      <c r="E10" s="14" t="s">
        <v>123</v>
      </c>
      <c r="F10" s="14">
        <v>7.0</v>
      </c>
      <c r="G10" s="14" t="s">
        <v>511</v>
      </c>
      <c r="H10" s="14" t="s">
        <v>523</v>
      </c>
      <c r="I10" s="14">
        <v>431.0</v>
      </c>
      <c r="J10" s="14">
        <v>11.34</v>
      </c>
    </row>
    <row r="11">
      <c r="A11" s="14" t="s">
        <v>174</v>
      </c>
      <c r="B11" s="14" t="s">
        <v>253</v>
      </c>
      <c r="C11" s="14" t="s">
        <v>254</v>
      </c>
      <c r="D11" s="14" t="s">
        <v>191</v>
      </c>
      <c r="E11" s="14" t="s">
        <v>121</v>
      </c>
      <c r="F11" s="14">
        <v>8.0</v>
      </c>
      <c r="G11" s="14" t="s">
        <v>524</v>
      </c>
      <c r="H11" s="14" t="s">
        <v>520</v>
      </c>
      <c r="I11" s="14">
        <v>420.0</v>
      </c>
      <c r="J11" s="14">
        <v>11.67</v>
      </c>
    </row>
    <row r="12">
      <c r="A12" s="14" t="s">
        <v>174</v>
      </c>
      <c r="B12" s="14" t="s">
        <v>336</v>
      </c>
      <c r="C12" s="14" t="s">
        <v>337</v>
      </c>
      <c r="D12" s="14" t="s">
        <v>177</v>
      </c>
      <c r="E12" s="14" t="s">
        <v>121</v>
      </c>
      <c r="F12" s="14">
        <v>9.0</v>
      </c>
      <c r="G12" s="14" t="s">
        <v>525</v>
      </c>
      <c r="H12" s="14" t="s">
        <v>518</v>
      </c>
      <c r="I12" s="14">
        <v>415.5</v>
      </c>
      <c r="J12" s="14">
        <v>11.54</v>
      </c>
    </row>
    <row r="13">
      <c r="A13" s="14" t="s">
        <v>174</v>
      </c>
      <c r="B13" s="14" t="s">
        <v>394</v>
      </c>
      <c r="C13" s="14" t="s">
        <v>395</v>
      </c>
      <c r="D13" s="14" t="s">
        <v>236</v>
      </c>
      <c r="E13" s="14" t="s">
        <v>121</v>
      </c>
      <c r="F13" s="14">
        <v>10.0</v>
      </c>
      <c r="G13" s="14" t="s">
        <v>515</v>
      </c>
      <c r="H13" s="14" t="s">
        <v>522</v>
      </c>
      <c r="I13" s="14">
        <v>405.0</v>
      </c>
      <c r="J13" s="14">
        <v>10.66</v>
      </c>
    </row>
    <row r="14">
      <c r="A14" s="14" t="s">
        <v>174</v>
      </c>
      <c r="B14" s="14" t="s">
        <v>206</v>
      </c>
      <c r="C14" s="14" t="s">
        <v>526</v>
      </c>
      <c r="D14" s="14" t="s">
        <v>188</v>
      </c>
      <c r="E14" s="14" t="s">
        <v>123</v>
      </c>
      <c r="F14" s="14">
        <v>11.0</v>
      </c>
      <c r="G14" s="14" t="s">
        <v>527</v>
      </c>
      <c r="H14" s="14" t="s">
        <v>528</v>
      </c>
      <c r="I14" s="14">
        <v>393.0</v>
      </c>
      <c r="J14" s="14">
        <v>11.23</v>
      </c>
    </row>
    <row r="15">
      <c r="A15" s="14" t="s">
        <v>174</v>
      </c>
      <c r="B15" s="14" t="s">
        <v>529</v>
      </c>
      <c r="C15" s="14" t="s">
        <v>530</v>
      </c>
      <c r="D15" s="14" t="s">
        <v>257</v>
      </c>
      <c r="E15" s="14" t="s">
        <v>121</v>
      </c>
      <c r="F15" s="14">
        <v>12.0</v>
      </c>
      <c r="G15" s="14" t="s">
        <v>515</v>
      </c>
      <c r="H15" s="14" t="s">
        <v>531</v>
      </c>
      <c r="I15" s="14">
        <v>392.5</v>
      </c>
      <c r="J15" s="14">
        <v>10.33</v>
      </c>
    </row>
    <row r="16">
      <c r="A16" s="14" t="s">
        <v>174</v>
      </c>
      <c r="B16" s="14" t="s">
        <v>353</v>
      </c>
      <c r="C16" s="14" t="s">
        <v>354</v>
      </c>
      <c r="D16" s="14" t="s">
        <v>355</v>
      </c>
      <c r="E16" s="14" t="s">
        <v>118</v>
      </c>
      <c r="F16" s="14">
        <v>13.0</v>
      </c>
      <c r="G16" s="14" t="s">
        <v>521</v>
      </c>
      <c r="H16" s="14" t="s">
        <v>514</v>
      </c>
      <c r="I16" s="14">
        <v>391.75</v>
      </c>
      <c r="J16" s="14">
        <v>11.19</v>
      </c>
    </row>
    <row r="17">
      <c r="A17" s="14" t="s">
        <v>174</v>
      </c>
      <c r="B17" s="14" t="s">
        <v>237</v>
      </c>
      <c r="C17" s="14" t="s">
        <v>238</v>
      </c>
      <c r="D17" s="14" t="s">
        <v>188</v>
      </c>
      <c r="E17" s="14" t="s">
        <v>121</v>
      </c>
      <c r="F17" s="14">
        <v>14.0</v>
      </c>
      <c r="G17" s="14" t="s">
        <v>532</v>
      </c>
      <c r="H17" s="14" t="s">
        <v>528</v>
      </c>
      <c r="I17" s="14">
        <v>391.0</v>
      </c>
      <c r="J17" s="14">
        <v>10.86</v>
      </c>
    </row>
    <row r="18">
      <c r="A18" s="14" t="s">
        <v>174</v>
      </c>
      <c r="B18" s="14" t="s">
        <v>264</v>
      </c>
      <c r="C18" s="14" t="s">
        <v>265</v>
      </c>
      <c r="D18" s="14" t="s">
        <v>177</v>
      </c>
      <c r="E18" s="14" t="s">
        <v>118</v>
      </c>
      <c r="F18" s="14">
        <v>15.0</v>
      </c>
      <c r="G18" s="14" t="s">
        <v>521</v>
      </c>
      <c r="H18" s="14" t="s">
        <v>518</v>
      </c>
      <c r="I18" s="14">
        <v>390.5</v>
      </c>
      <c r="J18" s="14">
        <v>10.28</v>
      </c>
    </row>
    <row r="19">
      <c r="A19" s="14" t="s">
        <v>174</v>
      </c>
      <c r="B19" s="14" t="s">
        <v>246</v>
      </c>
      <c r="C19" s="14" t="s">
        <v>533</v>
      </c>
      <c r="D19" s="14" t="s">
        <v>191</v>
      </c>
      <c r="E19" s="14" t="s">
        <v>118</v>
      </c>
      <c r="F19" s="14">
        <v>16.0</v>
      </c>
      <c r="G19" s="14" t="s">
        <v>525</v>
      </c>
      <c r="H19" s="14" t="s">
        <v>520</v>
      </c>
      <c r="I19" s="14">
        <v>386.25</v>
      </c>
      <c r="J19" s="14">
        <v>12.07</v>
      </c>
    </row>
    <row r="20">
      <c r="A20" s="14" t="s">
        <v>174</v>
      </c>
      <c r="B20" s="14" t="s">
        <v>222</v>
      </c>
      <c r="C20" s="14" t="s">
        <v>223</v>
      </c>
      <c r="D20" s="14" t="s">
        <v>199</v>
      </c>
      <c r="E20" s="14" t="s">
        <v>121</v>
      </c>
      <c r="F20" s="14">
        <v>17.0</v>
      </c>
      <c r="G20" s="14" t="s">
        <v>524</v>
      </c>
      <c r="H20" s="14" t="s">
        <v>514</v>
      </c>
      <c r="I20" s="14">
        <v>380.5</v>
      </c>
      <c r="J20" s="14">
        <v>10.28</v>
      </c>
    </row>
    <row r="21" ht="15.75" customHeight="1">
      <c r="A21" s="14" t="s">
        <v>174</v>
      </c>
      <c r="B21" s="14" t="s">
        <v>219</v>
      </c>
      <c r="C21" s="14" t="s">
        <v>220</v>
      </c>
      <c r="D21" s="14" t="s">
        <v>221</v>
      </c>
      <c r="E21" s="14" t="s">
        <v>118</v>
      </c>
      <c r="F21" s="14">
        <v>18.0</v>
      </c>
      <c r="G21" s="14" t="s">
        <v>513</v>
      </c>
      <c r="H21" s="14" t="s">
        <v>520</v>
      </c>
      <c r="I21" s="14">
        <v>380.0</v>
      </c>
      <c r="J21" s="14">
        <v>13.1</v>
      </c>
    </row>
    <row r="22" ht="15.75" customHeight="1">
      <c r="A22" s="14" t="s">
        <v>174</v>
      </c>
      <c r="B22" s="14" t="s">
        <v>266</v>
      </c>
      <c r="C22" s="14" t="s">
        <v>267</v>
      </c>
      <c r="D22" s="14" t="s">
        <v>180</v>
      </c>
      <c r="E22" s="14" t="s">
        <v>121</v>
      </c>
      <c r="F22" s="14">
        <v>19.0</v>
      </c>
      <c r="G22" s="14" t="s">
        <v>525</v>
      </c>
      <c r="H22" s="14" t="s">
        <v>514</v>
      </c>
      <c r="I22" s="14">
        <v>376.5</v>
      </c>
      <c r="J22" s="14">
        <v>12.55</v>
      </c>
    </row>
    <row r="23" ht="15.75" customHeight="1">
      <c r="A23" s="14" t="s">
        <v>174</v>
      </c>
      <c r="B23" s="14" t="s">
        <v>409</v>
      </c>
      <c r="C23" s="14" t="s">
        <v>410</v>
      </c>
      <c r="D23" s="14" t="s">
        <v>221</v>
      </c>
      <c r="E23" s="14" t="s">
        <v>118</v>
      </c>
      <c r="F23" s="14">
        <v>20.0</v>
      </c>
      <c r="G23" s="14" t="s">
        <v>532</v>
      </c>
      <c r="H23" s="14" t="s">
        <v>520</v>
      </c>
      <c r="I23" s="14">
        <v>368.25</v>
      </c>
      <c r="J23" s="14">
        <v>9.69</v>
      </c>
    </row>
    <row r="24" ht="15.75" customHeight="1">
      <c r="A24" s="14" t="s">
        <v>174</v>
      </c>
      <c r="B24" s="14" t="s">
        <v>534</v>
      </c>
      <c r="C24" s="14" t="s">
        <v>535</v>
      </c>
      <c r="D24" s="14" t="s">
        <v>453</v>
      </c>
      <c r="E24" s="14" t="s">
        <v>121</v>
      </c>
      <c r="F24" s="14">
        <v>21.0</v>
      </c>
      <c r="G24" s="14" t="s">
        <v>532</v>
      </c>
      <c r="H24" s="14" t="s">
        <v>523</v>
      </c>
      <c r="I24" s="14">
        <v>367.0</v>
      </c>
      <c r="J24" s="14">
        <v>12.66</v>
      </c>
    </row>
    <row r="25" ht="15.75" customHeight="1">
      <c r="A25" s="14" t="s">
        <v>174</v>
      </c>
      <c r="B25" s="14" t="s">
        <v>375</v>
      </c>
      <c r="C25" s="14" t="s">
        <v>376</v>
      </c>
      <c r="D25" s="14" t="s">
        <v>257</v>
      </c>
      <c r="E25" s="14" t="s">
        <v>118</v>
      </c>
      <c r="F25" s="14">
        <v>22.0</v>
      </c>
      <c r="G25" s="14" t="s">
        <v>513</v>
      </c>
      <c r="H25" s="14" t="s">
        <v>531</v>
      </c>
      <c r="I25" s="14">
        <v>367.0</v>
      </c>
      <c r="J25" s="14">
        <v>9.92</v>
      </c>
    </row>
    <row r="26" ht="15.75" customHeight="1">
      <c r="A26" s="14" t="s">
        <v>174</v>
      </c>
      <c r="B26" s="14" t="s">
        <v>491</v>
      </c>
      <c r="C26" s="14" t="s">
        <v>492</v>
      </c>
      <c r="D26" s="14" t="s">
        <v>285</v>
      </c>
      <c r="E26" s="14" t="s">
        <v>118</v>
      </c>
      <c r="F26" s="14">
        <v>23.0</v>
      </c>
      <c r="G26" s="14" t="s">
        <v>511</v>
      </c>
      <c r="H26" s="14" t="s">
        <v>522</v>
      </c>
      <c r="I26" s="14">
        <v>363.0</v>
      </c>
      <c r="J26" s="14">
        <v>9.55</v>
      </c>
    </row>
    <row r="27" ht="15.75" customHeight="1">
      <c r="A27" s="14" t="s">
        <v>174</v>
      </c>
      <c r="B27" s="14" t="s">
        <v>371</v>
      </c>
      <c r="C27" s="14" t="s">
        <v>372</v>
      </c>
      <c r="D27" s="14" t="s">
        <v>231</v>
      </c>
      <c r="E27" s="14" t="s">
        <v>121</v>
      </c>
      <c r="F27" s="14">
        <v>24.0</v>
      </c>
      <c r="G27" s="14" t="s">
        <v>511</v>
      </c>
      <c r="H27" s="14" t="s">
        <v>512</v>
      </c>
      <c r="I27" s="14">
        <v>360.5</v>
      </c>
      <c r="J27" s="14">
        <v>10.6</v>
      </c>
    </row>
    <row r="28" ht="15.75" customHeight="1">
      <c r="A28" s="14" t="s">
        <v>174</v>
      </c>
      <c r="B28" s="14" t="s">
        <v>262</v>
      </c>
      <c r="C28" s="14" t="s">
        <v>263</v>
      </c>
      <c r="D28" s="14" t="s">
        <v>180</v>
      </c>
      <c r="E28" s="14" t="s">
        <v>121</v>
      </c>
      <c r="F28" s="14">
        <v>25.0</v>
      </c>
      <c r="G28" s="14" t="s">
        <v>527</v>
      </c>
      <c r="H28" s="14" t="s">
        <v>514</v>
      </c>
      <c r="I28" s="14">
        <v>357.5</v>
      </c>
      <c r="J28" s="14">
        <v>10.83</v>
      </c>
    </row>
    <row r="29" ht="15.75" customHeight="1">
      <c r="A29" s="14" t="s">
        <v>174</v>
      </c>
      <c r="B29" s="14" t="s">
        <v>362</v>
      </c>
      <c r="C29" s="14" t="s">
        <v>536</v>
      </c>
      <c r="D29" s="14" t="s">
        <v>180</v>
      </c>
      <c r="E29" s="14" t="s">
        <v>118</v>
      </c>
      <c r="F29" s="14">
        <v>26.0</v>
      </c>
      <c r="G29" s="14" t="s">
        <v>537</v>
      </c>
      <c r="H29" s="14" t="s">
        <v>514</v>
      </c>
      <c r="I29" s="14">
        <v>353.75</v>
      </c>
      <c r="J29" s="14">
        <v>10.4</v>
      </c>
    </row>
    <row r="30" ht="15.75" customHeight="1">
      <c r="A30" s="14" t="s">
        <v>174</v>
      </c>
      <c r="B30" s="14" t="s">
        <v>197</v>
      </c>
      <c r="C30" s="14" t="s">
        <v>198</v>
      </c>
      <c r="D30" s="14" t="s">
        <v>199</v>
      </c>
      <c r="E30" s="14" t="s">
        <v>123</v>
      </c>
      <c r="F30" s="14">
        <v>27.0</v>
      </c>
      <c r="G30" s="14" t="s">
        <v>538</v>
      </c>
      <c r="H30" s="14" t="s">
        <v>514</v>
      </c>
      <c r="I30" s="14">
        <v>353.5</v>
      </c>
      <c r="J30" s="14">
        <v>9.55</v>
      </c>
    </row>
    <row r="31" ht="15.75" customHeight="1">
      <c r="A31" s="14" t="s">
        <v>174</v>
      </c>
      <c r="B31" s="14" t="s">
        <v>364</v>
      </c>
      <c r="C31" s="14" t="s">
        <v>365</v>
      </c>
      <c r="D31" s="14" t="s">
        <v>305</v>
      </c>
      <c r="E31" s="14" t="s">
        <v>121</v>
      </c>
      <c r="F31" s="14">
        <v>28.0</v>
      </c>
      <c r="G31" s="14" t="s">
        <v>525</v>
      </c>
      <c r="H31" s="14" t="s">
        <v>539</v>
      </c>
      <c r="I31" s="14">
        <v>353.5</v>
      </c>
      <c r="J31" s="14">
        <v>9.82</v>
      </c>
    </row>
    <row r="32" ht="15.75" customHeight="1">
      <c r="A32" s="14" t="s">
        <v>174</v>
      </c>
      <c r="B32" s="14" t="s">
        <v>192</v>
      </c>
      <c r="C32" s="14" t="s">
        <v>540</v>
      </c>
      <c r="D32" s="14" t="s">
        <v>185</v>
      </c>
      <c r="E32" s="14" t="s">
        <v>123</v>
      </c>
      <c r="F32" s="14">
        <v>29.0</v>
      </c>
      <c r="G32" s="14" t="s">
        <v>524</v>
      </c>
      <c r="H32" s="14" t="s">
        <v>512</v>
      </c>
      <c r="I32" s="14">
        <v>352.0</v>
      </c>
      <c r="J32" s="14">
        <v>10.67</v>
      </c>
    </row>
    <row r="33" ht="15.75" customHeight="1">
      <c r="A33" s="14" t="s">
        <v>174</v>
      </c>
      <c r="B33" s="14" t="s">
        <v>405</v>
      </c>
      <c r="C33" s="14" t="s">
        <v>406</v>
      </c>
      <c r="D33" s="14" t="s">
        <v>285</v>
      </c>
      <c r="E33" s="14" t="s">
        <v>121</v>
      </c>
      <c r="F33" s="14">
        <v>30.0</v>
      </c>
      <c r="G33" s="14" t="s">
        <v>532</v>
      </c>
      <c r="H33" s="14" t="s">
        <v>522</v>
      </c>
      <c r="I33" s="14">
        <v>350.0</v>
      </c>
      <c r="J33" s="14">
        <v>10.29</v>
      </c>
    </row>
    <row r="34" ht="15.75" customHeight="1">
      <c r="A34" s="14" t="s">
        <v>174</v>
      </c>
      <c r="B34" s="14" t="s">
        <v>358</v>
      </c>
      <c r="C34" s="14" t="s">
        <v>359</v>
      </c>
      <c r="D34" s="14" t="s">
        <v>236</v>
      </c>
      <c r="E34" s="14" t="s">
        <v>118</v>
      </c>
      <c r="F34" s="14">
        <v>31.0</v>
      </c>
      <c r="G34" s="14" t="s">
        <v>511</v>
      </c>
      <c r="H34" s="14" t="s">
        <v>522</v>
      </c>
      <c r="I34" s="14">
        <v>349.75</v>
      </c>
      <c r="J34" s="14">
        <v>9.45</v>
      </c>
    </row>
    <row r="35" ht="15.75" customHeight="1">
      <c r="A35" s="14" t="s">
        <v>174</v>
      </c>
      <c r="B35" s="14" t="s">
        <v>286</v>
      </c>
      <c r="C35" s="14" t="s">
        <v>287</v>
      </c>
      <c r="D35" s="14" t="s">
        <v>177</v>
      </c>
      <c r="E35" s="14" t="s">
        <v>123</v>
      </c>
      <c r="F35" s="14">
        <v>32.0</v>
      </c>
      <c r="G35" s="14" t="s">
        <v>511</v>
      </c>
      <c r="H35" s="14" t="s">
        <v>518</v>
      </c>
      <c r="I35" s="14">
        <v>346.5</v>
      </c>
      <c r="J35" s="14">
        <v>9.62</v>
      </c>
    </row>
    <row r="36" ht="15.75" customHeight="1">
      <c r="A36" s="14" t="s">
        <v>174</v>
      </c>
      <c r="B36" s="14" t="s">
        <v>456</v>
      </c>
      <c r="C36" s="14" t="s">
        <v>541</v>
      </c>
      <c r="D36" s="14" t="s">
        <v>314</v>
      </c>
      <c r="E36" s="14" t="s">
        <v>121</v>
      </c>
      <c r="F36" s="14">
        <v>33.0</v>
      </c>
      <c r="G36" s="14" t="s">
        <v>538</v>
      </c>
      <c r="H36" s="14" t="s">
        <v>528</v>
      </c>
      <c r="I36" s="14">
        <v>343.0</v>
      </c>
      <c r="J36" s="14">
        <v>9.53</v>
      </c>
    </row>
    <row r="37" ht="15.75" customHeight="1">
      <c r="A37" s="14" t="s">
        <v>174</v>
      </c>
      <c r="B37" s="14" t="s">
        <v>310</v>
      </c>
      <c r="C37" s="14" t="s">
        <v>542</v>
      </c>
      <c r="D37" s="14" t="s">
        <v>226</v>
      </c>
      <c r="E37" s="14" t="s">
        <v>121</v>
      </c>
      <c r="F37" s="14">
        <v>34.0</v>
      </c>
      <c r="G37" s="14" t="s">
        <v>532</v>
      </c>
      <c r="H37" s="14" t="s">
        <v>539</v>
      </c>
      <c r="I37" s="14">
        <v>342.5</v>
      </c>
      <c r="J37" s="14">
        <v>11.81</v>
      </c>
    </row>
    <row r="38" ht="15.75" customHeight="1">
      <c r="A38" s="14" t="s">
        <v>174</v>
      </c>
      <c r="B38" s="14" t="s">
        <v>543</v>
      </c>
      <c r="C38" s="14" t="s">
        <v>544</v>
      </c>
      <c r="D38" s="14" t="s">
        <v>453</v>
      </c>
      <c r="E38" s="14" t="s">
        <v>118</v>
      </c>
      <c r="F38" s="14">
        <v>35.0</v>
      </c>
      <c r="G38" s="14" t="s">
        <v>519</v>
      </c>
      <c r="H38" s="14" t="s">
        <v>523</v>
      </c>
      <c r="I38" s="14">
        <v>340.75</v>
      </c>
      <c r="J38" s="14">
        <v>9.74</v>
      </c>
    </row>
    <row r="39" ht="15.75" customHeight="1">
      <c r="A39" s="14" t="s">
        <v>174</v>
      </c>
      <c r="B39" s="14" t="s">
        <v>545</v>
      </c>
      <c r="C39" s="14" t="s">
        <v>546</v>
      </c>
      <c r="D39" s="14" t="s">
        <v>314</v>
      </c>
      <c r="E39" s="14" t="s">
        <v>118</v>
      </c>
      <c r="F39" s="14">
        <v>36.0</v>
      </c>
      <c r="G39" s="14" t="s">
        <v>519</v>
      </c>
      <c r="H39" s="14" t="s">
        <v>528</v>
      </c>
      <c r="I39" s="14">
        <v>337.25</v>
      </c>
      <c r="J39" s="14">
        <v>10.54</v>
      </c>
    </row>
    <row r="40" ht="15.75" customHeight="1">
      <c r="A40" s="14" t="s">
        <v>174</v>
      </c>
      <c r="B40" s="14" t="s">
        <v>547</v>
      </c>
      <c r="C40" s="14" t="s">
        <v>548</v>
      </c>
      <c r="D40" s="14" t="s">
        <v>285</v>
      </c>
      <c r="E40" s="14" t="s">
        <v>118</v>
      </c>
      <c r="F40" s="14">
        <v>37.0</v>
      </c>
      <c r="G40" s="14" t="s">
        <v>515</v>
      </c>
      <c r="H40" s="14" t="s">
        <v>522</v>
      </c>
      <c r="I40" s="14">
        <v>336.75</v>
      </c>
      <c r="J40" s="14">
        <v>9.1</v>
      </c>
    </row>
    <row r="41" ht="15.75" customHeight="1">
      <c r="A41" s="14" t="s">
        <v>174</v>
      </c>
      <c r="B41" s="14" t="s">
        <v>200</v>
      </c>
      <c r="C41" s="14" t="s">
        <v>201</v>
      </c>
      <c r="D41" s="14" t="s">
        <v>185</v>
      </c>
      <c r="E41" s="14" t="s">
        <v>123</v>
      </c>
      <c r="F41" s="14">
        <v>38.0</v>
      </c>
      <c r="G41" s="14" t="s">
        <v>525</v>
      </c>
      <c r="H41" s="14" t="s">
        <v>512</v>
      </c>
      <c r="I41" s="14">
        <v>336.0</v>
      </c>
      <c r="J41" s="14">
        <v>10.18</v>
      </c>
    </row>
    <row r="42" ht="15.75" customHeight="1">
      <c r="A42" s="14" t="s">
        <v>174</v>
      </c>
      <c r="B42" s="14" t="s">
        <v>549</v>
      </c>
      <c r="C42" s="14" t="s">
        <v>550</v>
      </c>
      <c r="D42" s="14" t="s">
        <v>185</v>
      </c>
      <c r="E42" s="14" t="s">
        <v>121</v>
      </c>
      <c r="F42" s="14">
        <v>39.0</v>
      </c>
      <c r="G42" s="14" t="s">
        <v>513</v>
      </c>
      <c r="H42" s="14" t="s">
        <v>512</v>
      </c>
      <c r="I42" s="14">
        <v>331.0</v>
      </c>
      <c r="J42" s="14">
        <v>9.74</v>
      </c>
    </row>
    <row r="43" ht="15.75" customHeight="1">
      <c r="A43" s="14" t="s">
        <v>174</v>
      </c>
      <c r="B43" s="14" t="s">
        <v>338</v>
      </c>
      <c r="C43" s="14" t="s">
        <v>339</v>
      </c>
      <c r="D43" s="14" t="s">
        <v>191</v>
      </c>
      <c r="E43" s="14" t="s">
        <v>118</v>
      </c>
      <c r="F43" s="14">
        <v>40.0</v>
      </c>
      <c r="G43" s="14" t="s">
        <v>537</v>
      </c>
      <c r="H43" s="14" t="s">
        <v>520</v>
      </c>
      <c r="I43" s="14">
        <v>331.0</v>
      </c>
      <c r="J43" s="14">
        <v>11.03</v>
      </c>
    </row>
    <row r="44" ht="15.75" customHeight="1">
      <c r="A44" s="14" t="s">
        <v>174</v>
      </c>
      <c r="B44" s="14" t="s">
        <v>551</v>
      </c>
      <c r="C44" s="14" t="s">
        <v>552</v>
      </c>
      <c r="D44" s="14" t="s">
        <v>453</v>
      </c>
      <c r="E44" s="14" t="s">
        <v>123</v>
      </c>
      <c r="F44" s="14">
        <v>41.0</v>
      </c>
      <c r="G44" s="14" t="s">
        <v>521</v>
      </c>
      <c r="H44" s="14" t="s">
        <v>523</v>
      </c>
      <c r="I44" s="14">
        <v>329.5</v>
      </c>
      <c r="J44" s="14">
        <v>9.41</v>
      </c>
    </row>
    <row r="45" ht="15.75" customHeight="1">
      <c r="A45" s="14" t="s">
        <v>174</v>
      </c>
      <c r="B45" s="14" t="s">
        <v>471</v>
      </c>
      <c r="C45" s="14" t="s">
        <v>472</v>
      </c>
      <c r="D45" s="14" t="s">
        <v>221</v>
      </c>
      <c r="E45" s="14" t="s">
        <v>118</v>
      </c>
      <c r="F45" s="14">
        <v>42.0</v>
      </c>
      <c r="G45" s="14" t="s">
        <v>511</v>
      </c>
      <c r="H45" s="14" t="s">
        <v>520</v>
      </c>
      <c r="I45" s="14">
        <v>326.25</v>
      </c>
      <c r="J45" s="14">
        <v>9.32</v>
      </c>
    </row>
    <row r="46" ht="15.75" customHeight="1">
      <c r="A46" s="14" t="s">
        <v>174</v>
      </c>
      <c r="B46" s="14" t="s">
        <v>553</v>
      </c>
      <c r="C46" s="14" t="s">
        <v>554</v>
      </c>
      <c r="D46" s="14" t="s">
        <v>231</v>
      </c>
      <c r="E46" s="14" t="s">
        <v>118</v>
      </c>
      <c r="F46" s="14">
        <v>43.0</v>
      </c>
      <c r="G46" s="14" t="s">
        <v>513</v>
      </c>
      <c r="H46" s="14" t="s">
        <v>512</v>
      </c>
      <c r="I46" s="14">
        <v>326.25</v>
      </c>
      <c r="J46" s="14">
        <v>9.06</v>
      </c>
    </row>
    <row r="47" ht="15.75" customHeight="1">
      <c r="A47" s="14" t="s">
        <v>174</v>
      </c>
      <c r="B47" s="14" t="s">
        <v>255</v>
      </c>
      <c r="C47" s="14" t="s">
        <v>256</v>
      </c>
      <c r="D47" s="14" t="s">
        <v>257</v>
      </c>
      <c r="E47" s="14" t="s">
        <v>121</v>
      </c>
      <c r="F47" s="14">
        <v>44.0</v>
      </c>
      <c r="G47" s="14" t="s">
        <v>511</v>
      </c>
      <c r="H47" s="14" t="s">
        <v>531</v>
      </c>
      <c r="I47" s="14">
        <v>325.5</v>
      </c>
      <c r="J47" s="14">
        <v>10.17</v>
      </c>
    </row>
    <row r="48" ht="15.75" customHeight="1">
      <c r="A48" s="14" t="s">
        <v>174</v>
      </c>
      <c r="B48" s="14" t="s">
        <v>181</v>
      </c>
      <c r="C48" s="14" t="s">
        <v>182</v>
      </c>
      <c r="D48" s="14" t="s">
        <v>177</v>
      </c>
      <c r="E48" s="14" t="s">
        <v>121</v>
      </c>
      <c r="F48" s="14">
        <v>45.0</v>
      </c>
      <c r="G48" s="14" t="s">
        <v>538</v>
      </c>
      <c r="H48" s="14" t="s">
        <v>518</v>
      </c>
      <c r="I48" s="14">
        <v>325.5</v>
      </c>
      <c r="J48" s="14">
        <v>9.86</v>
      </c>
    </row>
    <row r="49" ht="15.75" customHeight="1">
      <c r="A49" s="14" t="s">
        <v>174</v>
      </c>
      <c r="B49" s="14" t="s">
        <v>251</v>
      </c>
      <c r="C49" s="14" t="s">
        <v>252</v>
      </c>
      <c r="D49" s="14" t="s">
        <v>243</v>
      </c>
      <c r="E49" s="14" t="s">
        <v>118</v>
      </c>
      <c r="F49" s="14">
        <v>46.0</v>
      </c>
      <c r="G49" s="14" t="s">
        <v>524</v>
      </c>
      <c r="H49" s="14" t="s">
        <v>531</v>
      </c>
      <c r="I49" s="14">
        <v>325.0</v>
      </c>
      <c r="J49" s="14">
        <v>9.56</v>
      </c>
    </row>
    <row r="50" ht="15.75" customHeight="1">
      <c r="A50" s="14" t="s">
        <v>174</v>
      </c>
      <c r="B50" s="14" t="s">
        <v>299</v>
      </c>
      <c r="C50" s="14" t="s">
        <v>555</v>
      </c>
      <c r="D50" s="14" t="s">
        <v>188</v>
      </c>
      <c r="E50" s="14" t="s">
        <v>123</v>
      </c>
      <c r="F50" s="14">
        <v>47.0</v>
      </c>
      <c r="G50" s="14" t="s">
        <v>519</v>
      </c>
      <c r="H50" s="14" t="s">
        <v>528</v>
      </c>
      <c r="I50" s="14">
        <v>318.5</v>
      </c>
      <c r="J50" s="14">
        <v>9.37</v>
      </c>
    </row>
    <row r="51" ht="15.75" customHeight="1">
      <c r="A51" s="14" t="s">
        <v>174</v>
      </c>
      <c r="B51" s="14" t="s">
        <v>556</v>
      </c>
      <c r="C51" s="14" t="s">
        <v>557</v>
      </c>
      <c r="D51" s="14" t="s">
        <v>327</v>
      </c>
      <c r="E51" s="14" t="s">
        <v>115</v>
      </c>
      <c r="F51" s="14">
        <v>48.0</v>
      </c>
      <c r="G51" s="14" t="s">
        <v>532</v>
      </c>
      <c r="H51" s="14" t="s">
        <v>518</v>
      </c>
      <c r="I51" s="14">
        <v>316.75</v>
      </c>
      <c r="J51" s="14">
        <v>8.56</v>
      </c>
    </row>
    <row r="52" ht="15.75" customHeight="1">
      <c r="A52" s="14" t="s">
        <v>174</v>
      </c>
      <c r="B52" s="14" t="s">
        <v>558</v>
      </c>
      <c r="C52" s="14" t="s">
        <v>559</v>
      </c>
      <c r="D52" s="14" t="s">
        <v>314</v>
      </c>
      <c r="E52" s="14" t="s">
        <v>115</v>
      </c>
      <c r="F52" s="14">
        <v>49.0</v>
      </c>
      <c r="G52" s="14" t="s">
        <v>511</v>
      </c>
      <c r="H52" s="14" t="s">
        <v>528</v>
      </c>
      <c r="I52" s="14">
        <v>315.25</v>
      </c>
      <c r="J52" s="14">
        <v>9.01</v>
      </c>
    </row>
    <row r="53" ht="15.75" customHeight="1">
      <c r="A53" s="14" t="s">
        <v>174</v>
      </c>
      <c r="B53" s="14" t="s">
        <v>560</v>
      </c>
      <c r="C53" s="14" t="s">
        <v>561</v>
      </c>
      <c r="D53" s="14" t="s">
        <v>387</v>
      </c>
      <c r="E53" s="14" t="s">
        <v>118</v>
      </c>
      <c r="F53" s="14">
        <v>50.0</v>
      </c>
      <c r="G53" s="14" t="s">
        <v>511</v>
      </c>
      <c r="H53" s="14" t="s">
        <v>562</v>
      </c>
      <c r="I53" s="14">
        <v>311.75</v>
      </c>
      <c r="J53" s="14">
        <v>8.91</v>
      </c>
    </row>
    <row r="54" ht="15.75" customHeight="1">
      <c r="A54" s="14" t="s">
        <v>174</v>
      </c>
      <c r="B54" s="14" t="s">
        <v>425</v>
      </c>
      <c r="C54" s="14" t="s">
        <v>563</v>
      </c>
      <c r="D54" s="14" t="s">
        <v>185</v>
      </c>
      <c r="E54" s="14" t="s">
        <v>118</v>
      </c>
      <c r="F54" s="14">
        <v>51.0</v>
      </c>
      <c r="G54" s="14" t="s">
        <v>532</v>
      </c>
      <c r="H54" s="14" t="s">
        <v>512</v>
      </c>
      <c r="I54" s="14">
        <v>309.5</v>
      </c>
      <c r="J54" s="14">
        <v>9.1</v>
      </c>
    </row>
    <row r="55" ht="15.75" customHeight="1">
      <c r="A55" s="14" t="s">
        <v>174</v>
      </c>
      <c r="B55" s="14" t="s">
        <v>227</v>
      </c>
      <c r="C55" s="14" t="s">
        <v>228</v>
      </c>
      <c r="D55" s="14" t="s">
        <v>180</v>
      </c>
      <c r="E55" s="14" t="s">
        <v>121</v>
      </c>
      <c r="F55" s="14">
        <v>52.0</v>
      </c>
      <c r="G55" s="14" t="s">
        <v>524</v>
      </c>
      <c r="H55" s="14" t="s">
        <v>514</v>
      </c>
      <c r="I55" s="14">
        <v>309.5</v>
      </c>
      <c r="J55" s="14">
        <v>9.38</v>
      </c>
    </row>
    <row r="56" ht="15.75" customHeight="1">
      <c r="A56" s="14" t="s">
        <v>174</v>
      </c>
      <c r="B56" s="14" t="s">
        <v>396</v>
      </c>
      <c r="C56" s="14" t="s">
        <v>397</v>
      </c>
      <c r="D56" s="14" t="s">
        <v>398</v>
      </c>
      <c r="E56" s="14" t="s">
        <v>121</v>
      </c>
      <c r="F56" s="14">
        <v>53.0</v>
      </c>
      <c r="G56" s="14" t="s">
        <v>525</v>
      </c>
      <c r="H56" s="14" t="s">
        <v>518</v>
      </c>
      <c r="I56" s="14">
        <v>306.5</v>
      </c>
      <c r="J56" s="14">
        <v>9.58</v>
      </c>
    </row>
    <row r="57" ht="15.75" customHeight="1">
      <c r="A57" s="14" t="s">
        <v>174</v>
      </c>
      <c r="B57" s="14" t="s">
        <v>433</v>
      </c>
      <c r="C57" s="14" t="s">
        <v>434</v>
      </c>
      <c r="D57" s="14" t="s">
        <v>257</v>
      </c>
      <c r="E57" s="14" t="s">
        <v>121</v>
      </c>
      <c r="F57" s="14">
        <v>54.0</v>
      </c>
      <c r="G57" s="14" t="s">
        <v>527</v>
      </c>
      <c r="H57" s="14" t="s">
        <v>531</v>
      </c>
      <c r="I57" s="14">
        <v>305.5</v>
      </c>
      <c r="J57" s="14">
        <v>9.85</v>
      </c>
    </row>
    <row r="58" ht="15.75" customHeight="1">
      <c r="A58" s="14" t="s">
        <v>174</v>
      </c>
      <c r="B58" s="14" t="s">
        <v>564</v>
      </c>
      <c r="C58" s="14" t="s">
        <v>565</v>
      </c>
      <c r="D58" s="14" t="s">
        <v>566</v>
      </c>
      <c r="E58" s="14" t="s">
        <v>123</v>
      </c>
      <c r="F58" s="14">
        <v>55.0</v>
      </c>
      <c r="G58" s="14" t="s">
        <v>538</v>
      </c>
      <c r="H58" s="14" t="s">
        <v>562</v>
      </c>
      <c r="I58" s="14">
        <v>304.0</v>
      </c>
      <c r="J58" s="14">
        <v>8.22</v>
      </c>
    </row>
    <row r="59" ht="15.75" customHeight="1">
      <c r="A59" s="14" t="s">
        <v>174</v>
      </c>
      <c r="B59" s="14" t="s">
        <v>567</v>
      </c>
      <c r="C59" s="14" t="s">
        <v>568</v>
      </c>
      <c r="D59" s="14" t="s">
        <v>177</v>
      </c>
      <c r="E59" s="14" t="s">
        <v>121</v>
      </c>
      <c r="F59" s="14">
        <v>56.0</v>
      </c>
      <c r="G59" s="14" t="s">
        <v>524</v>
      </c>
      <c r="H59" s="14" t="s">
        <v>518</v>
      </c>
      <c r="I59" s="14">
        <v>304.0</v>
      </c>
      <c r="J59" s="14">
        <v>8.44</v>
      </c>
    </row>
    <row r="60" ht="15.75" customHeight="1">
      <c r="A60" s="14" t="s">
        <v>174</v>
      </c>
      <c r="B60" s="14" t="s">
        <v>569</v>
      </c>
      <c r="C60" s="14" t="s">
        <v>570</v>
      </c>
      <c r="D60" s="14" t="s">
        <v>571</v>
      </c>
      <c r="E60" s="14" t="s">
        <v>121</v>
      </c>
      <c r="F60" s="14">
        <v>57.0</v>
      </c>
      <c r="G60" s="14" t="s">
        <v>527</v>
      </c>
      <c r="H60" s="14" t="s">
        <v>523</v>
      </c>
      <c r="I60" s="14">
        <v>297.5</v>
      </c>
      <c r="J60" s="14">
        <v>8.26</v>
      </c>
    </row>
    <row r="61" ht="15.75" customHeight="1">
      <c r="A61" s="14" t="s">
        <v>174</v>
      </c>
      <c r="B61" s="14" t="s">
        <v>572</v>
      </c>
      <c r="C61" s="14" t="s">
        <v>573</v>
      </c>
      <c r="D61" s="14" t="s">
        <v>221</v>
      </c>
      <c r="E61" s="14" t="s">
        <v>115</v>
      </c>
      <c r="F61" s="14">
        <v>58.0</v>
      </c>
      <c r="G61" s="14" t="s">
        <v>524</v>
      </c>
      <c r="H61" s="14" t="s">
        <v>520</v>
      </c>
      <c r="I61" s="14">
        <v>296.0</v>
      </c>
      <c r="J61" s="14">
        <v>8.0</v>
      </c>
    </row>
    <row r="62" ht="15.75" customHeight="1">
      <c r="A62" s="14" t="s">
        <v>174</v>
      </c>
      <c r="B62" s="14" t="s">
        <v>473</v>
      </c>
      <c r="C62" s="14" t="s">
        <v>474</v>
      </c>
      <c r="D62" s="14" t="s">
        <v>191</v>
      </c>
      <c r="E62" s="14" t="s">
        <v>115</v>
      </c>
      <c r="F62" s="14">
        <v>59.0</v>
      </c>
      <c r="G62" s="14" t="s">
        <v>519</v>
      </c>
      <c r="H62" s="14" t="s">
        <v>520</v>
      </c>
      <c r="I62" s="14">
        <v>296.0</v>
      </c>
      <c r="J62" s="14">
        <v>8.0</v>
      </c>
    </row>
    <row r="63" ht="15.75" customHeight="1">
      <c r="A63" s="14" t="s">
        <v>174</v>
      </c>
      <c r="B63" s="14" t="s">
        <v>346</v>
      </c>
      <c r="C63" s="14" t="s">
        <v>347</v>
      </c>
      <c r="D63" s="14" t="s">
        <v>188</v>
      </c>
      <c r="E63" s="14" t="s">
        <v>118</v>
      </c>
      <c r="F63" s="14">
        <v>60.0</v>
      </c>
      <c r="G63" s="14" t="s">
        <v>537</v>
      </c>
      <c r="H63" s="14" t="s">
        <v>528</v>
      </c>
      <c r="I63" s="14">
        <v>295.75</v>
      </c>
      <c r="J63" s="14">
        <v>10.2</v>
      </c>
    </row>
    <row r="64" ht="15.75" customHeight="1">
      <c r="A64" s="14" t="s">
        <v>174</v>
      </c>
      <c r="B64" s="14" t="s">
        <v>411</v>
      </c>
      <c r="C64" s="14" t="s">
        <v>412</v>
      </c>
      <c r="D64" s="14" t="s">
        <v>327</v>
      </c>
      <c r="E64" s="14" t="s">
        <v>123</v>
      </c>
      <c r="F64" s="14">
        <v>61.0</v>
      </c>
      <c r="G64" s="14" t="s">
        <v>532</v>
      </c>
      <c r="H64" s="14" t="s">
        <v>518</v>
      </c>
      <c r="I64" s="14">
        <v>295.5</v>
      </c>
      <c r="J64" s="14">
        <v>8.44</v>
      </c>
    </row>
    <row r="65" ht="15.75" customHeight="1">
      <c r="A65" s="14" t="s">
        <v>174</v>
      </c>
      <c r="B65" s="14" t="s">
        <v>574</v>
      </c>
      <c r="C65" s="14" t="s">
        <v>575</v>
      </c>
      <c r="D65" s="14" t="s">
        <v>180</v>
      </c>
      <c r="E65" s="14" t="s">
        <v>115</v>
      </c>
      <c r="F65" s="14">
        <v>62.0</v>
      </c>
      <c r="G65" s="14" t="s">
        <v>527</v>
      </c>
      <c r="H65" s="14" t="s">
        <v>514</v>
      </c>
      <c r="I65" s="14">
        <v>295.0</v>
      </c>
      <c r="J65" s="14">
        <v>8.68</v>
      </c>
    </row>
    <row r="66" ht="15.75" customHeight="1">
      <c r="A66" s="14" t="s">
        <v>174</v>
      </c>
      <c r="B66" s="14" t="s">
        <v>342</v>
      </c>
      <c r="C66" s="14" t="s">
        <v>343</v>
      </c>
      <c r="D66" s="14" t="s">
        <v>215</v>
      </c>
      <c r="E66" s="14" t="s">
        <v>576</v>
      </c>
      <c r="F66" s="14">
        <v>63.0</v>
      </c>
      <c r="G66" s="14" t="s">
        <v>537</v>
      </c>
      <c r="H66" s="14" t="s">
        <v>523</v>
      </c>
      <c r="I66" s="14">
        <v>294.5</v>
      </c>
      <c r="J66" s="14">
        <v>9.2</v>
      </c>
    </row>
    <row r="67" ht="15.75" customHeight="1">
      <c r="A67" s="14" t="s">
        <v>174</v>
      </c>
      <c r="B67" s="14" t="s">
        <v>577</v>
      </c>
      <c r="C67" s="14" t="s">
        <v>578</v>
      </c>
      <c r="D67" s="14" t="s">
        <v>285</v>
      </c>
      <c r="E67" s="14" t="s">
        <v>115</v>
      </c>
      <c r="F67" s="14">
        <v>64.0</v>
      </c>
      <c r="G67" s="14" t="s">
        <v>513</v>
      </c>
      <c r="H67" s="14" t="s">
        <v>522</v>
      </c>
      <c r="I67" s="14">
        <v>287.5</v>
      </c>
      <c r="J67" s="14">
        <v>7.57</v>
      </c>
    </row>
    <row r="68" ht="15.75" customHeight="1">
      <c r="A68" s="14" t="s">
        <v>174</v>
      </c>
      <c r="B68" s="14" t="s">
        <v>217</v>
      </c>
      <c r="C68" s="14" t="s">
        <v>218</v>
      </c>
      <c r="D68" s="14" t="s">
        <v>185</v>
      </c>
      <c r="E68" s="14" t="s">
        <v>121</v>
      </c>
      <c r="F68" s="14">
        <v>65.0</v>
      </c>
      <c r="G68" s="14" t="s">
        <v>511</v>
      </c>
      <c r="H68" s="14" t="s">
        <v>512</v>
      </c>
      <c r="I68" s="14">
        <v>286.5</v>
      </c>
      <c r="J68" s="14">
        <v>8.95</v>
      </c>
    </row>
    <row r="69" ht="15.75" customHeight="1">
      <c r="A69" s="14" t="s">
        <v>174</v>
      </c>
      <c r="B69" s="14" t="s">
        <v>175</v>
      </c>
      <c r="C69" s="14" t="s">
        <v>579</v>
      </c>
      <c r="D69" s="14" t="s">
        <v>177</v>
      </c>
      <c r="E69" s="14" t="s">
        <v>123</v>
      </c>
      <c r="F69" s="14">
        <v>66.0</v>
      </c>
      <c r="G69" s="14" t="s">
        <v>513</v>
      </c>
      <c r="H69" s="14" t="s">
        <v>518</v>
      </c>
      <c r="I69" s="14">
        <v>285.0</v>
      </c>
      <c r="J69" s="14">
        <v>10.56</v>
      </c>
    </row>
    <row r="70" ht="15.75" customHeight="1">
      <c r="A70" s="14" t="s">
        <v>174</v>
      </c>
      <c r="B70" s="14" t="s">
        <v>325</v>
      </c>
      <c r="C70" s="14" t="s">
        <v>326</v>
      </c>
      <c r="D70" s="14" t="s">
        <v>327</v>
      </c>
      <c r="E70" s="14" t="s">
        <v>121</v>
      </c>
      <c r="F70" s="14">
        <v>67.0</v>
      </c>
      <c r="G70" s="14" t="s">
        <v>537</v>
      </c>
      <c r="H70" s="14" t="s">
        <v>518</v>
      </c>
      <c r="I70" s="14">
        <v>284.0</v>
      </c>
      <c r="J70" s="14">
        <v>8.61</v>
      </c>
    </row>
    <row r="71" ht="15.75" customHeight="1">
      <c r="A71" s="14" t="s">
        <v>174</v>
      </c>
      <c r="B71" s="14" t="s">
        <v>580</v>
      </c>
      <c r="C71" s="14" t="s">
        <v>581</v>
      </c>
      <c r="D71" s="14" t="s">
        <v>221</v>
      </c>
      <c r="E71" s="14" t="s">
        <v>118</v>
      </c>
      <c r="F71" s="14">
        <v>68.0</v>
      </c>
      <c r="G71" s="14" t="s">
        <v>519</v>
      </c>
      <c r="H71" s="14" t="s">
        <v>520</v>
      </c>
      <c r="I71" s="14">
        <v>280.75</v>
      </c>
      <c r="J71" s="14">
        <v>8.51</v>
      </c>
    </row>
    <row r="72" ht="15.75" customHeight="1">
      <c r="A72" s="14" t="s">
        <v>174</v>
      </c>
      <c r="B72" s="14" t="s">
        <v>388</v>
      </c>
      <c r="C72" s="14" t="s">
        <v>389</v>
      </c>
      <c r="D72" s="14" t="s">
        <v>305</v>
      </c>
      <c r="E72" s="14" t="s">
        <v>123</v>
      </c>
      <c r="F72" s="14">
        <v>69.0</v>
      </c>
      <c r="G72" s="14" t="s">
        <v>527</v>
      </c>
      <c r="H72" s="14" t="s">
        <v>539</v>
      </c>
      <c r="I72" s="14">
        <v>280.5</v>
      </c>
      <c r="J72" s="14">
        <v>7.79</v>
      </c>
    </row>
    <row r="73" ht="15.75" customHeight="1">
      <c r="A73" s="14" t="s">
        <v>174</v>
      </c>
      <c r="B73" s="14" t="s">
        <v>334</v>
      </c>
      <c r="C73" s="14" t="s">
        <v>335</v>
      </c>
      <c r="D73" s="14" t="s">
        <v>185</v>
      </c>
      <c r="E73" s="14" t="s">
        <v>118</v>
      </c>
      <c r="F73" s="14">
        <v>70.0</v>
      </c>
      <c r="G73" s="14" t="s">
        <v>525</v>
      </c>
      <c r="H73" s="14" t="s">
        <v>512</v>
      </c>
      <c r="I73" s="14">
        <v>280.0</v>
      </c>
      <c r="J73" s="14">
        <v>10.77</v>
      </c>
    </row>
    <row r="74" ht="15.75" customHeight="1">
      <c r="A74" s="14" t="s">
        <v>174</v>
      </c>
      <c r="B74" s="14" t="s">
        <v>475</v>
      </c>
      <c r="C74" s="14" t="s">
        <v>476</v>
      </c>
      <c r="D74" s="14" t="s">
        <v>453</v>
      </c>
      <c r="E74" s="14" t="s">
        <v>121</v>
      </c>
      <c r="F74" s="14">
        <v>71.0</v>
      </c>
      <c r="G74" s="14" t="s">
        <v>515</v>
      </c>
      <c r="H74" s="14" t="s">
        <v>523</v>
      </c>
      <c r="I74" s="14">
        <v>278.0</v>
      </c>
      <c r="J74" s="14">
        <v>7.51</v>
      </c>
    </row>
    <row r="75" ht="15.75" customHeight="1">
      <c r="A75" s="14" t="s">
        <v>174</v>
      </c>
      <c r="B75" s="14" t="s">
        <v>582</v>
      </c>
      <c r="C75" s="14" t="s">
        <v>583</v>
      </c>
      <c r="D75" s="14" t="s">
        <v>327</v>
      </c>
      <c r="E75" s="14" t="s">
        <v>118</v>
      </c>
      <c r="F75" s="14">
        <v>72.0</v>
      </c>
      <c r="G75" s="14" t="s">
        <v>537</v>
      </c>
      <c r="H75" s="14" t="s">
        <v>518</v>
      </c>
      <c r="I75" s="14">
        <v>274.75</v>
      </c>
      <c r="J75" s="14">
        <v>8.59</v>
      </c>
    </row>
    <row r="76" ht="15.75" customHeight="1">
      <c r="A76" s="14" t="s">
        <v>174</v>
      </c>
      <c r="B76" s="14" t="s">
        <v>239</v>
      </c>
      <c r="C76" s="14" t="s">
        <v>584</v>
      </c>
      <c r="D76" s="14" t="s">
        <v>177</v>
      </c>
      <c r="E76" s="14" t="s">
        <v>123</v>
      </c>
      <c r="F76" s="14">
        <v>73.0</v>
      </c>
      <c r="G76" s="14" t="s">
        <v>537</v>
      </c>
      <c r="H76" s="14" t="s">
        <v>518</v>
      </c>
      <c r="I76" s="14">
        <v>274.5</v>
      </c>
      <c r="J76" s="14">
        <v>9.8</v>
      </c>
    </row>
    <row r="77" ht="15.75" customHeight="1">
      <c r="A77" s="14" t="s">
        <v>174</v>
      </c>
      <c r="B77" s="14" t="s">
        <v>585</v>
      </c>
      <c r="C77" s="14" t="s">
        <v>586</v>
      </c>
      <c r="D77" s="14" t="s">
        <v>257</v>
      </c>
      <c r="E77" s="14" t="s">
        <v>118</v>
      </c>
      <c r="F77" s="14">
        <v>74.0</v>
      </c>
      <c r="G77" s="14" t="s">
        <v>527</v>
      </c>
      <c r="H77" s="14" t="s">
        <v>531</v>
      </c>
      <c r="I77" s="14">
        <v>273.25</v>
      </c>
      <c r="J77" s="14">
        <v>7.39</v>
      </c>
    </row>
    <row r="78" ht="15.75" customHeight="1">
      <c r="A78" s="14" t="s">
        <v>174</v>
      </c>
      <c r="B78" s="14" t="s">
        <v>587</v>
      </c>
      <c r="C78" s="14" t="s">
        <v>588</v>
      </c>
      <c r="D78" s="14" t="s">
        <v>243</v>
      </c>
      <c r="E78" s="14" t="s">
        <v>123</v>
      </c>
      <c r="F78" s="14">
        <v>75.0</v>
      </c>
      <c r="G78" s="14" t="s">
        <v>519</v>
      </c>
      <c r="H78" s="14" t="s">
        <v>531</v>
      </c>
      <c r="I78" s="14">
        <v>273.0</v>
      </c>
      <c r="J78" s="14">
        <v>8.53</v>
      </c>
    </row>
    <row r="79" ht="15.75" customHeight="1">
      <c r="A79" s="14" t="s">
        <v>174</v>
      </c>
      <c r="B79" s="14" t="s">
        <v>449</v>
      </c>
      <c r="C79" s="14" t="s">
        <v>450</v>
      </c>
      <c r="D79" s="14" t="s">
        <v>327</v>
      </c>
      <c r="E79" s="14" t="s">
        <v>118</v>
      </c>
      <c r="F79" s="14">
        <v>76.0</v>
      </c>
      <c r="G79" s="14" t="s">
        <v>525</v>
      </c>
      <c r="H79" s="14" t="s">
        <v>518</v>
      </c>
      <c r="I79" s="14">
        <v>272.5</v>
      </c>
      <c r="J79" s="14">
        <v>7.36</v>
      </c>
    </row>
    <row r="80" ht="15.75" customHeight="1">
      <c r="A80" s="14" t="s">
        <v>174</v>
      </c>
      <c r="B80" s="14" t="s">
        <v>351</v>
      </c>
      <c r="C80" s="14" t="s">
        <v>352</v>
      </c>
      <c r="D80" s="14" t="s">
        <v>191</v>
      </c>
      <c r="E80" s="14" t="s">
        <v>118</v>
      </c>
      <c r="F80" s="14">
        <v>77.0</v>
      </c>
      <c r="G80" s="14" t="s">
        <v>537</v>
      </c>
      <c r="H80" s="14" t="s">
        <v>520</v>
      </c>
      <c r="I80" s="14">
        <v>270.75</v>
      </c>
      <c r="J80" s="14">
        <v>8.73</v>
      </c>
    </row>
    <row r="81" ht="15.75" customHeight="1">
      <c r="A81" s="14" t="s">
        <v>174</v>
      </c>
      <c r="B81" s="14" t="s">
        <v>589</v>
      </c>
      <c r="C81" s="14" t="s">
        <v>590</v>
      </c>
      <c r="D81" s="14" t="s">
        <v>285</v>
      </c>
      <c r="E81" s="14" t="s">
        <v>121</v>
      </c>
      <c r="F81" s="14">
        <v>78.0</v>
      </c>
      <c r="G81" s="14" t="s">
        <v>527</v>
      </c>
      <c r="H81" s="14" t="s">
        <v>522</v>
      </c>
      <c r="I81" s="14">
        <v>270.0</v>
      </c>
      <c r="J81" s="14">
        <v>7.3</v>
      </c>
    </row>
    <row r="82" ht="15.75" customHeight="1">
      <c r="A82" s="14" t="s">
        <v>174</v>
      </c>
      <c r="B82" s="14" t="s">
        <v>591</v>
      </c>
      <c r="C82" s="14" t="s">
        <v>592</v>
      </c>
      <c r="D82" s="14" t="s">
        <v>314</v>
      </c>
      <c r="E82" s="14" t="s">
        <v>118</v>
      </c>
      <c r="F82" s="14">
        <v>79.0</v>
      </c>
      <c r="G82" s="14" t="s">
        <v>532</v>
      </c>
      <c r="H82" s="14" t="s">
        <v>528</v>
      </c>
      <c r="I82" s="14">
        <v>269.75</v>
      </c>
      <c r="J82" s="14">
        <v>7.1</v>
      </c>
    </row>
    <row r="83" ht="15.75" customHeight="1">
      <c r="A83" s="14" t="s">
        <v>174</v>
      </c>
      <c r="B83" s="14" t="s">
        <v>503</v>
      </c>
      <c r="C83" s="14" t="s">
        <v>504</v>
      </c>
      <c r="D83" s="14" t="s">
        <v>191</v>
      </c>
      <c r="E83" s="14" t="s">
        <v>121</v>
      </c>
      <c r="F83" s="14">
        <v>80.0</v>
      </c>
      <c r="G83" s="14" t="s">
        <v>513</v>
      </c>
      <c r="H83" s="14" t="s">
        <v>520</v>
      </c>
      <c r="I83" s="14">
        <v>269.0</v>
      </c>
      <c r="J83" s="14">
        <v>8.68</v>
      </c>
    </row>
    <row r="84" ht="15.75" customHeight="1">
      <c r="A84" s="14" t="s">
        <v>174</v>
      </c>
      <c r="B84" s="14" t="s">
        <v>593</v>
      </c>
      <c r="C84" s="14" t="s">
        <v>594</v>
      </c>
      <c r="D84" s="14" t="s">
        <v>314</v>
      </c>
      <c r="E84" s="14" t="s">
        <v>118</v>
      </c>
      <c r="F84" s="14">
        <v>81.0</v>
      </c>
      <c r="G84" s="14" t="s">
        <v>537</v>
      </c>
      <c r="H84" s="14" t="s">
        <v>528</v>
      </c>
      <c r="I84" s="14">
        <v>267.0</v>
      </c>
      <c r="J84" s="14">
        <v>8.09</v>
      </c>
    </row>
    <row r="85" ht="15.75" customHeight="1">
      <c r="A85" s="14" t="s">
        <v>174</v>
      </c>
      <c r="B85" s="14" t="s">
        <v>501</v>
      </c>
      <c r="C85" s="14" t="s">
        <v>502</v>
      </c>
      <c r="D85" s="14" t="s">
        <v>231</v>
      </c>
      <c r="E85" s="14" t="s">
        <v>115</v>
      </c>
      <c r="F85" s="14">
        <v>82.0</v>
      </c>
      <c r="G85" s="14" t="s">
        <v>537</v>
      </c>
      <c r="H85" s="14" t="s">
        <v>512</v>
      </c>
      <c r="I85" s="14">
        <v>266.0</v>
      </c>
      <c r="J85" s="14">
        <v>7.0</v>
      </c>
    </row>
    <row r="86" ht="15.75" customHeight="1">
      <c r="A86" s="14" t="s">
        <v>174</v>
      </c>
      <c r="B86" s="14" t="s">
        <v>595</v>
      </c>
      <c r="C86" s="14" t="s">
        <v>596</v>
      </c>
      <c r="D86" s="14" t="s">
        <v>285</v>
      </c>
      <c r="E86" s="14" t="s">
        <v>118</v>
      </c>
      <c r="F86" s="14">
        <v>83.0</v>
      </c>
      <c r="G86" s="14" t="s">
        <v>525</v>
      </c>
      <c r="H86" s="14" t="s">
        <v>522</v>
      </c>
      <c r="I86" s="14">
        <v>265.5</v>
      </c>
      <c r="J86" s="14">
        <v>9.16</v>
      </c>
    </row>
    <row r="87" ht="15.75" customHeight="1">
      <c r="A87" s="14" t="s">
        <v>174</v>
      </c>
      <c r="B87" s="14" t="s">
        <v>403</v>
      </c>
      <c r="C87" s="14" t="s">
        <v>404</v>
      </c>
      <c r="D87" s="14" t="s">
        <v>257</v>
      </c>
      <c r="E87" s="14" t="s">
        <v>115</v>
      </c>
      <c r="F87" s="14">
        <v>84.0</v>
      </c>
      <c r="G87" s="14" t="s">
        <v>525</v>
      </c>
      <c r="H87" s="14" t="s">
        <v>531</v>
      </c>
      <c r="I87" s="14">
        <v>265.25</v>
      </c>
      <c r="J87" s="14">
        <v>6.98</v>
      </c>
    </row>
    <row r="88" ht="15.75" customHeight="1">
      <c r="A88" s="14" t="s">
        <v>174</v>
      </c>
      <c r="B88" s="14" t="s">
        <v>413</v>
      </c>
      <c r="C88" s="14" t="s">
        <v>414</v>
      </c>
      <c r="D88" s="14" t="s">
        <v>188</v>
      </c>
      <c r="E88" s="14" t="s">
        <v>118</v>
      </c>
      <c r="F88" s="14">
        <v>85.0</v>
      </c>
      <c r="G88" s="14" t="s">
        <v>519</v>
      </c>
      <c r="H88" s="14" t="s">
        <v>528</v>
      </c>
      <c r="I88" s="14">
        <v>264.25</v>
      </c>
      <c r="J88" s="14">
        <v>7.77</v>
      </c>
    </row>
    <row r="89" ht="15.75" customHeight="1">
      <c r="A89" s="14" t="s">
        <v>174</v>
      </c>
      <c r="B89" s="14" t="s">
        <v>597</v>
      </c>
      <c r="C89" s="14" t="s">
        <v>598</v>
      </c>
      <c r="D89" s="14" t="s">
        <v>257</v>
      </c>
      <c r="E89" s="14" t="s">
        <v>118</v>
      </c>
      <c r="F89" s="14">
        <v>86.0</v>
      </c>
      <c r="G89" s="14" t="s">
        <v>513</v>
      </c>
      <c r="H89" s="14" t="s">
        <v>531</v>
      </c>
      <c r="I89" s="14">
        <v>264.25</v>
      </c>
      <c r="J89" s="14">
        <v>8.01</v>
      </c>
    </row>
    <row r="90" ht="15.75" customHeight="1">
      <c r="A90" s="14" t="s">
        <v>174</v>
      </c>
      <c r="B90" s="14" t="s">
        <v>435</v>
      </c>
      <c r="C90" s="14" t="s">
        <v>436</v>
      </c>
      <c r="D90" s="14" t="s">
        <v>191</v>
      </c>
      <c r="E90" s="14" t="s">
        <v>121</v>
      </c>
      <c r="F90" s="14">
        <v>87.0</v>
      </c>
      <c r="G90" s="14" t="s">
        <v>515</v>
      </c>
      <c r="H90" s="14" t="s">
        <v>520</v>
      </c>
      <c r="I90" s="14">
        <v>263.5</v>
      </c>
      <c r="J90" s="14">
        <v>6.93</v>
      </c>
    </row>
    <row r="91" ht="15.75" customHeight="1">
      <c r="A91" s="14" t="s">
        <v>174</v>
      </c>
      <c r="B91" s="14" t="s">
        <v>306</v>
      </c>
      <c r="C91" s="14" t="s">
        <v>307</v>
      </c>
      <c r="D91" s="14" t="s">
        <v>305</v>
      </c>
      <c r="E91" s="14" t="s">
        <v>121</v>
      </c>
      <c r="F91" s="14">
        <v>88.0</v>
      </c>
      <c r="G91" s="14" t="s">
        <v>513</v>
      </c>
      <c r="H91" s="14" t="s">
        <v>539</v>
      </c>
      <c r="I91" s="14">
        <v>261.0</v>
      </c>
      <c r="J91" s="14">
        <v>9.0</v>
      </c>
    </row>
    <row r="92" ht="15.75" customHeight="1">
      <c r="A92" s="14" t="s">
        <v>174</v>
      </c>
      <c r="B92" s="14" t="s">
        <v>283</v>
      </c>
      <c r="C92" s="14" t="s">
        <v>599</v>
      </c>
      <c r="D92" s="14" t="s">
        <v>285</v>
      </c>
      <c r="E92" s="14" t="s">
        <v>123</v>
      </c>
      <c r="F92" s="14">
        <v>89.0</v>
      </c>
      <c r="G92" s="14" t="s">
        <v>532</v>
      </c>
      <c r="H92" s="14" t="s">
        <v>522</v>
      </c>
      <c r="I92" s="14">
        <v>260.5</v>
      </c>
      <c r="J92" s="14">
        <v>7.24</v>
      </c>
    </row>
    <row r="93" ht="15.75" customHeight="1">
      <c r="A93" s="14" t="s">
        <v>174</v>
      </c>
      <c r="B93" s="14" t="s">
        <v>600</v>
      </c>
      <c r="C93" s="14" t="s">
        <v>601</v>
      </c>
      <c r="D93" s="14" t="s">
        <v>226</v>
      </c>
      <c r="E93" s="14" t="s">
        <v>118</v>
      </c>
      <c r="F93" s="14">
        <v>90.0</v>
      </c>
      <c r="G93" s="14" t="s">
        <v>527</v>
      </c>
      <c r="H93" s="14" t="s">
        <v>539</v>
      </c>
      <c r="I93" s="14">
        <v>259.5</v>
      </c>
      <c r="J93" s="14">
        <v>7.41</v>
      </c>
    </row>
    <row r="94" ht="15.75" customHeight="1">
      <c r="A94" s="14" t="s">
        <v>174</v>
      </c>
      <c r="B94" s="14" t="s">
        <v>602</v>
      </c>
      <c r="C94" s="14" t="s">
        <v>603</v>
      </c>
      <c r="D94" s="14" t="s">
        <v>215</v>
      </c>
      <c r="E94" s="14" t="s">
        <v>121</v>
      </c>
      <c r="F94" s="14">
        <v>91.0</v>
      </c>
      <c r="G94" s="14" t="s">
        <v>524</v>
      </c>
      <c r="H94" s="14" t="s">
        <v>523</v>
      </c>
      <c r="I94" s="14">
        <v>259.0</v>
      </c>
      <c r="J94" s="14">
        <v>8.35</v>
      </c>
    </row>
    <row r="95" ht="15.75" customHeight="1">
      <c r="A95" s="14" t="s">
        <v>174</v>
      </c>
      <c r="B95" s="14" t="s">
        <v>483</v>
      </c>
      <c r="C95" s="14" t="s">
        <v>484</v>
      </c>
      <c r="D95" s="14" t="s">
        <v>221</v>
      </c>
      <c r="E95" s="14" t="s">
        <v>121</v>
      </c>
      <c r="F95" s="14">
        <v>92.0</v>
      </c>
      <c r="G95" s="14" t="s">
        <v>537</v>
      </c>
      <c r="H95" s="14" t="s">
        <v>520</v>
      </c>
      <c r="I95" s="14">
        <v>259.0</v>
      </c>
      <c r="J95" s="14">
        <v>7.62</v>
      </c>
    </row>
    <row r="96" ht="15.75" customHeight="1">
      <c r="A96" s="14" t="s">
        <v>174</v>
      </c>
      <c r="B96" s="14" t="s">
        <v>439</v>
      </c>
      <c r="C96" s="14" t="s">
        <v>440</v>
      </c>
      <c r="D96" s="14" t="s">
        <v>177</v>
      </c>
      <c r="E96" s="14" t="s">
        <v>118</v>
      </c>
      <c r="F96" s="14">
        <v>93.0</v>
      </c>
      <c r="G96" s="14" t="s">
        <v>538</v>
      </c>
      <c r="H96" s="14" t="s">
        <v>518</v>
      </c>
      <c r="I96" s="14">
        <v>258.25</v>
      </c>
      <c r="J96" s="14">
        <v>7.17</v>
      </c>
    </row>
    <row r="97" ht="15.75" customHeight="1">
      <c r="A97" s="14" t="s">
        <v>174</v>
      </c>
      <c r="B97" s="14" t="s">
        <v>344</v>
      </c>
      <c r="C97" s="14" t="s">
        <v>345</v>
      </c>
      <c r="D97" s="14" t="s">
        <v>231</v>
      </c>
      <c r="E97" s="14" t="s">
        <v>123</v>
      </c>
      <c r="F97" s="14">
        <v>94.0</v>
      </c>
      <c r="G97" s="14" t="s">
        <v>521</v>
      </c>
      <c r="H97" s="14" t="s">
        <v>512</v>
      </c>
      <c r="I97" s="14">
        <v>255.5</v>
      </c>
      <c r="J97" s="14">
        <v>6.91</v>
      </c>
    </row>
    <row r="98" ht="15.75" customHeight="1">
      <c r="A98" s="14" t="s">
        <v>174</v>
      </c>
      <c r="B98" s="14" t="s">
        <v>604</v>
      </c>
      <c r="C98" s="14" t="s">
        <v>605</v>
      </c>
      <c r="D98" s="14" t="s">
        <v>566</v>
      </c>
      <c r="E98" s="14" t="s">
        <v>115</v>
      </c>
      <c r="F98" s="14">
        <v>95.0</v>
      </c>
      <c r="G98" s="14" t="s">
        <v>537</v>
      </c>
      <c r="H98" s="14" t="s">
        <v>562</v>
      </c>
      <c r="I98" s="14">
        <v>254.75</v>
      </c>
      <c r="J98" s="14">
        <v>7.28</v>
      </c>
    </row>
    <row r="99" ht="15.75" customHeight="1">
      <c r="A99" s="14" t="s">
        <v>174</v>
      </c>
      <c r="B99" s="14" t="s">
        <v>606</v>
      </c>
      <c r="C99" s="14" t="s">
        <v>607</v>
      </c>
      <c r="D99" s="14" t="s">
        <v>231</v>
      </c>
      <c r="E99" s="14" t="s">
        <v>118</v>
      </c>
      <c r="F99" s="14">
        <v>96.0</v>
      </c>
      <c r="G99" s="14" t="s">
        <v>515</v>
      </c>
      <c r="H99" s="14" t="s">
        <v>512</v>
      </c>
      <c r="I99" s="14">
        <v>254.75</v>
      </c>
      <c r="J99" s="14">
        <v>6.89</v>
      </c>
    </row>
    <row r="100" ht="15.75" customHeight="1">
      <c r="A100" s="14" t="s">
        <v>174</v>
      </c>
      <c r="B100" s="14" t="s">
        <v>608</v>
      </c>
      <c r="C100" s="14" t="s">
        <v>609</v>
      </c>
      <c r="D100" s="14" t="s">
        <v>314</v>
      </c>
      <c r="E100" s="14" t="s">
        <v>118</v>
      </c>
      <c r="F100" s="14">
        <v>97.0</v>
      </c>
      <c r="G100" s="14" t="s">
        <v>537</v>
      </c>
      <c r="H100" s="14" t="s">
        <v>528</v>
      </c>
      <c r="I100" s="14">
        <v>252.25</v>
      </c>
      <c r="J100" s="14">
        <v>8.7</v>
      </c>
    </row>
    <row r="101" ht="15.75" customHeight="1">
      <c r="A101" s="14" t="s">
        <v>174</v>
      </c>
      <c r="B101" s="14" t="s">
        <v>273</v>
      </c>
      <c r="C101" s="14" t="s">
        <v>274</v>
      </c>
      <c r="D101" s="14" t="s">
        <v>221</v>
      </c>
      <c r="E101" s="14" t="s">
        <v>123</v>
      </c>
      <c r="F101" s="14">
        <v>98.0</v>
      </c>
      <c r="G101" s="14" t="s">
        <v>527</v>
      </c>
      <c r="H101" s="14" t="s">
        <v>520</v>
      </c>
      <c r="I101" s="14">
        <v>251.0</v>
      </c>
      <c r="J101" s="14">
        <v>7.84</v>
      </c>
    </row>
    <row r="102" ht="15.75" customHeight="1">
      <c r="A102" s="14" t="s">
        <v>174</v>
      </c>
      <c r="B102" s="14" t="s">
        <v>447</v>
      </c>
      <c r="C102" s="14" t="s">
        <v>448</v>
      </c>
      <c r="D102" s="14" t="s">
        <v>305</v>
      </c>
      <c r="E102" s="14" t="s">
        <v>115</v>
      </c>
      <c r="F102" s="14">
        <v>99.0</v>
      </c>
      <c r="G102" s="14" t="s">
        <v>537</v>
      </c>
      <c r="H102" s="14" t="s">
        <v>539</v>
      </c>
      <c r="I102" s="14">
        <v>249.25</v>
      </c>
      <c r="J102" s="14">
        <v>6.56</v>
      </c>
    </row>
    <row r="103" ht="15.75" customHeight="1">
      <c r="A103" s="14" t="s">
        <v>174</v>
      </c>
      <c r="B103" s="14" t="s">
        <v>610</v>
      </c>
      <c r="C103" s="14" t="s">
        <v>611</v>
      </c>
      <c r="D103" s="14" t="s">
        <v>314</v>
      </c>
      <c r="E103" s="14" t="s">
        <v>121</v>
      </c>
      <c r="F103" s="14">
        <v>100.0</v>
      </c>
      <c r="G103" s="14" t="s">
        <v>527</v>
      </c>
      <c r="H103" s="14" t="s">
        <v>528</v>
      </c>
      <c r="I103" s="14">
        <v>248.5</v>
      </c>
      <c r="J103" s="14">
        <v>7.31</v>
      </c>
    </row>
    <row r="104" ht="15.75" customHeight="1">
      <c r="A104" s="14" t="s">
        <v>174</v>
      </c>
      <c r="B104" s="14" t="s">
        <v>612</v>
      </c>
      <c r="C104" s="14" t="s">
        <v>613</v>
      </c>
      <c r="D104" s="14" t="s">
        <v>199</v>
      </c>
      <c r="E104" s="14" t="s">
        <v>115</v>
      </c>
      <c r="F104" s="14">
        <v>101.0</v>
      </c>
      <c r="G104" s="14" t="s">
        <v>521</v>
      </c>
      <c r="H104" s="14" t="s">
        <v>514</v>
      </c>
      <c r="I104" s="14">
        <v>248.0</v>
      </c>
      <c r="J104" s="14">
        <v>7.75</v>
      </c>
    </row>
    <row r="105" ht="15.75" customHeight="1">
      <c r="A105" s="14" t="s">
        <v>174</v>
      </c>
      <c r="B105" s="14" t="s">
        <v>614</v>
      </c>
      <c r="C105" s="14" t="s">
        <v>615</v>
      </c>
      <c r="D105" s="14" t="s">
        <v>188</v>
      </c>
      <c r="E105" s="14" t="s">
        <v>115</v>
      </c>
      <c r="F105" s="14">
        <v>102.0</v>
      </c>
      <c r="G105" s="14" t="s">
        <v>537</v>
      </c>
      <c r="H105" s="14" t="s">
        <v>528</v>
      </c>
      <c r="I105" s="14">
        <v>247.5</v>
      </c>
      <c r="J105" s="14">
        <v>7.07</v>
      </c>
    </row>
    <row r="106" ht="15.75" customHeight="1">
      <c r="A106" s="14" t="s">
        <v>174</v>
      </c>
      <c r="B106" s="14" t="s">
        <v>381</v>
      </c>
      <c r="C106" s="14" t="s">
        <v>382</v>
      </c>
      <c r="D106" s="14" t="s">
        <v>191</v>
      </c>
      <c r="E106" s="14" t="s">
        <v>118</v>
      </c>
      <c r="F106" s="14">
        <v>103.0</v>
      </c>
      <c r="G106" s="14" t="s">
        <v>532</v>
      </c>
      <c r="H106" s="14" t="s">
        <v>520</v>
      </c>
      <c r="I106" s="14">
        <v>247.25</v>
      </c>
      <c r="J106" s="14">
        <v>9.51</v>
      </c>
    </row>
    <row r="107" ht="15.75" customHeight="1">
      <c r="A107" s="14" t="s">
        <v>174</v>
      </c>
      <c r="B107" s="14" t="s">
        <v>616</v>
      </c>
      <c r="C107" s="14" t="s">
        <v>617</v>
      </c>
      <c r="D107" s="14" t="s">
        <v>199</v>
      </c>
      <c r="E107" s="14" t="s">
        <v>118</v>
      </c>
      <c r="F107" s="14">
        <v>104.0</v>
      </c>
      <c r="G107" s="14" t="s">
        <v>537</v>
      </c>
      <c r="H107" s="14" t="s">
        <v>514</v>
      </c>
      <c r="I107" s="14">
        <v>246.75</v>
      </c>
      <c r="J107" s="14">
        <v>7.05</v>
      </c>
    </row>
    <row r="108" ht="15.75" customHeight="1">
      <c r="A108" s="14" t="s">
        <v>174</v>
      </c>
      <c r="B108" s="14" t="s">
        <v>618</v>
      </c>
      <c r="C108" s="14" t="s">
        <v>619</v>
      </c>
      <c r="D108" s="14" t="s">
        <v>199</v>
      </c>
      <c r="E108" s="14" t="s">
        <v>121</v>
      </c>
      <c r="F108" s="14">
        <v>105.0</v>
      </c>
      <c r="G108" s="14" t="s">
        <v>521</v>
      </c>
      <c r="H108" s="14" t="s">
        <v>514</v>
      </c>
      <c r="I108" s="14">
        <v>246.0</v>
      </c>
      <c r="J108" s="14">
        <v>8.2</v>
      </c>
    </row>
    <row r="109" ht="15.75" customHeight="1">
      <c r="A109" s="14" t="s">
        <v>174</v>
      </c>
      <c r="B109" s="14" t="s">
        <v>186</v>
      </c>
      <c r="C109" s="14" t="s">
        <v>187</v>
      </c>
      <c r="D109" s="14" t="s">
        <v>188</v>
      </c>
      <c r="E109" s="14" t="s">
        <v>121</v>
      </c>
      <c r="F109" s="14">
        <v>106.0</v>
      </c>
      <c r="G109" s="14" t="s">
        <v>532</v>
      </c>
      <c r="H109" s="14" t="s">
        <v>528</v>
      </c>
      <c r="I109" s="14">
        <v>246.0</v>
      </c>
      <c r="J109" s="14">
        <v>9.46</v>
      </c>
    </row>
    <row r="110" ht="15.75" customHeight="1">
      <c r="A110" s="14" t="s">
        <v>174</v>
      </c>
      <c r="B110" s="14" t="s">
        <v>208</v>
      </c>
      <c r="C110" s="14" t="s">
        <v>620</v>
      </c>
      <c r="D110" s="14" t="s">
        <v>191</v>
      </c>
      <c r="E110" s="14" t="s">
        <v>123</v>
      </c>
      <c r="F110" s="14">
        <v>107.0</v>
      </c>
      <c r="G110" s="14" t="s">
        <v>537</v>
      </c>
      <c r="H110" s="14" t="s">
        <v>520</v>
      </c>
      <c r="I110" s="14">
        <v>245.5</v>
      </c>
      <c r="J110" s="14">
        <v>6.82</v>
      </c>
    </row>
    <row r="111" ht="15.75" customHeight="1">
      <c r="A111" s="14" t="s">
        <v>174</v>
      </c>
      <c r="B111" s="14" t="s">
        <v>621</v>
      </c>
      <c r="C111" s="14" t="s">
        <v>622</v>
      </c>
      <c r="D111" s="14" t="s">
        <v>188</v>
      </c>
      <c r="E111" s="14" t="s">
        <v>118</v>
      </c>
      <c r="F111" s="14">
        <v>108.0</v>
      </c>
      <c r="G111" s="14" t="s">
        <v>537</v>
      </c>
      <c r="H111" s="14" t="s">
        <v>528</v>
      </c>
      <c r="I111" s="14">
        <v>244.75</v>
      </c>
      <c r="J111" s="14">
        <v>7.2</v>
      </c>
    </row>
    <row r="112" ht="15.75" customHeight="1">
      <c r="A112" s="14" t="s">
        <v>174</v>
      </c>
      <c r="B112" s="14" t="s">
        <v>224</v>
      </c>
      <c r="C112" s="14" t="s">
        <v>225</v>
      </c>
      <c r="D112" s="14" t="s">
        <v>226</v>
      </c>
      <c r="E112" s="14" t="s">
        <v>121</v>
      </c>
      <c r="F112" s="14">
        <v>109.0</v>
      </c>
      <c r="G112" s="14" t="s">
        <v>538</v>
      </c>
      <c r="H112" s="14" t="s">
        <v>539</v>
      </c>
      <c r="I112" s="14">
        <v>243.5</v>
      </c>
      <c r="J112" s="14">
        <v>9.37</v>
      </c>
    </row>
    <row r="113" ht="15.75" customHeight="1">
      <c r="A113" s="14" t="s">
        <v>174</v>
      </c>
      <c r="B113" s="14" t="s">
        <v>623</v>
      </c>
      <c r="C113" s="14" t="s">
        <v>624</v>
      </c>
      <c r="D113" s="14" t="s">
        <v>180</v>
      </c>
      <c r="E113" s="14" t="s">
        <v>121</v>
      </c>
      <c r="F113" s="14">
        <v>110.0</v>
      </c>
      <c r="G113" s="14" t="s">
        <v>521</v>
      </c>
      <c r="H113" s="14" t="s">
        <v>514</v>
      </c>
      <c r="I113" s="14">
        <v>243.5</v>
      </c>
      <c r="J113" s="14">
        <v>7.16</v>
      </c>
    </row>
    <row r="114" ht="15.75" customHeight="1">
      <c r="A114" s="14" t="s">
        <v>174</v>
      </c>
      <c r="B114" s="14" t="s">
        <v>445</v>
      </c>
      <c r="C114" s="14" t="s">
        <v>446</v>
      </c>
      <c r="D114" s="14" t="s">
        <v>199</v>
      </c>
      <c r="E114" s="14" t="s">
        <v>118</v>
      </c>
      <c r="F114" s="14">
        <v>111.0</v>
      </c>
      <c r="G114" s="14" t="s">
        <v>527</v>
      </c>
      <c r="H114" s="14" t="s">
        <v>514</v>
      </c>
      <c r="I114" s="14">
        <v>240.5</v>
      </c>
      <c r="J114" s="14">
        <v>7.76</v>
      </c>
    </row>
    <row r="115" ht="15.75" customHeight="1">
      <c r="A115" s="14" t="s">
        <v>174</v>
      </c>
      <c r="B115" s="14" t="s">
        <v>277</v>
      </c>
      <c r="C115" s="14" t="s">
        <v>278</v>
      </c>
      <c r="D115" s="14" t="s">
        <v>185</v>
      </c>
      <c r="E115" s="14" t="s">
        <v>123</v>
      </c>
      <c r="F115" s="14">
        <v>112.0</v>
      </c>
      <c r="G115" s="14" t="s">
        <v>515</v>
      </c>
      <c r="H115" s="14" t="s">
        <v>512</v>
      </c>
      <c r="I115" s="14">
        <v>240.5</v>
      </c>
      <c r="J115" s="14">
        <v>8.02</v>
      </c>
    </row>
    <row r="116" ht="15.75" customHeight="1">
      <c r="A116" s="14" t="s">
        <v>174</v>
      </c>
      <c r="B116" s="14" t="s">
        <v>441</v>
      </c>
      <c r="C116" s="14" t="s">
        <v>625</v>
      </c>
      <c r="D116" s="14" t="s">
        <v>180</v>
      </c>
      <c r="E116" s="14" t="s">
        <v>121</v>
      </c>
      <c r="F116" s="14">
        <v>113.0</v>
      </c>
      <c r="G116" s="14" t="s">
        <v>521</v>
      </c>
      <c r="H116" s="14" t="s">
        <v>514</v>
      </c>
      <c r="I116" s="14">
        <v>238.5</v>
      </c>
      <c r="J116" s="14">
        <v>6.28</v>
      </c>
    </row>
    <row r="117" ht="15.75" customHeight="1">
      <c r="A117" s="14" t="s">
        <v>174</v>
      </c>
      <c r="B117" s="14" t="s">
        <v>626</v>
      </c>
      <c r="C117" s="14" t="s">
        <v>627</v>
      </c>
      <c r="D117" s="14" t="s">
        <v>453</v>
      </c>
      <c r="E117" s="14" t="s">
        <v>118</v>
      </c>
      <c r="F117" s="14">
        <v>114.0</v>
      </c>
      <c r="G117" s="14" t="s">
        <v>537</v>
      </c>
      <c r="H117" s="14" t="s">
        <v>523</v>
      </c>
      <c r="I117" s="14">
        <v>238.0</v>
      </c>
      <c r="J117" s="14">
        <v>7.0</v>
      </c>
    </row>
    <row r="118" ht="15.75" customHeight="1">
      <c r="A118" s="14" t="s">
        <v>174</v>
      </c>
      <c r="B118" s="14" t="s">
        <v>210</v>
      </c>
      <c r="C118" s="14" t="s">
        <v>211</v>
      </c>
      <c r="D118" s="14" t="s">
        <v>212</v>
      </c>
      <c r="E118" s="14" t="s">
        <v>121</v>
      </c>
      <c r="F118" s="14">
        <v>115.0</v>
      </c>
      <c r="G118" s="14" t="s">
        <v>527</v>
      </c>
      <c r="H118" s="14" t="s">
        <v>520</v>
      </c>
      <c r="I118" s="14">
        <v>238.0</v>
      </c>
      <c r="J118" s="14">
        <v>7.21</v>
      </c>
    </row>
    <row r="119" ht="15.75" customHeight="1">
      <c r="A119" s="14" t="s">
        <v>174</v>
      </c>
      <c r="B119" s="14" t="s">
        <v>628</v>
      </c>
      <c r="C119" s="14" t="s">
        <v>629</v>
      </c>
      <c r="D119" s="14" t="s">
        <v>231</v>
      </c>
      <c r="E119" s="14" t="s">
        <v>121</v>
      </c>
      <c r="F119" s="14">
        <v>116.0</v>
      </c>
      <c r="G119" s="14" t="s">
        <v>513</v>
      </c>
      <c r="H119" s="14" t="s">
        <v>512</v>
      </c>
      <c r="I119" s="14">
        <v>237.5</v>
      </c>
      <c r="J119" s="14">
        <v>7.42</v>
      </c>
    </row>
    <row r="120" ht="15.75" customHeight="1">
      <c r="A120" s="14" t="s">
        <v>174</v>
      </c>
      <c r="B120" s="14" t="s">
        <v>630</v>
      </c>
      <c r="C120" s="14" t="s">
        <v>631</v>
      </c>
      <c r="D120" s="14" t="s">
        <v>285</v>
      </c>
      <c r="E120" s="14" t="s">
        <v>123</v>
      </c>
      <c r="F120" s="14">
        <v>117.0</v>
      </c>
      <c r="G120" s="14" t="s">
        <v>515</v>
      </c>
      <c r="H120" s="14" t="s">
        <v>522</v>
      </c>
      <c r="I120" s="14">
        <v>235.0</v>
      </c>
      <c r="J120" s="14">
        <v>7.12</v>
      </c>
    </row>
    <row r="121" ht="15.75" customHeight="1">
      <c r="A121" s="14" t="s">
        <v>174</v>
      </c>
      <c r="B121" s="14" t="s">
        <v>632</v>
      </c>
      <c r="C121" s="14" t="s">
        <v>633</v>
      </c>
      <c r="D121" s="14" t="s">
        <v>185</v>
      </c>
      <c r="E121" s="14" t="s">
        <v>118</v>
      </c>
      <c r="F121" s="14">
        <v>118.0</v>
      </c>
      <c r="G121" s="14" t="s">
        <v>521</v>
      </c>
      <c r="H121" s="14" t="s">
        <v>512</v>
      </c>
      <c r="I121" s="14">
        <v>234.5</v>
      </c>
      <c r="J121" s="14">
        <v>6.17</v>
      </c>
    </row>
    <row r="122" ht="15.75" customHeight="1">
      <c r="A122" s="14" t="s">
        <v>174</v>
      </c>
      <c r="B122" s="14" t="s">
        <v>634</v>
      </c>
      <c r="C122" s="14" t="s">
        <v>635</v>
      </c>
      <c r="D122" s="14" t="s">
        <v>453</v>
      </c>
      <c r="E122" s="14" t="s">
        <v>123</v>
      </c>
      <c r="F122" s="14">
        <v>119.0</v>
      </c>
      <c r="G122" s="14" t="s">
        <v>537</v>
      </c>
      <c r="H122" s="14" t="s">
        <v>523</v>
      </c>
      <c r="I122" s="14">
        <v>233.5</v>
      </c>
      <c r="J122" s="14">
        <v>8.34</v>
      </c>
    </row>
    <row r="123" ht="15.75" customHeight="1">
      <c r="A123" s="14" t="s">
        <v>174</v>
      </c>
      <c r="B123" s="14" t="s">
        <v>636</v>
      </c>
      <c r="C123" s="14" t="s">
        <v>637</v>
      </c>
      <c r="D123" s="14" t="s">
        <v>236</v>
      </c>
      <c r="E123" s="14" t="s">
        <v>123</v>
      </c>
      <c r="F123" s="14">
        <v>120.0</v>
      </c>
      <c r="G123" s="14" t="s">
        <v>532</v>
      </c>
      <c r="H123" s="14" t="s">
        <v>522</v>
      </c>
      <c r="I123" s="14">
        <v>233.0</v>
      </c>
      <c r="J123" s="14">
        <v>6.3</v>
      </c>
    </row>
    <row r="124" ht="15.75" customHeight="1">
      <c r="A124" s="14" t="s">
        <v>174</v>
      </c>
      <c r="B124" s="14" t="s">
        <v>638</v>
      </c>
      <c r="C124" s="14" t="s">
        <v>639</v>
      </c>
      <c r="D124" s="14" t="s">
        <v>327</v>
      </c>
      <c r="E124" s="14" t="s">
        <v>118</v>
      </c>
      <c r="F124" s="14">
        <v>121.0</v>
      </c>
      <c r="G124" s="14" t="s">
        <v>537</v>
      </c>
      <c r="H124" s="14" t="s">
        <v>518</v>
      </c>
      <c r="I124" s="14">
        <v>229.25</v>
      </c>
      <c r="J124" s="14">
        <v>6.55</v>
      </c>
    </row>
    <row r="125" ht="15.75" customHeight="1">
      <c r="A125" s="14" t="s">
        <v>174</v>
      </c>
      <c r="B125" s="14" t="s">
        <v>640</v>
      </c>
      <c r="C125" s="14" t="s">
        <v>641</v>
      </c>
      <c r="D125" s="14" t="s">
        <v>453</v>
      </c>
      <c r="E125" s="14" t="s">
        <v>118</v>
      </c>
      <c r="F125" s="14">
        <v>122.0</v>
      </c>
      <c r="G125" s="14" t="s">
        <v>537</v>
      </c>
      <c r="H125" s="14" t="s">
        <v>523</v>
      </c>
      <c r="I125" s="14">
        <v>227.5</v>
      </c>
      <c r="J125" s="14">
        <v>6.69</v>
      </c>
    </row>
    <row r="126" ht="15.75" customHeight="1">
      <c r="A126" s="14" t="s">
        <v>174</v>
      </c>
      <c r="B126" s="14" t="s">
        <v>317</v>
      </c>
      <c r="C126" s="14" t="s">
        <v>318</v>
      </c>
      <c r="D126" s="14" t="s">
        <v>236</v>
      </c>
      <c r="E126" s="14" t="s">
        <v>123</v>
      </c>
      <c r="F126" s="14">
        <v>123.0</v>
      </c>
      <c r="G126" s="14" t="s">
        <v>537</v>
      </c>
      <c r="H126" s="14" t="s">
        <v>522</v>
      </c>
      <c r="I126" s="14">
        <v>227.0</v>
      </c>
      <c r="J126" s="14">
        <v>7.57</v>
      </c>
    </row>
    <row r="127" ht="15.75" customHeight="1">
      <c r="A127" s="14" t="s">
        <v>174</v>
      </c>
      <c r="B127" s="14" t="s">
        <v>642</v>
      </c>
      <c r="C127" s="14" t="s">
        <v>643</v>
      </c>
      <c r="D127" s="14" t="s">
        <v>644</v>
      </c>
      <c r="E127" s="14" t="s">
        <v>123</v>
      </c>
      <c r="F127" s="14">
        <v>124.0</v>
      </c>
      <c r="G127" s="14" t="s">
        <v>525</v>
      </c>
      <c r="H127" s="14" t="s">
        <v>522</v>
      </c>
      <c r="I127" s="14">
        <v>227.0</v>
      </c>
      <c r="J127" s="14">
        <v>7.32</v>
      </c>
    </row>
    <row r="128" ht="15.75" customHeight="1">
      <c r="A128" s="14" t="s">
        <v>174</v>
      </c>
      <c r="B128" s="14" t="s">
        <v>645</v>
      </c>
      <c r="C128" s="14" t="s">
        <v>646</v>
      </c>
      <c r="D128" s="14" t="s">
        <v>327</v>
      </c>
      <c r="E128" s="14" t="s">
        <v>121</v>
      </c>
      <c r="F128" s="14">
        <v>125.0</v>
      </c>
      <c r="G128" s="14" t="s">
        <v>519</v>
      </c>
      <c r="H128" s="14" t="s">
        <v>518</v>
      </c>
      <c r="I128" s="14">
        <v>226.0</v>
      </c>
      <c r="J128" s="14">
        <v>6.28</v>
      </c>
    </row>
    <row r="129" ht="15.75" customHeight="1">
      <c r="A129" s="14" t="s">
        <v>174</v>
      </c>
      <c r="B129" s="14" t="s">
        <v>295</v>
      </c>
      <c r="C129" s="14" t="s">
        <v>296</v>
      </c>
      <c r="D129" s="14" t="s">
        <v>221</v>
      </c>
      <c r="E129" s="14" t="s">
        <v>121</v>
      </c>
      <c r="F129" s="14">
        <v>126.0</v>
      </c>
      <c r="G129" s="14" t="s">
        <v>538</v>
      </c>
      <c r="H129" s="14" t="s">
        <v>520</v>
      </c>
      <c r="I129" s="14">
        <v>226.0</v>
      </c>
      <c r="J129" s="14">
        <v>8.07</v>
      </c>
    </row>
    <row r="130" ht="15.75" customHeight="1">
      <c r="A130" s="14" t="s">
        <v>174</v>
      </c>
      <c r="B130" s="14" t="s">
        <v>279</v>
      </c>
      <c r="C130" s="14" t="s">
        <v>280</v>
      </c>
      <c r="D130" s="14" t="s">
        <v>236</v>
      </c>
      <c r="E130" s="14" t="s">
        <v>115</v>
      </c>
      <c r="F130" s="14">
        <v>127.0</v>
      </c>
      <c r="G130" s="14" t="s">
        <v>537</v>
      </c>
      <c r="H130" s="14" t="s">
        <v>522</v>
      </c>
      <c r="I130" s="14">
        <v>225.5</v>
      </c>
      <c r="J130" s="14">
        <v>7.27</v>
      </c>
    </row>
    <row r="131" ht="15.75" customHeight="1">
      <c r="A131" s="14" t="s">
        <v>174</v>
      </c>
      <c r="B131" s="14" t="s">
        <v>647</v>
      </c>
      <c r="C131" s="14" t="s">
        <v>648</v>
      </c>
      <c r="D131" s="14" t="s">
        <v>231</v>
      </c>
      <c r="E131" s="14" t="s">
        <v>121</v>
      </c>
      <c r="F131" s="14">
        <v>128.0</v>
      </c>
      <c r="G131" s="14" t="s">
        <v>538</v>
      </c>
      <c r="H131" s="14" t="s">
        <v>512</v>
      </c>
      <c r="I131" s="14">
        <v>223.5</v>
      </c>
      <c r="J131" s="14">
        <v>11.76</v>
      </c>
    </row>
    <row r="132" ht="15.75" customHeight="1">
      <c r="A132" s="14" t="s">
        <v>174</v>
      </c>
      <c r="B132" s="14" t="s">
        <v>649</v>
      </c>
      <c r="C132" s="14" t="s">
        <v>650</v>
      </c>
      <c r="D132" s="14" t="s">
        <v>221</v>
      </c>
      <c r="E132" s="14" t="s">
        <v>121</v>
      </c>
      <c r="F132" s="14">
        <v>129.0</v>
      </c>
      <c r="G132" s="14" t="s">
        <v>511</v>
      </c>
      <c r="H132" s="14" t="s">
        <v>520</v>
      </c>
      <c r="I132" s="14">
        <v>220.0</v>
      </c>
      <c r="J132" s="14">
        <v>6.47</v>
      </c>
    </row>
    <row r="133" ht="15.75" customHeight="1">
      <c r="A133" s="14" t="s">
        <v>174</v>
      </c>
      <c r="B133" s="14" t="s">
        <v>477</v>
      </c>
      <c r="C133" s="14" t="s">
        <v>651</v>
      </c>
      <c r="D133" s="14" t="s">
        <v>180</v>
      </c>
      <c r="E133" s="14" t="s">
        <v>118</v>
      </c>
      <c r="F133" s="14">
        <v>130.0</v>
      </c>
      <c r="G133" s="14" t="s">
        <v>532</v>
      </c>
      <c r="H133" s="14" t="s">
        <v>514</v>
      </c>
      <c r="I133" s="14">
        <v>218.75</v>
      </c>
      <c r="J133" s="14">
        <v>8.41</v>
      </c>
    </row>
    <row r="134" ht="15.75" customHeight="1">
      <c r="A134" s="14" t="s">
        <v>174</v>
      </c>
      <c r="B134" s="14" t="s">
        <v>652</v>
      </c>
      <c r="C134" s="14" t="s">
        <v>653</v>
      </c>
      <c r="D134" s="14" t="s">
        <v>215</v>
      </c>
      <c r="E134" s="14" t="s">
        <v>118</v>
      </c>
      <c r="F134" s="14">
        <v>131.0</v>
      </c>
      <c r="G134" s="14" t="s">
        <v>532</v>
      </c>
      <c r="H134" s="14" t="s">
        <v>523</v>
      </c>
      <c r="I134" s="14">
        <v>218.75</v>
      </c>
      <c r="J134" s="14">
        <v>7.06</v>
      </c>
    </row>
    <row r="135" ht="15.75" customHeight="1">
      <c r="A135" s="14" t="s">
        <v>174</v>
      </c>
      <c r="B135" s="14" t="s">
        <v>315</v>
      </c>
      <c r="C135" s="14" t="s">
        <v>316</v>
      </c>
      <c r="D135" s="14" t="s">
        <v>177</v>
      </c>
      <c r="E135" s="14" t="s">
        <v>121</v>
      </c>
      <c r="F135" s="14">
        <v>132.0</v>
      </c>
      <c r="G135" s="14" t="s">
        <v>525</v>
      </c>
      <c r="H135" s="14" t="s">
        <v>518</v>
      </c>
      <c r="I135" s="14">
        <v>216.5</v>
      </c>
      <c r="J135" s="14">
        <v>5.85</v>
      </c>
    </row>
    <row r="136" ht="15.75" customHeight="1">
      <c r="A136" s="14" t="s">
        <v>174</v>
      </c>
      <c r="B136" s="14" t="s">
        <v>654</v>
      </c>
      <c r="C136" s="14" t="s">
        <v>655</v>
      </c>
      <c r="D136" s="14" t="s">
        <v>387</v>
      </c>
      <c r="E136" s="14" t="s">
        <v>121</v>
      </c>
      <c r="F136" s="14">
        <v>133.0</v>
      </c>
      <c r="G136" s="14" t="s">
        <v>537</v>
      </c>
      <c r="H136" s="14" t="s">
        <v>562</v>
      </c>
      <c r="I136" s="14">
        <v>216.0</v>
      </c>
      <c r="J136" s="14">
        <v>6.17</v>
      </c>
    </row>
    <row r="137" ht="15.75" customHeight="1">
      <c r="A137" s="14" t="s">
        <v>174</v>
      </c>
      <c r="B137" s="14" t="s">
        <v>301</v>
      </c>
      <c r="C137" s="14" t="s">
        <v>302</v>
      </c>
      <c r="D137" s="14" t="s">
        <v>226</v>
      </c>
      <c r="E137" s="14" t="s">
        <v>115</v>
      </c>
      <c r="F137" s="14">
        <v>134.0</v>
      </c>
      <c r="G137" s="14" t="s">
        <v>537</v>
      </c>
      <c r="H137" s="14" t="s">
        <v>539</v>
      </c>
      <c r="I137" s="14">
        <v>215.75</v>
      </c>
      <c r="J137" s="14">
        <v>7.99</v>
      </c>
    </row>
    <row r="138" ht="15.75" customHeight="1">
      <c r="A138" s="14" t="s">
        <v>174</v>
      </c>
      <c r="B138" s="14" t="s">
        <v>656</v>
      </c>
      <c r="C138" s="14" t="s">
        <v>657</v>
      </c>
      <c r="D138" s="14" t="s">
        <v>566</v>
      </c>
      <c r="E138" s="14" t="s">
        <v>658</v>
      </c>
      <c r="F138" s="14">
        <v>135.0</v>
      </c>
      <c r="G138" s="14" t="s">
        <v>513</v>
      </c>
      <c r="H138" s="14" t="s">
        <v>562</v>
      </c>
      <c r="I138" s="14">
        <v>215.0</v>
      </c>
      <c r="J138" s="14">
        <v>7.41</v>
      </c>
    </row>
    <row r="139" ht="15.75" customHeight="1">
      <c r="A139" s="14" t="s">
        <v>174</v>
      </c>
      <c r="B139" s="14" t="s">
        <v>659</v>
      </c>
      <c r="C139" s="14" t="s">
        <v>660</v>
      </c>
      <c r="D139" s="14" t="s">
        <v>661</v>
      </c>
      <c r="E139" s="14" t="s">
        <v>118</v>
      </c>
      <c r="F139" s="14">
        <v>136.0</v>
      </c>
      <c r="G139" s="14" t="s">
        <v>537</v>
      </c>
      <c r="H139" s="14" t="s">
        <v>523</v>
      </c>
      <c r="I139" s="14">
        <v>209.75</v>
      </c>
      <c r="J139" s="14">
        <v>7.23</v>
      </c>
    </row>
    <row r="140" ht="15.75" customHeight="1">
      <c r="A140" s="14" t="s">
        <v>174</v>
      </c>
      <c r="B140" s="14" t="s">
        <v>662</v>
      </c>
      <c r="C140" s="14" t="s">
        <v>663</v>
      </c>
      <c r="D140" s="14" t="s">
        <v>305</v>
      </c>
      <c r="E140" s="14" t="s">
        <v>118</v>
      </c>
      <c r="F140" s="14">
        <v>137.0</v>
      </c>
      <c r="G140" s="14" t="s">
        <v>537</v>
      </c>
      <c r="H140" s="14" t="s">
        <v>539</v>
      </c>
      <c r="I140" s="14">
        <v>209.0</v>
      </c>
      <c r="J140" s="14">
        <v>6.33</v>
      </c>
    </row>
    <row r="141" ht="15.75" customHeight="1">
      <c r="A141" s="14" t="s">
        <v>174</v>
      </c>
      <c r="B141" s="14" t="s">
        <v>664</v>
      </c>
      <c r="C141" s="14" t="s">
        <v>665</v>
      </c>
      <c r="D141" s="14" t="s">
        <v>226</v>
      </c>
      <c r="E141" s="14" t="s">
        <v>123</v>
      </c>
      <c r="F141" s="14">
        <v>138.0</v>
      </c>
      <c r="G141" s="14" t="s">
        <v>524</v>
      </c>
      <c r="H141" s="14" t="s">
        <v>539</v>
      </c>
      <c r="I141" s="14">
        <v>208.5</v>
      </c>
      <c r="J141" s="14">
        <v>6.32</v>
      </c>
    </row>
    <row r="142" ht="15.75" customHeight="1">
      <c r="A142" s="14" t="s">
        <v>174</v>
      </c>
      <c r="B142" s="14" t="s">
        <v>458</v>
      </c>
      <c r="C142" s="14" t="s">
        <v>459</v>
      </c>
      <c r="D142" s="14" t="s">
        <v>226</v>
      </c>
      <c r="E142" s="14" t="s">
        <v>121</v>
      </c>
      <c r="F142" s="14">
        <v>139.0</v>
      </c>
      <c r="G142" s="14" t="s">
        <v>519</v>
      </c>
      <c r="H142" s="14" t="s">
        <v>539</v>
      </c>
      <c r="I142" s="14">
        <v>208.0</v>
      </c>
      <c r="J142" s="14">
        <v>5.62</v>
      </c>
    </row>
    <row r="143" ht="15.75" customHeight="1">
      <c r="A143" s="14" t="s">
        <v>174</v>
      </c>
      <c r="B143" s="14" t="s">
        <v>485</v>
      </c>
      <c r="C143" s="14" t="s">
        <v>486</v>
      </c>
      <c r="D143" s="14" t="s">
        <v>257</v>
      </c>
      <c r="E143" s="14" t="s">
        <v>123</v>
      </c>
      <c r="F143" s="14">
        <v>140.0</v>
      </c>
      <c r="G143" s="14" t="s">
        <v>521</v>
      </c>
      <c r="H143" s="14" t="s">
        <v>531</v>
      </c>
      <c r="I143" s="14">
        <v>208.0</v>
      </c>
      <c r="J143" s="14">
        <v>5.47</v>
      </c>
    </row>
    <row r="144" ht="15.75" customHeight="1">
      <c r="A144" s="14" t="s">
        <v>174</v>
      </c>
      <c r="B144" s="14" t="s">
        <v>666</v>
      </c>
      <c r="C144" s="14" t="s">
        <v>667</v>
      </c>
      <c r="D144" s="14" t="s">
        <v>243</v>
      </c>
      <c r="E144" s="14" t="s">
        <v>121</v>
      </c>
      <c r="F144" s="14">
        <v>141.0</v>
      </c>
      <c r="G144" s="14" t="s">
        <v>527</v>
      </c>
      <c r="H144" s="14" t="s">
        <v>531</v>
      </c>
      <c r="I144" s="14">
        <v>206.0</v>
      </c>
      <c r="J144" s="14">
        <v>7.36</v>
      </c>
    </row>
    <row r="145" ht="15.75" customHeight="1">
      <c r="A145" s="14" t="s">
        <v>174</v>
      </c>
      <c r="B145" s="14" t="s">
        <v>401</v>
      </c>
      <c r="C145" s="14" t="s">
        <v>402</v>
      </c>
      <c r="D145" s="14" t="s">
        <v>257</v>
      </c>
      <c r="E145" s="14" t="s">
        <v>121</v>
      </c>
      <c r="F145" s="14">
        <v>142.0</v>
      </c>
      <c r="G145" s="14" t="s">
        <v>537</v>
      </c>
      <c r="H145" s="14" t="s">
        <v>531</v>
      </c>
      <c r="I145" s="14">
        <v>205.5</v>
      </c>
      <c r="J145" s="14">
        <v>10.28</v>
      </c>
    </row>
    <row r="146" ht="15.75" customHeight="1">
      <c r="A146" s="14" t="s">
        <v>174</v>
      </c>
      <c r="B146" s="14" t="s">
        <v>260</v>
      </c>
      <c r="C146" s="14" t="s">
        <v>261</v>
      </c>
      <c r="D146" s="14" t="s">
        <v>243</v>
      </c>
      <c r="E146" s="14" t="s">
        <v>121</v>
      </c>
      <c r="F146" s="14">
        <v>143.0</v>
      </c>
      <c r="G146" s="14" t="s">
        <v>537</v>
      </c>
      <c r="H146" s="14" t="s">
        <v>531</v>
      </c>
      <c r="I146" s="14">
        <v>205.5</v>
      </c>
      <c r="J146" s="14">
        <v>10.82</v>
      </c>
    </row>
    <row r="147" ht="15.75" customHeight="1">
      <c r="A147" s="14" t="s">
        <v>174</v>
      </c>
      <c r="B147" s="14" t="s">
        <v>668</v>
      </c>
      <c r="C147" s="14" t="s">
        <v>669</v>
      </c>
      <c r="D147" s="14" t="s">
        <v>199</v>
      </c>
      <c r="E147" s="14" t="s">
        <v>121</v>
      </c>
      <c r="F147" s="14">
        <v>144.0</v>
      </c>
      <c r="G147" s="14" t="s">
        <v>538</v>
      </c>
      <c r="H147" s="14" t="s">
        <v>514</v>
      </c>
      <c r="I147" s="14">
        <v>203.5</v>
      </c>
      <c r="J147" s="14">
        <v>5.65</v>
      </c>
    </row>
    <row r="148" ht="15.75" customHeight="1">
      <c r="A148" s="14" t="s">
        <v>174</v>
      </c>
      <c r="B148" s="14" t="s">
        <v>670</v>
      </c>
      <c r="C148" s="14" t="s">
        <v>671</v>
      </c>
      <c r="D148" s="14" t="s">
        <v>185</v>
      </c>
      <c r="E148" s="14" t="s">
        <v>115</v>
      </c>
      <c r="F148" s="14">
        <v>145.0</v>
      </c>
      <c r="G148" s="14" t="s">
        <v>515</v>
      </c>
      <c r="H148" s="14" t="s">
        <v>512</v>
      </c>
      <c r="I148" s="14">
        <v>203.5</v>
      </c>
      <c r="J148" s="14">
        <v>6.36</v>
      </c>
    </row>
    <row r="149" ht="15.75" customHeight="1">
      <c r="A149" s="14" t="s">
        <v>174</v>
      </c>
      <c r="B149" s="14" t="s">
        <v>672</v>
      </c>
      <c r="C149" s="14" t="s">
        <v>673</v>
      </c>
      <c r="D149" s="14" t="s">
        <v>243</v>
      </c>
      <c r="E149" s="14" t="s">
        <v>121</v>
      </c>
      <c r="F149" s="14">
        <v>146.0</v>
      </c>
      <c r="G149" s="14" t="s">
        <v>537</v>
      </c>
      <c r="H149" s="14" t="s">
        <v>531</v>
      </c>
      <c r="I149" s="14">
        <v>203.5</v>
      </c>
      <c r="J149" s="14">
        <v>6.17</v>
      </c>
    </row>
    <row r="150" ht="15.75" customHeight="1">
      <c r="A150" s="14" t="s">
        <v>174</v>
      </c>
      <c r="B150" s="14" t="s">
        <v>330</v>
      </c>
      <c r="C150" s="14" t="s">
        <v>331</v>
      </c>
      <c r="D150" s="14" t="s">
        <v>199</v>
      </c>
      <c r="E150" s="14" t="s">
        <v>121</v>
      </c>
      <c r="F150" s="14">
        <v>147.0</v>
      </c>
      <c r="G150" s="14" t="s">
        <v>519</v>
      </c>
      <c r="H150" s="14" t="s">
        <v>514</v>
      </c>
      <c r="I150" s="14">
        <v>203.5</v>
      </c>
      <c r="J150" s="14">
        <v>8.14</v>
      </c>
    </row>
    <row r="151" ht="15.75" customHeight="1">
      <c r="A151" s="14" t="s">
        <v>174</v>
      </c>
      <c r="B151" s="14" t="s">
        <v>399</v>
      </c>
      <c r="C151" s="14" t="s">
        <v>400</v>
      </c>
      <c r="D151" s="14" t="s">
        <v>226</v>
      </c>
      <c r="E151" s="14" t="s">
        <v>121</v>
      </c>
      <c r="F151" s="14">
        <v>148.0</v>
      </c>
      <c r="G151" s="14" t="s">
        <v>515</v>
      </c>
      <c r="H151" s="14" t="s">
        <v>539</v>
      </c>
      <c r="I151" s="14">
        <v>203.5</v>
      </c>
      <c r="J151" s="14">
        <v>5.81</v>
      </c>
    </row>
    <row r="152" ht="15.75" customHeight="1">
      <c r="A152" s="14" t="s">
        <v>174</v>
      </c>
      <c r="B152" s="14" t="s">
        <v>356</v>
      </c>
      <c r="C152" s="14" t="s">
        <v>357</v>
      </c>
      <c r="D152" s="14" t="s">
        <v>188</v>
      </c>
      <c r="E152" s="14" t="s">
        <v>121</v>
      </c>
      <c r="F152" s="14">
        <v>149.0</v>
      </c>
      <c r="G152" s="14" t="s">
        <v>521</v>
      </c>
      <c r="H152" s="14" t="s">
        <v>528</v>
      </c>
      <c r="I152" s="14">
        <v>203.0</v>
      </c>
      <c r="J152" s="14">
        <v>6.15</v>
      </c>
    </row>
    <row r="153" ht="15.75" customHeight="1">
      <c r="A153" s="14" t="s">
        <v>174</v>
      </c>
      <c r="B153" s="14" t="s">
        <v>674</v>
      </c>
      <c r="C153" s="14" t="s">
        <v>675</v>
      </c>
      <c r="D153" s="14" t="s">
        <v>257</v>
      </c>
      <c r="E153" s="14" t="s">
        <v>123</v>
      </c>
      <c r="F153" s="14">
        <v>150.0</v>
      </c>
      <c r="G153" s="14" t="s">
        <v>511</v>
      </c>
      <c r="H153" s="14" t="s">
        <v>531</v>
      </c>
      <c r="I153" s="14">
        <v>203.0</v>
      </c>
      <c r="J153" s="14">
        <v>5.49</v>
      </c>
    </row>
    <row r="154" ht="15.75" customHeight="1">
      <c r="A154" s="14" t="s">
        <v>174</v>
      </c>
      <c r="B154" s="14" t="s">
        <v>676</v>
      </c>
      <c r="C154" s="14" t="s">
        <v>677</v>
      </c>
      <c r="D154" s="14" t="s">
        <v>387</v>
      </c>
      <c r="E154" s="14" t="s">
        <v>123</v>
      </c>
      <c r="F154" s="14">
        <v>151.0</v>
      </c>
      <c r="G154" s="14" t="s">
        <v>538</v>
      </c>
      <c r="H154" s="14" t="s">
        <v>562</v>
      </c>
      <c r="I154" s="14">
        <v>201.0</v>
      </c>
      <c r="J154" s="14">
        <v>7.44</v>
      </c>
    </row>
    <row r="155" ht="15.75" customHeight="1">
      <c r="A155" s="14" t="s">
        <v>174</v>
      </c>
      <c r="B155" s="14" t="s">
        <v>460</v>
      </c>
      <c r="C155" s="14" t="s">
        <v>461</v>
      </c>
      <c r="D155" s="14" t="s">
        <v>231</v>
      </c>
      <c r="E155" s="14" t="s">
        <v>118</v>
      </c>
      <c r="F155" s="14">
        <v>152.0</v>
      </c>
      <c r="G155" s="14" t="s">
        <v>511</v>
      </c>
      <c r="H155" s="14" t="s">
        <v>512</v>
      </c>
      <c r="I155" s="14">
        <v>200.75</v>
      </c>
      <c r="J155" s="14">
        <v>6.69</v>
      </c>
    </row>
    <row r="156" ht="15.75" customHeight="1">
      <c r="A156" s="14" t="s">
        <v>174</v>
      </c>
      <c r="B156" s="14" t="s">
        <v>678</v>
      </c>
      <c r="C156" s="14" t="s">
        <v>679</v>
      </c>
      <c r="D156" s="14" t="s">
        <v>215</v>
      </c>
      <c r="E156" s="14" t="s">
        <v>121</v>
      </c>
      <c r="F156" s="14">
        <v>153.0</v>
      </c>
      <c r="G156" s="14" t="s">
        <v>537</v>
      </c>
      <c r="H156" s="14" t="s">
        <v>523</v>
      </c>
      <c r="I156" s="14">
        <v>199.5</v>
      </c>
      <c r="J156" s="14">
        <v>5.7</v>
      </c>
    </row>
    <row r="157" ht="15.75" customHeight="1">
      <c r="A157" s="14" t="s">
        <v>174</v>
      </c>
      <c r="B157" s="14" t="s">
        <v>680</v>
      </c>
      <c r="C157" s="14" t="s">
        <v>681</v>
      </c>
      <c r="D157" s="14" t="s">
        <v>453</v>
      </c>
      <c r="E157" s="14" t="s">
        <v>118</v>
      </c>
      <c r="F157" s="14">
        <v>154.0</v>
      </c>
      <c r="G157" s="14" t="s">
        <v>537</v>
      </c>
      <c r="H157" s="14" t="s">
        <v>523</v>
      </c>
      <c r="I157" s="14">
        <v>198.25</v>
      </c>
      <c r="J157" s="14">
        <v>7.93</v>
      </c>
    </row>
    <row r="158" ht="15.75" customHeight="1">
      <c r="A158" s="14" t="s">
        <v>174</v>
      </c>
      <c r="B158" s="14" t="s">
        <v>682</v>
      </c>
      <c r="C158" s="14" t="s">
        <v>683</v>
      </c>
      <c r="D158" s="14" t="s">
        <v>226</v>
      </c>
      <c r="E158" s="14" t="s">
        <v>118</v>
      </c>
      <c r="F158" s="14">
        <v>155.0</v>
      </c>
      <c r="G158" s="14" t="s">
        <v>537</v>
      </c>
      <c r="H158" s="14" t="s">
        <v>539</v>
      </c>
      <c r="I158" s="14">
        <v>197.75</v>
      </c>
      <c r="J158" s="14">
        <v>6.82</v>
      </c>
    </row>
    <row r="159" ht="15.75" customHeight="1">
      <c r="A159" s="14" t="s">
        <v>174</v>
      </c>
      <c r="B159" s="14" t="s">
        <v>465</v>
      </c>
      <c r="C159" s="14" t="s">
        <v>466</v>
      </c>
      <c r="D159" s="14" t="s">
        <v>243</v>
      </c>
      <c r="E159" s="14" t="s">
        <v>118</v>
      </c>
      <c r="F159" s="14">
        <v>156.0</v>
      </c>
      <c r="G159" s="14" t="s">
        <v>537</v>
      </c>
      <c r="H159" s="14" t="s">
        <v>531</v>
      </c>
      <c r="I159" s="14">
        <v>196.25</v>
      </c>
      <c r="J159" s="14">
        <v>8.53</v>
      </c>
    </row>
    <row r="160" ht="15.75" customHeight="1">
      <c r="A160" s="14" t="s">
        <v>174</v>
      </c>
      <c r="B160" s="14" t="s">
        <v>392</v>
      </c>
      <c r="C160" s="14" t="s">
        <v>393</v>
      </c>
      <c r="D160" s="14" t="s">
        <v>257</v>
      </c>
      <c r="E160" s="14" t="s">
        <v>118</v>
      </c>
      <c r="F160" s="14">
        <v>157.0</v>
      </c>
      <c r="G160" s="14" t="s">
        <v>524</v>
      </c>
      <c r="H160" s="14" t="s">
        <v>531</v>
      </c>
      <c r="I160" s="14">
        <v>195.5</v>
      </c>
      <c r="J160" s="14">
        <v>5.92</v>
      </c>
    </row>
    <row r="161" ht="15.75" customHeight="1">
      <c r="A161" s="14" t="s">
        <v>174</v>
      </c>
      <c r="B161" s="14" t="s">
        <v>684</v>
      </c>
      <c r="C161" s="14" t="s">
        <v>685</v>
      </c>
      <c r="D161" s="14" t="s">
        <v>453</v>
      </c>
      <c r="E161" s="14" t="s">
        <v>118</v>
      </c>
      <c r="F161" s="14">
        <v>158.0</v>
      </c>
      <c r="G161" s="14" t="s">
        <v>537</v>
      </c>
      <c r="H161" s="14" t="s">
        <v>523</v>
      </c>
      <c r="I161" s="14">
        <v>194.25</v>
      </c>
      <c r="J161" s="14">
        <v>5.55</v>
      </c>
    </row>
    <row r="162" ht="15.75" customHeight="1">
      <c r="A162" s="14" t="s">
        <v>174</v>
      </c>
      <c r="B162" s="14" t="s">
        <v>686</v>
      </c>
      <c r="C162" s="14" t="s">
        <v>687</v>
      </c>
      <c r="D162" s="14" t="s">
        <v>243</v>
      </c>
      <c r="E162" s="14" t="s">
        <v>115</v>
      </c>
      <c r="F162" s="14">
        <v>159.0</v>
      </c>
      <c r="G162" s="14" t="s">
        <v>537</v>
      </c>
      <c r="H162" s="14" t="s">
        <v>531</v>
      </c>
      <c r="I162" s="14">
        <v>194.25</v>
      </c>
      <c r="J162" s="14">
        <v>6.27</v>
      </c>
    </row>
    <row r="163" ht="15.75" customHeight="1">
      <c r="A163" s="14" t="s">
        <v>174</v>
      </c>
      <c r="B163" s="14" t="s">
        <v>688</v>
      </c>
      <c r="C163" s="14" t="s">
        <v>689</v>
      </c>
      <c r="D163" s="14" t="s">
        <v>231</v>
      </c>
      <c r="E163" s="14" t="s">
        <v>121</v>
      </c>
      <c r="F163" s="14">
        <v>160.0</v>
      </c>
      <c r="G163" s="14" t="s">
        <v>513</v>
      </c>
      <c r="H163" s="14" t="s">
        <v>512</v>
      </c>
      <c r="I163" s="14">
        <v>193.0</v>
      </c>
      <c r="J163" s="14">
        <v>6.66</v>
      </c>
    </row>
    <row r="164" ht="15.75" customHeight="1">
      <c r="A164" s="14" t="s">
        <v>174</v>
      </c>
      <c r="B164" s="14" t="s">
        <v>481</v>
      </c>
      <c r="C164" s="14" t="s">
        <v>482</v>
      </c>
      <c r="D164" s="14" t="s">
        <v>226</v>
      </c>
      <c r="E164" s="14" t="s">
        <v>121</v>
      </c>
      <c r="F164" s="14">
        <v>161.0</v>
      </c>
      <c r="G164" s="14" t="s">
        <v>537</v>
      </c>
      <c r="H164" s="14" t="s">
        <v>539</v>
      </c>
      <c r="I164" s="14">
        <v>192.0</v>
      </c>
      <c r="J164" s="14">
        <v>5.82</v>
      </c>
    </row>
    <row r="165" ht="15.75" customHeight="1">
      <c r="A165" s="14" t="s">
        <v>174</v>
      </c>
      <c r="B165" s="14" t="s">
        <v>204</v>
      </c>
      <c r="C165" s="14" t="s">
        <v>205</v>
      </c>
      <c r="D165" s="14" t="s">
        <v>191</v>
      </c>
      <c r="E165" s="14" t="s">
        <v>121</v>
      </c>
      <c r="F165" s="14">
        <v>162.0</v>
      </c>
      <c r="G165" s="14" t="s">
        <v>537</v>
      </c>
      <c r="H165" s="14" t="s">
        <v>520</v>
      </c>
      <c r="I165" s="14">
        <v>192.0</v>
      </c>
      <c r="J165" s="14">
        <v>8.0</v>
      </c>
    </row>
    <row r="166" ht="15.75" customHeight="1">
      <c r="A166" s="14" t="s">
        <v>174</v>
      </c>
      <c r="B166" s="14" t="s">
        <v>690</v>
      </c>
      <c r="C166" s="14" t="s">
        <v>691</v>
      </c>
      <c r="D166" s="14" t="s">
        <v>453</v>
      </c>
      <c r="E166" s="14" t="s">
        <v>118</v>
      </c>
      <c r="F166" s="14">
        <v>163.0</v>
      </c>
      <c r="G166" s="14" t="s">
        <v>537</v>
      </c>
      <c r="H166" s="14" t="s">
        <v>523</v>
      </c>
      <c r="I166" s="14">
        <v>191.5</v>
      </c>
      <c r="J166" s="14">
        <v>5.98</v>
      </c>
    </row>
    <row r="167" ht="15.75" customHeight="1">
      <c r="A167" s="14" t="s">
        <v>174</v>
      </c>
      <c r="B167" s="14" t="s">
        <v>288</v>
      </c>
      <c r="C167" s="14" t="s">
        <v>289</v>
      </c>
      <c r="D167" s="14" t="s">
        <v>226</v>
      </c>
      <c r="E167" s="14" t="s">
        <v>118</v>
      </c>
      <c r="F167" s="14">
        <v>164.0</v>
      </c>
      <c r="G167" s="14" t="s">
        <v>524</v>
      </c>
      <c r="H167" s="14" t="s">
        <v>539</v>
      </c>
      <c r="I167" s="14">
        <v>191.0</v>
      </c>
      <c r="J167" s="14">
        <v>6.37</v>
      </c>
    </row>
    <row r="168" ht="15.75" customHeight="1">
      <c r="A168" s="14" t="s">
        <v>174</v>
      </c>
      <c r="B168" s="14" t="s">
        <v>692</v>
      </c>
      <c r="C168" s="14" t="s">
        <v>693</v>
      </c>
      <c r="D168" s="14" t="s">
        <v>188</v>
      </c>
      <c r="E168" s="14" t="s">
        <v>118</v>
      </c>
      <c r="F168" s="14">
        <v>165.0</v>
      </c>
      <c r="G168" s="14" t="s">
        <v>527</v>
      </c>
      <c r="H168" s="14" t="s">
        <v>528</v>
      </c>
      <c r="I168" s="14">
        <v>189.75</v>
      </c>
      <c r="J168" s="14">
        <v>5.58</v>
      </c>
    </row>
    <row r="169" ht="15.75" customHeight="1">
      <c r="A169" s="14" t="s">
        <v>174</v>
      </c>
      <c r="B169" s="14" t="s">
        <v>694</v>
      </c>
      <c r="C169" s="14" t="s">
        <v>695</v>
      </c>
      <c r="D169" s="14" t="s">
        <v>226</v>
      </c>
      <c r="E169" s="14" t="s">
        <v>118</v>
      </c>
      <c r="F169" s="14">
        <v>166.0</v>
      </c>
      <c r="G169" s="14" t="s">
        <v>515</v>
      </c>
      <c r="H169" s="14" t="s">
        <v>539</v>
      </c>
      <c r="I169" s="14">
        <v>187.5</v>
      </c>
      <c r="J169" s="14">
        <v>7.5</v>
      </c>
    </row>
    <row r="170" ht="15.75" customHeight="1">
      <c r="A170" s="14" t="s">
        <v>174</v>
      </c>
      <c r="B170" s="14" t="s">
        <v>323</v>
      </c>
      <c r="C170" s="14" t="s">
        <v>324</v>
      </c>
      <c r="D170" s="14" t="s">
        <v>243</v>
      </c>
      <c r="E170" s="14" t="s">
        <v>123</v>
      </c>
      <c r="F170" s="14">
        <v>167.0</v>
      </c>
      <c r="G170" s="14" t="s">
        <v>513</v>
      </c>
      <c r="H170" s="14" t="s">
        <v>531</v>
      </c>
      <c r="I170" s="14">
        <v>185.5</v>
      </c>
      <c r="J170" s="14">
        <v>5.98</v>
      </c>
    </row>
    <row r="171" ht="15.75" customHeight="1">
      <c r="A171" s="14" t="s">
        <v>174</v>
      </c>
      <c r="B171" s="14" t="s">
        <v>696</v>
      </c>
      <c r="C171" s="14" t="s">
        <v>697</v>
      </c>
      <c r="D171" s="14" t="s">
        <v>387</v>
      </c>
      <c r="E171" s="14" t="s">
        <v>118</v>
      </c>
      <c r="F171" s="14">
        <v>168.0</v>
      </c>
      <c r="G171" s="14" t="s">
        <v>537</v>
      </c>
      <c r="H171" s="14" t="s">
        <v>562</v>
      </c>
      <c r="I171" s="14">
        <v>185.25</v>
      </c>
      <c r="J171" s="14">
        <v>6.62</v>
      </c>
    </row>
    <row r="172" ht="15.75" customHeight="1">
      <c r="A172" s="14" t="s">
        <v>174</v>
      </c>
      <c r="B172" s="14" t="s">
        <v>698</v>
      </c>
      <c r="C172" s="14" t="s">
        <v>699</v>
      </c>
      <c r="D172" s="14" t="s">
        <v>327</v>
      </c>
      <c r="E172" s="14" t="s">
        <v>121</v>
      </c>
      <c r="F172" s="14">
        <v>169.0</v>
      </c>
      <c r="G172" s="14" t="s">
        <v>537</v>
      </c>
      <c r="H172" s="14" t="s">
        <v>518</v>
      </c>
      <c r="I172" s="14">
        <v>184.5</v>
      </c>
      <c r="J172" s="14">
        <v>4.99</v>
      </c>
    </row>
    <row r="173" ht="15.75" customHeight="1">
      <c r="A173" s="14" t="s">
        <v>174</v>
      </c>
      <c r="B173" s="14" t="s">
        <v>700</v>
      </c>
      <c r="C173" s="14" t="s">
        <v>701</v>
      </c>
      <c r="D173" s="14" t="s">
        <v>305</v>
      </c>
      <c r="E173" s="14" t="s">
        <v>121</v>
      </c>
      <c r="F173" s="14">
        <v>170.0</v>
      </c>
      <c r="G173" s="14" t="s">
        <v>537</v>
      </c>
      <c r="H173" s="14" t="s">
        <v>539</v>
      </c>
      <c r="I173" s="14">
        <v>182.0</v>
      </c>
      <c r="J173" s="14">
        <v>5.2</v>
      </c>
    </row>
    <row r="174" ht="15.75" customHeight="1">
      <c r="A174" s="14" t="s">
        <v>174</v>
      </c>
      <c r="B174" s="14" t="s">
        <v>321</v>
      </c>
      <c r="C174" s="14" t="s">
        <v>322</v>
      </c>
      <c r="D174" s="14" t="s">
        <v>180</v>
      </c>
      <c r="E174" s="14" t="s">
        <v>121</v>
      </c>
      <c r="F174" s="14">
        <v>171.0</v>
      </c>
      <c r="G174" s="14" t="s">
        <v>537</v>
      </c>
      <c r="H174" s="14" t="s">
        <v>514</v>
      </c>
      <c r="I174" s="14">
        <v>181.5</v>
      </c>
      <c r="J174" s="14">
        <v>6.48</v>
      </c>
    </row>
    <row r="175" ht="15.75" customHeight="1">
      <c r="A175" s="14" t="s">
        <v>174</v>
      </c>
      <c r="B175" s="14" t="s">
        <v>244</v>
      </c>
      <c r="C175" s="14" t="s">
        <v>245</v>
      </c>
      <c r="D175" s="14" t="s">
        <v>177</v>
      </c>
      <c r="E175" s="14" t="s">
        <v>118</v>
      </c>
      <c r="F175" s="14">
        <v>172.0</v>
      </c>
      <c r="G175" s="14" t="s">
        <v>513</v>
      </c>
      <c r="H175" s="14" t="s">
        <v>518</v>
      </c>
      <c r="I175" s="14">
        <v>181.25</v>
      </c>
      <c r="J175" s="14">
        <v>5.33</v>
      </c>
    </row>
    <row r="176" ht="15.75" customHeight="1">
      <c r="A176" s="14" t="s">
        <v>174</v>
      </c>
      <c r="B176" s="14" t="s">
        <v>229</v>
      </c>
      <c r="C176" s="14" t="s">
        <v>230</v>
      </c>
      <c r="D176" s="14" t="s">
        <v>231</v>
      </c>
      <c r="E176" s="14" t="s">
        <v>121</v>
      </c>
      <c r="F176" s="14">
        <v>173.0</v>
      </c>
      <c r="G176" s="14" t="s">
        <v>537</v>
      </c>
      <c r="H176" s="14" t="s">
        <v>512</v>
      </c>
      <c r="I176" s="14">
        <v>180.0</v>
      </c>
      <c r="J176" s="14">
        <v>7.2</v>
      </c>
    </row>
    <row r="177" ht="15.75" customHeight="1">
      <c r="A177" s="14" t="s">
        <v>174</v>
      </c>
      <c r="B177" s="14" t="s">
        <v>702</v>
      </c>
      <c r="C177" s="14" t="s">
        <v>703</v>
      </c>
      <c r="D177" s="14" t="s">
        <v>285</v>
      </c>
      <c r="E177" s="14" t="s">
        <v>118</v>
      </c>
      <c r="F177" s="14">
        <v>174.0</v>
      </c>
      <c r="G177" s="14" t="s">
        <v>537</v>
      </c>
      <c r="H177" s="14" t="s">
        <v>522</v>
      </c>
      <c r="I177" s="14">
        <v>179.75</v>
      </c>
      <c r="J177" s="14">
        <v>5.8</v>
      </c>
    </row>
    <row r="178" ht="15.75" customHeight="1">
      <c r="A178" s="14" t="s">
        <v>174</v>
      </c>
      <c r="B178" s="14" t="s">
        <v>417</v>
      </c>
      <c r="C178" s="14" t="s">
        <v>418</v>
      </c>
      <c r="D178" s="14" t="s">
        <v>231</v>
      </c>
      <c r="E178" s="14" t="s">
        <v>123</v>
      </c>
      <c r="F178" s="14">
        <v>175.0</v>
      </c>
      <c r="G178" s="14" t="s">
        <v>537</v>
      </c>
      <c r="H178" s="14" t="s">
        <v>512</v>
      </c>
      <c r="I178" s="14">
        <v>179.5</v>
      </c>
      <c r="J178" s="14">
        <v>5.61</v>
      </c>
    </row>
    <row r="179" ht="15.75" customHeight="1">
      <c r="A179" s="14" t="s">
        <v>174</v>
      </c>
      <c r="B179" s="14" t="s">
        <v>407</v>
      </c>
      <c r="C179" s="14" t="s">
        <v>704</v>
      </c>
      <c r="D179" s="14" t="s">
        <v>177</v>
      </c>
      <c r="E179" s="14" t="s">
        <v>115</v>
      </c>
      <c r="F179" s="14">
        <v>176.0</v>
      </c>
      <c r="G179" s="14" t="s">
        <v>537</v>
      </c>
      <c r="H179" s="14" t="s">
        <v>518</v>
      </c>
      <c r="I179" s="14">
        <v>175.25</v>
      </c>
      <c r="J179" s="14">
        <v>6.74</v>
      </c>
    </row>
    <row r="180" ht="15.75" customHeight="1">
      <c r="A180" s="14" t="s">
        <v>174</v>
      </c>
      <c r="B180" s="14" t="s">
        <v>705</v>
      </c>
      <c r="C180" s="14" t="s">
        <v>706</v>
      </c>
      <c r="D180" s="14" t="s">
        <v>231</v>
      </c>
      <c r="E180" s="14" t="s">
        <v>118</v>
      </c>
      <c r="F180" s="14">
        <v>177.0</v>
      </c>
      <c r="G180" s="14" t="s">
        <v>537</v>
      </c>
      <c r="H180" s="14" t="s">
        <v>512</v>
      </c>
      <c r="I180" s="14">
        <v>175.0</v>
      </c>
      <c r="J180" s="14">
        <v>5.3</v>
      </c>
    </row>
    <row r="181" ht="15.75" customHeight="1">
      <c r="A181" s="14" t="s">
        <v>174</v>
      </c>
      <c r="B181" s="14" t="s">
        <v>377</v>
      </c>
      <c r="C181" s="14" t="s">
        <v>378</v>
      </c>
      <c r="D181" s="14" t="s">
        <v>236</v>
      </c>
      <c r="E181" s="14" t="s">
        <v>118</v>
      </c>
      <c r="F181" s="14">
        <v>178.0</v>
      </c>
      <c r="G181" s="14" t="s">
        <v>537</v>
      </c>
      <c r="H181" s="14" t="s">
        <v>522</v>
      </c>
      <c r="I181" s="14">
        <v>174.75</v>
      </c>
      <c r="J181" s="14">
        <v>4.6</v>
      </c>
    </row>
    <row r="182" ht="15.75" customHeight="1">
      <c r="A182" s="14" t="s">
        <v>174</v>
      </c>
      <c r="B182" s="14" t="s">
        <v>707</v>
      </c>
      <c r="C182" s="14" t="s">
        <v>708</v>
      </c>
      <c r="D182" s="14" t="s">
        <v>191</v>
      </c>
      <c r="E182" s="14" t="s">
        <v>118</v>
      </c>
      <c r="F182" s="14">
        <v>179.0</v>
      </c>
      <c r="G182" s="14" t="s">
        <v>537</v>
      </c>
      <c r="H182" s="14" t="s">
        <v>520</v>
      </c>
      <c r="I182" s="14">
        <v>172.5</v>
      </c>
      <c r="J182" s="14">
        <v>6.9</v>
      </c>
    </row>
    <row r="183" ht="15.75" customHeight="1">
      <c r="A183" s="14" t="s">
        <v>174</v>
      </c>
      <c r="B183" s="14" t="s">
        <v>421</v>
      </c>
      <c r="C183" s="14" t="s">
        <v>709</v>
      </c>
      <c r="D183" s="14" t="s">
        <v>215</v>
      </c>
      <c r="E183" s="14" t="s">
        <v>121</v>
      </c>
      <c r="F183" s="14">
        <v>180.0</v>
      </c>
      <c r="G183" s="14" t="s">
        <v>537</v>
      </c>
      <c r="H183" s="14" t="s">
        <v>523</v>
      </c>
      <c r="I183" s="14">
        <v>172.0</v>
      </c>
      <c r="J183" s="14">
        <v>9.56</v>
      </c>
    </row>
    <row r="184" ht="15.75" customHeight="1">
      <c r="A184" s="14" t="s">
        <v>174</v>
      </c>
      <c r="B184" s="14" t="s">
        <v>710</v>
      </c>
      <c r="C184" s="14" t="s">
        <v>711</v>
      </c>
      <c r="D184" s="14" t="s">
        <v>185</v>
      </c>
      <c r="E184" s="14" t="s">
        <v>118</v>
      </c>
      <c r="F184" s="14">
        <v>181.0</v>
      </c>
      <c r="G184" s="14" t="s">
        <v>521</v>
      </c>
      <c r="H184" s="14" t="s">
        <v>512</v>
      </c>
      <c r="I184" s="14">
        <v>171.75</v>
      </c>
      <c r="J184" s="14">
        <v>7.47</v>
      </c>
    </row>
    <row r="185" ht="15.75" customHeight="1">
      <c r="A185" s="14" t="s">
        <v>174</v>
      </c>
      <c r="B185" s="14" t="s">
        <v>712</v>
      </c>
      <c r="C185" s="14" t="s">
        <v>713</v>
      </c>
      <c r="D185" s="14" t="s">
        <v>243</v>
      </c>
      <c r="E185" s="14" t="s">
        <v>118</v>
      </c>
      <c r="F185" s="14">
        <v>182.0</v>
      </c>
      <c r="G185" s="14" t="s">
        <v>537</v>
      </c>
      <c r="H185" s="14" t="s">
        <v>531</v>
      </c>
      <c r="I185" s="14">
        <v>171.25</v>
      </c>
      <c r="J185" s="14">
        <v>4.89</v>
      </c>
    </row>
    <row r="186" ht="15.75" customHeight="1">
      <c r="A186" s="14" t="s">
        <v>174</v>
      </c>
      <c r="B186" s="14" t="s">
        <v>714</v>
      </c>
      <c r="C186" s="14" t="s">
        <v>715</v>
      </c>
      <c r="D186" s="14" t="s">
        <v>243</v>
      </c>
      <c r="E186" s="14" t="s">
        <v>118</v>
      </c>
      <c r="F186" s="14">
        <v>183.0</v>
      </c>
      <c r="G186" s="14" t="s">
        <v>537</v>
      </c>
      <c r="H186" s="14" t="s">
        <v>531</v>
      </c>
      <c r="I186" s="14">
        <v>170.75</v>
      </c>
      <c r="J186" s="14">
        <v>5.69</v>
      </c>
    </row>
    <row r="187" ht="15.75" customHeight="1">
      <c r="A187" s="14" t="s">
        <v>174</v>
      </c>
      <c r="B187" s="14" t="s">
        <v>716</v>
      </c>
      <c r="C187" s="14" t="s">
        <v>717</v>
      </c>
      <c r="D187" s="14" t="s">
        <v>231</v>
      </c>
      <c r="E187" s="14" t="s">
        <v>121</v>
      </c>
      <c r="F187" s="14">
        <v>184.0</v>
      </c>
      <c r="G187" s="14" t="s">
        <v>525</v>
      </c>
      <c r="H187" s="14" t="s">
        <v>512</v>
      </c>
      <c r="I187" s="14">
        <v>170.0</v>
      </c>
      <c r="J187" s="14">
        <v>6.3</v>
      </c>
    </row>
    <row r="188" ht="15.75" customHeight="1">
      <c r="A188" s="14" t="s">
        <v>174</v>
      </c>
      <c r="B188" s="14" t="s">
        <v>497</v>
      </c>
      <c r="C188" s="14" t="s">
        <v>718</v>
      </c>
      <c r="D188" s="14" t="s">
        <v>226</v>
      </c>
      <c r="E188" s="14" t="s">
        <v>121</v>
      </c>
      <c r="F188" s="14">
        <v>185.0</v>
      </c>
      <c r="G188" s="14" t="s">
        <v>521</v>
      </c>
      <c r="H188" s="14" t="s">
        <v>539</v>
      </c>
      <c r="I188" s="14">
        <v>169.0</v>
      </c>
      <c r="J188" s="14">
        <v>6.26</v>
      </c>
    </row>
    <row r="189" ht="15.75" customHeight="1">
      <c r="A189" s="14" t="s">
        <v>174</v>
      </c>
      <c r="B189" s="14" t="s">
        <v>719</v>
      </c>
      <c r="C189" s="14" t="s">
        <v>720</v>
      </c>
      <c r="D189" s="14" t="s">
        <v>215</v>
      </c>
      <c r="E189" s="14" t="s">
        <v>115</v>
      </c>
      <c r="F189" s="14">
        <v>186.0</v>
      </c>
      <c r="G189" s="14" t="s">
        <v>538</v>
      </c>
      <c r="H189" s="14" t="s">
        <v>523</v>
      </c>
      <c r="I189" s="14">
        <v>169.0</v>
      </c>
      <c r="J189" s="14">
        <v>9.39</v>
      </c>
    </row>
    <row r="190" ht="15.75" customHeight="1">
      <c r="A190" s="14" t="s">
        <v>174</v>
      </c>
      <c r="B190" s="14" t="s">
        <v>328</v>
      </c>
      <c r="C190" s="14" t="s">
        <v>329</v>
      </c>
      <c r="D190" s="14" t="s">
        <v>215</v>
      </c>
      <c r="E190" s="14" t="s">
        <v>118</v>
      </c>
      <c r="F190" s="14">
        <v>187.0</v>
      </c>
      <c r="G190" s="14" t="s">
        <v>537</v>
      </c>
      <c r="H190" s="14" t="s">
        <v>523</v>
      </c>
      <c r="I190" s="14">
        <v>168.75</v>
      </c>
      <c r="J190" s="14">
        <v>6.75</v>
      </c>
    </row>
    <row r="191" ht="15.75" customHeight="1">
      <c r="A191" s="14" t="s">
        <v>174</v>
      </c>
      <c r="B191" s="14" t="s">
        <v>721</v>
      </c>
      <c r="C191" s="14" t="s">
        <v>722</v>
      </c>
      <c r="D191" s="14" t="s">
        <v>387</v>
      </c>
      <c r="E191" s="14" t="s">
        <v>115</v>
      </c>
      <c r="F191" s="14">
        <v>188.0</v>
      </c>
      <c r="G191" s="14" t="s">
        <v>537</v>
      </c>
      <c r="H191" s="14" t="s">
        <v>562</v>
      </c>
      <c r="I191" s="14">
        <v>166.75</v>
      </c>
      <c r="J191" s="14">
        <v>7.25</v>
      </c>
    </row>
    <row r="192" ht="15.75" customHeight="1">
      <c r="A192" s="14" t="s">
        <v>174</v>
      </c>
      <c r="B192" s="14" t="s">
        <v>723</v>
      </c>
      <c r="C192" s="14" t="s">
        <v>724</v>
      </c>
      <c r="D192" s="14" t="s">
        <v>314</v>
      </c>
      <c r="E192" s="14" t="s">
        <v>123</v>
      </c>
      <c r="F192" s="14">
        <v>189.0</v>
      </c>
      <c r="G192" s="14" t="s">
        <v>537</v>
      </c>
      <c r="H192" s="14" t="s">
        <v>528</v>
      </c>
      <c r="I192" s="14">
        <v>166.5</v>
      </c>
      <c r="J192" s="14">
        <v>5.37</v>
      </c>
    </row>
    <row r="193" ht="15.75" customHeight="1">
      <c r="A193" s="14" t="s">
        <v>174</v>
      </c>
      <c r="B193" s="14" t="s">
        <v>303</v>
      </c>
      <c r="C193" s="14" t="s">
        <v>304</v>
      </c>
      <c r="D193" s="14" t="s">
        <v>305</v>
      </c>
      <c r="E193" s="14" t="s">
        <v>118</v>
      </c>
      <c r="F193" s="14">
        <v>190.0</v>
      </c>
      <c r="G193" s="14" t="s">
        <v>538</v>
      </c>
      <c r="H193" s="14" t="s">
        <v>539</v>
      </c>
      <c r="I193" s="14">
        <v>166.25</v>
      </c>
      <c r="J193" s="14">
        <v>7.56</v>
      </c>
    </row>
    <row r="194" ht="15.75" customHeight="1">
      <c r="A194" s="14" t="s">
        <v>174</v>
      </c>
      <c r="B194" s="14" t="s">
        <v>725</v>
      </c>
      <c r="C194" s="14" t="s">
        <v>726</v>
      </c>
      <c r="D194" s="14" t="s">
        <v>305</v>
      </c>
      <c r="E194" s="14" t="s">
        <v>121</v>
      </c>
      <c r="F194" s="14">
        <v>191.0</v>
      </c>
      <c r="G194" s="14" t="s">
        <v>537</v>
      </c>
      <c r="H194" s="14" t="s">
        <v>539</v>
      </c>
      <c r="I194" s="14">
        <v>166.0</v>
      </c>
      <c r="J194" s="14">
        <v>6.38</v>
      </c>
    </row>
    <row r="195" ht="15.75" customHeight="1">
      <c r="A195" s="14" t="s">
        <v>174</v>
      </c>
      <c r="B195" s="14" t="s">
        <v>727</v>
      </c>
      <c r="C195" s="14" t="s">
        <v>728</v>
      </c>
      <c r="D195" s="14" t="s">
        <v>327</v>
      </c>
      <c r="E195" s="14" t="s">
        <v>121</v>
      </c>
      <c r="F195" s="14">
        <v>192.0</v>
      </c>
      <c r="G195" s="14" t="s">
        <v>537</v>
      </c>
      <c r="H195" s="14" t="s">
        <v>518</v>
      </c>
      <c r="I195" s="14">
        <v>165.5</v>
      </c>
      <c r="J195" s="14">
        <v>4.6</v>
      </c>
    </row>
    <row r="196" ht="15.75" customHeight="1">
      <c r="A196" s="14" t="s">
        <v>174</v>
      </c>
      <c r="B196" s="14" t="s">
        <v>729</v>
      </c>
      <c r="C196" s="14" t="s">
        <v>730</v>
      </c>
      <c r="D196" s="14" t="s">
        <v>387</v>
      </c>
      <c r="E196" s="14" t="s">
        <v>123</v>
      </c>
      <c r="F196" s="14">
        <v>193.0</v>
      </c>
      <c r="G196" s="14" t="s">
        <v>537</v>
      </c>
      <c r="H196" s="14" t="s">
        <v>562</v>
      </c>
      <c r="I196" s="14">
        <v>164.5</v>
      </c>
      <c r="J196" s="14">
        <v>4.98</v>
      </c>
    </row>
    <row r="197" ht="15.75" customHeight="1">
      <c r="A197" s="14" t="s">
        <v>174</v>
      </c>
      <c r="B197" s="14" t="s">
        <v>373</v>
      </c>
      <c r="C197" s="14" t="s">
        <v>374</v>
      </c>
      <c r="D197" s="14" t="s">
        <v>191</v>
      </c>
      <c r="E197" s="14" t="s">
        <v>121</v>
      </c>
      <c r="F197" s="14">
        <v>194.0</v>
      </c>
      <c r="G197" s="14" t="s">
        <v>537</v>
      </c>
      <c r="H197" s="14" t="s">
        <v>520</v>
      </c>
      <c r="I197" s="14">
        <v>164.5</v>
      </c>
      <c r="J197" s="14">
        <v>6.33</v>
      </c>
    </row>
    <row r="198" ht="15.75" customHeight="1">
      <c r="A198" s="14" t="s">
        <v>174</v>
      </c>
      <c r="B198" s="14" t="s">
        <v>499</v>
      </c>
      <c r="C198" s="14" t="s">
        <v>500</v>
      </c>
      <c r="D198" s="14" t="s">
        <v>305</v>
      </c>
      <c r="E198" s="14" t="s">
        <v>118</v>
      </c>
      <c r="F198" s="14">
        <v>195.0</v>
      </c>
      <c r="G198" s="14" t="s">
        <v>537</v>
      </c>
      <c r="H198" s="14" t="s">
        <v>539</v>
      </c>
      <c r="I198" s="14">
        <v>164.5</v>
      </c>
      <c r="J198" s="14">
        <v>7.48</v>
      </c>
    </row>
    <row r="199" ht="15.75" customHeight="1">
      <c r="A199" s="14" t="s">
        <v>174</v>
      </c>
      <c r="B199" s="14" t="s">
        <v>469</v>
      </c>
      <c r="C199" s="14" t="s">
        <v>470</v>
      </c>
      <c r="D199" s="14" t="s">
        <v>305</v>
      </c>
      <c r="E199" s="14" t="s">
        <v>121</v>
      </c>
      <c r="F199" s="14">
        <v>196.0</v>
      </c>
      <c r="G199" s="14" t="s">
        <v>524</v>
      </c>
      <c r="H199" s="14" t="s">
        <v>539</v>
      </c>
      <c r="I199" s="14">
        <v>164.0</v>
      </c>
      <c r="J199" s="14">
        <v>4.43</v>
      </c>
    </row>
    <row r="200" ht="15.75" customHeight="1">
      <c r="A200" s="14" t="s">
        <v>174</v>
      </c>
      <c r="B200" s="14" t="s">
        <v>731</v>
      </c>
      <c r="C200" s="14" t="s">
        <v>732</v>
      </c>
      <c r="D200" s="14" t="s">
        <v>305</v>
      </c>
      <c r="E200" s="14" t="s">
        <v>118</v>
      </c>
      <c r="F200" s="14">
        <v>197.0</v>
      </c>
      <c r="G200" s="14" t="s">
        <v>537</v>
      </c>
      <c r="H200" s="14" t="s">
        <v>539</v>
      </c>
      <c r="I200" s="14">
        <v>161.75</v>
      </c>
      <c r="J200" s="14">
        <v>5.39</v>
      </c>
    </row>
    <row r="201" ht="15.75" customHeight="1">
      <c r="A201" s="14" t="s">
        <v>174</v>
      </c>
      <c r="B201" s="14" t="s">
        <v>733</v>
      </c>
      <c r="C201" s="14" t="s">
        <v>734</v>
      </c>
      <c r="D201" s="14" t="s">
        <v>314</v>
      </c>
      <c r="E201" s="14" t="s">
        <v>121</v>
      </c>
      <c r="F201" s="14">
        <v>198.0</v>
      </c>
      <c r="G201" s="14" t="s">
        <v>537</v>
      </c>
      <c r="H201" s="14" t="s">
        <v>528</v>
      </c>
      <c r="I201" s="14">
        <v>161.0</v>
      </c>
      <c r="J201" s="14">
        <v>4.88</v>
      </c>
    </row>
    <row r="202" ht="15.75" customHeight="1">
      <c r="A202" s="14" t="s">
        <v>174</v>
      </c>
      <c r="B202" s="14" t="s">
        <v>735</v>
      </c>
      <c r="C202" s="14" t="s">
        <v>736</v>
      </c>
      <c r="D202" s="14" t="s">
        <v>188</v>
      </c>
      <c r="E202" s="14" t="s">
        <v>118</v>
      </c>
      <c r="F202" s="14">
        <v>199.0</v>
      </c>
      <c r="G202" s="14" t="s">
        <v>537</v>
      </c>
      <c r="H202" s="14" t="s">
        <v>528</v>
      </c>
      <c r="I202" s="14">
        <v>160.75</v>
      </c>
      <c r="J202" s="14">
        <v>6.43</v>
      </c>
    </row>
    <row r="203" ht="15.75" customHeight="1">
      <c r="A203" s="14" t="s">
        <v>174</v>
      </c>
      <c r="B203" s="14" t="s">
        <v>737</v>
      </c>
      <c r="C203" s="14" t="s">
        <v>738</v>
      </c>
      <c r="D203" s="14" t="s">
        <v>257</v>
      </c>
      <c r="E203" s="14" t="s">
        <v>121</v>
      </c>
      <c r="F203" s="14">
        <v>200.0</v>
      </c>
      <c r="G203" s="14" t="s">
        <v>537</v>
      </c>
      <c r="H203" s="14" t="s">
        <v>531</v>
      </c>
      <c r="I203" s="14">
        <v>160.5</v>
      </c>
      <c r="J203" s="14">
        <v>6.42</v>
      </c>
    </row>
    <row r="204" ht="15.75" customHeight="1">
      <c r="A204" s="14" t="s">
        <v>174</v>
      </c>
      <c r="B204" s="14" t="s">
        <v>739</v>
      </c>
      <c r="C204" s="14" t="s">
        <v>740</v>
      </c>
      <c r="D204" s="14" t="s">
        <v>566</v>
      </c>
      <c r="E204" s="14" t="s">
        <v>121</v>
      </c>
      <c r="F204" s="14">
        <v>201.0</v>
      </c>
      <c r="G204" s="14" t="s">
        <v>537</v>
      </c>
      <c r="H204" s="14" t="s">
        <v>562</v>
      </c>
      <c r="I204" s="14">
        <v>160.5</v>
      </c>
      <c r="J204" s="14">
        <v>4.59</v>
      </c>
    </row>
    <row r="205" ht="15.75" customHeight="1">
      <c r="A205" s="14" t="s">
        <v>174</v>
      </c>
      <c r="B205" s="14" t="s">
        <v>741</v>
      </c>
      <c r="C205" s="14" t="s">
        <v>742</v>
      </c>
      <c r="D205" s="14" t="s">
        <v>387</v>
      </c>
      <c r="E205" s="14" t="s">
        <v>118</v>
      </c>
      <c r="F205" s="14">
        <v>202.0</v>
      </c>
      <c r="G205" s="14" t="s">
        <v>537</v>
      </c>
      <c r="H205" s="14" t="s">
        <v>562</v>
      </c>
      <c r="I205" s="14">
        <v>159.25</v>
      </c>
      <c r="J205" s="14">
        <v>5.49</v>
      </c>
    </row>
    <row r="206" ht="15.75" customHeight="1">
      <c r="A206" s="14" t="s">
        <v>174</v>
      </c>
      <c r="B206" s="14" t="s">
        <v>743</v>
      </c>
      <c r="C206" s="14" t="s">
        <v>744</v>
      </c>
      <c r="D206" s="14" t="s">
        <v>236</v>
      </c>
      <c r="E206" s="14" t="s">
        <v>121</v>
      </c>
      <c r="F206" s="14">
        <v>203.0</v>
      </c>
      <c r="G206" s="14" t="s">
        <v>537</v>
      </c>
      <c r="H206" s="14" t="s">
        <v>522</v>
      </c>
      <c r="I206" s="14">
        <v>156.0</v>
      </c>
      <c r="J206" s="14">
        <v>5.57</v>
      </c>
    </row>
    <row r="207" ht="15.75" customHeight="1">
      <c r="A207" s="14" t="s">
        <v>174</v>
      </c>
      <c r="B207" s="14" t="s">
        <v>281</v>
      </c>
      <c r="C207" s="14" t="s">
        <v>282</v>
      </c>
      <c r="D207" s="14" t="s">
        <v>180</v>
      </c>
      <c r="E207" s="14" t="s">
        <v>118</v>
      </c>
      <c r="F207" s="14">
        <v>204.0</v>
      </c>
      <c r="G207" s="14" t="s">
        <v>537</v>
      </c>
      <c r="H207" s="14" t="s">
        <v>514</v>
      </c>
      <c r="I207" s="14">
        <v>155.25</v>
      </c>
      <c r="J207" s="14">
        <v>8.62</v>
      </c>
    </row>
    <row r="208" ht="15.75" customHeight="1">
      <c r="A208" s="14" t="s">
        <v>174</v>
      </c>
      <c r="B208" s="14" t="s">
        <v>745</v>
      </c>
      <c r="C208" s="14" t="s">
        <v>746</v>
      </c>
      <c r="D208" s="14" t="s">
        <v>243</v>
      </c>
      <c r="E208" s="14" t="s">
        <v>121</v>
      </c>
      <c r="F208" s="14">
        <v>205.0</v>
      </c>
      <c r="G208" s="14" t="s">
        <v>537</v>
      </c>
      <c r="H208" s="14" t="s">
        <v>531</v>
      </c>
      <c r="I208" s="14">
        <v>155.0</v>
      </c>
      <c r="J208" s="14">
        <v>5.96</v>
      </c>
    </row>
    <row r="209" ht="15.75" customHeight="1">
      <c r="A209" s="14" t="s">
        <v>174</v>
      </c>
      <c r="B209" s="14" t="s">
        <v>747</v>
      </c>
      <c r="C209" s="14" t="s">
        <v>748</v>
      </c>
      <c r="D209" s="14" t="s">
        <v>305</v>
      </c>
      <c r="E209" s="14" t="s">
        <v>123</v>
      </c>
      <c r="F209" s="14">
        <v>206.0</v>
      </c>
      <c r="G209" s="14" t="s">
        <v>537</v>
      </c>
      <c r="H209" s="14" t="s">
        <v>539</v>
      </c>
      <c r="I209" s="14">
        <v>155.0</v>
      </c>
      <c r="J209" s="14">
        <v>6.74</v>
      </c>
    </row>
    <row r="210" ht="15.75" customHeight="1">
      <c r="A210" s="14" t="s">
        <v>174</v>
      </c>
      <c r="B210" s="14" t="s">
        <v>749</v>
      </c>
      <c r="C210" s="14" t="s">
        <v>750</v>
      </c>
      <c r="D210" s="14" t="s">
        <v>566</v>
      </c>
      <c r="E210" s="14" t="s">
        <v>121</v>
      </c>
      <c r="F210" s="14">
        <v>207.0</v>
      </c>
      <c r="G210" s="14" t="s">
        <v>537</v>
      </c>
      <c r="H210" s="14" t="s">
        <v>562</v>
      </c>
      <c r="I210" s="14">
        <v>154.0</v>
      </c>
      <c r="J210" s="14">
        <v>4.97</v>
      </c>
    </row>
    <row r="211" ht="15.75" customHeight="1">
      <c r="A211" s="14" t="s">
        <v>174</v>
      </c>
      <c r="B211" s="14" t="s">
        <v>751</v>
      </c>
      <c r="C211" s="14" t="s">
        <v>752</v>
      </c>
      <c r="D211" s="14" t="s">
        <v>215</v>
      </c>
      <c r="E211" s="14" t="s">
        <v>123</v>
      </c>
      <c r="F211" s="14">
        <v>208.0</v>
      </c>
      <c r="G211" s="14" t="s">
        <v>525</v>
      </c>
      <c r="H211" s="14" t="s">
        <v>523</v>
      </c>
      <c r="I211" s="14">
        <v>153.5</v>
      </c>
      <c r="J211" s="14">
        <v>8.53</v>
      </c>
    </row>
    <row r="212" ht="15.75" customHeight="1">
      <c r="A212" s="14" t="s">
        <v>174</v>
      </c>
      <c r="B212" s="14" t="s">
        <v>753</v>
      </c>
      <c r="C212" s="14" t="s">
        <v>754</v>
      </c>
      <c r="D212" s="14" t="s">
        <v>755</v>
      </c>
      <c r="E212" s="14" t="s">
        <v>121</v>
      </c>
      <c r="F212" s="14">
        <v>209.0</v>
      </c>
      <c r="G212" s="14" t="s">
        <v>537</v>
      </c>
      <c r="H212" s="14" t="s">
        <v>528</v>
      </c>
      <c r="I212" s="14">
        <v>153.5</v>
      </c>
      <c r="J212" s="14">
        <v>6.4</v>
      </c>
    </row>
    <row r="213" ht="15.75" customHeight="1">
      <c r="A213" s="14" t="s">
        <v>174</v>
      </c>
      <c r="B213" s="14" t="s">
        <v>495</v>
      </c>
      <c r="C213" s="14" t="s">
        <v>496</v>
      </c>
      <c r="D213" s="14" t="s">
        <v>236</v>
      </c>
      <c r="E213" s="14" t="s">
        <v>118</v>
      </c>
      <c r="F213" s="14">
        <v>210.0</v>
      </c>
      <c r="G213" s="14" t="s">
        <v>537</v>
      </c>
      <c r="H213" s="14" t="s">
        <v>522</v>
      </c>
      <c r="I213" s="14">
        <v>153.0</v>
      </c>
      <c r="J213" s="14">
        <v>8.5</v>
      </c>
    </row>
    <row r="214" ht="15.75" customHeight="1">
      <c r="A214" s="14" t="s">
        <v>174</v>
      </c>
      <c r="B214" s="14" t="s">
        <v>756</v>
      </c>
      <c r="C214" s="14" t="s">
        <v>757</v>
      </c>
      <c r="D214" s="14" t="s">
        <v>566</v>
      </c>
      <c r="E214" s="14" t="s">
        <v>118</v>
      </c>
      <c r="F214" s="14">
        <v>211.0</v>
      </c>
      <c r="G214" s="14" t="s">
        <v>537</v>
      </c>
      <c r="H214" s="14" t="s">
        <v>562</v>
      </c>
      <c r="I214" s="14">
        <v>152.25</v>
      </c>
      <c r="J214" s="14">
        <v>7.25</v>
      </c>
    </row>
    <row r="215" ht="15.75" customHeight="1">
      <c r="A215" s="14" t="s">
        <v>174</v>
      </c>
      <c r="B215" s="14" t="s">
        <v>758</v>
      </c>
      <c r="C215" s="14" t="s">
        <v>759</v>
      </c>
      <c r="D215" s="14" t="s">
        <v>453</v>
      </c>
      <c r="E215" s="14" t="s">
        <v>115</v>
      </c>
      <c r="F215" s="14">
        <v>212.0</v>
      </c>
      <c r="G215" s="14" t="s">
        <v>537</v>
      </c>
      <c r="H215" s="14" t="s">
        <v>523</v>
      </c>
      <c r="I215" s="14">
        <v>151.25</v>
      </c>
      <c r="J215" s="14">
        <v>6.88</v>
      </c>
    </row>
    <row r="216" ht="15.75" customHeight="1">
      <c r="A216" s="14" t="s">
        <v>174</v>
      </c>
      <c r="B216" s="14" t="s">
        <v>760</v>
      </c>
      <c r="C216" s="14" t="s">
        <v>761</v>
      </c>
      <c r="D216" s="14" t="s">
        <v>285</v>
      </c>
      <c r="E216" s="14" t="s">
        <v>123</v>
      </c>
      <c r="F216" s="14">
        <v>213.0</v>
      </c>
      <c r="G216" s="14" t="s">
        <v>511</v>
      </c>
      <c r="H216" s="14" t="s">
        <v>522</v>
      </c>
      <c r="I216" s="14">
        <v>150.0</v>
      </c>
      <c r="J216" s="14">
        <v>10.0</v>
      </c>
    </row>
    <row r="217" ht="15.75" customHeight="1">
      <c r="A217" s="14" t="s">
        <v>174</v>
      </c>
      <c r="B217" s="14" t="s">
        <v>762</v>
      </c>
      <c r="C217" s="14" t="s">
        <v>763</v>
      </c>
      <c r="D217" s="14" t="s">
        <v>387</v>
      </c>
      <c r="E217" s="14" t="s">
        <v>118</v>
      </c>
      <c r="F217" s="14">
        <v>214.0</v>
      </c>
      <c r="G217" s="14" t="s">
        <v>537</v>
      </c>
      <c r="H217" s="14" t="s">
        <v>562</v>
      </c>
      <c r="I217" s="14">
        <v>149.75</v>
      </c>
      <c r="J217" s="14">
        <v>4.83</v>
      </c>
    </row>
    <row r="218" ht="15.75" customHeight="1">
      <c r="A218" s="14" t="s">
        <v>174</v>
      </c>
      <c r="B218" s="14" t="s">
        <v>764</v>
      </c>
      <c r="C218" s="14" t="s">
        <v>765</v>
      </c>
      <c r="D218" s="14" t="s">
        <v>215</v>
      </c>
      <c r="E218" s="14" t="s">
        <v>123</v>
      </c>
      <c r="F218" s="14">
        <v>215.0</v>
      </c>
      <c r="G218" s="14" t="s">
        <v>537</v>
      </c>
      <c r="H218" s="14" t="s">
        <v>523</v>
      </c>
      <c r="I218" s="14">
        <v>148.5</v>
      </c>
      <c r="J218" s="14">
        <v>4.64</v>
      </c>
    </row>
    <row r="219" ht="15.75" customHeight="1">
      <c r="A219" s="14" t="s">
        <v>174</v>
      </c>
      <c r="B219" s="14" t="s">
        <v>766</v>
      </c>
      <c r="C219" s="14" t="s">
        <v>767</v>
      </c>
      <c r="D219" s="14" t="s">
        <v>221</v>
      </c>
      <c r="E219" s="14" t="s">
        <v>121</v>
      </c>
      <c r="F219" s="14">
        <v>216.0</v>
      </c>
      <c r="G219" s="14" t="s">
        <v>537</v>
      </c>
      <c r="H219" s="14" t="s">
        <v>520</v>
      </c>
      <c r="I219" s="14">
        <v>148.0</v>
      </c>
      <c r="J219" s="14">
        <v>5.29</v>
      </c>
    </row>
    <row r="220" ht="15.75" customHeight="1">
      <c r="A220" s="14" t="s">
        <v>174</v>
      </c>
      <c r="B220" s="14" t="s">
        <v>768</v>
      </c>
      <c r="C220" s="14" t="s">
        <v>769</v>
      </c>
      <c r="D220" s="14" t="s">
        <v>305</v>
      </c>
      <c r="E220" s="14" t="s">
        <v>123</v>
      </c>
      <c r="F220" s="14">
        <v>217.0</v>
      </c>
      <c r="G220" s="14" t="s">
        <v>537</v>
      </c>
      <c r="H220" s="14" t="s">
        <v>539</v>
      </c>
      <c r="I220" s="14">
        <v>147.5</v>
      </c>
      <c r="J220" s="14">
        <v>5.67</v>
      </c>
    </row>
    <row r="221" ht="15.75" customHeight="1">
      <c r="A221" s="14" t="s">
        <v>174</v>
      </c>
      <c r="B221" s="14" t="s">
        <v>770</v>
      </c>
      <c r="C221" s="14" t="s">
        <v>771</v>
      </c>
      <c r="D221" s="14" t="s">
        <v>327</v>
      </c>
      <c r="E221" s="14" t="s">
        <v>121</v>
      </c>
      <c r="F221" s="14">
        <v>218.0</v>
      </c>
      <c r="G221" s="14" t="s">
        <v>537</v>
      </c>
      <c r="H221" s="14" t="s">
        <v>518</v>
      </c>
      <c r="I221" s="14">
        <v>147.0</v>
      </c>
      <c r="J221" s="14">
        <v>5.88</v>
      </c>
    </row>
    <row r="222" ht="15.75" customHeight="1">
      <c r="A222" s="14" t="s">
        <v>174</v>
      </c>
      <c r="B222" s="14" t="s">
        <v>379</v>
      </c>
      <c r="C222" s="14" t="s">
        <v>772</v>
      </c>
      <c r="D222" s="14" t="s">
        <v>180</v>
      </c>
      <c r="E222" s="14" t="s">
        <v>121</v>
      </c>
      <c r="F222" s="14">
        <v>219.0</v>
      </c>
      <c r="G222" s="14" t="s">
        <v>537</v>
      </c>
      <c r="H222" s="14" t="s">
        <v>514</v>
      </c>
      <c r="I222" s="14">
        <v>146.5</v>
      </c>
      <c r="J222" s="14">
        <v>6.98</v>
      </c>
    </row>
    <row r="223" ht="15.75" customHeight="1">
      <c r="A223" s="14" t="s">
        <v>174</v>
      </c>
      <c r="B223" s="14" t="s">
        <v>773</v>
      </c>
      <c r="C223" s="14" t="s">
        <v>774</v>
      </c>
      <c r="D223" s="14" t="s">
        <v>285</v>
      </c>
      <c r="E223" s="14" t="s">
        <v>121</v>
      </c>
      <c r="F223" s="14">
        <v>220.0</v>
      </c>
      <c r="G223" s="14" t="s">
        <v>537</v>
      </c>
      <c r="H223" s="14" t="s">
        <v>522</v>
      </c>
      <c r="I223" s="14">
        <v>145.5</v>
      </c>
      <c r="J223" s="14">
        <v>4.69</v>
      </c>
    </row>
    <row r="224" ht="15.75" customHeight="1">
      <c r="A224" s="14" t="s">
        <v>174</v>
      </c>
      <c r="B224" s="14" t="s">
        <v>775</v>
      </c>
      <c r="C224" s="14" t="s">
        <v>776</v>
      </c>
      <c r="D224" s="14" t="s">
        <v>305</v>
      </c>
      <c r="E224" s="14" t="s">
        <v>118</v>
      </c>
      <c r="F224" s="14">
        <v>221.0</v>
      </c>
      <c r="G224" s="14" t="s">
        <v>537</v>
      </c>
      <c r="H224" s="14" t="s">
        <v>539</v>
      </c>
      <c r="I224" s="14">
        <v>145.25</v>
      </c>
      <c r="J224" s="14">
        <v>4.84</v>
      </c>
    </row>
    <row r="225" ht="15.75" customHeight="1">
      <c r="A225" s="14" t="s">
        <v>174</v>
      </c>
      <c r="B225" s="14" t="s">
        <v>777</v>
      </c>
      <c r="C225" s="14" t="s">
        <v>778</v>
      </c>
      <c r="D225" s="14" t="s">
        <v>185</v>
      </c>
      <c r="E225" s="14" t="s">
        <v>121</v>
      </c>
      <c r="F225" s="14">
        <v>222.0</v>
      </c>
      <c r="G225" s="14" t="s">
        <v>521</v>
      </c>
      <c r="H225" s="14" t="s">
        <v>512</v>
      </c>
      <c r="I225" s="14">
        <v>144.5</v>
      </c>
      <c r="J225" s="14">
        <v>5.16</v>
      </c>
    </row>
    <row r="226" ht="15.75" customHeight="1">
      <c r="A226" s="14" t="s">
        <v>174</v>
      </c>
      <c r="B226" s="14" t="s">
        <v>779</v>
      </c>
      <c r="C226" s="14" t="s">
        <v>780</v>
      </c>
      <c r="D226" s="14" t="s">
        <v>453</v>
      </c>
      <c r="E226" s="14" t="s">
        <v>123</v>
      </c>
      <c r="F226" s="14">
        <v>223.0</v>
      </c>
      <c r="G226" s="14" t="s">
        <v>537</v>
      </c>
      <c r="H226" s="14" t="s">
        <v>523</v>
      </c>
      <c r="I226" s="14">
        <v>144.5</v>
      </c>
      <c r="J226" s="14">
        <v>4.66</v>
      </c>
    </row>
    <row r="227" ht="15.75" customHeight="1">
      <c r="A227" s="14" t="s">
        <v>174</v>
      </c>
      <c r="B227" s="14" t="s">
        <v>290</v>
      </c>
      <c r="C227" s="14" t="s">
        <v>291</v>
      </c>
      <c r="D227" s="14" t="s">
        <v>292</v>
      </c>
      <c r="E227" s="14" t="s">
        <v>123</v>
      </c>
      <c r="F227" s="14">
        <v>224.0</v>
      </c>
      <c r="G227" s="14" t="s">
        <v>537</v>
      </c>
      <c r="H227" s="14" t="s">
        <v>520</v>
      </c>
      <c r="I227" s="14">
        <v>144.5</v>
      </c>
      <c r="J227" s="14">
        <v>4.01</v>
      </c>
    </row>
    <row r="228" ht="15.75" customHeight="1">
      <c r="A228" s="14" t="s">
        <v>174</v>
      </c>
      <c r="B228" s="14" t="s">
        <v>781</v>
      </c>
      <c r="C228" s="14" t="s">
        <v>782</v>
      </c>
      <c r="D228" s="14" t="s">
        <v>177</v>
      </c>
      <c r="E228" s="14" t="s">
        <v>121</v>
      </c>
      <c r="F228" s="14">
        <v>225.0</v>
      </c>
      <c r="G228" s="14" t="s">
        <v>537</v>
      </c>
      <c r="H228" s="14" t="s">
        <v>518</v>
      </c>
      <c r="I228" s="14">
        <v>144.0</v>
      </c>
      <c r="J228" s="14">
        <v>4.24</v>
      </c>
    </row>
    <row r="229" ht="15.75" customHeight="1">
      <c r="A229" s="14" t="s">
        <v>174</v>
      </c>
      <c r="B229" s="14" t="s">
        <v>232</v>
      </c>
      <c r="C229" s="14" t="s">
        <v>233</v>
      </c>
      <c r="D229" s="14" t="s">
        <v>177</v>
      </c>
      <c r="E229" s="14" t="s">
        <v>118</v>
      </c>
      <c r="F229" s="14">
        <v>226.0</v>
      </c>
      <c r="G229" s="14" t="s">
        <v>537</v>
      </c>
      <c r="H229" s="14" t="s">
        <v>518</v>
      </c>
      <c r="I229" s="14">
        <v>143.75</v>
      </c>
      <c r="J229" s="14">
        <v>6.85</v>
      </c>
    </row>
    <row r="230" ht="15.75" customHeight="1">
      <c r="A230" s="14" t="s">
        <v>174</v>
      </c>
      <c r="B230" s="14" t="s">
        <v>783</v>
      </c>
      <c r="C230" s="14" t="s">
        <v>784</v>
      </c>
      <c r="D230" s="14" t="s">
        <v>199</v>
      </c>
      <c r="E230" s="14" t="s">
        <v>121</v>
      </c>
      <c r="F230" s="14">
        <v>227.0</v>
      </c>
      <c r="G230" s="14" t="s">
        <v>537</v>
      </c>
      <c r="H230" s="14" t="s">
        <v>514</v>
      </c>
      <c r="I230" s="14">
        <v>143.0</v>
      </c>
      <c r="J230" s="14">
        <v>5.72</v>
      </c>
    </row>
    <row r="231" ht="15.75" customHeight="1">
      <c r="A231" s="14" t="s">
        <v>174</v>
      </c>
      <c r="B231" s="14" t="s">
        <v>415</v>
      </c>
      <c r="C231" s="14" t="s">
        <v>416</v>
      </c>
      <c r="D231" s="14" t="s">
        <v>199</v>
      </c>
      <c r="E231" s="14" t="s">
        <v>118</v>
      </c>
      <c r="F231" s="14">
        <v>228.0</v>
      </c>
      <c r="G231" s="14" t="s">
        <v>537</v>
      </c>
      <c r="H231" s="14" t="s">
        <v>514</v>
      </c>
      <c r="I231" s="14">
        <v>142.75</v>
      </c>
      <c r="J231" s="14">
        <v>4.76</v>
      </c>
    </row>
    <row r="232" ht="15.75" customHeight="1">
      <c r="A232" s="14" t="s">
        <v>174</v>
      </c>
      <c r="B232" s="14" t="s">
        <v>785</v>
      </c>
      <c r="C232" s="14" t="s">
        <v>786</v>
      </c>
      <c r="D232" s="14" t="s">
        <v>215</v>
      </c>
      <c r="E232" s="14" t="s">
        <v>115</v>
      </c>
      <c r="F232" s="14">
        <v>229.0</v>
      </c>
      <c r="G232" s="14" t="s">
        <v>537</v>
      </c>
      <c r="H232" s="14" t="s">
        <v>523</v>
      </c>
      <c r="I232" s="14">
        <v>142.25</v>
      </c>
      <c r="J232" s="14">
        <v>7.11</v>
      </c>
    </row>
    <row r="233" ht="15.75" customHeight="1">
      <c r="A233" s="14" t="s">
        <v>174</v>
      </c>
      <c r="B233" s="14" t="s">
        <v>787</v>
      </c>
      <c r="C233" s="14" t="s">
        <v>788</v>
      </c>
      <c r="D233" s="14" t="s">
        <v>226</v>
      </c>
      <c r="E233" s="14" t="s">
        <v>121</v>
      </c>
      <c r="F233" s="14">
        <v>230.0</v>
      </c>
      <c r="G233" s="14" t="s">
        <v>537</v>
      </c>
      <c r="H233" s="14" t="s">
        <v>539</v>
      </c>
      <c r="I233" s="14">
        <v>142.0</v>
      </c>
      <c r="J233" s="14">
        <v>6.17</v>
      </c>
    </row>
    <row r="234" ht="15.75" customHeight="1">
      <c r="A234" s="14" t="s">
        <v>174</v>
      </c>
      <c r="B234" s="14" t="s">
        <v>789</v>
      </c>
      <c r="C234" s="14" t="s">
        <v>790</v>
      </c>
      <c r="D234" s="14" t="s">
        <v>243</v>
      </c>
      <c r="E234" s="14" t="s">
        <v>121</v>
      </c>
      <c r="F234" s="14">
        <v>231.0</v>
      </c>
      <c r="G234" s="14" t="s">
        <v>537</v>
      </c>
      <c r="H234" s="14" t="s">
        <v>531</v>
      </c>
      <c r="I234" s="14">
        <v>142.0</v>
      </c>
      <c r="J234" s="14">
        <v>5.46</v>
      </c>
    </row>
    <row r="235" ht="15.75" customHeight="1">
      <c r="A235" s="14" t="s">
        <v>174</v>
      </c>
      <c r="B235" s="14" t="s">
        <v>791</v>
      </c>
      <c r="C235" s="14" t="s">
        <v>792</v>
      </c>
      <c r="D235" s="14" t="s">
        <v>566</v>
      </c>
      <c r="E235" s="14" t="s">
        <v>118</v>
      </c>
      <c r="F235" s="14">
        <v>232.0</v>
      </c>
      <c r="G235" s="14" t="s">
        <v>537</v>
      </c>
      <c r="H235" s="14" t="s">
        <v>562</v>
      </c>
      <c r="I235" s="14">
        <v>141.25</v>
      </c>
      <c r="J235" s="14">
        <v>3.92</v>
      </c>
    </row>
    <row r="236" ht="15.75" customHeight="1">
      <c r="A236" s="14" t="s">
        <v>174</v>
      </c>
      <c r="B236" s="14" t="s">
        <v>258</v>
      </c>
      <c r="C236" s="14" t="s">
        <v>259</v>
      </c>
      <c r="D236" s="14" t="s">
        <v>180</v>
      </c>
      <c r="E236" s="14" t="s">
        <v>118</v>
      </c>
      <c r="F236" s="14">
        <v>233.0</v>
      </c>
      <c r="G236" s="14" t="s">
        <v>519</v>
      </c>
      <c r="H236" s="14" t="s">
        <v>514</v>
      </c>
      <c r="I236" s="14">
        <v>140.5</v>
      </c>
      <c r="J236" s="14">
        <v>8.26</v>
      </c>
    </row>
    <row r="237" ht="15.75" customHeight="1">
      <c r="A237" s="14" t="s">
        <v>174</v>
      </c>
      <c r="B237" s="14" t="s">
        <v>793</v>
      </c>
      <c r="C237" s="14" t="s">
        <v>794</v>
      </c>
      <c r="D237" s="14" t="s">
        <v>191</v>
      </c>
      <c r="E237" s="14" t="s">
        <v>121</v>
      </c>
      <c r="F237" s="14">
        <v>234.0</v>
      </c>
      <c r="G237" s="14" t="s">
        <v>537</v>
      </c>
      <c r="H237" s="14" t="s">
        <v>520</v>
      </c>
      <c r="I237" s="14">
        <v>140.5</v>
      </c>
      <c r="J237" s="14">
        <v>6.39</v>
      </c>
    </row>
    <row r="238" ht="15.75" customHeight="1">
      <c r="A238" s="14" t="s">
        <v>174</v>
      </c>
      <c r="B238" s="14" t="s">
        <v>795</v>
      </c>
      <c r="C238" s="14" t="s">
        <v>796</v>
      </c>
      <c r="D238" s="14" t="s">
        <v>327</v>
      </c>
      <c r="E238" s="14" t="s">
        <v>118</v>
      </c>
      <c r="F238" s="14">
        <v>235.0</v>
      </c>
      <c r="G238" s="14" t="s">
        <v>537</v>
      </c>
      <c r="H238" s="14" t="s">
        <v>518</v>
      </c>
      <c r="I238" s="14">
        <v>140.25</v>
      </c>
      <c r="J238" s="14">
        <v>5.19</v>
      </c>
    </row>
    <row r="239" ht="15.75" customHeight="1">
      <c r="A239" s="14" t="s">
        <v>174</v>
      </c>
      <c r="B239" s="14" t="s">
        <v>797</v>
      </c>
      <c r="C239" s="14" t="s">
        <v>798</v>
      </c>
      <c r="D239" s="14" t="s">
        <v>453</v>
      </c>
      <c r="E239" s="14" t="s">
        <v>121</v>
      </c>
      <c r="F239" s="14">
        <v>236.0</v>
      </c>
      <c r="G239" s="14" t="s">
        <v>537</v>
      </c>
      <c r="H239" s="14" t="s">
        <v>523</v>
      </c>
      <c r="I239" s="14">
        <v>139.5</v>
      </c>
      <c r="J239" s="14">
        <v>6.07</v>
      </c>
    </row>
    <row r="240" ht="15.75" customHeight="1">
      <c r="A240" s="14" t="s">
        <v>174</v>
      </c>
      <c r="B240" s="14" t="s">
        <v>799</v>
      </c>
      <c r="C240" s="14" t="s">
        <v>800</v>
      </c>
      <c r="D240" s="14" t="s">
        <v>231</v>
      </c>
      <c r="E240" s="14" t="s">
        <v>576</v>
      </c>
      <c r="F240" s="14">
        <v>237.0</v>
      </c>
      <c r="G240" s="14" t="s">
        <v>537</v>
      </c>
      <c r="H240" s="14" t="s">
        <v>512</v>
      </c>
      <c r="I240" s="14">
        <v>139.5</v>
      </c>
      <c r="J240" s="14">
        <v>5.37</v>
      </c>
    </row>
    <row r="241" ht="15.75" customHeight="1">
      <c r="A241" s="14" t="s">
        <v>174</v>
      </c>
      <c r="B241" s="14" t="s">
        <v>801</v>
      </c>
      <c r="C241" s="14" t="s">
        <v>802</v>
      </c>
      <c r="D241" s="14" t="s">
        <v>314</v>
      </c>
      <c r="E241" s="14" t="s">
        <v>118</v>
      </c>
      <c r="F241" s="14">
        <v>238.0</v>
      </c>
      <c r="G241" s="14" t="s">
        <v>537</v>
      </c>
      <c r="H241" s="14" t="s">
        <v>528</v>
      </c>
      <c r="I241" s="14">
        <v>135.5</v>
      </c>
      <c r="J241" s="14">
        <v>5.42</v>
      </c>
    </row>
    <row r="242" ht="15.75" customHeight="1">
      <c r="A242" s="14" t="s">
        <v>174</v>
      </c>
      <c r="B242" s="14" t="s">
        <v>803</v>
      </c>
      <c r="C242" s="14" t="s">
        <v>804</v>
      </c>
      <c r="D242" s="14" t="s">
        <v>805</v>
      </c>
      <c r="E242" s="14" t="s">
        <v>121</v>
      </c>
      <c r="F242" s="14">
        <v>239.0</v>
      </c>
      <c r="G242" s="14" t="s">
        <v>537</v>
      </c>
      <c r="H242" s="14" t="s">
        <v>539</v>
      </c>
      <c r="I242" s="14">
        <v>135.5</v>
      </c>
      <c r="J242" s="14">
        <v>4.84</v>
      </c>
    </row>
    <row r="243" ht="15.75" customHeight="1">
      <c r="A243" s="14" t="s">
        <v>174</v>
      </c>
      <c r="B243" s="14" t="s">
        <v>806</v>
      </c>
      <c r="C243" s="14" t="s">
        <v>807</v>
      </c>
      <c r="D243" s="14" t="s">
        <v>285</v>
      </c>
      <c r="E243" s="14" t="s">
        <v>123</v>
      </c>
      <c r="F243" s="14">
        <v>240.0</v>
      </c>
      <c r="G243" s="14" t="s">
        <v>537</v>
      </c>
      <c r="H243" s="14" t="s">
        <v>522</v>
      </c>
      <c r="I243" s="14">
        <v>135.0</v>
      </c>
      <c r="J243" s="14">
        <v>4.35</v>
      </c>
    </row>
    <row r="244" ht="15.75" customHeight="1">
      <c r="A244" s="14" t="s">
        <v>174</v>
      </c>
      <c r="B244" s="14" t="s">
        <v>808</v>
      </c>
      <c r="C244" s="14" t="s">
        <v>809</v>
      </c>
      <c r="D244" s="14" t="s">
        <v>285</v>
      </c>
      <c r="E244" s="14" t="s">
        <v>121</v>
      </c>
      <c r="F244" s="14">
        <v>241.0</v>
      </c>
      <c r="G244" s="14" t="s">
        <v>537</v>
      </c>
      <c r="H244" s="14" t="s">
        <v>522</v>
      </c>
      <c r="I244" s="14">
        <v>134.5</v>
      </c>
      <c r="J244" s="14">
        <v>5.38</v>
      </c>
    </row>
    <row r="245" ht="15.75" customHeight="1">
      <c r="A245" s="14" t="s">
        <v>174</v>
      </c>
      <c r="B245" s="14" t="s">
        <v>810</v>
      </c>
      <c r="C245" s="14" t="s">
        <v>811</v>
      </c>
      <c r="D245" s="14" t="s">
        <v>453</v>
      </c>
      <c r="E245" s="14" t="s">
        <v>121</v>
      </c>
      <c r="F245" s="14">
        <v>242.0</v>
      </c>
      <c r="G245" s="14" t="s">
        <v>537</v>
      </c>
      <c r="H245" s="14" t="s">
        <v>523</v>
      </c>
      <c r="I245" s="14">
        <v>134.5</v>
      </c>
      <c r="J245" s="14">
        <v>4.8</v>
      </c>
    </row>
    <row r="246" ht="15.75" customHeight="1">
      <c r="A246" s="14" t="s">
        <v>174</v>
      </c>
      <c r="B246" s="14" t="s">
        <v>812</v>
      </c>
      <c r="C246" s="14" t="s">
        <v>813</v>
      </c>
      <c r="D246" s="14" t="s">
        <v>314</v>
      </c>
      <c r="E246" s="14" t="s">
        <v>123</v>
      </c>
      <c r="F246" s="14">
        <v>243.0</v>
      </c>
      <c r="G246" s="14" t="s">
        <v>537</v>
      </c>
      <c r="H246" s="14" t="s">
        <v>528</v>
      </c>
      <c r="I246" s="14">
        <v>133.0</v>
      </c>
      <c r="J246" s="14">
        <v>4.75</v>
      </c>
    </row>
    <row r="247" ht="15.75" customHeight="1">
      <c r="A247" s="14" t="s">
        <v>174</v>
      </c>
      <c r="B247" s="14" t="s">
        <v>814</v>
      </c>
      <c r="C247" s="14" t="s">
        <v>815</v>
      </c>
      <c r="D247" s="14" t="s">
        <v>327</v>
      </c>
      <c r="E247" s="14" t="s">
        <v>121</v>
      </c>
      <c r="F247" s="14">
        <v>244.0</v>
      </c>
      <c r="G247" s="14" t="s">
        <v>537</v>
      </c>
      <c r="H247" s="14" t="s">
        <v>518</v>
      </c>
      <c r="I247" s="14">
        <v>132.5</v>
      </c>
      <c r="J247" s="14">
        <v>4.14</v>
      </c>
    </row>
    <row r="248" ht="15.75" customHeight="1">
      <c r="A248" s="14" t="s">
        <v>174</v>
      </c>
      <c r="B248" s="14" t="s">
        <v>816</v>
      </c>
      <c r="C248" s="14" t="s">
        <v>817</v>
      </c>
      <c r="D248" s="14" t="s">
        <v>199</v>
      </c>
      <c r="E248" s="14" t="s">
        <v>121</v>
      </c>
      <c r="F248" s="14">
        <v>245.0</v>
      </c>
      <c r="G248" s="14" t="s">
        <v>537</v>
      </c>
      <c r="H248" s="14" t="s">
        <v>514</v>
      </c>
      <c r="I248" s="14">
        <v>132.0</v>
      </c>
      <c r="J248" s="14">
        <v>7.33</v>
      </c>
    </row>
    <row r="249" ht="15.75" customHeight="1">
      <c r="A249" s="14" t="s">
        <v>174</v>
      </c>
      <c r="B249" s="14" t="s">
        <v>818</v>
      </c>
      <c r="C249" s="14" t="s">
        <v>819</v>
      </c>
      <c r="D249" s="14" t="s">
        <v>387</v>
      </c>
      <c r="E249" s="14" t="s">
        <v>121</v>
      </c>
      <c r="F249" s="14">
        <v>246.0</v>
      </c>
      <c r="G249" s="14" t="s">
        <v>537</v>
      </c>
      <c r="H249" s="14" t="s">
        <v>562</v>
      </c>
      <c r="I249" s="14">
        <v>131.5</v>
      </c>
      <c r="J249" s="14">
        <v>3.76</v>
      </c>
    </row>
    <row r="250" ht="15.75" customHeight="1">
      <c r="A250" s="14" t="s">
        <v>174</v>
      </c>
      <c r="B250" s="14" t="s">
        <v>360</v>
      </c>
      <c r="C250" s="14" t="s">
        <v>361</v>
      </c>
      <c r="D250" s="14" t="s">
        <v>226</v>
      </c>
      <c r="E250" s="14" t="s">
        <v>118</v>
      </c>
      <c r="F250" s="14">
        <v>247.0</v>
      </c>
      <c r="G250" s="14" t="s">
        <v>537</v>
      </c>
      <c r="H250" s="14" t="s">
        <v>539</v>
      </c>
      <c r="I250" s="14">
        <v>129.75</v>
      </c>
      <c r="J250" s="14">
        <v>6.18</v>
      </c>
    </row>
    <row r="251" ht="15.75" customHeight="1">
      <c r="A251" s="14" t="s">
        <v>174</v>
      </c>
      <c r="B251" s="14" t="s">
        <v>820</v>
      </c>
      <c r="C251" s="14" t="s">
        <v>821</v>
      </c>
      <c r="D251" s="14" t="s">
        <v>305</v>
      </c>
      <c r="E251" s="14" t="s">
        <v>121</v>
      </c>
      <c r="F251" s="14">
        <v>248.0</v>
      </c>
      <c r="G251" s="14" t="s">
        <v>537</v>
      </c>
      <c r="H251" s="14" t="s">
        <v>539</v>
      </c>
      <c r="I251" s="14">
        <v>129.5</v>
      </c>
      <c r="J251" s="14">
        <v>4.8</v>
      </c>
    </row>
    <row r="252" ht="15.75" customHeight="1">
      <c r="A252" s="14" t="s">
        <v>174</v>
      </c>
      <c r="B252" s="14" t="s">
        <v>479</v>
      </c>
      <c r="C252" s="14" t="s">
        <v>822</v>
      </c>
      <c r="D252" s="14" t="s">
        <v>188</v>
      </c>
      <c r="E252" s="14" t="s">
        <v>123</v>
      </c>
      <c r="F252" s="14">
        <v>249.0</v>
      </c>
      <c r="G252" s="14" t="s">
        <v>537</v>
      </c>
      <c r="H252" s="14" t="s">
        <v>528</v>
      </c>
      <c r="I252" s="14">
        <v>129.0</v>
      </c>
      <c r="J252" s="14">
        <v>5.86</v>
      </c>
    </row>
    <row r="253" ht="15.75" customHeight="1">
      <c r="A253" s="14" t="s">
        <v>174</v>
      </c>
      <c r="B253" s="14" t="s">
        <v>823</v>
      </c>
      <c r="C253" s="14" t="s">
        <v>824</v>
      </c>
      <c r="D253" s="14" t="s">
        <v>180</v>
      </c>
      <c r="E253" s="14" t="s">
        <v>118</v>
      </c>
      <c r="F253" s="14">
        <v>250.0</v>
      </c>
      <c r="G253" s="14" t="s">
        <v>519</v>
      </c>
      <c r="H253" s="14" t="s">
        <v>514</v>
      </c>
      <c r="I253" s="14">
        <v>127.25</v>
      </c>
      <c r="J253" s="14">
        <v>6.06</v>
      </c>
    </row>
    <row r="254" ht="15.75" customHeight="1">
      <c r="A254" s="14" t="s">
        <v>174</v>
      </c>
      <c r="B254" s="14" t="s">
        <v>825</v>
      </c>
      <c r="C254" s="14" t="s">
        <v>826</v>
      </c>
      <c r="D254" s="14" t="s">
        <v>226</v>
      </c>
      <c r="E254" s="14" t="s">
        <v>123</v>
      </c>
      <c r="F254" s="14">
        <v>251.0</v>
      </c>
      <c r="G254" s="14" t="s">
        <v>519</v>
      </c>
      <c r="H254" s="14" t="s">
        <v>539</v>
      </c>
      <c r="I254" s="14">
        <v>127.0</v>
      </c>
      <c r="J254" s="14">
        <v>5.29</v>
      </c>
    </row>
    <row r="255" ht="15.75" customHeight="1">
      <c r="A255" s="14" t="s">
        <v>174</v>
      </c>
      <c r="B255" s="14" t="s">
        <v>827</v>
      </c>
      <c r="C255" s="14" t="s">
        <v>828</v>
      </c>
      <c r="D255" s="14" t="s">
        <v>236</v>
      </c>
      <c r="E255" s="14" t="s">
        <v>118</v>
      </c>
      <c r="F255" s="14">
        <v>252.0</v>
      </c>
      <c r="G255" s="14" t="s">
        <v>537</v>
      </c>
      <c r="H255" s="14" t="s">
        <v>522</v>
      </c>
      <c r="I255" s="14">
        <v>126.0</v>
      </c>
      <c r="J255" s="14">
        <v>5.04</v>
      </c>
    </row>
    <row r="256" ht="15.75" customHeight="1">
      <c r="A256" s="14" t="s">
        <v>174</v>
      </c>
      <c r="B256" s="14" t="s">
        <v>829</v>
      </c>
      <c r="C256" s="14" t="s">
        <v>830</v>
      </c>
      <c r="D256" s="14" t="s">
        <v>243</v>
      </c>
      <c r="E256" s="14" t="s">
        <v>118</v>
      </c>
      <c r="F256" s="14">
        <v>253.0</v>
      </c>
      <c r="G256" s="14" t="s">
        <v>537</v>
      </c>
      <c r="H256" s="14" t="s">
        <v>531</v>
      </c>
      <c r="I256" s="14">
        <v>125.75</v>
      </c>
      <c r="J256" s="14">
        <v>5.24</v>
      </c>
    </row>
    <row r="257" ht="15.75" customHeight="1">
      <c r="A257" s="14" t="s">
        <v>174</v>
      </c>
      <c r="B257" s="14" t="s">
        <v>831</v>
      </c>
      <c r="C257" s="14" t="s">
        <v>832</v>
      </c>
      <c r="D257" s="14" t="s">
        <v>243</v>
      </c>
      <c r="E257" s="14" t="s">
        <v>123</v>
      </c>
      <c r="F257" s="14">
        <v>254.0</v>
      </c>
      <c r="G257" s="14" t="s">
        <v>537</v>
      </c>
      <c r="H257" s="14" t="s">
        <v>531</v>
      </c>
      <c r="I257" s="14">
        <v>125.0</v>
      </c>
      <c r="J257" s="14">
        <v>4.17</v>
      </c>
    </row>
    <row r="258" ht="15.75" customHeight="1">
      <c r="A258" s="14" t="s">
        <v>174</v>
      </c>
      <c r="B258" s="14" t="s">
        <v>833</v>
      </c>
      <c r="C258" s="14" t="s">
        <v>834</v>
      </c>
      <c r="D258" s="14" t="s">
        <v>566</v>
      </c>
      <c r="E258" s="14" t="s">
        <v>121</v>
      </c>
      <c r="F258" s="14">
        <v>255.0</v>
      </c>
      <c r="G258" s="14" t="s">
        <v>537</v>
      </c>
      <c r="H258" s="14" t="s">
        <v>562</v>
      </c>
      <c r="I258" s="14">
        <v>122.0</v>
      </c>
      <c r="J258" s="14">
        <v>6.78</v>
      </c>
    </row>
    <row r="259" ht="15.75" customHeight="1">
      <c r="A259" s="14" t="s">
        <v>174</v>
      </c>
      <c r="B259" s="14" t="s">
        <v>835</v>
      </c>
      <c r="C259" s="14" t="s">
        <v>836</v>
      </c>
      <c r="D259" s="14" t="s">
        <v>314</v>
      </c>
      <c r="E259" s="14" t="s">
        <v>123</v>
      </c>
      <c r="F259" s="14">
        <v>256.0</v>
      </c>
      <c r="G259" s="14" t="s">
        <v>537</v>
      </c>
      <c r="H259" s="14" t="s">
        <v>528</v>
      </c>
      <c r="I259" s="14">
        <v>122.0</v>
      </c>
      <c r="J259" s="14">
        <v>3.81</v>
      </c>
    </row>
    <row r="260" ht="15.75" customHeight="1">
      <c r="A260" s="14" t="s">
        <v>174</v>
      </c>
      <c r="B260" s="14" t="s">
        <v>837</v>
      </c>
      <c r="C260" s="14" t="s">
        <v>838</v>
      </c>
      <c r="D260" s="14" t="s">
        <v>180</v>
      </c>
      <c r="E260" s="14" t="s">
        <v>121</v>
      </c>
      <c r="F260" s="14">
        <v>257.0</v>
      </c>
      <c r="G260" s="14" t="s">
        <v>537</v>
      </c>
      <c r="H260" s="14" t="s">
        <v>514</v>
      </c>
      <c r="I260" s="14">
        <v>121.5</v>
      </c>
      <c r="J260" s="14">
        <v>4.86</v>
      </c>
    </row>
    <row r="261" ht="15.75" customHeight="1">
      <c r="A261" s="14" t="s">
        <v>174</v>
      </c>
      <c r="B261" s="14" t="s">
        <v>839</v>
      </c>
      <c r="C261" s="14" t="s">
        <v>840</v>
      </c>
      <c r="D261" s="14" t="s">
        <v>566</v>
      </c>
      <c r="E261" s="14" t="s">
        <v>121</v>
      </c>
      <c r="F261" s="14">
        <v>258.0</v>
      </c>
      <c r="G261" s="14" t="s">
        <v>537</v>
      </c>
      <c r="H261" s="14" t="s">
        <v>562</v>
      </c>
      <c r="I261" s="14">
        <v>121.5</v>
      </c>
      <c r="J261" s="14">
        <v>4.5</v>
      </c>
    </row>
    <row r="262" ht="15.75" customHeight="1">
      <c r="A262" s="14" t="s">
        <v>174</v>
      </c>
      <c r="B262" s="14" t="s">
        <v>841</v>
      </c>
      <c r="C262" s="14" t="s">
        <v>842</v>
      </c>
      <c r="D262" s="14" t="s">
        <v>199</v>
      </c>
      <c r="E262" s="14" t="s">
        <v>118</v>
      </c>
      <c r="F262" s="14">
        <v>259.0</v>
      </c>
      <c r="G262" s="14" t="s">
        <v>537</v>
      </c>
      <c r="H262" s="14" t="s">
        <v>514</v>
      </c>
      <c r="I262" s="14">
        <v>121.0</v>
      </c>
      <c r="J262" s="14">
        <v>3.56</v>
      </c>
    </row>
    <row r="263" ht="15.75" customHeight="1">
      <c r="A263" s="14" t="s">
        <v>174</v>
      </c>
      <c r="B263" s="14" t="s">
        <v>383</v>
      </c>
      <c r="C263" s="14" t="s">
        <v>843</v>
      </c>
      <c r="D263" s="14" t="s">
        <v>191</v>
      </c>
      <c r="E263" s="14" t="s">
        <v>121</v>
      </c>
      <c r="F263" s="14">
        <v>260.0</v>
      </c>
      <c r="G263" s="14" t="s">
        <v>537</v>
      </c>
      <c r="H263" s="14" t="s">
        <v>520</v>
      </c>
      <c r="I263" s="14">
        <v>121.0</v>
      </c>
      <c r="J263" s="14">
        <v>4.03</v>
      </c>
    </row>
    <row r="264" ht="15.75" customHeight="1">
      <c r="A264" s="14" t="s">
        <v>174</v>
      </c>
      <c r="B264" s="14" t="s">
        <v>844</v>
      </c>
      <c r="C264" s="14" t="s">
        <v>845</v>
      </c>
      <c r="D264" s="14" t="s">
        <v>221</v>
      </c>
      <c r="E264" s="14" t="s">
        <v>121</v>
      </c>
      <c r="F264" s="14">
        <v>261.0</v>
      </c>
      <c r="G264" s="14" t="s">
        <v>537</v>
      </c>
      <c r="H264" s="14" t="s">
        <v>520</v>
      </c>
      <c r="I264" s="14">
        <v>119.0</v>
      </c>
      <c r="J264" s="14">
        <v>3.84</v>
      </c>
    </row>
    <row r="265" ht="15.75" customHeight="1">
      <c r="A265" s="14" t="s">
        <v>174</v>
      </c>
      <c r="B265" s="14" t="s">
        <v>462</v>
      </c>
      <c r="C265" s="14" t="s">
        <v>463</v>
      </c>
      <c r="D265" s="14" t="s">
        <v>464</v>
      </c>
      <c r="E265" s="14" t="s">
        <v>121</v>
      </c>
      <c r="F265" s="14">
        <v>262.0</v>
      </c>
      <c r="G265" s="14" t="s">
        <v>537</v>
      </c>
      <c r="H265" s="14" t="s">
        <v>539</v>
      </c>
      <c r="I265" s="14">
        <v>118.5</v>
      </c>
      <c r="J265" s="14">
        <v>5.15</v>
      </c>
    </row>
    <row r="266" ht="15.75" customHeight="1">
      <c r="A266" s="14" t="s">
        <v>174</v>
      </c>
      <c r="B266" s="14" t="s">
        <v>846</v>
      </c>
      <c r="C266" s="14" t="s">
        <v>847</v>
      </c>
      <c r="D266" s="14" t="s">
        <v>257</v>
      </c>
      <c r="E266" s="14" t="s">
        <v>121</v>
      </c>
      <c r="F266" s="14">
        <v>263.0</v>
      </c>
      <c r="G266" s="14" t="s">
        <v>537</v>
      </c>
      <c r="H266" s="14" t="s">
        <v>531</v>
      </c>
      <c r="I266" s="14">
        <v>118.0</v>
      </c>
      <c r="J266" s="14">
        <v>4.07</v>
      </c>
    </row>
    <row r="267" ht="15.75" customHeight="1">
      <c r="A267" s="14" t="s">
        <v>174</v>
      </c>
      <c r="B267" s="14" t="s">
        <v>848</v>
      </c>
      <c r="C267" s="14" t="s">
        <v>849</v>
      </c>
      <c r="D267" s="14" t="s">
        <v>177</v>
      </c>
      <c r="E267" s="14" t="s">
        <v>118</v>
      </c>
      <c r="F267" s="14">
        <v>264.0</v>
      </c>
      <c r="G267" s="14" t="s">
        <v>538</v>
      </c>
      <c r="H267" s="14" t="s">
        <v>518</v>
      </c>
      <c r="I267" s="14">
        <v>117.5</v>
      </c>
      <c r="J267" s="14">
        <v>4.9</v>
      </c>
    </row>
    <row r="268" ht="15.75" customHeight="1">
      <c r="A268" s="14" t="s">
        <v>174</v>
      </c>
      <c r="B268" s="14" t="s">
        <v>348</v>
      </c>
      <c r="C268" s="14" t="s">
        <v>349</v>
      </c>
      <c r="D268" s="14" t="s">
        <v>350</v>
      </c>
      <c r="E268" s="14" t="s">
        <v>123</v>
      </c>
      <c r="F268" s="14">
        <v>265.0</v>
      </c>
      <c r="G268" s="14" t="s">
        <v>537</v>
      </c>
      <c r="H268" s="14" t="s">
        <v>520</v>
      </c>
      <c r="I268" s="14">
        <v>115.5</v>
      </c>
      <c r="J268" s="14">
        <v>3.4</v>
      </c>
    </row>
    <row r="269" ht="15.75" customHeight="1">
      <c r="A269" s="14" t="s">
        <v>174</v>
      </c>
      <c r="B269" s="14" t="s">
        <v>850</v>
      </c>
      <c r="C269" s="14" t="s">
        <v>851</v>
      </c>
      <c r="D269" s="14" t="s">
        <v>226</v>
      </c>
      <c r="E269" s="14" t="s">
        <v>118</v>
      </c>
      <c r="F269" s="14">
        <v>266.0</v>
      </c>
      <c r="G269" s="14" t="s">
        <v>537</v>
      </c>
      <c r="H269" s="14" t="s">
        <v>539</v>
      </c>
      <c r="I269" s="14">
        <v>115.5</v>
      </c>
      <c r="J269" s="14">
        <v>7.22</v>
      </c>
    </row>
    <row r="270" ht="15.75" customHeight="1">
      <c r="A270" s="14" t="s">
        <v>174</v>
      </c>
      <c r="B270" s="14" t="s">
        <v>852</v>
      </c>
      <c r="C270" s="14" t="s">
        <v>853</v>
      </c>
      <c r="D270" s="14" t="s">
        <v>305</v>
      </c>
      <c r="E270" s="14" t="s">
        <v>121</v>
      </c>
      <c r="F270" s="14">
        <v>267.0</v>
      </c>
      <c r="G270" s="14" t="s">
        <v>537</v>
      </c>
      <c r="H270" s="14" t="s">
        <v>539</v>
      </c>
      <c r="I270" s="14">
        <v>113.5</v>
      </c>
      <c r="J270" s="14">
        <v>3.55</v>
      </c>
    </row>
    <row r="271" ht="15.75" customHeight="1">
      <c r="A271" s="14" t="s">
        <v>174</v>
      </c>
      <c r="B271" s="14" t="s">
        <v>275</v>
      </c>
      <c r="C271" s="14" t="s">
        <v>276</v>
      </c>
      <c r="D271" s="14" t="s">
        <v>257</v>
      </c>
      <c r="E271" s="14" t="s">
        <v>121</v>
      </c>
      <c r="F271" s="14">
        <v>268.0</v>
      </c>
      <c r="G271" s="14" t="s">
        <v>519</v>
      </c>
      <c r="H271" s="14" t="s">
        <v>531</v>
      </c>
      <c r="I271" s="14">
        <v>113.0</v>
      </c>
      <c r="J271" s="14">
        <v>5.14</v>
      </c>
    </row>
    <row r="272" ht="15.75" customHeight="1">
      <c r="A272" s="14" t="s">
        <v>174</v>
      </c>
      <c r="B272" s="14" t="s">
        <v>854</v>
      </c>
      <c r="C272" s="14" t="s">
        <v>855</v>
      </c>
      <c r="D272" s="14" t="s">
        <v>566</v>
      </c>
      <c r="E272" s="14" t="s">
        <v>118</v>
      </c>
      <c r="F272" s="14">
        <v>269.0</v>
      </c>
      <c r="G272" s="14" t="s">
        <v>537</v>
      </c>
      <c r="H272" s="14" t="s">
        <v>562</v>
      </c>
      <c r="I272" s="14">
        <v>112.25</v>
      </c>
      <c r="J272" s="14">
        <v>3.3</v>
      </c>
    </row>
    <row r="273" ht="15.75" customHeight="1">
      <c r="A273" s="14" t="s">
        <v>174</v>
      </c>
      <c r="B273" s="14" t="s">
        <v>332</v>
      </c>
      <c r="C273" s="14" t="s">
        <v>333</v>
      </c>
      <c r="D273" s="14" t="s">
        <v>226</v>
      </c>
      <c r="E273" s="14" t="s">
        <v>118</v>
      </c>
      <c r="F273" s="14">
        <v>270.0</v>
      </c>
      <c r="G273" s="14" t="s">
        <v>537</v>
      </c>
      <c r="H273" s="14" t="s">
        <v>539</v>
      </c>
      <c r="I273" s="14">
        <v>109.75</v>
      </c>
      <c r="J273" s="14">
        <v>6.46</v>
      </c>
    </row>
    <row r="274" ht="15.75" customHeight="1">
      <c r="A274" s="14" t="s">
        <v>174</v>
      </c>
      <c r="B274" s="14" t="s">
        <v>856</v>
      </c>
      <c r="C274" s="14" t="s">
        <v>857</v>
      </c>
      <c r="D274" s="14" t="s">
        <v>285</v>
      </c>
      <c r="E274" s="14" t="s">
        <v>121</v>
      </c>
      <c r="F274" s="14">
        <v>271.0</v>
      </c>
      <c r="G274" s="14" t="s">
        <v>537</v>
      </c>
      <c r="H274" s="14" t="s">
        <v>522</v>
      </c>
      <c r="I274" s="14">
        <v>109.5</v>
      </c>
      <c r="J274" s="14">
        <v>4.21</v>
      </c>
    </row>
    <row r="275" ht="15.75" customHeight="1">
      <c r="A275" s="14" t="s">
        <v>174</v>
      </c>
      <c r="B275" s="14" t="s">
        <v>858</v>
      </c>
      <c r="C275" s="14" t="s">
        <v>859</v>
      </c>
      <c r="D275" s="14" t="s">
        <v>236</v>
      </c>
      <c r="E275" s="14" t="s">
        <v>121</v>
      </c>
      <c r="F275" s="14">
        <v>272.0</v>
      </c>
      <c r="G275" s="14" t="s">
        <v>537</v>
      </c>
      <c r="H275" s="14" t="s">
        <v>522</v>
      </c>
      <c r="I275" s="14">
        <v>109.5</v>
      </c>
      <c r="J275" s="14">
        <v>4.06</v>
      </c>
    </row>
    <row r="276" ht="15.75" customHeight="1">
      <c r="A276" s="14" t="s">
        <v>174</v>
      </c>
      <c r="B276" s="14" t="s">
        <v>860</v>
      </c>
      <c r="C276" s="14" t="s">
        <v>861</v>
      </c>
      <c r="D276" s="14" t="s">
        <v>243</v>
      </c>
      <c r="E276" s="14" t="s">
        <v>123</v>
      </c>
      <c r="F276" s="14">
        <v>273.0</v>
      </c>
      <c r="G276" s="14" t="s">
        <v>537</v>
      </c>
      <c r="H276" s="14" t="s">
        <v>531</v>
      </c>
      <c r="I276" s="14">
        <v>109.5</v>
      </c>
      <c r="J276" s="14">
        <v>4.56</v>
      </c>
    </row>
    <row r="277" ht="15.75" customHeight="1">
      <c r="A277" s="14" t="s">
        <v>174</v>
      </c>
      <c r="B277" s="14" t="s">
        <v>862</v>
      </c>
      <c r="C277" s="14" t="s">
        <v>863</v>
      </c>
      <c r="D277" s="14" t="s">
        <v>566</v>
      </c>
      <c r="E277" s="14" t="s">
        <v>118</v>
      </c>
      <c r="F277" s="14">
        <v>274.0</v>
      </c>
      <c r="G277" s="14" t="s">
        <v>537</v>
      </c>
      <c r="H277" s="14" t="s">
        <v>562</v>
      </c>
      <c r="I277" s="14">
        <v>109.25</v>
      </c>
      <c r="J277" s="14">
        <v>5.46</v>
      </c>
    </row>
    <row r="278" ht="15.75" customHeight="1">
      <c r="A278" s="14" t="s">
        <v>174</v>
      </c>
      <c r="B278" s="14" t="s">
        <v>864</v>
      </c>
      <c r="C278" s="14" t="s">
        <v>865</v>
      </c>
      <c r="D278" s="14" t="s">
        <v>866</v>
      </c>
      <c r="E278" s="14" t="s">
        <v>121</v>
      </c>
      <c r="F278" s="14">
        <v>275.0</v>
      </c>
      <c r="G278" s="14" t="s">
        <v>537</v>
      </c>
      <c r="H278" s="14" t="s">
        <v>531</v>
      </c>
      <c r="I278" s="14">
        <v>108.5</v>
      </c>
      <c r="J278" s="14">
        <v>6.78</v>
      </c>
    </row>
    <row r="279" ht="15.75" customHeight="1">
      <c r="A279" s="14" t="s">
        <v>174</v>
      </c>
      <c r="B279" s="14" t="s">
        <v>867</v>
      </c>
      <c r="C279" s="14" t="s">
        <v>868</v>
      </c>
      <c r="D279" s="14" t="s">
        <v>566</v>
      </c>
      <c r="E279" s="14" t="s">
        <v>123</v>
      </c>
      <c r="F279" s="14">
        <v>276.0</v>
      </c>
      <c r="G279" s="14" t="s">
        <v>537</v>
      </c>
      <c r="H279" s="14" t="s">
        <v>562</v>
      </c>
      <c r="I279" s="14">
        <v>108.5</v>
      </c>
      <c r="J279" s="14">
        <v>3.74</v>
      </c>
    </row>
    <row r="280" ht="15.75" customHeight="1">
      <c r="A280" s="14" t="s">
        <v>174</v>
      </c>
      <c r="B280" s="14" t="s">
        <v>869</v>
      </c>
      <c r="C280" s="14" t="s">
        <v>870</v>
      </c>
      <c r="D280" s="14" t="s">
        <v>314</v>
      </c>
      <c r="E280" s="14" t="s">
        <v>121</v>
      </c>
      <c r="F280" s="14">
        <v>277.0</v>
      </c>
      <c r="G280" s="14" t="s">
        <v>537</v>
      </c>
      <c r="H280" s="14" t="s">
        <v>528</v>
      </c>
      <c r="I280" s="14">
        <v>108.0</v>
      </c>
      <c r="J280" s="14">
        <v>5.4</v>
      </c>
    </row>
    <row r="281" ht="15.75" customHeight="1">
      <c r="A281" s="14" t="s">
        <v>174</v>
      </c>
      <c r="B281" s="14" t="s">
        <v>871</v>
      </c>
      <c r="C281" s="14" t="s">
        <v>872</v>
      </c>
      <c r="D281" s="14" t="s">
        <v>177</v>
      </c>
      <c r="E281" s="14" t="s">
        <v>123</v>
      </c>
      <c r="F281" s="14">
        <v>278.0</v>
      </c>
      <c r="G281" s="14" t="s">
        <v>524</v>
      </c>
      <c r="H281" s="14" t="s">
        <v>518</v>
      </c>
      <c r="I281" s="14">
        <v>108.0</v>
      </c>
      <c r="J281" s="14">
        <v>5.68</v>
      </c>
    </row>
    <row r="282" ht="15.75" customHeight="1">
      <c r="A282" s="14" t="s">
        <v>174</v>
      </c>
      <c r="B282" s="14" t="s">
        <v>873</v>
      </c>
      <c r="C282" s="14" t="s">
        <v>874</v>
      </c>
      <c r="D282" s="14" t="s">
        <v>875</v>
      </c>
      <c r="E282" s="14" t="s">
        <v>121</v>
      </c>
      <c r="F282" s="14">
        <v>279.0</v>
      </c>
      <c r="G282" s="14" t="s">
        <v>537</v>
      </c>
      <c r="H282" s="14" t="s">
        <v>562</v>
      </c>
      <c r="I282" s="14">
        <v>108.0</v>
      </c>
      <c r="J282" s="14">
        <v>6.0</v>
      </c>
    </row>
    <row r="283" ht="15.75" customHeight="1">
      <c r="A283" s="14" t="s">
        <v>174</v>
      </c>
      <c r="B283" s="14" t="s">
        <v>493</v>
      </c>
      <c r="C283" s="14" t="s">
        <v>494</v>
      </c>
      <c r="D283" s="14" t="s">
        <v>236</v>
      </c>
      <c r="E283" s="14" t="s">
        <v>123</v>
      </c>
      <c r="F283" s="14">
        <v>280.0</v>
      </c>
      <c r="G283" s="14" t="s">
        <v>537</v>
      </c>
      <c r="H283" s="14" t="s">
        <v>522</v>
      </c>
      <c r="I283" s="14">
        <v>107.0</v>
      </c>
      <c r="J283" s="14">
        <v>4.46</v>
      </c>
    </row>
    <row r="284" ht="15.75" customHeight="1">
      <c r="A284" s="14" t="s">
        <v>174</v>
      </c>
      <c r="B284" s="14" t="s">
        <v>876</v>
      </c>
      <c r="C284" s="14" t="s">
        <v>877</v>
      </c>
      <c r="D284" s="14" t="s">
        <v>878</v>
      </c>
      <c r="E284" s="14" t="s">
        <v>121</v>
      </c>
      <c r="F284" s="14">
        <v>281.0</v>
      </c>
      <c r="G284" s="14" t="s">
        <v>537</v>
      </c>
      <c r="H284" s="14" t="s">
        <v>514</v>
      </c>
      <c r="I284" s="14">
        <v>106.5</v>
      </c>
      <c r="J284" s="14">
        <v>5.07</v>
      </c>
    </row>
    <row r="285" ht="15.75" customHeight="1">
      <c r="A285" s="14" t="s">
        <v>174</v>
      </c>
      <c r="B285" s="14" t="s">
        <v>879</v>
      </c>
      <c r="C285" s="14" t="s">
        <v>880</v>
      </c>
      <c r="D285" s="14" t="s">
        <v>453</v>
      </c>
      <c r="E285" s="14" t="s">
        <v>121</v>
      </c>
      <c r="F285" s="14">
        <v>282.0</v>
      </c>
      <c r="G285" s="14" t="s">
        <v>537</v>
      </c>
      <c r="H285" s="14" t="s">
        <v>523</v>
      </c>
      <c r="I285" s="14">
        <v>106.0</v>
      </c>
      <c r="J285" s="14">
        <v>4.61</v>
      </c>
    </row>
    <row r="286" ht="15.75" customHeight="1">
      <c r="A286" s="14" t="s">
        <v>174</v>
      </c>
      <c r="B286" s="14" t="s">
        <v>881</v>
      </c>
      <c r="C286" s="14" t="s">
        <v>882</v>
      </c>
      <c r="D286" s="14" t="s">
        <v>231</v>
      </c>
      <c r="E286" s="14" t="s">
        <v>121</v>
      </c>
      <c r="F286" s="14">
        <v>283.0</v>
      </c>
      <c r="G286" s="14" t="s">
        <v>537</v>
      </c>
      <c r="H286" s="14" t="s">
        <v>512</v>
      </c>
      <c r="I286" s="14">
        <v>105.5</v>
      </c>
      <c r="J286" s="14">
        <v>3.4</v>
      </c>
    </row>
    <row r="287" ht="15.75" customHeight="1">
      <c r="A287" s="14" t="s">
        <v>174</v>
      </c>
      <c r="B287" s="14" t="s">
        <v>429</v>
      </c>
      <c r="C287" s="14" t="s">
        <v>430</v>
      </c>
      <c r="D287" s="14" t="s">
        <v>185</v>
      </c>
      <c r="E287" s="14" t="s">
        <v>118</v>
      </c>
      <c r="F287" s="14">
        <v>284.0</v>
      </c>
      <c r="G287" s="14" t="s">
        <v>537</v>
      </c>
      <c r="H287" s="14" t="s">
        <v>512</v>
      </c>
      <c r="I287" s="14">
        <v>105.5</v>
      </c>
      <c r="J287" s="14">
        <v>5.28</v>
      </c>
    </row>
    <row r="288" ht="15.75" customHeight="1">
      <c r="A288" s="14" t="s">
        <v>174</v>
      </c>
      <c r="B288" s="14" t="s">
        <v>883</v>
      </c>
      <c r="C288" s="14" t="s">
        <v>884</v>
      </c>
      <c r="D288" s="14" t="s">
        <v>199</v>
      </c>
      <c r="E288" s="14" t="s">
        <v>121</v>
      </c>
      <c r="F288" s="14">
        <v>285.0</v>
      </c>
      <c r="G288" s="14" t="s">
        <v>537</v>
      </c>
      <c r="H288" s="14" t="s">
        <v>514</v>
      </c>
      <c r="I288" s="14">
        <v>104.0</v>
      </c>
      <c r="J288" s="14">
        <v>4.95</v>
      </c>
    </row>
    <row r="289" ht="15.75" customHeight="1">
      <c r="A289" s="14" t="s">
        <v>174</v>
      </c>
      <c r="B289" s="14" t="s">
        <v>885</v>
      </c>
      <c r="C289" s="14" t="s">
        <v>886</v>
      </c>
      <c r="D289" s="14" t="s">
        <v>185</v>
      </c>
      <c r="E289" s="14" t="s">
        <v>118</v>
      </c>
      <c r="F289" s="14">
        <v>286.0</v>
      </c>
      <c r="G289" s="14" t="s">
        <v>537</v>
      </c>
      <c r="H289" s="14" t="s">
        <v>512</v>
      </c>
      <c r="I289" s="14">
        <v>102.75</v>
      </c>
      <c r="J289" s="14">
        <v>3.21</v>
      </c>
    </row>
    <row r="290" ht="15.75" customHeight="1">
      <c r="A290" s="14" t="s">
        <v>174</v>
      </c>
      <c r="B290" s="14" t="s">
        <v>887</v>
      </c>
      <c r="C290" s="14" t="s">
        <v>888</v>
      </c>
      <c r="D290" s="14" t="s">
        <v>185</v>
      </c>
      <c r="E290" s="14" t="s">
        <v>121</v>
      </c>
      <c r="F290" s="14">
        <v>287.0</v>
      </c>
      <c r="G290" s="14" t="s">
        <v>537</v>
      </c>
      <c r="H290" s="14" t="s">
        <v>512</v>
      </c>
      <c r="I290" s="14">
        <v>102.5</v>
      </c>
      <c r="J290" s="14">
        <v>4.46</v>
      </c>
    </row>
    <row r="291" ht="15.75" customHeight="1">
      <c r="A291" s="14" t="s">
        <v>174</v>
      </c>
      <c r="B291" s="14" t="s">
        <v>241</v>
      </c>
      <c r="C291" s="14" t="s">
        <v>242</v>
      </c>
      <c r="D291" s="14" t="s">
        <v>243</v>
      </c>
      <c r="E291" s="14" t="s">
        <v>123</v>
      </c>
      <c r="F291" s="14">
        <v>288.0</v>
      </c>
      <c r="G291" s="14" t="s">
        <v>537</v>
      </c>
      <c r="H291" s="14" t="s">
        <v>531</v>
      </c>
      <c r="I291" s="14">
        <v>102.5</v>
      </c>
      <c r="J291" s="14">
        <v>6.83</v>
      </c>
    </row>
    <row r="292" ht="15.75" customHeight="1">
      <c r="A292" s="14" t="s">
        <v>174</v>
      </c>
      <c r="B292" s="14" t="s">
        <v>889</v>
      </c>
      <c r="C292" s="14" t="s">
        <v>890</v>
      </c>
      <c r="D292" s="14" t="s">
        <v>566</v>
      </c>
      <c r="E292" s="14" t="s">
        <v>123</v>
      </c>
      <c r="F292" s="14">
        <v>289.0</v>
      </c>
      <c r="G292" s="14" t="s">
        <v>537</v>
      </c>
      <c r="H292" s="14" t="s">
        <v>562</v>
      </c>
      <c r="I292" s="14">
        <v>102.0</v>
      </c>
      <c r="J292" s="14">
        <v>4.43</v>
      </c>
    </row>
    <row r="293" ht="15.75" customHeight="1">
      <c r="A293" s="14" t="s">
        <v>174</v>
      </c>
      <c r="B293" s="14" t="s">
        <v>202</v>
      </c>
      <c r="C293" s="14" t="s">
        <v>891</v>
      </c>
      <c r="D293" s="14" t="s">
        <v>180</v>
      </c>
      <c r="E293" s="14" t="s">
        <v>123</v>
      </c>
      <c r="F293" s="14">
        <v>290.0</v>
      </c>
      <c r="G293" s="14" t="s">
        <v>537</v>
      </c>
      <c r="H293" s="14" t="s">
        <v>514</v>
      </c>
      <c r="I293" s="14">
        <v>101.5</v>
      </c>
      <c r="J293" s="14">
        <v>4.83</v>
      </c>
    </row>
    <row r="294" ht="15.75" customHeight="1">
      <c r="A294" s="14" t="s">
        <v>174</v>
      </c>
      <c r="B294" s="14" t="s">
        <v>892</v>
      </c>
      <c r="C294" s="14" t="s">
        <v>893</v>
      </c>
      <c r="D294" s="14" t="s">
        <v>387</v>
      </c>
      <c r="E294" s="14" t="s">
        <v>118</v>
      </c>
      <c r="F294" s="14">
        <v>291.0</v>
      </c>
      <c r="G294" s="14" t="s">
        <v>537</v>
      </c>
      <c r="H294" s="14" t="s">
        <v>562</v>
      </c>
      <c r="I294" s="14">
        <v>101.25</v>
      </c>
      <c r="J294" s="14">
        <v>3.75</v>
      </c>
    </row>
    <row r="295" ht="15.75" customHeight="1">
      <c r="A295" s="14" t="s">
        <v>174</v>
      </c>
      <c r="B295" s="14" t="s">
        <v>894</v>
      </c>
      <c r="C295" s="14" t="s">
        <v>895</v>
      </c>
      <c r="D295" s="14" t="s">
        <v>387</v>
      </c>
      <c r="E295" s="14" t="s">
        <v>121</v>
      </c>
      <c r="F295" s="14">
        <v>292.0</v>
      </c>
      <c r="G295" s="14" t="s">
        <v>537</v>
      </c>
      <c r="H295" s="14" t="s">
        <v>562</v>
      </c>
      <c r="I295" s="14">
        <v>100.5</v>
      </c>
      <c r="J295" s="14">
        <v>3.87</v>
      </c>
    </row>
    <row r="296" ht="15.75" customHeight="1">
      <c r="A296" s="14" t="s">
        <v>174</v>
      </c>
      <c r="B296" s="14" t="s">
        <v>896</v>
      </c>
      <c r="C296" s="14" t="s">
        <v>897</v>
      </c>
      <c r="D296" s="14" t="s">
        <v>221</v>
      </c>
      <c r="E296" s="14" t="s">
        <v>118</v>
      </c>
      <c r="F296" s="14">
        <v>293.0</v>
      </c>
      <c r="G296" s="14" t="s">
        <v>515</v>
      </c>
      <c r="H296" s="14" t="s">
        <v>520</v>
      </c>
      <c r="I296" s="14">
        <v>100.5</v>
      </c>
      <c r="J296" s="14">
        <v>5.03</v>
      </c>
    </row>
    <row r="297" ht="15.75" customHeight="1">
      <c r="A297" s="14" t="s">
        <v>174</v>
      </c>
      <c r="B297" s="14" t="s">
        <v>898</v>
      </c>
      <c r="C297" s="14" t="s">
        <v>899</v>
      </c>
      <c r="D297" s="14" t="s">
        <v>387</v>
      </c>
      <c r="E297" s="14" t="s">
        <v>123</v>
      </c>
      <c r="F297" s="14">
        <v>294.0</v>
      </c>
      <c r="G297" s="14" t="s">
        <v>537</v>
      </c>
      <c r="H297" s="14" t="s">
        <v>562</v>
      </c>
      <c r="I297" s="14">
        <v>100.5</v>
      </c>
      <c r="J297" s="14">
        <v>3.87</v>
      </c>
    </row>
    <row r="298" ht="15.75" customHeight="1">
      <c r="A298" s="14" t="s">
        <v>174</v>
      </c>
      <c r="B298" s="14" t="s">
        <v>900</v>
      </c>
      <c r="C298" s="14" t="s">
        <v>901</v>
      </c>
      <c r="D298" s="14" t="s">
        <v>566</v>
      </c>
      <c r="E298" s="14" t="s">
        <v>123</v>
      </c>
      <c r="F298" s="14">
        <v>295.0</v>
      </c>
      <c r="G298" s="14" t="s">
        <v>537</v>
      </c>
      <c r="H298" s="14" t="s">
        <v>562</v>
      </c>
      <c r="I298" s="14">
        <v>99.5</v>
      </c>
      <c r="J298" s="14">
        <v>3.83</v>
      </c>
    </row>
    <row r="299" ht="15.75" customHeight="1">
      <c r="A299" s="14" t="s">
        <v>174</v>
      </c>
      <c r="B299" s="14" t="s">
        <v>902</v>
      </c>
      <c r="C299" s="14" t="s">
        <v>903</v>
      </c>
      <c r="D299" s="14" t="s">
        <v>191</v>
      </c>
      <c r="E299" s="14" t="s">
        <v>118</v>
      </c>
      <c r="F299" s="14">
        <v>296.0</v>
      </c>
      <c r="G299" s="14" t="s">
        <v>537</v>
      </c>
      <c r="H299" s="14" t="s">
        <v>520</v>
      </c>
      <c r="I299" s="14">
        <v>98.75</v>
      </c>
      <c r="J299" s="14">
        <v>8.23</v>
      </c>
    </row>
    <row r="300" ht="15.75" customHeight="1">
      <c r="A300" s="14" t="s">
        <v>174</v>
      </c>
      <c r="B300" s="14" t="s">
        <v>904</v>
      </c>
      <c r="C300" s="14" t="s">
        <v>905</v>
      </c>
      <c r="D300" s="14" t="s">
        <v>221</v>
      </c>
      <c r="E300" s="14" t="s">
        <v>121</v>
      </c>
      <c r="F300" s="14">
        <v>297.0</v>
      </c>
      <c r="G300" s="14" t="s">
        <v>537</v>
      </c>
      <c r="H300" s="14" t="s">
        <v>520</v>
      </c>
      <c r="I300" s="14">
        <v>97.5</v>
      </c>
      <c r="J300" s="14">
        <v>3.15</v>
      </c>
    </row>
    <row r="301" ht="15.75" customHeight="1">
      <c r="A301" s="14" t="s">
        <v>174</v>
      </c>
      <c r="B301" s="14" t="s">
        <v>293</v>
      </c>
      <c r="C301" s="14" t="s">
        <v>906</v>
      </c>
      <c r="D301" s="14" t="s">
        <v>180</v>
      </c>
      <c r="E301" s="14" t="s">
        <v>121</v>
      </c>
      <c r="F301" s="14">
        <v>298.0</v>
      </c>
      <c r="G301" s="14" t="s">
        <v>537</v>
      </c>
      <c r="H301" s="14" t="s">
        <v>514</v>
      </c>
      <c r="I301" s="14">
        <v>95.0</v>
      </c>
      <c r="J301" s="14">
        <v>3.96</v>
      </c>
    </row>
    <row r="302" ht="15.75" customHeight="1">
      <c r="A302" s="14" t="s">
        <v>174</v>
      </c>
      <c r="B302" s="14" t="s">
        <v>297</v>
      </c>
      <c r="C302" s="14" t="s">
        <v>298</v>
      </c>
      <c r="D302" s="14" t="s">
        <v>226</v>
      </c>
      <c r="E302" s="14" t="s">
        <v>123</v>
      </c>
      <c r="F302" s="14">
        <v>299.0</v>
      </c>
      <c r="G302" s="14" t="s">
        <v>537</v>
      </c>
      <c r="H302" s="14" t="s">
        <v>539</v>
      </c>
      <c r="I302" s="14">
        <v>94.5</v>
      </c>
      <c r="J302" s="14">
        <v>2.95</v>
      </c>
    </row>
    <row r="303" ht="15.75" customHeight="1">
      <c r="A303" s="14" t="s">
        <v>174</v>
      </c>
      <c r="B303" s="14" t="s">
        <v>907</v>
      </c>
      <c r="C303" s="14" t="s">
        <v>908</v>
      </c>
      <c r="D303" s="14" t="s">
        <v>185</v>
      </c>
      <c r="E303" s="14" t="s">
        <v>118</v>
      </c>
      <c r="F303" s="14">
        <v>300.0</v>
      </c>
      <c r="G303" s="14" t="s">
        <v>537</v>
      </c>
      <c r="H303" s="14" t="s">
        <v>512</v>
      </c>
      <c r="I303" s="14">
        <v>94.5</v>
      </c>
      <c r="J303" s="14">
        <v>7.27</v>
      </c>
    </row>
    <row r="304" ht="15.75" customHeight="1">
      <c r="A304" s="14" t="s">
        <v>174</v>
      </c>
      <c r="B304" s="14" t="s">
        <v>909</v>
      </c>
      <c r="C304" s="14" t="s">
        <v>910</v>
      </c>
      <c r="D304" s="14" t="s">
        <v>199</v>
      </c>
      <c r="E304" s="14" t="s">
        <v>118</v>
      </c>
      <c r="F304" s="14">
        <v>301.0</v>
      </c>
      <c r="G304" s="14" t="s">
        <v>537</v>
      </c>
      <c r="H304" s="14" t="s">
        <v>514</v>
      </c>
      <c r="I304" s="14">
        <v>93.25</v>
      </c>
      <c r="J304" s="14">
        <v>4.44</v>
      </c>
    </row>
    <row r="305" ht="15.75" customHeight="1">
      <c r="A305" s="14" t="s">
        <v>174</v>
      </c>
      <c r="B305" s="14" t="s">
        <v>489</v>
      </c>
      <c r="C305" s="14" t="s">
        <v>490</v>
      </c>
      <c r="D305" s="14" t="s">
        <v>199</v>
      </c>
      <c r="E305" s="14" t="s">
        <v>123</v>
      </c>
      <c r="F305" s="14">
        <v>302.0</v>
      </c>
      <c r="G305" s="14" t="s">
        <v>537</v>
      </c>
      <c r="H305" s="14" t="s">
        <v>514</v>
      </c>
      <c r="I305" s="14">
        <v>93.0</v>
      </c>
      <c r="J305" s="14">
        <v>4.43</v>
      </c>
    </row>
    <row r="306" ht="15.75" customHeight="1">
      <c r="A306" s="14" t="s">
        <v>174</v>
      </c>
      <c r="B306" s="14" t="s">
        <v>911</v>
      </c>
      <c r="C306" s="14" t="s">
        <v>912</v>
      </c>
      <c r="D306" s="14" t="s">
        <v>913</v>
      </c>
      <c r="E306" s="14" t="s">
        <v>121</v>
      </c>
      <c r="F306" s="14">
        <v>303.0</v>
      </c>
      <c r="G306" s="14" t="s">
        <v>537</v>
      </c>
      <c r="H306" s="14" t="s">
        <v>514</v>
      </c>
      <c r="I306" s="14">
        <v>92.5</v>
      </c>
      <c r="J306" s="14">
        <v>4.02</v>
      </c>
    </row>
    <row r="307" ht="15.75" customHeight="1">
      <c r="A307" s="14" t="s">
        <v>174</v>
      </c>
      <c r="B307" s="14" t="s">
        <v>319</v>
      </c>
      <c r="C307" s="14" t="s">
        <v>320</v>
      </c>
      <c r="D307" s="14" t="s">
        <v>285</v>
      </c>
      <c r="E307" s="14" t="s">
        <v>121</v>
      </c>
      <c r="F307" s="14">
        <v>304.0</v>
      </c>
      <c r="G307" s="14" t="s">
        <v>537</v>
      </c>
      <c r="H307" s="14" t="s">
        <v>522</v>
      </c>
      <c r="I307" s="14">
        <v>91.5</v>
      </c>
      <c r="J307" s="14">
        <v>4.58</v>
      </c>
    </row>
    <row r="308" ht="15.75" customHeight="1">
      <c r="A308" s="14" t="s">
        <v>174</v>
      </c>
      <c r="B308" s="14" t="s">
        <v>385</v>
      </c>
      <c r="C308" s="14" t="s">
        <v>386</v>
      </c>
      <c r="D308" s="14" t="s">
        <v>387</v>
      </c>
      <c r="E308" s="14" t="s">
        <v>121</v>
      </c>
      <c r="F308" s="14">
        <v>305.0</v>
      </c>
      <c r="G308" s="14" t="s">
        <v>537</v>
      </c>
      <c r="H308" s="14" t="s">
        <v>562</v>
      </c>
      <c r="I308" s="14">
        <v>90.5</v>
      </c>
      <c r="J308" s="14">
        <v>3.93</v>
      </c>
    </row>
    <row r="309" ht="15.75" customHeight="1">
      <c r="A309" s="14" t="s">
        <v>174</v>
      </c>
      <c r="B309" s="14" t="s">
        <v>914</v>
      </c>
      <c r="C309" s="14" t="s">
        <v>915</v>
      </c>
      <c r="D309" s="14" t="s">
        <v>231</v>
      </c>
      <c r="E309" s="14" t="s">
        <v>121</v>
      </c>
      <c r="F309" s="14">
        <v>306.0</v>
      </c>
      <c r="G309" s="14" t="s">
        <v>537</v>
      </c>
      <c r="H309" s="14" t="s">
        <v>512</v>
      </c>
      <c r="I309" s="14">
        <v>89.0</v>
      </c>
      <c r="J309" s="14">
        <v>4.94</v>
      </c>
    </row>
    <row r="310" ht="15.75" customHeight="1">
      <c r="A310" s="14" t="s">
        <v>174</v>
      </c>
      <c r="B310" s="14" t="s">
        <v>916</v>
      </c>
      <c r="C310" s="14" t="s">
        <v>917</v>
      </c>
      <c r="D310" s="14" t="s">
        <v>226</v>
      </c>
      <c r="E310" s="14" t="s">
        <v>121</v>
      </c>
      <c r="F310" s="14">
        <v>307.0</v>
      </c>
      <c r="G310" s="14" t="s">
        <v>537</v>
      </c>
      <c r="H310" s="14" t="s">
        <v>539</v>
      </c>
      <c r="I310" s="14">
        <v>88.5</v>
      </c>
      <c r="J310" s="14">
        <v>3.69</v>
      </c>
    </row>
    <row r="311" ht="15.75" customHeight="1">
      <c r="A311" s="14" t="s">
        <v>174</v>
      </c>
      <c r="B311" s="14" t="s">
        <v>918</v>
      </c>
      <c r="C311" s="14" t="s">
        <v>919</v>
      </c>
      <c r="D311" s="14" t="s">
        <v>314</v>
      </c>
      <c r="E311" s="14" t="s">
        <v>118</v>
      </c>
      <c r="F311" s="14">
        <v>308.0</v>
      </c>
      <c r="G311" s="14" t="s">
        <v>537</v>
      </c>
      <c r="H311" s="14" t="s">
        <v>528</v>
      </c>
      <c r="I311" s="14">
        <v>88.25</v>
      </c>
      <c r="J311" s="14">
        <v>3.15</v>
      </c>
    </row>
    <row r="312" ht="15.75" customHeight="1">
      <c r="A312" s="14" t="s">
        <v>174</v>
      </c>
      <c r="B312" s="14" t="s">
        <v>920</v>
      </c>
      <c r="C312" s="14" t="s">
        <v>921</v>
      </c>
      <c r="D312" s="14" t="s">
        <v>243</v>
      </c>
      <c r="E312" s="14" t="s">
        <v>121</v>
      </c>
      <c r="F312" s="14">
        <v>309.0</v>
      </c>
      <c r="G312" s="14" t="s">
        <v>537</v>
      </c>
      <c r="H312" s="14" t="s">
        <v>531</v>
      </c>
      <c r="I312" s="14">
        <v>87.0</v>
      </c>
      <c r="J312" s="14">
        <v>3.78</v>
      </c>
    </row>
    <row r="313" ht="15.75" customHeight="1">
      <c r="A313" s="14" t="s">
        <v>174</v>
      </c>
      <c r="B313" s="14" t="s">
        <v>922</v>
      </c>
      <c r="C313" s="14" t="s">
        <v>923</v>
      </c>
      <c r="D313" s="14" t="s">
        <v>243</v>
      </c>
      <c r="E313" s="14" t="s">
        <v>121</v>
      </c>
      <c r="F313" s="14">
        <v>310.0</v>
      </c>
      <c r="G313" s="14" t="s">
        <v>537</v>
      </c>
      <c r="H313" s="14" t="s">
        <v>531</v>
      </c>
      <c r="I313" s="14">
        <v>87.0</v>
      </c>
      <c r="J313" s="14">
        <v>3.62</v>
      </c>
    </row>
    <row r="314" ht="15.75" customHeight="1">
      <c r="A314" s="14" t="s">
        <v>174</v>
      </c>
      <c r="B314" s="14" t="s">
        <v>924</v>
      </c>
      <c r="C314" s="14" t="s">
        <v>925</v>
      </c>
      <c r="D314" s="14" t="s">
        <v>285</v>
      </c>
      <c r="E314" s="14" t="s">
        <v>118</v>
      </c>
      <c r="F314" s="14">
        <v>311.0</v>
      </c>
      <c r="G314" s="14" t="s">
        <v>537</v>
      </c>
      <c r="H314" s="14" t="s">
        <v>522</v>
      </c>
      <c r="I314" s="14">
        <v>85.5</v>
      </c>
      <c r="J314" s="14">
        <v>3.89</v>
      </c>
    </row>
    <row r="315" ht="15.75" customHeight="1">
      <c r="A315" s="14" t="s">
        <v>174</v>
      </c>
      <c r="B315" s="14" t="s">
        <v>926</v>
      </c>
      <c r="C315" s="14" t="s">
        <v>927</v>
      </c>
      <c r="D315" s="14" t="s">
        <v>566</v>
      </c>
      <c r="E315" s="14" t="s">
        <v>118</v>
      </c>
      <c r="F315" s="14">
        <v>312.0</v>
      </c>
      <c r="G315" s="14" t="s">
        <v>537</v>
      </c>
      <c r="H315" s="14" t="s">
        <v>562</v>
      </c>
      <c r="I315" s="14">
        <v>85.25</v>
      </c>
      <c r="J315" s="14">
        <v>4.49</v>
      </c>
    </row>
    <row r="316" ht="15.75" customHeight="1">
      <c r="A316" s="14" t="s">
        <v>174</v>
      </c>
      <c r="B316" s="14" t="s">
        <v>340</v>
      </c>
      <c r="C316" s="14" t="s">
        <v>341</v>
      </c>
      <c r="D316" s="14" t="s">
        <v>191</v>
      </c>
      <c r="E316" s="14" t="s">
        <v>123</v>
      </c>
      <c r="F316" s="14">
        <v>313.0</v>
      </c>
      <c r="G316" s="14" t="s">
        <v>538</v>
      </c>
      <c r="H316" s="14" t="s">
        <v>520</v>
      </c>
      <c r="I316" s="14">
        <v>84.5</v>
      </c>
      <c r="J316" s="14">
        <v>7.04</v>
      </c>
    </row>
    <row r="317" ht="15.75" customHeight="1">
      <c r="A317" s="14" t="s">
        <v>174</v>
      </c>
      <c r="B317" s="14" t="s">
        <v>928</v>
      </c>
      <c r="C317" s="14" t="s">
        <v>929</v>
      </c>
      <c r="D317" s="14" t="s">
        <v>215</v>
      </c>
      <c r="E317" s="14" t="s">
        <v>118</v>
      </c>
      <c r="F317" s="14">
        <v>314.0</v>
      </c>
      <c r="G317" s="14" t="s">
        <v>537</v>
      </c>
      <c r="H317" s="14" t="s">
        <v>523</v>
      </c>
      <c r="I317" s="14">
        <v>82.5</v>
      </c>
      <c r="J317" s="14">
        <v>3.59</v>
      </c>
    </row>
    <row r="318" ht="15.75" customHeight="1">
      <c r="A318" s="14" t="s">
        <v>174</v>
      </c>
      <c r="B318" s="14" t="s">
        <v>930</v>
      </c>
      <c r="C318" s="14" t="s">
        <v>931</v>
      </c>
      <c r="D318" s="14" t="s">
        <v>231</v>
      </c>
      <c r="E318" s="14" t="s">
        <v>123</v>
      </c>
      <c r="F318" s="14">
        <v>315.0</v>
      </c>
      <c r="G318" s="14" t="s">
        <v>537</v>
      </c>
      <c r="H318" s="14" t="s">
        <v>512</v>
      </c>
      <c r="I318" s="14">
        <v>81.0</v>
      </c>
      <c r="J318" s="14">
        <v>3.86</v>
      </c>
    </row>
    <row r="319" ht="15.75" customHeight="1">
      <c r="A319" s="14" t="s">
        <v>174</v>
      </c>
      <c r="B319" s="14" t="s">
        <v>268</v>
      </c>
      <c r="C319" s="14" t="s">
        <v>269</v>
      </c>
      <c r="D319" s="14" t="s">
        <v>236</v>
      </c>
      <c r="E319" s="14" t="s">
        <v>123</v>
      </c>
      <c r="F319" s="14">
        <v>316.0</v>
      </c>
      <c r="G319" s="14" t="s">
        <v>537</v>
      </c>
      <c r="H319" s="14" t="s">
        <v>522</v>
      </c>
      <c r="I319" s="14">
        <v>81.0</v>
      </c>
      <c r="J319" s="14">
        <v>5.4</v>
      </c>
    </row>
    <row r="320" ht="15.75" customHeight="1">
      <c r="A320" s="14" t="s">
        <v>174</v>
      </c>
      <c r="B320" s="14" t="s">
        <v>932</v>
      </c>
      <c r="C320" s="14" t="s">
        <v>933</v>
      </c>
      <c r="D320" s="14" t="s">
        <v>934</v>
      </c>
      <c r="E320" s="14" t="s">
        <v>123</v>
      </c>
      <c r="F320" s="14">
        <v>317.0</v>
      </c>
      <c r="G320" s="14" t="s">
        <v>537</v>
      </c>
      <c r="H320" s="14" t="s">
        <v>520</v>
      </c>
      <c r="I320" s="14">
        <v>80.5</v>
      </c>
      <c r="J320" s="14">
        <v>3.83</v>
      </c>
    </row>
    <row r="321" ht="15.75" customHeight="1">
      <c r="A321" s="14" t="s">
        <v>174</v>
      </c>
      <c r="B321" s="14" t="s">
        <v>935</v>
      </c>
      <c r="C321" s="14" t="s">
        <v>936</v>
      </c>
      <c r="D321" s="14" t="s">
        <v>215</v>
      </c>
      <c r="E321" s="14" t="s">
        <v>123</v>
      </c>
      <c r="F321" s="14">
        <v>318.0</v>
      </c>
      <c r="G321" s="14" t="s">
        <v>537</v>
      </c>
      <c r="H321" s="14" t="s">
        <v>523</v>
      </c>
      <c r="I321" s="14">
        <v>80.5</v>
      </c>
      <c r="J321" s="14">
        <v>5.75</v>
      </c>
    </row>
    <row r="322" ht="15.75" customHeight="1">
      <c r="A322" s="14" t="s">
        <v>174</v>
      </c>
      <c r="B322" s="14" t="s">
        <v>937</v>
      </c>
      <c r="C322" s="14" t="s">
        <v>938</v>
      </c>
      <c r="D322" s="14" t="s">
        <v>199</v>
      </c>
      <c r="E322" s="14" t="s">
        <v>118</v>
      </c>
      <c r="F322" s="14">
        <v>319.0</v>
      </c>
      <c r="G322" s="14" t="s">
        <v>537</v>
      </c>
      <c r="H322" s="14" t="s">
        <v>514</v>
      </c>
      <c r="I322" s="14">
        <v>79.75</v>
      </c>
      <c r="J322" s="14">
        <v>4.69</v>
      </c>
    </row>
    <row r="323" ht="15.75" customHeight="1">
      <c r="A323" s="14" t="s">
        <v>174</v>
      </c>
      <c r="B323" s="14" t="s">
        <v>939</v>
      </c>
      <c r="C323" s="14" t="s">
        <v>940</v>
      </c>
      <c r="D323" s="14" t="s">
        <v>177</v>
      </c>
      <c r="E323" s="14" t="s">
        <v>118</v>
      </c>
      <c r="F323" s="14">
        <v>320.0</v>
      </c>
      <c r="G323" s="14" t="s">
        <v>537</v>
      </c>
      <c r="H323" s="14" t="s">
        <v>518</v>
      </c>
      <c r="I323" s="14">
        <v>79.25</v>
      </c>
      <c r="J323" s="14">
        <v>5.28</v>
      </c>
    </row>
    <row r="324" ht="15.75" customHeight="1">
      <c r="A324" s="14" t="s">
        <v>174</v>
      </c>
      <c r="B324" s="14" t="s">
        <v>941</v>
      </c>
      <c r="C324" s="14" t="s">
        <v>942</v>
      </c>
      <c r="D324" s="14" t="s">
        <v>236</v>
      </c>
      <c r="E324" s="14" t="s">
        <v>123</v>
      </c>
      <c r="F324" s="14">
        <v>321.0</v>
      </c>
      <c r="G324" s="14" t="s">
        <v>537</v>
      </c>
      <c r="H324" s="14" t="s">
        <v>522</v>
      </c>
      <c r="I324" s="14">
        <v>79.0</v>
      </c>
      <c r="J324" s="14">
        <v>4.65</v>
      </c>
    </row>
    <row r="325" ht="15.75" customHeight="1">
      <c r="A325" s="14" t="s">
        <v>174</v>
      </c>
      <c r="B325" s="14" t="s">
        <v>943</v>
      </c>
      <c r="C325" s="14" t="s">
        <v>944</v>
      </c>
      <c r="D325" s="14" t="s">
        <v>387</v>
      </c>
      <c r="E325" s="14" t="s">
        <v>121</v>
      </c>
      <c r="F325" s="14">
        <v>322.0</v>
      </c>
      <c r="G325" s="14" t="s">
        <v>537</v>
      </c>
      <c r="H325" s="14" t="s">
        <v>562</v>
      </c>
      <c r="I325" s="14">
        <v>79.0</v>
      </c>
      <c r="J325" s="14">
        <v>3.59</v>
      </c>
    </row>
    <row r="326" ht="15.75" customHeight="1">
      <c r="A326" s="14" t="s">
        <v>174</v>
      </c>
      <c r="B326" s="14" t="s">
        <v>945</v>
      </c>
      <c r="C326" s="14" t="s">
        <v>946</v>
      </c>
      <c r="D326" s="14" t="s">
        <v>305</v>
      </c>
      <c r="E326" s="14" t="s">
        <v>123</v>
      </c>
      <c r="F326" s="14">
        <v>323.0</v>
      </c>
      <c r="G326" s="14" t="s">
        <v>537</v>
      </c>
      <c r="H326" s="14" t="s">
        <v>539</v>
      </c>
      <c r="I326" s="14">
        <v>79.0</v>
      </c>
      <c r="J326" s="14">
        <v>3.76</v>
      </c>
    </row>
    <row r="327" ht="15.75" customHeight="1">
      <c r="A327" s="14" t="s">
        <v>174</v>
      </c>
      <c r="B327" s="14" t="s">
        <v>947</v>
      </c>
      <c r="C327" s="14" t="s">
        <v>948</v>
      </c>
      <c r="D327" s="14" t="s">
        <v>215</v>
      </c>
      <c r="E327" s="14" t="s">
        <v>121</v>
      </c>
      <c r="F327" s="14">
        <v>324.0</v>
      </c>
      <c r="G327" s="14" t="s">
        <v>537</v>
      </c>
      <c r="H327" s="14" t="s">
        <v>523</v>
      </c>
      <c r="I327" s="14">
        <v>79.0</v>
      </c>
      <c r="J327" s="14">
        <v>3.59</v>
      </c>
    </row>
    <row r="328" ht="15.75" customHeight="1">
      <c r="A328" s="14" t="s">
        <v>174</v>
      </c>
      <c r="B328" s="14" t="s">
        <v>949</v>
      </c>
      <c r="C328" s="14" t="s">
        <v>950</v>
      </c>
      <c r="D328" s="14" t="s">
        <v>387</v>
      </c>
      <c r="E328" s="14" t="s">
        <v>121</v>
      </c>
      <c r="F328" s="14">
        <v>325.0</v>
      </c>
      <c r="G328" s="14" t="s">
        <v>537</v>
      </c>
      <c r="H328" s="14" t="s">
        <v>562</v>
      </c>
      <c r="I328" s="14">
        <v>78.0</v>
      </c>
      <c r="J328" s="14">
        <v>6.0</v>
      </c>
    </row>
    <row r="329" ht="15.75" customHeight="1">
      <c r="A329" s="14" t="s">
        <v>174</v>
      </c>
      <c r="B329" s="14" t="s">
        <v>951</v>
      </c>
      <c r="C329" s="14" t="s">
        <v>952</v>
      </c>
      <c r="D329" s="14" t="s">
        <v>188</v>
      </c>
      <c r="E329" s="14" t="s">
        <v>121</v>
      </c>
      <c r="F329" s="14">
        <v>326.0</v>
      </c>
      <c r="G329" s="14" t="s">
        <v>537</v>
      </c>
      <c r="H329" s="14" t="s">
        <v>528</v>
      </c>
      <c r="I329" s="14">
        <v>78.0</v>
      </c>
      <c r="J329" s="14">
        <v>2.89</v>
      </c>
    </row>
    <row r="330" ht="15.75" customHeight="1">
      <c r="A330" s="14" t="s">
        <v>174</v>
      </c>
      <c r="B330" s="14" t="s">
        <v>953</v>
      </c>
      <c r="C330" s="14" t="s">
        <v>954</v>
      </c>
      <c r="D330" s="14" t="s">
        <v>231</v>
      </c>
      <c r="E330" s="14" t="s">
        <v>118</v>
      </c>
      <c r="F330" s="14">
        <v>327.0</v>
      </c>
      <c r="G330" s="14" t="s">
        <v>537</v>
      </c>
      <c r="H330" s="14" t="s">
        <v>512</v>
      </c>
      <c r="I330" s="14">
        <v>77.75</v>
      </c>
      <c r="J330" s="14">
        <v>6.48</v>
      </c>
    </row>
    <row r="331" ht="15.75" customHeight="1">
      <c r="A331" s="14" t="s">
        <v>174</v>
      </c>
      <c r="B331" s="14" t="s">
        <v>955</v>
      </c>
      <c r="C331" s="14" t="s">
        <v>956</v>
      </c>
      <c r="D331" s="14" t="s">
        <v>185</v>
      </c>
      <c r="E331" s="14" t="s">
        <v>123</v>
      </c>
      <c r="F331" s="14">
        <v>328.0</v>
      </c>
      <c r="G331" s="14" t="s">
        <v>537</v>
      </c>
      <c r="H331" s="14" t="s">
        <v>512</v>
      </c>
      <c r="I331" s="14">
        <v>77.5</v>
      </c>
      <c r="J331" s="14">
        <v>3.23</v>
      </c>
    </row>
    <row r="332" ht="15.75" customHeight="1">
      <c r="A332" s="14" t="s">
        <v>174</v>
      </c>
      <c r="B332" s="14" t="s">
        <v>957</v>
      </c>
      <c r="C332" s="14" t="s">
        <v>958</v>
      </c>
      <c r="D332" s="14" t="s">
        <v>185</v>
      </c>
      <c r="E332" s="14" t="s">
        <v>118</v>
      </c>
      <c r="F332" s="14">
        <v>329.0</v>
      </c>
      <c r="G332" s="14" t="s">
        <v>537</v>
      </c>
      <c r="H332" s="14" t="s">
        <v>512</v>
      </c>
      <c r="I332" s="14">
        <v>77.25</v>
      </c>
      <c r="J332" s="14">
        <v>4.29</v>
      </c>
    </row>
    <row r="333" ht="15.75" customHeight="1">
      <c r="A333" s="14" t="s">
        <v>174</v>
      </c>
      <c r="B333" s="14" t="s">
        <v>959</v>
      </c>
      <c r="C333" s="14" t="s">
        <v>960</v>
      </c>
      <c r="D333" s="14" t="s">
        <v>327</v>
      </c>
      <c r="E333" s="14" t="s">
        <v>118</v>
      </c>
      <c r="F333" s="14">
        <v>330.0</v>
      </c>
      <c r="G333" s="14" t="s">
        <v>537</v>
      </c>
      <c r="H333" s="14" t="s">
        <v>518</v>
      </c>
      <c r="I333" s="14">
        <v>76.25</v>
      </c>
      <c r="J333" s="14">
        <v>3.05</v>
      </c>
    </row>
    <row r="334" ht="15.75" customHeight="1">
      <c r="A334" s="14" t="s">
        <v>174</v>
      </c>
      <c r="B334" s="14" t="s">
        <v>961</v>
      </c>
      <c r="C334" s="14" t="s">
        <v>962</v>
      </c>
      <c r="D334" s="14" t="s">
        <v>963</v>
      </c>
      <c r="E334" s="14" t="s">
        <v>123</v>
      </c>
      <c r="F334" s="14">
        <v>331.0</v>
      </c>
      <c r="G334" s="14" t="s">
        <v>537</v>
      </c>
      <c r="H334" s="14" t="s">
        <v>562</v>
      </c>
      <c r="I334" s="14">
        <v>76.0</v>
      </c>
      <c r="J334" s="14">
        <v>5.43</v>
      </c>
    </row>
    <row r="335" ht="15.75" customHeight="1">
      <c r="A335" s="14" t="s">
        <v>174</v>
      </c>
      <c r="B335" s="14" t="s">
        <v>964</v>
      </c>
      <c r="C335" s="14" t="s">
        <v>965</v>
      </c>
      <c r="D335" s="14" t="s">
        <v>257</v>
      </c>
      <c r="E335" s="14" t="s">
        <v>118</v>
      </c>
      <c r="F335" s="14">
        <v>332.0</v>
      </c>
      <c r="G335" s="14" t="s">
        <v>537</v>
      </c>
      <c r="H335" s="14" t="s">
        <v>531</v>
      </c>
      <c r="I335" s="14">
        <v>75.25</v>
      </c>
      <c r="J335" s="14">
        <v>7.53</v>
      </c>
    </row>
    <row r="336" ht="15.75" customHeight="1">
      <c r="A336" s="14" t="s">
        <v>174</v>
      </c>
      <c r="B336" s="14" t="s">
        <v>966</v>
      </c>
      <c r="C336" s="14" t="s">
        <v>967</v>
      </c>
      <c r="D336" s="14" t="s">
        <v>285</v>
      </c>
      <c r="E336" s="14" t="s">
        <v>118</v>
      </c>
      <c r="F336" s="14">
        <v>333.0</v>
      </c>
      <c r="G336" s="14" t="s">
        <v>537</v>
      </c>
      <c r="H336" s="14" t="s">
        <v>522</v>
      </c>
      <c r="I336" s="14">
        <v>75.25</v>
      </c>
      <c r="J336" s="14">
        <v>4.18</v>
      </c>
    </row>
    <row r="337" ht="15.75" customHeight="1">
      <c r="A337" s="14" t="s">
        <v>174</v>
      </c>
      <c r="B337" s="14" t="s">
        <v>968</v>
      </c>
      <c r="C337" s="14" t="s">
        <v>969</v>
      </c>
      <c r="D337" s="14" t="s">
        <v>177</v>
      </c>
      <c r="E337" s="14" t="s">
        <v>115</v>
      </c>
      <c r="F337" s="14">
        <v>334.0</v>
      </c>
      <c r="G337" s="14" t="s">
        <v>537</v>
      </c>
      <c r="H337" s="14" t="s">
        <v>518</v>
      </c>
      <c r="I337" s="14">
        <v>74.25</v>
      </c>
      <c r="J337" s="14">
        <v>7.42</v>
      </c>
    </row>
    <row r="338" ht="15.75" customHeight="1">
      <c r="A338" s="14" t="s">
        <v>174</v>
      </c>
      <c r="B338" s="14" t="s">
        <v>970</v>
      </c>
      <c r="C338" s="14" t="s">
        <v>971</v>
      </c>
      <c r="D338" s="14" t="s">
        <v>236</v>
      </c>
      <c r="E338" s="14" t="s">
        <v>118</v>
      </c>
      <c r="F338" s="14">
        <v>335.0</v>
      </c>
      <c r="G338" s="14" t="s">
        <v>537</v>
      </c>
      <c r="H338" s="14" t="s">
        <v>522</v>
      </c>
      <c r="I338" s="14">
        <v>74.25</v>
      </c>
      <c r="J338" s="14">
        <v>5.3</v>
      </c>
    </row>
    <row r="339" ht="15.75" customHeight="1">
      <c r="A339" s="14" t="s">
        <v>174</v>
      </c>
      <c r="B339" s="14" t="s">
        <v>972</v>
      </c>
      <c r="C339" s="14" t="s">
        <v>973</v>
      </c>
      <c r="D339" s="14" t="s">
        <v>285</v>
      </c>
      <c r="E339" s="14" t="s">
        <v>121</v>
      </c>
      <c r="F339" s="14">
        <v>336.0</v>
      </c>
      <c r="G339" s="14" t="s">
        <v>537</v>
      </c>
      <c r="H339" s="14" t="s">
        <v>522</v>
      </c>
      <c r="I339" s="14">
        <v>74.0</v>
      </c>
      <c r="J339" s="14">
        <v>4.11</v>
      </c>
    </row>
    <row r="340" ht="15.75" customHeight="1">
      <c r="A340" s="14" t="s">
        <v>174</v>
      </c>
      <c r="B340" s="14" t="s">
        <v>974</v>
      </c>
      <c r="C340" s="14" t="s">
        <v>975</v>
      </c>
      <c r="D340" s="14" t="s">
        <v>314</v>
      </c>
      <c r="E340" s="14" t="s">
        <v>121</v>
      </c>
      <c r="F340" s="14">
        <v>337.0</v>
      </c>
      <c r="G340" s="14" t="s">
        <v>537</v>
      </c>
      <c r="H340" s="14" t="s">
        <v>528</v>
      </c>
      <c r="I340" s="14">
        <v>74.0</v>
      </c>
      <c r="J340" s="14">
        <v>4.11</v>
      </c>
    </row>
    <row r="341" ht="15.75" customHeight="1">
      <c r="A341" s="14" t="s">
        <v>174</v>
      </c>
      <c r="B341" s="14" t="s">
        <v>976</v>
      </c>
      <c r="C341" s="14" t="s">
        <v>977</v>
      </c>
      <c r="D341" s="14" t="s">
        <v>387</v>
      </c>
      <c r="E341" s="14" t="s">
        <v>118</v>
      </c>
      <c r="F341" s="14">
        <v>338.0</v>
      </c>
      <c r="G341" s="14" t="s">
        <v>537</v>
      </c>
      <c r="H341" s="14" t="s">
        <v>562</v>
      </c>
      <c r="I341" s="14">
        <v>72.75</v>
      </c>
      <c r="J341" s="14">
        <v>3.31</v>
      </c>
    </row>
    <row r="342" ht="15.75" customHeight="1">
      <c r="A342" s="14" t="s">
        <v>174</v>
      </c>
      <c r="B342" s="14" t="s">
        <v>978</v>
      </c>
      <c r="C342" s="14" t="s">
        <v>979</v>
      </c>
      <c r="D342" s="14" t="s">
        <v>566</v>
      </c>
      <c r="E342" s="14" t="s">
        <v>123</v>
      </c>
      <c r="F342" s="14">
        <v>339.0</v>
      </c>
      <c r="G342" s="14" t="s">
        <v>537</v>
      </c>
      <c r="H342" s="14" t="s">
        <v>562</v>
      </c>
      <c r="I342" s="14">
        <v>72.5</v>
      </c>
      <c r="J342" s="14">
        <v>2.59</v>
      </c>
    </row>
    <row r="343" ht="15.75" customHeight="1">
      <c r="A343" s="14" t="s">
        <v>174</v>
      </c>
      <c r="B343" s="14" t="s">
        <v>980</v>
      </c>
      <c r="C343" s="14" t="s">
        <v>981</v>
      </c>
      <c r="D343" s="14" t="s">
        <v>215</v>
      </c>
      <c r="E343" s="14" t="s">
        <v>121</v>
      </c>
      <c r="F343" s="14">
        <v>340.0</v>
      </c>
      <c r="G343" s="14" t="s">
        <v>537</v>
      </c>
      <c r="H343" s="14" t="s">
        <v>523</v>
      </c>
      <c r="I343" s="14">
        <v>72.5</v>
      </c>
      <c r="J343" s="14">
        <v>3.3</v>
      </c>
    </row>
    <row r="344" ht="15.75" customHeight="1">
      <c r="A344" s="14" t="s">
        <v>174</v>
      </c>
      <c r="B344" s="14" t="s">
        <v>982</v>
      </c>
      <c r="C344" s="14" t="s">
        <v>983</v>
      </c>
      <c r="D344" s="14" t="s">
        <v>566</v>
      </c>
      <c r="E344" s="14" t="s">
        <v>118</v>
      </c>
      <c r="F344" s="14">
        <v>341.0</v>
      </c>
      <c r="G344" s="14" t="s">
        <v>537</v>
      </c>
      <c r="H344" s="14" t="s">
        <v>562</v>
      </c>
      <c r="I344" s="14">
        <v>71.75</v>
      </c>
      <c r="J344" s="14">
        <v>3.59</v>
      </c>
    </row>
    <row r="345" ht="15.75" customHeight="1">
      <c r="A345" s="14" t="s">
        <v>174</v>
      </c>
      <c r="B345" s="14" t="s">
        <v>984</v>
      </c>
      <c r="C345" s="14" t="s">
        <v>985</v>
      </c>
      <c r="D345" s="14" t="s">
        <v>185</v>
      </c>
      <c r="E345" s="14" t="s">
        <v>121</v>
      </c>
      <c r="F345" s="14">
        <v>342.0</v>
      </c>
      <c r="G345" s="14" t="s">
        <v>537</v>
      </c>
      <c r="H345" s="14" t="s">
        <v>512</v>
      </c>
      <c r="I345" s="14">
        <v>70.0</v>
      </c>
      <c r="J345" s="14">
        <v>3.18</v>
      </c>
    </row>
    <row r="346" ht="15.75" customHeight="1">
      <c r="A346" s="14" t="s">
        <v>174</v>
      </c>
      <c r="B346" s="14" t="s">
        <v>986</v>
      </c>
      <c r="C346" s="14" t="s">
        <v>987</v>
      </c>
      <c r="D346" s="14" t="s">
        <v>988</v>
      </c>
      <c r="E346" s="14" t="s">
        <v>118</v>
      </c>
      <c r="F346" s="14">
        <v>343.0</v>
      </c>
      <c r="G346" s="14" t="s">
        <v>537</v>
      </c>
      <c r="H346" s="14" t="s">
        <v>523</v>
      </c>
      <c r="I346" s="14">
        <v>69.75</v>
      </c>
      <c r="J346" s="14">
        <v>4.98</v>
      </c>
    </row>
    <row r="347" ht="15.75" customHeight="1">
      <c r="A347" s="14" t="s">
        <v>174</v>
      </c>
      <c r="B347" s="14" t="s">
        <v>989</v>
      </c>
      <c r="C347" s="14" t="s">
        <v>990</v>
      </c>
      <c r="D347" s="14" t="s">
        <v>231</v>
      </c>
      <c r="E347" s="14" t="s">
        <v>118</v>
      </c>
      <c r="F347" s="14">
        <v>344.0</v>
      </c>
      <c r="G347" s="14" t="s">
        <v>537</v>
      </c>
      <c r="H347" s="14" t="s">
        <v>512</v>
      </c>
      <c r="I347" s="14">
        <v>69.75</v>
      </c>
      <c r="J347" s="14">
        <v>2.91</v>
      </c>
    </row>
    <row r="348" ht="15.75" customHeight="1">
      <c r="A348" s="14" t="s">
        <v>174</v>
      </c>
      <c r="B348" s="14" t="s">
        <v>991</v>
      </c>
      <c r="C348" s="14" t="s">
        <v>992</v>
      </c>
      <c r="D348" s="14" t="s">
        <v>993</v>
      </c>
      <c r="E348" s="14" t="s">
        <v>123</v>
      </c>
      <c r="F348" s="14">
        <v>345.0</v>
      </c>
      <c r="G348" s="14" t="s">
        <v>537</v>
      </c>
      <c r="H348" s="14" t="s">
        <v>528</v>
      </c>
      <c r="I348" s="14">
        <v>68.5</v>
      </c>
      <c r="J348" s="14">
        <v>5.71</v>
      </c>
    </row>
    <row r="349" ht="15.75" customHeight="1">
      <c r="A349" s="14" t="s">
        <v>174</v>
      </c>
      <c r="B349" s="14" t="s">
        <v>994</v>
      </c>
      <c r="C349" s="14" t="s">
        <v>995</v>
      </c>
      <c r="D349" s="14" t="s">
        <v>453</v>
      </c>
      <c r="E349" s="14" t="s">
        <v>115</v>
      </c>
      <c r="F349" s="14">
        <v>346.0</v>
      </c>
      <c r="G349" s="14" t="s">
        <v>537</v>
      </c>
      <c r="H349" s="14" t="s">
        <v>523</v>
      </c>
      <c r="I349" s="14">
        <v>67.0</v>
      </c>
      <c r="J349" s="14">
        <v>4.19</v>
      </c>
    </row>
    <row r="350" ht="15.75" customHeight="1">
      <c r="A350" s="14" t="s">
        <v>174</v>
      </c>
      <c r="B350" s="14" t="s">
        <v>996</v>
      </c>
      <c r="C350" s="14" t="s">
        <v>997</v>
      </c>
      <c r="D350" s="14" t="s">
        <v>191</v>
      </c>
      <c r="E350" s="14" t="s">
        <v>118</v>
      </c>
      <c r="F350" s="14">
        <v>347.0</v>
      </c>
      <c r="G350" s="14" t="s">
        <v>524</v>
      </c>
      <c r="H350" s="14" t="s">
        <v>520</v>
      </c>
      <c r="I350" s="14">
        <v>66.75</v>
      </c>
      <c r="J350" s="14">
        <v>3.34</v>
      </c>
    </row>
    <row r="351" ht="15.75" customHeight="1">
      <c r="A351" s="14" t="s">
        <v>174</v>
      </c>
      <c r="B351" s="14" t="s">
        <v>998</v>
      </c>
      <c r="C351" s="14" t="s">
        <v>999</v>
      </c>
      <c r="D351" s="14" t="s">
        <v>566</v>
      </c>
      <c r="E351" s="14" t="s">
        <v>123</v>
      </c>
      <c r="F351" s="14">
        <v>348.0</v>
      </c>
      <c r="G351" s="14" t="s">
        <v>537</v>
      </c>
      <c r="H351" s="14" t="s">
        <v>562</v>
      </c>
      <c r="I351" s="14">
        <v>66.5</v>
      </c>
      <c r="J351" s="14">
        <v>2.77</v>
      </c>
    </row>
    <row r="352" ht="15.75" customHeight="1">
      <c r="A352" s="14" t="s">
        <v>174</v>
      </c>
      <c r="B352" s="14" t="s">
        <v>308</v>
      </c>
      <c r="C352" s="14" t="s">
        <v>309</v>
      </c>
      <c r="D352" s="14" t="s">
        <v>188</v>
      </c>
      <c r="E352" s="14" t="s">
        <v>123</v>
      </c>
      <c r="F352" s="14">
        <v>349.0</v>
      </c>
      <c r="G352" s="14" t="s">
        <v>537</v>
      </c>
      <c r="H352" s="14" t="s">
        <v>528</v>
      </c>
      <c r="I352" s="14">
        <v>65.0</v>
      </c>
      <c r="J352" s="14">
        <v>2.32</v>
      </c>
    </row>
    <row r="353" ht="15.75" customHeight="1">
      <c r="A353" s="14" t="s">
        <v>174</v>
      </c>
      <c r="B353" s="14" t="s">
        <v>194</v>
      </c>
      <c r="C353" s="14" t="s">
        <v>195</v>
      </c>
      <c r="D353" s="14" t="s">
        <v>196</v>
      </c>
      <c r="E353" s="14" t="s">
        <v>123</v>
      </c>
      <c r="F353" s="14">
        <v>350.0</v>
      </c>
      <c r="G353" s="14" t="s">
        <v>537</v>
      </c>
      <c r="H353" s="14" t="s">
        <v>518</v>
      </c>
      <c r="I353" s="14">
        <v>64.5</v>
      </c>
      <c r="J353" s="14">
        <v>4.61</v>
      </c>
    </row>
    <row r="354" ht="15.75" customHeight="1">
      <c r="A354" s="14" t="s">
        <v>174</v>
      </c>
      <c r="B354" s="14" t="s">
        <v>1000</v>
      </c>
      <c r="C354" s="14" t="s">
        <v>1001</v>
      </c>
      <c r="D354" s="14" t="s">
        <v>236</v>
      </c>
      <c r="E354" s="14" t="s">
        <v>118</v>
      </c>
      <c r="F354" s="14">
        <v>351.0</v>
      </c>
      <c r="G354" s="14" t="s">
        <v>537</v>
      </c>
      <c r="H354" s="14" t="s">
        <v>522</v>
      </c>
      <c r="I354" s="14">
        <v>64.0</v>
      </c>
      <c r="J354" s="14">
        <v>3.05</v>
      </c>
    </row>
    <row r="355" ht="15.75" customHeight="1">
      <c r="A355" s="14" t="s">
        <v>174</v>
      </c>
      <c r="B355" s="14" t="s">
        <v>1002</v>
      </c>
      <c r="C355" s="14" t="s">
        <v>1003</v>
      </c>
      <c r="D355" s="14" t="s">
        <v>188</v>
      </c>
      <c r="E355" s="14" t="s">
        <v>118</v>
      </c>
      <c r="F355" s="14">
        <v>352.0</v>
      </c>
      <c r="G355" s="14" t="s">
        <v>537</v>
      </c>
      <c r="H355" s="14" t="s">
        <v>528</v>
      </c>
      <c r="I355" s="14">
        <v>63.0</v>
      </c>
      <c r="J355" s="14">
        <v>3.94</v>
      </c>
    </row>
    <row r="356" ht="15.75" customHeight="1">
      <c r="A356" s="14" t="s">
        <v>174</v>
      </c>
      <c r="B356" s="14" t="s">
        <v>312</v>
      </c>
      <c r="C356" s="14" t="s">
        <v>313</v>
      </c>
      <c r="D356" s="14" t="s">
        <v>314</v>
      </c>
      <c r="E356" s="14" t="s">
        <v>121</v>
      </c>
      <c r="F356" s="14">
        <v>353.0</v>
      </c>
      <c r="G356" s="14" t="s">
        <v>537</v>
      </c>
      <c r="H356" s="14" t="s">
        <v>528</v>
      </c>
      <c r="I356" s="14">
        <v>62.5</v>
      </c>
      <c r="J356" s="14">
        <v>4.46</v>
      </c>
    </row>
    <row r="357" ht="15.75" customHeight="1">
      <c r="A357" s="14" t="s">
        <v>174</v>
      </c>
      <c r="B357" s="14" t="s">
        <v>437</v>
      </c>
      <c r="C357" s="14" t="s">
        <v>438</v>
      </c>
      <c r="D357" s="14" t="s">
        <v>188</v>
      </c>
      <c r="E357" s="14" t="s">
        <v>123</v>
      </c>
      <c r="F357" s="14">
        <v>354.0</v>
      </c>
      <c r="G357" s="14" t="s">
        <v>537</v>
      </c>
      <c r="H357" s="14" t="s">
        <v>528</v>
      </c>
      <c r="I357" s="14">
        <v>60.5</v>
      </c>
      <c r="J357" s="14">
        <v>3.78</v>
      </c>
    </row>
    <row r="358" ht="15.75" customHeight="1">
      <c r="A358" s="14" t="s">
        <v>174</v>
      </c>
      <c r="B358" s="14" t="s">
        <v>1004</v>
      </c>
      <c r="C358" s="14" t="s">
        <v>1005</v>
      </c>
      <c r="D358" s="14" t="s">
        <v>231</v>
      </c>
      <c r="E358" s="14" t="s">
        <v>121</v>
      </c>
      <c r="F358" s="14">
        <v>355.0</v>
      </c>
      <c r="G358" s="14" t="s">
        <v>537</v>
      </c>
      <c r="H358" s="14" t="s">
        <v>512</v>
      </c>
      <c r="I358" s="14">
        <v>60.5</v>
      </c>
      <c r="J358" s="14">
        <v>3.02</v>
      </c>
    </row>
    <row r="359" ht="15.75" customHeight="1">
      <c r="A359" s="14" t="s">
        <v>174</v>
      </c>
      <c r="B359" s="14" t="s">
        <v>1006</v>
      </c>
      <c r="C359" s="14" t="s">
        <v>1007</v>
      </c>
      <c r="D359" s="14" t="s">
        <v>305</v>
      </c>
      <c r="E359" s="14" t="s">
        <v>121</v>
      </c>
      <c r="F359" s="14">
        <v>356.0</v>
      </c>
      <c r="G359" s="14" t="s">
        <v>537</v>
      </c>
      <c r="H359" s="14" t="s">
        <v>539</v>
      </c>
      <c r="I359" s="14">
        <v>60.0</v>
      </c>
      <c r="J359" s="14">
        <v>2.5</v>
      </c>
    </row>
    <row r="360" ht="15.75" customHeight="1">
      <c r="A360" s="14" t="s">
        <v>174</v>
      </c>
      <c r="B360" s="14" t="s">
        <v>1008</v>
      </c>
      <c r="C360" s="14" t="s">
        <v>1009</v>
      </c>
      <c r="D360" s="14" t="s">
        <v>191</v>
      </c>
      <c r="E360" s="14" t="s">
        <v>123</v>
      </c>
      <c r="F360" s="14">
        <v>357.0</v>
      </c>
      <c r="G360" s="14" t="s">
        <v>525</v>
      </c>
      <c r="H360" s="14" t="s">
        <v>520</v>
      </c>
      <c r="I360" s="14">
        <v>60.0</v>
      </c>
      <c r="J360" s="14">
        <v>4.29</v>
      </c>
    </row>
    <row r="361" ht="15.75" customHeight="1">
      <c r="A361" s="14" t="s">
        <v>174</v>
      </c>
      <c r="B361" s="14" t="s">
        <v>1010</v>
      </c>
      <c r="C361" s="14" t="s">
        <v>1011</v>
      </c>
      <c r="D361" s="14" t="s">
        <v>180</v>
      </c>
      <c r="E361" s="14" t="s">
        <v>118</v>
      </c>
      <c r="F361" s="14">
        <v>358.0</v>
      </c>
      <c r="G361" s="14" t="s">
        <v>515</v>
      </c>
      <c r="H361" s="14" t="s">
        <v>514</v>
      </c>
      <c r="I361" s="14">
        <v>59.5</v>
      </c>
      <c r="J361" s="14">
        <v>3.31</v>
      </c>
    </row>
    <row r="362" ht="15.75" customHeight="1">
      <c r="A362" s="14" t="s">
        <v>174</v>
      </c>
      <c r="B362" s="14" t="s">
        <v>1012</v>
      </c>
      <c r="C362" s="14" t="s">
        <v>1013</v>
      </c>
      <c r="D362" s="14" t="s">
        <v>257</v>
      </c>
      <c r="E362" s="14" t="s">
        <v>121</v>
      </c>
      <c r="F362" s="14">
        <v>359.0</v>
      </c>
      <c r="G362" s="14" t="s">
        <v>537</v>
      </c>
      <c r="H362" s="14" t="s">
        <v>531</v>
      </c>
      <c r="I362" s="14">
        <v>59.5</v>
      </c>
      <c r="J362" s="14">
        <v>3.72</v>
      </c>
    </row>
    <row r="363" ht="15.75" customHeight="1">
      <c r="A363" s="14" t="s">
        <v>174</v>
      </c>
      <c r="B363" s="14" t="s">
        <v>1014</v>
      </c>
      <c r="C363" s="14" t="s">
        <v>1015</v>
      </c>
      <c r="D363" s="14" t="s">
        <v>566</v>
      </c>
      <c r="E363" s="14" t="s">
        <v>121</v>
      </c>
      <c r="F363" s="14">
        <v>360.0</v>
      </c>
      <c r="G363" s="14" t="s">
        <v>537</v>
      </c>
      <c r="H363" s="14" t="s">
        <v>562</v>
      </c>
      <c r="I363" s="14">
        <v>59.0</v>
      </c>
      <c r="J363" s="14">
        <v>1.79</v>
      </c>
    </row>
    <row r="364" ht="15.75" customHeight="1">
      <c r="A364" s="14" t="s">
        <v>174</v>
      </c>
      <c r="B364" s="14" t="s">
        <v>431</v>
      </c>
      <c r="C364" s="14" t="s">
        <v>432</v>
      </c>
      <c r="D364" s="14" t="s">
        <v>257</v>
      </c>
      <c r="E364" s="14" t="s">
        <v>121</v>
      </c>
      <c r="F364" s="14">
        <v>361.0</v>
      </c>
      <c r="G364" s="14" t="s">
        <v>537</v>
      </c>
      <c r="H364" s="14" t="s">
        <v>531</v>
      </c>
      <c r="I364" s="14">
        <v>58.0</v>
      </c>
      <c r="J364" s="14">
        <v>2.9</v>
      </c>
    </row>
    <row r="365" ht="15.75" customHeight="1">
      <c r="A365" s="14" t="s">
        <v>174</v>
      </c>
      <c r="B365" s="14" t="s">
        <v>1016</v>
      </c>
      <c r="C365" s="14" t="s">
        <v>1017</v>
      </c>
      <c r="D365" s="14" t="s">
        <v>236</v>
      </c>
      <c r="E365" s="14" t="s">
        <v>123</v>
      </c>
      <c r="F365" s="14">
        <v>362.0</v>
      </c>
      <c r="G365" s="14" t="s">
        <v>537</v>
      </c>
      <c r="H365" s="14" t="s">
        <v>522</v>
      </c>
      <c r="I365" s="14">
        <v>58.0</v>
      </c>
      <c r="J365" s="14">
        <v>4.14</v>
      </c>
    </row>
    <row r="366" ht="15.75" customHeight="1">
      <c r="A366" s="14" t="s">
        <v>174</v>
      </c>
      <c r="B366" s="14" t="s">
        <v>1018</v>
      </c>
      <c r="C366" s="14" t="s">
        <v>1019</v>
      </c>
      <c r="D366" s="14" t="s">
        <v>387</v>
      </c>
      <c r="E366" s="14" t="s">
        <v>115</v>
      </c>
      <c r="F366" s="14">
        <v>363.0</v>
      </c>
      <c r="G366" s="14" t="s">
        <v>537</v>
      </c>
      <c r="H366" s="14" t="s">
        <v>562</v>
      </c>
      <c r="I366" s="14">
        <v>58.0</v>
      </c>
      <c r="J366" s="14">
        <v>4.83</v>
      </c>
    </row>
    <row r="367" ht="15.75" customHeight="1">
      <c r="A367" s="14" t="s">
        <v>174</v>
      </c>
      <c r="B367" s="14" t="s">
        <v>1020</v>
      </c>
      <c r="C367" s="14" t="s">
        <v>1021</v>
      </c>
      <c r="D367" s="14" t="s">
        <v>314</v>
      </c>
      <c r="E367" s="14" t="s">
        <v>123</v>
      </c>
      <c r="F367" s="14">
        <v>364.0</v>
      </c>
      <c r="G367" s="14" t="s">
        <v>537</v>
      </c>
      <c r="H367" s="14" t="s">
        <v>528</v>
      </c>
      <c r="I367" s="14">
        <v>56.0</v>
      </c>
      <c r="J367" s="14">
        <v>2.8</v>
      </c>
    </row>
    <row r="368" ht="15.75" customHeight="1">
      <c r="A368" s="14" t="s">
        <v>174</v>
      </c>
      <c r="B368" s="14" t="s">
        <v>1022</v>
      </c>
      <c r="C368" s="14" t="s">
        <v>1023</v>
      </c>
      <c r="D368" s="14" t="s">
        <v>305</v>
      </c>
      <c r="E368" s="14" t="s">
        <v>118</v>
      </c>
      <c r="F368" s="14">
        <v>365.0</v>
      </c>
      <c r="G368" s="14" t="s">
        <v>537</v>
      </c>
      <c r="H368" s="14" t="s">
        <v>539</v>
      </c>
      <c r="I368" s="14">
        <v>54.5</v>
      </c>
      <c r="J368" s="14">
        <v>3.63</v>
      </c>
    </row>
    <row r="369" ht="15.75" customHeight="1">
      <c r="A369" s="14" t="s">
        <v>174</v>
      </c>
      <c r="B369" s="14" t="s">
        <v>1024</v>
      </c>
      <c r="C369" s="14" t="s">
        <v>1025</v>
      </c>
      <c r="D369" s="14" t="s">
        <v>188</v>
      </c>
      <c r="E369" s="14" t="s">
        <v>118</v>
      </c>
      <c r="F369" s="14">
        <v>366.0</v>
      </c>
      <c r="G369" s="14" t="s">
        <v>537</v>
      </c>
      <c r="H369" s="14" t="s">
        <v>528</v>
      </c>
      <c r="I369" s="14">
        <v>54.0</v>
      </c>
      <c r="J369" s="14">
        <v>3.18</v>
      </c>
    </row>
    <row r="370" ht="15.75" customHeight="1">
      <c r="A370" s="14" t="s">
        <v>174</v>
      </c>
      <c r="B370" s="14" t="s">
        <v>1026</v>
      </c>
      <c r="C370" s="14" t="s">
        <v>1027</v>
      </c>
      <c r="D370" s="14" t="s">
        <v>221</v>
      </c>
      <c r="E370" s="14" t="s">
        <v>121</v>
      </c>
      <c r="F370" s="14">
        <v>367.0</v>
      </c>
      <c r="G370" s="14" t="s">
        <v>537</v>
      </c>
      <c r="H370" s="14" t="s">
        <v>520</v>
      </c>
      <c r="I370" s="14">
        <v>53.0</v>
      </c>
      <c r="J370" s="14">
        <v>2.52</v>
      </c>
    </row>
    <row r="371" ht="15.75" customHeight="1">
      <c r="A371" s="14" t="s">
        <v>174</v>
      </c>
      <c r="B371" s="14" t="s">
        <v>1028</v>
      </c>
      <c r="C371" s="14" t="s">
        <v>1029</v>
      </c>
      <c r="D371" s="14" t="s">
        <v>221</v>
      </c>
      <c r="E371" s="14" t="s">
        <v>123</v>
      </c>
      <c r="F371" s="14">
        <v>368.0</v>
      </c>
      <c r="G371" s="14" t="s">
        <v>537</v>
      </c>
      <c r="H371" s="14" t="s">
        <v>520</v>
      </c>
      <c r="I371" s="14">
        <v>51.5</v>
      </c>
      <c r="J371" s="14">
        <v>4.29</v>
      </c>
    </row>
    <row r="372" ht="15.75" customHeight="1">
      <c r="A372" s="14" t="s">
        <v>174</v>
      </c>
      <c r="B372" s="14" t="s">
        <v>454</v>
      </c>
      <c r="C372" s="14" t="s">
        <v>455</v>
      </c>
      <c r="D372" s="14" t="s">
        <v>453</v>
      </c>
      <c r="E372" s="14" t="s">
        <v>121</v>
      </c>
      <c r="F372" s="14">
        <v>369.0</v>
      </c>
      <c r="G372" s="14" t="s">
        <v>537</v>
      </c>
      <c r="H372" s="14" t="s">
        <v>523</v>
      </c>
      <c r="I372" s="14">
        <v>51.0</v>
      </c>
      <c r="J372" s="14">
        <v>2.68</v>
      </c>
    </row>
    <row r="373" ht="15.75" customHeight="1">
      <c r="A373" s="14" t="s">
        <v>174</v>
      </c>
      <c r="B373" s="14" t="s">
        <v>1030</v>
      </c>
      <c r="C373" s="14" t="s">
        <v>1031</v>
      </c>
      <c r="D373" s="14" t="s">
        <v>199</v>
      </c>
      <c r="E373" s="14" t="s">
        <v>658</v>
      </c>
      <c r="F373" s="14">
        <v>370.0</v>
      </c>
      <c r="G373" s="14" t="s">
        <v>537</v>
      </c>
      <c r="H373" s="14" t="s">
        <v>514</v>
      </c>
      <c r="I373" s="14">
        <v>50.5</v>
      </c>
      <c r="J373" s="14">
        <v>3.88</v>
      </c>
    </row>
    <row r="374" ht="15.75" customHeight="1">
      <c r="A374" s="14" t="s">
        <v>174</v>
      </c>
      <c r="B374" s="14" t="s">
        <v>1032</v>
      </c>
      <c r="C374" s="14" t="s">
        <v>1033</v>
      </c>
      <c r="D374" s="14" t="s">
        <v>243</v>
      </c>
      <c r="E374" s="14" t="s">
        <v>118</v>
      </c>
      <c r="F374" s="14">
        <v>371.0</v>
      </c>
      <c r="G374" s="14" t="s">
        <v>537</v>
      </c>
      <c r="H374" s="14" t="s">
        <v>531</v>
      </c>
      <c r="I374" s="14">
        <v>50.5</v>
      </c>
      <c r="J374" s="14">
        <v>2.52</v>
      </c>
    </row>
    <row r="375" ht="15.75" customHeight="1">
      <c r="A375" s="14" t="s">
        <v>174</v>
      </c>
      <c r="B375" s="14" t="s">
        <v>1034</v>
      </c>
      <c r="C375" s="14" t="s">
        <v>1035</v>
      </c>
      <c r="D375" s="14" t="s">
        <v>453</v>
      </c>
      <c r="E375" s="14" t="s">
        <v>123</v>
      </c>
      <c r="F375" s="14">
        <v>372.0</v>
      </c>
      <c r="G375" s="14" t="s">
        <v>537</v>
      </c>
      <c r="H375" s="14" t="s">
        <v>523</v>
      </c>
      <c r="I375" s="14">
        <v>50.0</v>
      </c>
      <c r="J375" s="14">
        <v>2.17</v>
      </c>
    </row>
    <row r="376" ht="15.75" customHeight="1">
      <c r="A376" s="14" t="s">
        <v>174</v>
      </c>
      <c r="B376" s="14" t="s">
        <v>1036</v>
      </c>
      <c r="C376" s="14" t="s">
        <v>1037</v>
      </c>
      <c r="D376" s="14" t="s">
        <v>387</v>
      </c>
      <c r="E376" s="14" t="s">
        <v>118</v>
      </c>
      <c r="F376" s="14">
        <v>373.0</v>
      </c>
      <c r="G376" s="14" t="s">
        <v>537</v>
      </c>
      <c r="H376" s="14" t="s">
        <v>562</v>
      </c>
      <c r="I376" s="14">
        <v>48.5</v>
      </c>
      <c r="J376" s="14">
        <v>6.06</v>
      </c>
    </row>
    <row r="377" ht="15.75" customHeight="1">
      <c r="A377" s="14" t="s">
        <v>174</v>
      </c>
      <c r="B377" s="14" t="s">
        <v>1038</v>
      </c>
      <c r="C377" s="14" t="s">
        <v>1039</v>
      </c>
      <c r="D377" s="14" t="s">
        <v>236</v>
      </c>
      <c r="E377" s="14" t="s">
        <v>121</v>
      </c>
      <c r="F377" s="14">
        <v>374.0</v>
      </c>
      <c r="G377" s="14" t="s">
        <v>537</v>
      </c>
      <c r="H377" s="14" t="s">
        <v>522</v>
      </c>
      <c r="I377" s="14">
        <v>48.0</v>
      </c>
      <c r="J377" s="14">
        <v>2.18</v>
      </c>
    </row>
    <row r="378" ht="15.75" customHeight="1">
      <c r="A378" s="14" t="s">
        <v>174</v>
      </c>
      <c r="B378" s="14" t="s">
        <v>1040</v>
      </c>
      <c r="C378" s="14" t="s">
        <v>1041</v>
      </c>
      <c r="D378" s="14" t="s">
        <v>177</v>
      </c>
      <c r="E378" s="14" t="s">
        <v>118</v>
      </c>
      <c r="F378" s="14">
        <v>375.0</v>
      </c>
      <c r="G378" s="14" t="s">
        <v>537</v>
      </c>
      <c r="H378" s="14" t="s">
        <v>518</v>
      </c>
      <c r="I378" s="14">
        <v>47.25</v>
      </c>
      <c r="J378" s="14">
        <v>2.25</v>
      </c>
    </row>
    <row r="379" ht="15.75" customHeight="1">
      <c r="A379" s="14" t="s">
        <v>174</v>
      </c>
      <c r="B379" s="14" t="s">
        <v>1042</v>
      </c>
      <c r="C379" s="14" t="s">
        <v>1043</v>
      </c>
      <c r="D379" s="14" t="s">
        <v>215</v>
      </c>
      <c r="E379" s="14" t="s">
        <v>118</v>
      </c>
      <c r="F379" s="14">
        <v>376.0</v>
      </c>
      <c r="G379" s="14" t="s">
        <v>537</v>
      </c>
      <c r="H379" s="14" t="s">
        <v>523</v>
      </c>
      <c r="I379" s="14">
        <v>46.5</v>
      </c>
      <c r="J379" s="14">
        <v>3.58</v>
      </c>
    </row>
    <row r="380" ht="15.75" customHeight="1">
      <c r="A380" s="14" t="s">
        <v>174</v>
      </c>
      <c r="B380" s="14" t="s">
        <v>1044</v>
      </c>
      <c r="C380" s="14" t="s">
        <v>1045</v>
      </c>
      <c r="D380" s="14" t="s">
        <v>185</v>
      </c>
      <c r="E380" s="14" t="s">
        <v>118</v>
      </c>
      <c r="F380" s="14">
        <v>377.0</v>
      </c>
      <c r="G380" s="14" t="s">
        <v>537</v>
      </c>
      <c r="H380" s="14" t="s">
        <v>512</v>
      </c>
      <c r="I380" s="14">
        <v>44.5</v>
      </c>
      <c r="J380" s="14">
        <v>2.62</v>
      </c>
    </row>
    <row r="381" ht="15.75" customHeight="1">
      <c r="A381" s="14" t="s">
        <v>174</v>
      </c>
      <c r="B381" s="14" t="s">
        <v>1046</v>
      </c>
      <c r="C381" s="14" t="s">
        <v>1047</v>
      </c>
      <c r="D381" s="14" t="s">
        <v>226</v>
      </c>
      <c r="E381" s="14" t="s">
        <v>115</v>
      </c>
      <c r="F381" s="14">
        <v>378.0</v>
      </c>
      <c r="G381" s="14" t="s">
        <v>537</v>
      </c>
      <c r="H381" s="14" t="s">
        <v>539</v>
      </c>
      <c r="I381" s="14">
        <v>44.5</v>
      </c>
      <c r="J381" s="14">
        <v>3.71</v>
      </c>
    </row>
    <row r="382" ht="15.75" customHeight="1">
      <c r="A382" s="14" t="s">
        <v>174</v>
      </c>
      <c r="B382" s="14" t="s">
        <v>1048</v>
      </c>
      <c r="C382" s="14" t="s">
        <v>1049</v>
      </c>
      <c r="D382" s="14" t="s">
        <v>387</v>
      </c>
      <c r="E382" s="14" t="s">
        <v>118</v>
      </c>
      <c r="F382" s="14">
        <v>379.0</v>
      </c>
      <c r="G382" s="14" t="s">
        <v>537</v>
      </c>
      <c r="H382" s="14" t="s">
        <v>562</v>
      </c>
      <c r="I382" s="14">
        <v>44.0</v>
      </c>
      <c r="J382" s="14">
        <v>2.32</v>
      </c>
    </row>
    <row r="383" ht="15.75" customHeight="1">
      <c r="A383" s="14" t="s">
        <v>174</v>
      </c>
      <c r="B383" s="14" t="s">
        <v>1050</v>
      </c>
      <c r="C383" s="14" t="s">
        <v>1051</v>
      </c>
      <c r="D383" s="14" t="s">
        <v>177</v>
      </c>
      <c r="E383" s="14" t="s">
        <v>123</v>
      </c>
      <c r="F383" s="14">
        <v>380.0</v>
      </c>
      <c r="G383" s="14" t="s">
        <v>537</v>
      </c>
      <c r="H383" s="14" t="s">
        <v>518</v>
      </c>
      <c r="I383" s="14">
        <v>43.0</v>
      </c>
      <c r="J383" s="14">
        <v>1.65</v>
      </c>
    </row>
    <row r="384" ht="15.75" customHeight="1">
      <c r="A384" s="14" t="s">
        <v>174</v>
      </c>
      <c r="B384" s="14" t="s">
        <v>1052</v>
      </c>
      <c r="C384" s="14" t="s">
        <v>1053</v>
      </c>
      <c r="D384" s="14" t="s">
        <v>215</v>
      </c>
      <c r="E384" s="14" t="s">
        <v>118</v>
      </c>
      <c r="F384" s="14">
        <v>381.0</v>
      </c>
      <c r="G384" s="14" t="s">
        <v>537</v>
      </c>
      <c r="H384" s="14" t="s">
        <v>523</v>
      </c>
      <c r="I384" s="14">
        <v>43.0</v>
      </c>
      <c r="J384" s="14">
        <v>1.87</v>
      </c>
    </row>
    <row r="385" ht="15.75" customHeight="1">
      <c r="A385" s="14" t="s">
        <v>174</v>
      </c>
      <c r="B385" s="14" t="s">
        <v>1054</v>
      </c>
      <c r="C385" s="14" t="s">
        <v>1055</v>
      </c>
      <c r="D385" s="14" t="s">
        <v>387</v>
      </c>
      <c r="E385" s="14" t="s">
        <v>118</v>
      </c>
      <c r="F385" s="14">
        <v>382.0</v>
      </c>
      <c r="G385" s="14" t="s">
        <v>537</v>
      </c>
      <c r="H385" s="14" t="s">
        <v>562</v>
      </c>
      <c r="I385" s="14">
        <v>41.75</v>
      </c>
      <c r="J385" s="14">
        <v>2.98</v>
      </c>
    </row>
    <row r="386" ht="15.75" customHeight="1">
      <c r="A386" s="14" t="s">
        <v>174</v>
      </c>
      <c r="B386" s="14" t="s">
        <v>1056</v>
      </c>
      <c r="C386" s="14" t="s">
        <v>1057</v>
      </c>
      <c r="D386" s="14" t="s">
        <v>215</v>
      </c>
      <c r="E386" s="14" t="s">
        <v>118</v>
      </c>
      <c r="F386" s="14">
        <v>383.0</v>
      </c>
      <c r="G386" s="14" t="s">
        <v>537</v>
      </c>
      <c r="H386" s="14" t="s">
        <v>523</v>
      </c>
      <c r="I386" s="14">
        <v>38.5</v>
      </c>
      <c r="J386" s="14">
        <v>1.83</v>
      </c>
    </row>
    <row r="387" ht="15.75" customHeight="1">
      <c r="A387" s="14" t="s">
        <v>174</v>
      </c>
      <c r="B387" s="14" t="s">
        <v>1058</v>
      </c>
      <c r="C387" s="14" t="s">
        <v>1059</v>
      </c>
      <c r="D387" s="14" t="s">
        <v>1060</v>
      </c>
      <c r="E387" s="14" t="s">
        <v>123</v>
      </c>
      <c r="F387" s="14">
        <v>384.0</v>
      </c>
      <c r="G387" s="14" t="s">
        <v>537</v>
      </c>
      <c r="H387" s="14" t="s">
        <v>514</v>
      </c>
      <c r="I387" s="14">
        <v>38.0</v>
      </c>
      <c r="J387" s="14">
        <v>3.17</v>
      </c>
    </row>
    <row r="388" ht="15.75" customHeight="1">
      <c r="A388" s="14" t="s">
        <v>174</v>
      </c>
      <c r="B388" s="14" t="s">
        <v>1061</v>
      </c>
      <c r="C388" s="14" t="s">
        <v>1062</v>
      </c>
      <c r="D388" s="14" t="s">
        <v>221</v>
      </c>
      <c r="E388" s="14" t="s">
        <v>118</v>
      </c>
      <c r="F388" s="14">
        <v>385.0</v>
      </c>
      <c r="G388" s="14" t="s">
        <v>537</v>
      </c>
      <c r="H388" s="14" t="s">
        <v>520</v>
      </c>
      <c r="I388" s="14">
        <v>37.75</v>
      </c>
      <c r="J388" s="14">
        <v>3.77</v>
      </c>
    </row>
    <row r="389" ht="15.75" customHeight="1">
      <c r="A389" s="14" t="s">
        <v>174</v>
      </c>
      <c r="B389" s="14" t="s">
        <v>270</v>
      </c>
      <c r="C389" s="14" t="s">
        <v>271</v>
      </c>
      <c r="D389" s="14" t="s">
        <v>272</v>
      </c>
      <c r="E389" s="14" t="s">
        <v>123</v>
      </c>
      <c r="F389" s="14">
        <v>386.0</v>
      </c>
      <c r="G389" s="14" t="s">
        <v>537</v>
      </c>
      <c r="H389" s="14" t="s">
        <v>539</v>
      </c>
      <c r="I389" s="14">
        <v>37.5</v>
      </c>
      <c r="J389" s="14">
        <v>1.97</v>
      </c>
    </row>
    <row r="390" ht="15.75" customHeight="1">
      <c r="A390" s="14" t="s">
        <v>174</v>
      </c>
      <c r="B390" s="14" t="s">
        <v>1063</v>
      </c>
      <c r="C390" s="14" t="s">
        <v>1064</v>
      </c>
      <c r="D390" s="14" t="s">
        <v>453</v>
      </c>
      <c r="E390" s="14" t="s">
        <v>118</v>
      </c>
      <c r="F390" s="14">
        <v>387.0</v>
      </c>
      <c r="G390" s="14" t="s">
        <v>537</v>
      </c>
      <c r="H390" s="14" t="s">
        <v>523</v>
      </c>
      <c r="I390" s="14">
        <v>35.0</v>
      </c>
      <c r="J390" s="14">
        <v>2.92</v>
      </c>
    </row>
    <row r="391" ht="15.75" customHeight="1">
      <c r="A391" s="14" t="s">
        <v>174</v>
      </c>
      <c r="B391" s="14" t="s">
        <v>1065</v>
      </c>
      <c r="C391" s="14" t="s">
        <v>1066</v>
      </c>
      <c r="D391" s="14" t="s">
        <v>257</v>
      </c>
      <c r="E391" s="14" t="s">
        <v>121</v>
      </c>
      <c r="F391" s="14">
        <v>388.0</v>
      </c>
      <c r="G391" s="14" t="s">
        <v>537</v>
      </c>
      <c r="H391" s="14" t="s">
        <v>531</v>
      </c>
      <c r="I391" s="14">
        <v>34.5</v>
      </c>
      <c r="J391" s="14">
        <v>2.65</v>
      </c>
    </row>
    <row r="392" ht="15.75" customHeight="1">
      <c r="A392" s="14" t="s">
        <v>174</v>
      </c>
      <c r="B392" s="14" t="s">
        <v>1067</v>
      </c>
      <c r="C392" s="14" t="s">
        <v>1068</v>
      </c>
      <c r="D392" s="14" t="s">
        <v>243</v>
      </c>
      <c r="E392" s="14" t="s">
        <v>115</v>
      </c>
      <c r="F392" s="14">
        <v>389.0</v>
      </c>
      <c r="G392" s="14" t="s">
        <v>537</v>
      </c>
      <c r="H392" s="14" t="s">
        <v>531</v>
      </c>
      <c r="I392" s="14">
        <v>34.5</v>
      </c>
      <c r="J392" s="14">
        <v>4.93</v>
      </c>
    </row>
    <row r="393" ht="15.75" customHeight="1">
      <c r="A393" s="14" t="s">
        <v>174</v>
      </c>
      <c r="B393" s="14" t="s">
        <v>1069</v>
      </c>
      <c r="C393" s="14" t="s">
        <v>1070</v>
      </c>
      <c r="D393" s="14" t="s">
        <v>221</v>
      </c>
      <c r="E393" s="14" t="s">
        <v>118</v>
      </c>
      <c r="F393" s="14">
        <v>390.0</v>
      </c>
      <c r="G393" s="14" t="s">
        <v>537</v>
      </c>
      <c r="H393" s="14" t="s">
        <v>520</v>
      </c>
      <c r="I393" s="14">
        <v>34.5</v>
      </c>
      <c r="J393" s="14">
        <v>3.83</v>
      </c>
    </row>
    <row r="394" ht="15.75" customHeight="1">
      <c r="A394" s="14" t="s">
        <v>174</v>
      </c>
      <c r="B394" s="14" t="s">
        <v>1071</v>
      </c>
      <c r="C394" s="14" t="s">
        <v>1072</v>
      </c>
      <c r="D394" s="14" t="s">
        <v>314</v>
      </c>
      <c r="E394" s="14" t="s">
        <v>123</v>
      </c>
      <c r="F394" s="14">
        <v>391.0</v>
      </c>
      <c r="G394" s="14" t="s">
        <v>537</v>
      </c>
      <c r="H394" s="14" t="s">
        <v>528</v>
      </c>
      <c r="I394" s="14">
        <v>34.0</v>
      </c>
      <c r="J394" s="14">
        <v>4.25</v>
      </c>
    </row>
    <row r="395" ht="15.75" customHeight="1">
      <c r="A395" s="14" t="s">
        <v>174</v>
      </c>
      <c r="B395" s="14" t="s">
        <v>419</v>
      </c>
      <c r="C395" s="14" t="s">
        <v>1073</v>
      </c>
      <c r="D395" s="14" t="s">
        <v>215</v>
      </c>
      <c r="E395" s="14" t="s">
        <v>123</v>
      </c>
      <c r="F395" s="14">
        <v>392.0</v>
      </c>
      <c r="G395" s="14" t="s">
        <v>537</v>
      </c>
      <c r="H395" s="14" t="s">
        <v>523</v>
      </c>
      <c r="I395" s="14">
        <v>34.0</v>
      </c>
      <c r="J395" s="14">
        <v>4.25</v>
      </c>
    </row>
    <row r="396" ht="15.75" customHeight="1">
      <c r="A396" s="14" t="s">
        <v>174</v>
      </c>
      <c r="B396" s="14" t="s">
        <v>1074</v>
      </c>
      <c r="C396" s="14" t="s">
        <v>1075</v>
      </c>
      <c r="D396" s="14" t="s">
        <v>199</v>
      </c>
      <c r="E396" s="14" t="s">
        <v>115</v>
      </c>
      <c r="F396" s="14">
        <v>393.0</v>
      </c>
      <c r="G396" s="14" t="s">
        <v>537</v>
      </c>
      <c r="H396" s="14" t="s">
        <v>514</v>
      </c>
      <c r="I396" s="14">
        <v>33.5</v>
      </c>
      <c r="J396" s="14">
        <v>4.79</v>
      </c>
    </row>
    <row r="397" ht="15.75" customHeight="1">
      <c r="A397" s="14" t="s">
        <v>174</v>
      </c>
      <c r="B397" s="14" t="s">
        <v>1076</v>
      </c>
      <c r="C397" s="14" t="s">
        <v>1077</v>
      </c>
      <c r="D397" s="14" t="s">
        <v>913</v>
      </c>
      <c r="E397" s="14" t="s">
        <v>118</v>
      </c>
      <c r="F397" s="14">
        <v>394.0</v>
      </c>
      <c r="G397" s="14" t="s">
        <v>537</v>
      </c>
      <c r="H397" s="14" t="s">
        <v>514</v>
      </c>
      <c r="I397" s="14">
        <v>33.5</v>
      </c>
      <c r="J397" s="14">
        <v>1.97</v>
      </c>
    </row>
    <row r="398" ht="15.75" customHeight="1">
      <c r="A398" s="14" t="s">
        <v>174</v>
      </c>
      <c r="B398" s="14" t="s">
        <v>1078</v>
      </c>
      <c r="C398" s="14" t="s">
        <v>1079</v>
      </c>
      <c r="D398" s="14" t="s">
        <v>387</v>
      </c>
      <c r="E398" s="14" t="s">
        <v>118</v>
      </c>
      <c r="F398" s="14">
        <v>395.0</v>
      </c>
      <c r="G398" s="14" t="s">
        <v>537</v>
      </c>
      <c r="H398" s="14" t="s">
        <v>562</v>
      </c>
      <c r="I398" s="14">
        <v>32.75</v>
      </c>
      <c r="J398" s="14">
        <v>2.98</v>
      </c>
    </row>
    <row r="399" ht="15.75" customHeight="1">
      <c r="A399" s="14" t="s">
        <v>174</v>
      </c>
      <c r="B399" s="14" t="s">
        <v>1080</v>
      </c>
      <c r="C399" s="14" t="s">
        <v>1081</v>
      </c>
      <c r="D399" s="14" t="s">
        <v>257</v>
      </c>
      <c r="E399" s="14" t="s">
        <v>118</v>
      </c>
      <c r="F399" s="14">
        <v>396.0</v>
      </c>
      <c r="G399" s="14" t="s">
        <v>537</v>
      </c>
      <c r="H399" s="14" t="s">
        <v>531</v>
      </c>
      <c r="I399" s="14">
        <v>32.75</v>
      </c>
      <c r="J399" s="14">
        <v>4.68</v>
      </c>
    </row>
    <row r="400" ht="15.75" customHeight="1">
      <c r="A400" s="14" t="s">
        <v>174</v>
      </c>
      <c r="B400" s="14" t="s">
        <v>1082</v>
      </c>
      <c r="C400" s="14" t="s">
        <v>1083</v>
      </c>
      <c r="D400" s="14" t="s">
        <v>327</v>
      </c>
      <c r="E400" s="14" t="s">
        <v>118</v>
      </c>
      <c r="F400" s="14">
        <v>397.0</v>
      </c>
      <c r="G400" s="14" t="s">
        <v>537</v>
      </c>
      <c r="H400" s="14" t="s">
        <v>518</v>
      </c>
      <c r="I400" s="14">
        <v>32.25</v>
      </c>
      <c r="J400" s="14">
        <v>1.54</v>
      </c>
    </row>
    <row r="401" ht="15.75" customHeight="1">
      <c r="A401" s="14" t="s">
        <v>174</v>
      </c>
      <c r="B401" s="14" t="s">
        <v>1084</v>
      </c>
      <c r="C401" s="14" t="s">
        <v>1085</v>
      </c>
      <c r="D401" s="14" t="s">
        <v>191</v>
      </c>
      <c r="E401" s="14" t="s">
        <v>121</v>
      </c>
      <c r="F401" s="14">
        <v>398.0</v>
      </c>
      <c r="G401" s="14" t="s">
        <v>524</v>
      </c>
      <c r="H401" s="14" t="s">
        <v>520</v>
      </c>
      <c r="I401" s="14">
        <v>32.0</v>
      </c>
      <c r="J401" s="14">
        <v>5.33</v>
      </c>
    </row>
    <row r="402" ht="15.75" customHeight="1">
      <c r="A402" s="14" t="s">
        <v>174</v>
      </c>
      <c r="B402" s="14" t="s">
        <v>1086</v>
      </c>
      <c r="C402" s="14" t="s">
        <v>1087</v>
      </c>
      <c r="D402" s="14" t="s">
        <v>305</v>
      </c>
      <c r="E402" s="14" t="s">
        <v>118</v>
      </c>
      <c r="F402" s="14">
        <v>399.0</v>
      </c>
      <c r="G402" s="14" t="s">
        <v>537</v>
      </c>
      <c r="H402" s="14" t="s">
        <v>539</v>
      </c>
      <c r="I402" s="14">
        <v>31.5</v>
      </c>
      <c r="J402" s="14">
        <v>2.42</v>
      </c>
    </row>
    <row r="403" ht="15.75" customHeight="1">
      <c r="A403" s="14" t="s">
        <v>174</v>
      </c>
      <c r="B403" s="14" t="s">
        <v>1088</v>
      </c>
      <c r="C403" s="14" t="s">
        <v>1089</v>
      </c>
      <c r="D403" s="14" t="s">
        <v>314</v>
      </c>
      <c r="E403" s="14" t="s">
        <v>115</v>
      </c>
      <c r="F403" s="14">
        <v>400.0</v>
      </c>
      <c r="G403" s="14" t="s">
        <v>537</v>
      </c>
      <c r="H403" s="14" t="s">
        <v>528</v>
      </c>
      <c r="I403" s="14">
        <v>31.5</v>
      </c>
      <c r="J403" s="14">
        <v>10.5</v>
      </c>
    </row>
    <row r="404" ht="15.75" customHeight="1">
      <c r="A404" s="14" t="s">
        <v>174</v>
      </c>
      <c r="B404" s="14" t="s">
        <v>1090</v>
      </c>
      <c r="C404" s="14" t="s">
        <v>1091</v>
      </c>
      <c r="D404" s="14" t="s">
        <v>1092</v>
      </c>
      <c r="E404" s="14" t="s">
        <v>121</v>
      </c>
      <c r="F404" s="14">
        <v>401.0</v>
      </c>
      <c r="G404" s="14" t="s">
        <v>537</v>
      </c>
      <c r="H404" s="14" t="s">
        <v>562</v>
      </c>
      <c r="I404" s="14">
        <v>31.5</v>
      </c>
      <c r="J404" s="14">
        <v>2.62</v>
      </c>
    </row>
    <row r="405" ht="15.75" customHeight="1">
      <c r="A405" s="14" t="s">
        <v>174</v>
      </c>
      <c r="B405" s="14" t="s">
        <v>427</v>
      </c>
      <c r="C405" s="14" t="s">
        <v>428</v>
      </c>
      <c r="D405" s="14" t="s">
        <v>180</v>
      </c>
      <c r="E405" s="14" t="s">
        <v>115</v>
      </c>
      <c r="F405" s="14">
        <v>402.0</v>
      </c>
      <c r="G405" s="14" t="s">
        <v>537</v>
      </c>
      <c r="H405" s="14" t="s">
        <v>514</v>
      </c>
      <c r="I405" s="14">
        <v>31.5</v>
      </c>
      <c r="J405" s="14">
        <v>7.88</v>
      </c>
    </row>
    <row r="406" ht="15.75" customHeight="1">
      <c r="A406" s="14" t="s">
        <v>174</v>
      </c>
      <c r="B406" s="14" t="s">
        <v>1093</v>
      </c>
      <c r="C406" s="14" t="s">
        <v>1094</v>
      </c>
      <c r="D406" s="14" t="s">
        <v>566</v>
      </c>
      <c r="E406" s="14" t="s">
        <v>118</v>
      </c>
      <c r="F406" s="14">
        <v>403.0</v>
      </c>
      <c r="G406" s="14" t="s">
        <v>537</v>
      </c>
      <c r="H406" s="14" t="s">
        <v>562</v>
      </c>
      <c r="I406" s="14">
        <v>29.75</v>
      </c>
      <c r="J406" s="14">
        <v>2.12</v>
      </c>
    </row>
    <row r="407" ht="15.75" customHeight="1">
      <c r="A407" s="14" t="s">
        <v>174</v>
      </c>
      <c r="B407" s="14" t="s">
        <v>443</v>
      </c>
      <c r="C407" s="14" t="s">
        <v>444</v>
      </c>
      <c r="D407" s="14" t="s">
        <v>231</v>
      </c>
      <c r="E407" s="14" t="s">
        <v>121</v>
      </c>
      <c r="F407" s="14">
        <v>404.0</v>
      </c>
      <c r="G407" s="14" t="s">
        <v>537</v>
      </c>
      <c r="H407" s="14" t="s">
        <v>512</v>
      </c>
      <c r="I407" s="14">
        <v>29.0</v>
      </c>
      <c r="J407" s="14">
        <v>4.83</v>
      </c>
    </row>
    <row r="408" ht="15.75" customHeight="1">
      <c r="A408" s="14" t="s">
        <v>174</v>
      </c>
      <c r="B408" s="14" t="s">
        <v>1095</v>
      </c>
      <c r="C408" s="14" t="s">
        <v>1096</v>
      </c>
      <c r="D408" s="14" t="s">
        <v>231</v>
      </c>
      <c r="E408" s="14" t="s">
        <v>123</v>
      </c>
      <c r="F408" s="14">
        <v>405.0</v>
      </c>
      <c r="G408" s="14" t="s">
        <v>537</v>
      </c>
      <c r="H408" s="14" t="s">
        <v>512</v>
      </c>
      <c r="I408" s="14">
        <v>28.5</v>
      </c>
      <c r="J408" s="14">
        <v>3.17</v>
      </c>
    </row>
    <row r="409" ht="15.75" customHeight="1">
      <c r="A409" s="14" t="s">
        <v>174</v>
      </c>
      <c r="B409" s="14" t="s">
        <v>1097</v>
      </c>
      <c r="C409" s="14" t="s">
        <v>1098</v>
      </c>
      <c r="D409" s="14" t="s">
        <v>1099</v>
      </c>
      <c r="E409" s="14" t="s">
        <v>121</v>
      </c>
      <c r="F409" s="14">
        <v>406.0</v>
      </c>
      <c r="G409" s="14" t="s">
        <v>537</v>
      </c>
      <c r="H409" s="14" t="s">
        <v>531</v>
      </c>
      <c r="I409" s="14">
        <v>28.0</v>
      </c>
      <c r="J409" s="14">
        <v>2.0</v>
      </c>
    </row>
    <row r="410" ht="15.75" customHeight="1">
      <c r="A410" s="14" t="s">
        <v>174</v>
      </c>
      <c r="B410" s="14" t="s">
        <v>467</v>
      </c>
      <c r="C410" s="14" t="s">
        <v>468</v>
      </c>
      <c r="D410" s="14" t="s">
        <v>188</v>
      </c>
      <c r="E410" s="14" t="s">
        <v>118</v>
      </c>
      <c r="F410" s="14">
        <v>407.0</v>
      </c>
      <c r="G410" s="14" t="s">
        <v>537</v>
      </c>
      <c r="H410" s="14" t="s">
        <v>528</v>
      </c>
      <c r="I410" s="14">
        <v>27.75</v>
      </c>
      <c r="J410" s="14">
        <v>1.26</v>
      </c>
    </row>
    <row r="411" ht="15.75" customHeight="1">
      <c r="A411" s="14" t="s">
        <v>174</v>
      </c>
      <c r="B411" s="14" t="s">
        <v>1100</v>
      </c>
      <c r="C411" s="14" t="s">
        <v>1101</v>
      </c>
      <c r="D411" s="14" t="s">
        <v>566</v>
      </c>
      <c r="E411" s="14" t="s">
        <v>118</v>
      </c>
      <c r="F411" s="14">
        <v>408.0</v>
      </c>
      <c r="G411" s="14" t="s">
        <v>537</v>
      </c>
      <c r="H411" s="14" t="s">
        <v>562</v>
      </c>
      <c r="I411" s="14">
        <v>27.0</v>
      </c>
      <c r="J411" s="14">
        <v>2.45</v>
      </c>
    </row>
    <row r="412" ht="15.75" customHeight="1">
      <c r="A412" s="14" t="s">
        <v>174</v>
      </c>
      <c r="B412" s="14" t="s">
        <v>423</v>
      </c>
      <c r="C412" s="14" t="s">
        <v>424</v>
      </c>
      <c r="D412" s="14" t="s">
        <v>191</v>
      </c>
      <c r="E412" s="14" t="s">
        <v>118</v>
      </c>
      <c r="F412" s="14">
        <v>409.0</v>
      </c>
      <c r="G412" s="14" t="s">
        <v>537</v>
      </c>
      <c r="H412" s="14" t="s">
        <v>520</v>
      </c>
      <c r="I412" s="14">
        <v>26.25</v>
      </c>
      <c r="J412" s="14">
        <v>1.31</v>
      </c>
    </row>
    <row r="413" ht="15.75" customHeight="1">
      <c r="A413" s="14" t="s">
        <v>174</v>
      </c>
      <c r="B413" s="14" t="s">
        <v>1102</v>
      </c>
      <c r="C413" s="14" t="s">
        <v>1103</v>
      </c>
      <c r="D413" s="14" t="s">
        <v>243</v>
      </c>
      <c r="E413" s="14" t="s">
        <v>118</v>
      </c>
      <c r="F413" s="14">
        <v>410.0</v>
      </c>
      <c r="G413" s="14" t="s">
        <v>537</v>
      </c>
      <c r="H413" s="14" t="s">
        <v>531</v>
      </c>
      <c r="I413" s="14">
        <v>26.0</v>
      </c>
      <c r="J413" s="14">
        <v>2.6</v>
      </c>
    </row>
    <row r="414" ht="15.75" customHeight="1">
      <c r="A414" s="14" t="s">
        <v>174</v>
      </c>
      <c r="B414" s="14" t="s">
        <v>1104</v>
      </c>
      <c r="C414" s="14" t="s">
        <v>1105</v>
      </c>
      <c r="D414" s="14" t="s">
        <v>1106</v>
      </c>
      <c r="E414" s="14" t="s">
        <v>123</v>
      </c>
      <c r="F414" s="14">
        <v>411.0</v>
      </c>
      <c r="G414" s="14" t="s">
        <v>537</v>
      </c>
      <c r="H414" s="14" t="s">
        <v>531</v>
      </c>
      <c r="I414" s="14">
        <v>26.0</v>
      </c>
      <c r="J414" s="14">
        <v>1.73</v>
      </c>
    </row>
    <row r="415" ht="15.75" customHeight="1">
      <c r="A415" s="14" t="s">
        <v>174</v>
      </c>
      <c r="B415" s="14" t="s">
        <v>1107</v>
      </c>
      <c r="C415" s="14" t="s">
        <v>1108</v>
      </c>
      <c r="D415" s="14" t="s">
        <v>285</v>
      </c>
      <c r="E415" s="14" t="s">
        <v>118</v>
      </c>
      <c r="F415" s="14">
        <v>412.0</v>
      </c>
      <c r="G415" s="14" t="s">
        <v>537</v>
      </c>
      <c r="H415" s="14" t="s">
        <v>522</v>
      </c>
      <c r="I415" s="14">
        <v>25.5</v>
      </c>
      <c r="J415" s="14">
        <v>3.64</v>
      </c>
    </row>
    <row r="416" ht="15.75" customHeight="1">
      <c r="A416" s="14" t="s">
        <v>174</v>
      </c>
      <c r="B416" s="14" t="s">
        <v>1109</v>
      </c>
      <c r="C416" s="14" t="s">
        <v>1110</v>
      </c>
      <c r="D416" s="14" t="s">
        <v>387</v>
      </c>
      <c r="E416" s="14" t="s">
        <v>118</v>
      </c>
      <c r="F416" s="14">
        <v>413.0</v>
      </c>
      <c r="G416" s="14" t="s">
        <v>537</v>
      </c>
      <c r="H416" s="14" t="s">
        <v>562</v>
      </c>
      <c r="I416" s="14">
        <v>25.0</v>
      </c>
      <c r="J416" s="14">
        <v>2.78</v>
      </c>
    </row>
    <row r="417" ht="15.75" customHeight="1">
      <c r="A417" s="14" t="s">
        <v>174</v>
      </c>
      <c r="B417" s="14" t="s">
        <v>1111</v>
      </c>
      <c r="C417" s="14" t="s">
        <v>1112</v>
      </c>
      <c r="D417" s="14" t="s">
        <v>180</v>
      </c>
      <c r="E417" s="14" t="s">
        <v>118</v>
      </c>
      <c r="F417" s="14">
        <v>414.0</v>
      </c>
      <c r="G417" s="14" t="s">
        <v>537</v>
      </c>
      <c r="H417" s="14" t="s">
        <v>514</v>
      </c>
      <c r="I417" s="14">
        <v>24.5</v>
      </c>
      <c r="J417" s="14">
        <v>2.23</v>
      </c>
    </row>
    <row r="418" ht="15.75" customHeight="1">
      <c r="A418" s="14" t="s">
        <v>174</v>
      </c>
      <c r="B418" s="14" t="s">
        <v>1113</v>
      </c>
      <c r="C418" s="14" t="s">
        <v>1114</v>
      </c>
      <c r="D418" s="14" t="s">
        <v>1115</v>
      </c>
      <c r="E418" s="14" t="s">
        <v>121</v>
      </c>
      <c r="F418" s="14">
        <v>415.0</v>
      </c>
      <c r="G418" s="14" t="s">
        <v>537</v>
      </c>
      <c r="H418" s="14" t="s">
        <v>522</v>
      </c>
      <c r="I418" s="14">
        <v>23.5</v>
      </c>
      <c r="J418" s="14">
        <v>1.68</v>
      </c>
    </row>
    <row r="419" ht="15.75" customHeight="1">
      <c r="A419" s="14" t="s">
        <v>174</v>
      </c>
      <c r="B419" s="14" t="s">
        <v>1116</v>
      </c>
      <c r="C419" s="14" t="s">
        <v>1117</v>
      </c>
      <c r="D419" s="14" t="s">
        <v>566</v>
      </c>
      <c r="E419" s="14" t="s">
        <v>115</v>
      </c>
      <c r="F419" s="14">
        <v>416.0</v>
      </c>
      <c r="G419" s="14" t="s">
        <v>537</v>
      </c>
      <c r="H419" s="14" t="s">
        <v>562</v>
      </c>
      <c r="I419" s="14">
        <v>23.0</v>
      </c>
      <c r="J419" s="14">
        <v>7.67</v>
      </c>
    </row>
    <row r="420" ht="15.75" customHeight="1">
      <c r="A420" s="14" t="s">
        <v>174</v>
      </c>
      <c r="B420" s="14" t="s">
        <v>1118</v>
      </c>
      <c r="C420" s="14" t="s">
        <v>1119</v>
      </c>
      <c r="D420" s="14" t="s">
        <v>1120</v>
      </c>
      <c r="E420" s="14" t="s">
        <v>118</v>
      </c>
      <c r="F420" s="14">
        <v>417.0</v>
      </c>
      <c r="G420" s="14" t="s">
        <v>537</v>
      </c>
      <c r="H420" s="14" t="s">
        <v>522</v>
      </c>
      <c r="I420" s="14">
        <v>22.25</v>
      </c>
      <c r="J420" s="14">
        <v>4.45</v>
      </c>
    </row>
    <row r="421" ht="15.75" customHeight="1">
      <c r="A421" s="14" t="s">
        <v>174</v>
      </c>
      <c r="B421" s="14" t="s">
        <v>1121</v>
      </c>
      <c r="C421" s="14" t="s">
        <v>1122</v>
      </c>
      <c r="D421" s="14" t="s">
        <v>243</v>
      </c>
      <c r="E421" s="14" t="s">
        <v>118</v>
      </c>
      <c r="F421" s="14">
        <v>418.0</v>
      </c>
      <c r="G421" s="14" t="s">
        <v>537</v>
      </c>
      <c r="H421" s="14" t="s">
        <v>531</v>
      </c>
      <c r="I421" s="14">
        <v>22.0</v>
      </c>
      <c r="J421" s="14">
        <v>7.33</v>
      </c>
    </row>
    <row r="422" ht="15.75" customHeight="1">
      <c r="A422" s="14" t="s">
        <v>174</v>
      </c>
      <c r="B422" s="14" t="s">
        <v>1123</v>
      </c>
      <c r="C422" s="14" t="s">
        <v>1124</v>
      </c>
      <c r="D422" s="14" t="s">
        <v>243</v>
      </c>
      <c r="E422" s="14" t="s">
        <v>121</v>
      </c>
      <c r="F422" s="14">
        <v>419.0</v>
      </c>
      <c r="G422" s="14" t="s">
        <v>537</v>
      </c>
      <c r="H422" s="14" t="s">
        <v>531</v>
      </c>
      <c r="I422" s="14">
        <v>21.5</v>
      </c>
      <c r="J422" s="14">
        <v>1.95</v>
      </c>
    </row>
    <row r="423" ht="15.75" customHeight="1">
      <c r="A423" s="14" t="s">
        <v>174</v>
      </c>
      <c r="B423" s="14" t="s">
        <v>1125</v>
      </c>
      <c r="C423" s="14" t="s">
        <v>1126</v>
      </c>
      <c r="D423" s="14" t="s">
        <v>1115</v>
      </c>
      <c r="E423" s="14" t="s">
        <v>115</v>
      </c>
      <c r="F423" s="14">
        <v>420.0</v>
      </c>
      <c r="G423" s="14" t="s">
        <v>537</v>
      </c>
      <c r="H423" s="14" t="s">
        <v>522</v>
      </c>
      <c r="I423" s="14">
        <v>21.25</v>
      </c>
      <c r="J423" s="14">
        <v>7.08</v>
      </c>
    </row>
    <row r="424" ht="15.75" customHeight="1">
      <c r="A424" s="14" t="s">
        <v>174</v>
      </c>
      <c r="B424" s="14" t="s">
        <v>1127</v>
      </c>
      <c r="C424" s="14" t="s">
        <v>1128</v>
      </c>
      <c r="D424" s="14" t="s">
        <v>327</v>
      </c>
      <c r="E424" s="14" t="s">
        <v>118</v>
      </c>
      <c r="F424" s="14">
        <v>421.0</v>
      </c>
      <c r="G424" s="14" t="s">
        <v>537</v>
      </c>
      <c r="H424" s="14" t="s">
        <v>518</v>
      </c>
      <c r="I424" s="14">
        <v>20.25</v>
      </c>
      <c r="J424" s="14">
        <v>5.06</v>
      </c>
    </row>
    <row r="425" ht="15.75" customHeight="1">
      <c r="A425" s="14" t="s">
        <v>174</v>
      </c>
      <c r="B425" s="14" t="s">
        <v>1129</v>
      </c>
      <c r="C425" s="14" t="s">
        <v>1130</v>
      </c>
      <c r="D425" s="14" t="s">
        <v>314</v>
      </c>
      <c r="E425" s="14" t="s">
        <v>118</v>
      </c>
      <c r="F425" s="14">
        <v>422.0</v>
      </c>
      <c r="G425" s="14" t="s">
        <v>537</v>
      </c>
      <c r="H425" s="14" t="s">
        <v>528</v>
      </c>
      <c r="I425" s="14">
        <v>20.0</v>
      </c>
      <c r="J425" s="14">
        <v>2.5</v>
      </c>
    </row>
    <row r="426" ht="15.75" customHeight="1">
      <c r="A426" s="14" t="s">
        <v>174</v>
      </c>
      <c r="B426" s="14" t="s">
        <v>1131</v>
      </c>
      <c r="C426" s="14" t="s">
        <v>1132</v>
      </c>
      <c r="D426" s="14" t="s">
        <v>236</v>
      </c>
      <c r="E426" s="14" t="s">
        <v>118</v>
      </c>
      <c r="F426" s="14">
        <v>423.0</v>
      </c>
      <c r="G426" s="14" t="s">
        <v>537</v>
      </c>
      <c r="H426" s="14" t="s">
        <v>522</v>
      </c>
      <c r="I426" s="14">
        <v>19.75</v>
      </c>
      <c r="J426" s="14">
        <v>2.19</v>
      </c>
    </row>
    <row r="427" ht="15.75" customHeight="1">
      <c r="A427" s="14" t="s">
        <v>174</v>
      </c>
      <c r="B427" s="14" t="s">
        <v>1133</v>
      </c>
      <c r="C427" s="14" t="s">
        <v>1134</v>
      </c>
      <c r="D427" s="14" t="s">
        <v>453</v>
      </c>
      <c r="E427" s="14" t="s">
        <v>121</v>
      </c>
      <c r="F427" s="14">
        <v>424.0</v>
      </c>
      <c r="G427" s="14" t="s">
        <v>537</v>
      </c>
      <c r="H427" s="14" t="s">
        <v>523</v>
      </c>
      <c r="I427" s="14">
        <v>19.5</v>
      </c>
      <c r="J427" s="14">
        <v>1.77</v>
      </c>
    </row>
    <row r="428" ht="15.75" customHeight="1">
      <c r="A428" s="14" t="s">
        <v>174</v>
      </c>
      <c r="B428" s="14" t="s">
        <v>1135</v>
      </c>
      <c r="C428" s="14" t="s">
        <v>1136</v>
      </c>
      <c r="D428" s="14" t="s">
        <v>188</v>
      </c>
      <c r="E428" s="14" t="s">
        <v>121</v>
      </c>
      <c r="F428" s="14">
        <v>425.0</v>
      </c>
      <c r="G428" s="14" t="s">
        <v>537</v>
      </c>
      <c r="H428" s="14" t="s">
        <v>528</v>
      </c>
      <c r="I428" s="14">
        <v>19.5</v>
      </c>
      <c r="J428" s="14">
        <v>1.62</v>
      </c>
    </row>
    <row r="429" ht="15.75" customHeight="1">
      <c r="A429" s="14" t="s">
        <v>174</v>
      </c>
      <c r="B429" s="14" t="s">
        <v>1137</v>
      </c>
      <c r="C429" s="14" t="s">
        <v>1138</v>
      </c>
      <c r="D429" s="14" t="s">
        <v>305</v>
      </c>
      <c r="E429" s="14" t="s">
        <v>121</v>
      </c>
      <c r="F429" s="14">
        <v>426.0</v>
      </c>
      <c r="G429" s="14" t="s">
        <v>537</v>
      </c>
      <c r="H429" s="14" t="s">
        <v>539</v>
      </c>
      <c r="I429" s="14">
        <v>19.5</v>
      </c>
      <c r="J429" s="14">
        <v>2.79</v>
      </c>
    </row>
    <row r="430" ht="15.75" customHeight="1">
      <c r="A430" s="14" t="s">
        <v>174</v>
      </c>
      <c r="B430" s="14" t="s">
        <v>1139</v>
      </c>
      <c r="C430" s="14" t="s">
        <v>1140</v>
      </c>
      <c r="D430" s="14" t="s">
        <v>1141</v>
      </c>
      <c r="E430" s="14" t="s">
        <v>123</v>
      </c>
      <c r="F430" s="14">
        <v>427.0</v>
      </c>
      <c r="G430" s="14" t="s">
        <v>537</v>
      </c>
      <c r="H430" s="14" t="s">
        <v>518</v>
      </c>
      <c r="I430" s="14">
        <v>18.0</v>
      </c>
      <c r="J430" s="14">
        <v>1.8</v>
      </c>
    </row>
    <row r="431" ht="15.75" customHeight="1">
      <c r="A431" s="14" t="s">
        <v>174</v>
      </c>
      <c r="B431" s="14" t="s">
        <v>1142</v>
      </c>
      <c r="C431" s="14" t="s">
        <v>1143</v>
      </c>
      <c r="D431" s="14" t="s">
        <v>1144</v>
      </c>
      <c r="E431" s="14" t="s">
        <v>123</v>
      </c>
      <c r="F431" s="14">
        <v>428.0</v>
      </c>
      <c r="G431" s="14" t="s">
        <v>537</v>
      </c>
      <c r="H431" s="14" t="s">
        <v>523</v>
      </c>
      <c r="I431" s="14">
        <v>18.0</v>
      </c>
      <c r="J431" s="14">
        <v>0.75</v>
      </c>
    </row>
    <row r="432" ht="15.75" customHeight="1">
      <c r="A432" s="14" t="s">
        <v>174</v>
      </c>
      <c r="B432" s="14" t="s">
        <v>1145</v>
      </c>
      <c r="C432" s="14" t="s">
        <v>1146</v>
      </c>
      <c r="D432" s="14" t="s">
        <v>185</v>
      </c>
      <c r="E432" s="14" t="s">
        <v>115</v>
      </c>
      <c r="F432" s="14">
        <v>429.0</v>
      </c>
      <c r="G432" s="14" t="s">
        <v>537</v>
      </c>
      <c r="H432" s="14" t="s">
        <v>512</v>
      </c>
      <c r="I432" s="14">
        <v>17.75</v>
      </c>
      <c r="J432" s="14">
        <v>2.96</v>
      </c>
    </row>
    <row r="433" ht="15.75" customHeight="1">
      <c r="A433" s="14" t="s">
        <v>174</v>
      </c>
      <c r="B433" s="14" t="s">
        <v>1147</v>
      </c>
      <c r="C433" s="14" t="s">
        <v>1148</v>
      </c>
      <c r="D433" s="14" t="s">
        <v>180</v>
      </c>
      <c r="E433" s="14" t="s">
        <v>121</v>
      </c>
      <c r="F433" s="14">
        <v>430.0</v>
      </c>
      <c r="G433" s="14" t="s">
        <v>537</v>
      </c>
      <c r="H433" s="14" t="s">
        <v>514</v>
      </c>
      <c r="I433" s="14">
        <v>17.5</v>
      </c>
      <c r="J433" s="14">
        <v>2.92</v>
      </c>
    </row>
    <row r="434" ht="15.75" customHeight="1">
      <c r="A434" s="14" t="s">
        <v>174</v>
      </c>
      <c r="B434" s="14" t="s">
        <v>1149</v>
      </c>
      <c r="C434" s="14" t="s">
        <v>1150</v>
      </c>
      <c r="D434" s="14" t="s">
        <v>1151</v>
      </c>
      <c r="E434" s="14" t="s">
        <v>123</v>
      </c>
      <c r="F434" s="14">
        <v>431.0</v>
      </c>
      <c r="G434" s="14" t="s">
        <v>537</v>
      </c>
      <c r="H434" s="14" t="s">
        <v>528</v>
      </c>
      <c r="I434" s="14">
        <v>17.0</v>
      </c>
      <c r="J434" s="14">
        <v>1.7</v>
      </c>
    </row>
    <row r="435" ht="15.75" customHeight="1">
      <c r="A435" s="14" t="s">
        <v>174</v>
      </c>
      <c r="B435" s="14" t="s">
        <v>1152</v>
      </c>
      <c r="C435" s="14" t="s">
        <v>1153</v>
      </c>
      <c r="D435" s="14" t="s">
        <v>285</v>
      </c>
      <c r="E435" s="14" t="s">
        <v>123</v>
      </c>
      <c r="F435" s="14">
        <v>432.0</v>
      </c>
      <c r="G435" s="14" t="s">
        <v>537</v>
      </c>
      <c r="H435" s="14" t="s">
        <v>522</v>
      </c>
      <c r="I435" s="14">
        <v>17.0</v>
      </c>
      <c r="J435" s="14">
        <v>0.74</v>
      </c>
    </row>
    <row r="436" ht="15.75" customHeight="1">
      <c r="A436" s="14" t="s">
        <v>174</v>
      </c>
      <c r="B436" s="14" t="s">
        <v>1154</v>
      </c>
      <c r="C436" s="14" t="s">
        <v>1155</v>
      </c>
      <c r="D436" s="14" t="s">
        <v>180</v>
      </c>
      <c r="E436" s="14" t="s">
        <v>118</v>
      </c>
      <c r="F436" s="14">
        <v>433.0</v>
      </c>
      <c r="G436" s="14" t="s">
        <v>537</v>
      </c>
      <c r="H436" s="14" t="s">
        <v>514</v>
      </c>
      <c r="I436" s="14">
        <v>16.5</v>
      </c>
      <c r="J436" s="14">
        <v>8.25</v>
      </c>
    </row>
    <row r="437" ht="15.75" customHeight="1">
      <c r="A437" s="14" t="s">
        <v>174</v>
      </c>
      <c r="B437" s="14" t="s">
        <v>1156</v>
      </c>
      <c r="C437" s="14" t="s">
        <v>1157</v>
      </c>
      <c r="D437" s="14" t="s">
        <v>327</v>
      </c>
      <c r="E437" s="14" t="s">
        <v>121</v>
      </c>
      <c r="F437" s="14">
        <v>434.0</v>
      </c>
      <c r="G437" s="14" t="s">
        <v>537</v>
      </c>
      <c r="H437" s="14" t="s">
        <v>518</v>
      </c>
      <c r="I437" s="14">
        <v>16.5</v>
      </c>
      <c r="J437" s="14">
        <v>2.75</v>
      </c>
    </row>
    <row r="438" ht="15.75" customHeight="1">
      <c r="A438" s="14" t="s">
        <v>174</v>
      </c>
      <c r="B438" s="14" t="s">
        <v>1158</v>
      </c>
      <c r="C438" s="14" t="s">
        <v>1159</v>
      </c>
      <c r="D438" s="14" t="s">
        <v>566</v>
      </c>
      <c r="E438" s="14" t="s">
        <v>118</v>
      </c>
      <c r="F438" s="14">
        <v>435.0</v>
      </c>
      <c r="G438" s="14" t="s">
        <v>537</v>
      </c>
      <c r="H438" s="14" t="s">
        <v>562</v>
      </c>
      <c r="I438" s="14">
        <v>16.5</v>
      </c>
      <c r="J438" s="14">
        <v>2.36</v>
      </c>
    </row>
    <row r="439" ht="15.75" customHeight="1">
      <c r="A439" s="14" t="s">
        <v>174</v>
      </c>
      <c r="B439" s="14" t="s">
        <v>1160</v>
      </c>
      <c r="C439" s="14" t="s">
        <v>1161</v>
      </c>
      <c r="D439" s="14" t="s">
        <v>221</v>
      </c>
      <c r="E439" s="14" t="s">
        <v>115</v>
      </c>
      <c r="F439" s="14">
        <v>436.0</v>
      </c>
      <c r="G439" s="14" t="s">
        <v>537</v>
      </c>
      <c r="H439" s="14" t="s">
        <v>520</v>
      </c>
      <c r="I439" s="14">
        <v>16.25</v>
      </c>
      <c r="J439" s="14">
        <v>16.25</v>
      </c>
    </row>
    <row r="440" ht="15.75" customHeight="1">
      <c r="A440" s="14" t="s">
        <v>174</v>
      </c>
      <c r="B440" s="14" t="s">
        <v>1162</v>
      </c>
      <c r="C440" s="14" t="s">
        <v>1163</v>
      </c>
      <c r="D440" s="14" t="s">
        <v>236</v>
      </c>
      <c r="E440" s="14" t="s">
        <v>123</v>
      </c>
      <c r="F440" s="14">
        <v>437.0</v>
      </c>
      <c r="G440" s="14" t="s">
        <v>537</v>
      </c>
      <c r="H440" s="14" t="s">
        <v>522</v>
      </c>
      <c r="I440" s="14">
        <v>16.0</v>
      </c>
      <c r="J440" s="14">
        <v>4.0</v>
      </c>
    </row>
    <row r="441" ht="15.75" customHeight="1">
      <c r="A441" s="14" t="s">
        <v>174</v>
      </c>
      <c r="B441" s="14" t="s">
        <v>1164</v>
      </c>
      <c r="C441" s="14" t="s">
        <v>1165</v>
      </c>
      <c r="D441" s="14" t="s">
        <v>387</v>
      </c>
      <c r="E441" s="14" t="s">
        <v>123</v>
      </c>
      <c r="F441" s="14">
        <v>438.0</v>
      </c>
      <c r="G441" s="14" t="s">
        <v>537</v>
      </c>
      <c r="H441" s="14" t="s">
        <v>562</v>
      </c>
      <c r="I441" s="14">
        <v>16.0</v>
      </c>
      <c r="J441" s="14">
        <v>1.78</v>
      </c>
    </row>
    <row r="442" ht="15.75" customHeight="1">
      <c r="A442" s="14" t="s">
        <v>174</v>
      </c>
      <c r="B442" s="14" t="s">
        <v>1166</v>
      </c>
      <c r="C442" s="14" t="s">
        <v>1167</v>
      </c>
      <c r="D442" s="14" t="s">
        <v>180</v>
      </c>
      <c r="E442" s="14" t="s">
        <v>118</v>
      </c>
      <c r="F442" s="14">
        <v>439.0</v>
      </c>
      <c r="G442" s="14" t="s">
        <v>537</v>
      </c>
      <c r="H442" s="14" t="s">
        <v>514</v>
      </c>
      <c r="I442" s="14">
        <v>15.75</v>
      </c>
      <c r="J442" s="14">
        <v>1.75</v>
      </c>
    </row>
    <row r="443" ht="15.75" customHeight="1">
      <c r="A443" s="14" t="s">
        <v>174</v>
      </c>
      <c r="B443" s="14" t="s">
        <v>1168</v>
      </c>
      <c r="C443" s="14" t="s">
        <v>1169</v>
      </c>
      <c r="D443" s="14" t="s">
        <v>1170</v>
      </c>
      <c r="E443" s="14" t="s">
        <v>123</v>
      </c>
      <c r="F443" s="14">
        <v>440.0</v>
      </c>
      <c r="G443" s="14" t="s">
        <v>537</v>
      </c>
      <c r="H443" s="14" t="s">
        <v>522</v>
      </c>
      <c r="I443" s="14">
        <v>15.5</v>
      </c>
      <c r="J443" s="14">
        <v>1.94</v>
      </c>
    </row>
    <row r="444" ht="15.75" customHeight="1">
      <c r="A444" s="14" t="s">
        <v>174</v>
      </c>
      <c r="B444" s="14" t="s">
        <v>1171</v>
      </c>
      <c r="C444" s="14" t="s">
        <v>1172</v>
      </c>
      <c r="D444" s="14" t="s">
        <v>314</v>
      </c>
      <c r="E444" s="14" t="s">
        <v>123</v>
      </c>
      <c r="F444" s="14">
        <v>441.0</v>
      </c>
      <c r="G444" s="14" t="s">
        <v>537</v>
      </c>
      <c r="H444" s="14" t="s">
        <v>528</v>
      </c>
      <c r="I444" s="14">
        <v>15.5</v>
      </c>
      <c r="J444" s="14">
        <v>1.11</v>
      </c>
    </row>
    <row r="445" ht="15.75" customHeight="1">
      <c r="A445" s="14" t="s">
        <v>174</v>
      </c>
      <c r="B445" s="14" t="s">
        <v>1173</v>
      </c>
      <c r="C445" s="14" t="s">
        <v>1174</v>
      </c>
      <c r="D445" s="14" t="s">
        <v>231</v>
      </c>
      <c r="E445" s="14" t="s">
        <v>118</v>
      </c>
      <c r="F445" s="14">
        <v>442.0</v>
      </c>
      <c r="G445" s="14" t="s">
        <v>537</v>
      </c>
      <c r="H445" s="14" t="s">
        <v>512</v>
      </c>
      <c r="I445" s="14">
        <v>15.0</v>
      </c>
      <c r="J445" s="14">
        <v>3.0</v>
      </c>
    </row>
    <row r="446" ht="15.75" customHeight="1">
      <c r="A446" s="14" t="s">
        <v>174</v>
      </c>
      <c r="B446" s="14" t="s">
        <v>1175</v>
      </c>
      <c r="C446" s="14" t="s">
        <v>1176</v>
      </c>
      <c r="D446" s="14" t="s">
        <v>199</v>
      </c>
      <c r="E446" s="14" t="s">
        <v>576</v>
      </c>
      <c r="F446" s="14">
        <v>443.0</v>
      </c>
      <c r="G446" s="14" t="s">
        <v>537</v>
      </c>
      <c r="H446" s="14" t="s">
        <v>514</v>
      </c>
      <c r="I446" s="14">
        <v>14.5</v>
      </c>
      <c r="J446" s="14">
        <v>0.52</v>
      </c>
    </row>
    <row r="447" ht="15.75" customHeight="1">
      <c r="A447" s="14" t="s">
        <v>174</v>
      </c>
      <c r="B447" s="14" t="s">
        <v>1177</v>
      </c>
      <c r="C447" s="14" t="s">
        <v>1178</v>
      </c>
      <c r="D447" s="14" t="s">
        <v>236</v>
      </c>
      <c r="E447" s="14" t="s">
        <v>118</v>
      </c>
      <c r="F447" s="14">
        <v>444.0</v>
      </c>
      <c r="G447" s="14" t="s">
        <v>537</v>
      </c>
      <c r="H447" s="14" t="s">
        <v>522</v>
      </c>
      <c r="I447" s="14">
        <v>14.25</v>
      </c>
      <c r="J447" s="14">
        <v>2.04</v>
      </c>
    </row>
    <row r="448" ht="15.75" customHeight="1">
      <c r="A448" s="14" t="s">
        <v>174</v>
      </c>
      <c r="B448" s="14" t="s">
        <v>1179</v>
      </c>
      <c r="C448" s="14" t="s">
        <v>1180</v>
      </c>
      <c r="D448" s="14" t="s">
        <v>327</v>
      </c>
      <c r="E448" s="14" t="s">
        <v>121</v>
      </c>
      <c r="F448" s="14">
        <v>445.0</v>
      </c>
      <c r="G448" s="14" t="s">
        <v>537</v>
      </c>
      <c r="H448" s="14" t="s">
        <v>518</v>
      </c>
      <c r="I448" s="14">
        <v>14.0</v>
      </c>
      <c r="J448" s="14">
        <v>2.33</v>
      </c>
    </row>
    <row r="449" ht="15.75" customHeight="1">
      <c r="A449" s="14" t="s">
        <v>174</v>
      </c>
      <c r="B449" s="14" t="s">
        <v>1181</v>
      </c>
      <c r="C449" s="14" t="s">
        <v>1182</v>
      </c>
      <c r="D449" s="14" t="s">
        <v>177</v>
      </c>
      <c r="E449" s="14" t="s">
        <v>121</v>
      </c>
      <c r="F449" s="14">
        <v>446.0</v>
      </c>
      <c r="G449" s="14" t="s">
        <v>537</v>
      </c>
      <c r="H449" s="14" t="s">
        <v>518</v>
      </c>
      <c r="I449" s="14">
        <v>14.0</v>
      </c>
      <c r="J449" s="14">
        <v>1.75</v>
      </c>
    </row>
    <row r="450" ht="15.75" customHeight="1">
      <c r="A450" s="14" t="s">
        <v>174</v>
      </c>
      <c r="B450" s="14" t="s">
        <v>1183</v>
      </c>
      <c r="C450" s="14" t="s">
        <v>1184</v>
      </c>
      <c r="D450" s="14" t="s">
        <v>314</v>
      </c>
      <c r="E450" s="14" t="s">
        <v>121</v>
      </c>
      <c r="F450" s="14">
        <v>447.0</v>
      </c>
      <c r="G450" s="14" t="s">
        <v>537</v>
      </c>
      <c r="H450" s="14" t="s">
        <v>528</v>
      </c>
      <c r="I450" s="14">
        <v>14.0</v>
      </c>
      <c r="J450" s="14">
        <v>1.17</v>
      </c>
    </row>
    <row r="451" ht="15.75" customHeight="1">
      <c r="A451" s="14" t="s">
        <v>174</v>
      </c>
      <c r="B451" s="14" t="s">
        <v>451</v>
      </c>
      <c r="C451" s="14" t="s">
        <v>452</v>
      </c>
      <c r="D451" s="14" t="s">
        <v>453</v>
      </c>
      <c r="E451" s="14" t="s">
        <v>123</v>
      </c>
      <c r="F451" s="14">
        <v>448.0</v>
      </c>
      <c r="G451" s="14" t="s">
        <v>537</v>
      </c>
      <c r="H451" s="14" t="s">
        <v>523</v>
      </c>
      <c r="I451" s="14">
        <v>14.0</v>
      </c>
      <c r="J451" s="14">
        <v>0.88</v>
      </c>
    </row>
    <row r="452" ht="15.75" customHeight="1">
      <c r="A452" s="14" t="s">
        <v>174</v>
      </c>
      <c r="B452" s="14" t="s">
        <v>1185</v>
      </c>
      <c r="C452" s="14" t="s">
        <v>1186</v>
      </c>
      <c r="D452" s="14" t="s">
        <v>188</v>
      </c>
      <c r="E452" s="14" t="s">
        <v>115</v>
      </c>
      <c r="F452" s="14">
        <v>449.0</v>
      </c>
      <c r="G452" s="14" t="s">
        <v>537</v>
      </c>
      <c r="H452" s="14" t="s">
        <v>528</v>
      </c>
      <c r="I452" s="14">
        <v>13.5</v>
      </c>
      <c r="J452" s="14">
        <v>2.7</v>
      </c>
    </row>
    <row r="453" ht="15.75" customHeight="1">
      <c r="A453" s="14" t="s">
        <v>174</v>
      </c>
      <c r="B453" s="14" t="s">
        <v>1187</v>
      </c>
      <c r="C453" s="14" t="s">
        <v>1188</v>
      </c>
      <c r="D453" s="14" t="s">
        <v>215</v>
      </c>
      <c r="E453" s="14" t="s">
        <v>121</v>
      </c>
      <c r="F453" s="14">
        <v>450.0</v>
      </c>
      <c r="G453" s="14" t="s">
        <v>537</v>
      </c>
      <c r="H453" s="14" t="s">
        <v>523</v>
      </c>
      <c r="I453" s="14">
        <v>13.0</v>
      </c>
      <c r="J453" s="14">
        <v>1.86</v>
      </c>
    </row>
    <row r="454" ht="15.75" customHeight="1">
      <c r="A454" s="14" t="s">
        <v>174</v>
      </c>
      <c r="B454" s="14" t="s">
        <v>1189</v>
      </c>
      <c r="C454" s="14" t="s">
        <v>1190</v>
      </c>
      <c r="D454" s="14" t="s">
        <v>177</v>
      </c>
      <c r="E454" s="14" t="s">
        <v>115</v>
      </c>
      <c r="F454" s="14">
        <v>451.0</v>
      </c>
      <c r="G454" s="14" t="s">
        <v>537</v>
      </c>
      <c r="H454" s="14" t="s">
        <v>518</v>
      </c>
      <c r="I454" s="14">
        <v>12.75</v>
      </c>
      <c r="J454" s="14">
        <v>4.25</v>
      </c>
    </row>
    <row r="455" ht="15.75" customHeight="1">
      <c r="A455" s="14" t="s">
        <v>174</v>
      </c>
      <c r="B455" s="14" t="s">
        <v>1191</v>
      </c>
      <c r="C455" s="14" t="s">
        <v>1192</v>
      </c>
      <c r="D455" s="14" t="s">
        <v>387</v>
      </c>
      <c r="E455" s="14" t="s">
        <v>123</v>
      </c>
      <c r="F455" s="14">
        <v>452.0</v>
      </c>
      <c r="G455" s="14" t="s">
        <v>537</v>
      </c>
      <c r="H455" s="14" t="s">
        <v>562</v>
      </c>
      <c r="I455" s="14">
        <v>12.0</v>
      </c>
      <c r="J455" s="14">
        <v>4.0</v>
      </c>
    </row>
    <row r="456" ht="15.75" customHeight="1">
      <c r="A456" s="14" t="s">
        <v>174</v>
      </c>
      <c r="B456" s="14" t="s">
        <v>1193</v>
      </c>
      <c r="C456" s="14" t="s">
        <v>1194</v>
      </c>
      <c r="D456" s="14" t="s">
        <v>285</v>
      </c>
      <c r="E456" s="14" t="s">
        <v>121</v>
      </c>
      <c r="F456" s="14">
        <v>453.0</v>
      </c>
      <c r="G456" s="14" t="s">
        <v>537</v>
      </c>
      <c r="H456" s="14" t="s">
        <v>522</v>
      </c>
      <c r="I456" s="14">
        <v>12.0</v>
      </c>
      <c r="J456" s="14">
        <v>1.33</v>
      </c>
    </row>
    <row r="457" ht="15.75" customHeight="1">
      <c r="A457" s="14" t="s">
        <v>174</v>
      </c>
      <c r="B457" s="14" t="s">
        <v>1195</v>
      </c>
      <c r="C457" s="14" t="s">
        <v>1196</v>
      </c>
      <c r="D457" s="14" t="s">
        <v>221</v>
      </c>
      <c r="E457" s="14" t="s">
        <v>121</v>
      </c>
      <c r="F457" s="14">
        <v>454.0</v>
      </c>
      <c r="G457" s="14" t="s">
        <v>537</v>
      </c>
      <c r="H457" s="14" t="s">
        <v>520</v>
      </c>
      <c r="I457" s="14">
        <v>11.5</v>
      </c>
      <c r="J457" s="14">
        <v>0.82</v>
      </c>
    </row>
    <row r="458" ht="15.75" customHeight="1">
      <c r="A458" s="14" t="s">
        <v>174</v>
      </c>
      <c r="B458" s="14" t="s">
        <v>1197</v>
      </c>
      <c r="C458" s="14" t="s">
        <v>1198</v>
      </c>
      <c r="D458" s="14" t="s">
        <v>188</v>
      </c>
      <c r="E458" s="14" t="s">
        <v>118</v>
      </c>
      <c r="F458" s="14">
        <v>455.0</v>
      </c>
      <c r="G458" s="14" t="s">
        <v>537</v>
      </c>
      <c r="H458" s="14" t="s">
        <v>528</v>
      </c>
      <c r="I458" s="14">
        <v>10.0</v>
      </c>
      <c r="J458" s="14">
        <v>3.33</v>
      </c>
    </row>
    <row r="459" ht="15.75" customHeight="1">
      <c r="A459" s="14" t="s">
        <v>174</v>
      </c>
      <c r="B459" s="14" t="s">
        <v>1199</v>
      </c>
      <c r="C459" s="14" t="s">
        <v>1200</v>
      </c>
      <c r="D459" s="14" t="s">
        <v>236</v>
      </c>
      <c r="E459" s="14" t="s">
        <v>115</v>
      </c>
      <c r="F459" s="14">
        <v>456.0</v>
      </c>
      <c r="G459" s="14" t="s">
        <v>537</v>
      </c>
      <c r="H459" s="14" t="s">
        <v>522</v>
      </c>
      <c r="I459" s="14">
        <v>10.0</v>
      </c>
      <c r="J459" s="14">
        <v>2.0</v>
      </c>
    </row>
    <row r="460" ht="15.75" customHeight="1">
      <c r="A460" s="14" t="s">
        <v>174</v>
      </c>
      <c r="B460" s="14" t="s">
        <v>1201</v>
      </c>
      <c r="C460" s="14" t="s">
        <v>1202</v>
      </c>
      <c r="D460" s="14" t="s">
        <v>221</v>
      </c>
      <c r="E460" s="14" t="s">
        <v>121</v>
      </c>
      <c r="F460" s="14">
        <v>457.0</v>
      </c>
      <c r="G460" s="14" t="s">
        <v>537</v>
      </c>
      <c r="H460" s="14" t="s">
        <v>520</v>
      </c>
      <c r="I460" s="14">
        <v>9.5</v>
      </c>
      <c r="J460" s="14">
        <v>9.5</v>
      </c>
    </row>
    <row r="461" ht="15.75" customHeight="1">
      <c r="A461" s="14" t="s">
        <v>174</v>
      </c>
      <c r="B461" s="14" t="s">
        <v>1203</v>
      </c>
      <c r="C461" s="14" t="s">
        <v>1204</v>
      </c>
      <c r="D461" s="14" t="s">
        <v>236</v>
      </c>
      <c r="E461" s="14" t="s">
        <v>118</v>
      </c>
      <c r="F461" s="14">
        <v>458.0</v>
      </c>
      <c r="G461" s="14" t="s">
        <v>537</v>
      </c>
      <c r="H461" s="14" t="s">
        <v>522</v>
      </c>
      <c r="I461" s="14">
        <v>8.75</v>
      </c>
      <c r="J461" s="14">
        <v>2.92</v>
      </c>
    </row>
    <row r="462" ht="15.75" customHeight="1">
      <c r="A462" s="14" t="s">
        <v>174</v>
      </c>
      <c r="B462" s="14" t="s">
        <v>1205</v>
      </c>
      <c r="C462" s="14" t="s">
        <v>1206</v>
      </c>
      <c r="D462" s="14" t="s">
        <v>188</v>
      </c>
      <c r="E462" s="14" t="s">
        <v>118</v>
      </c>
      <c r="F462" s="14">
        <v>459.0</v>
      </c>
      <c r="G462" s="14" t="s">
        <v>537</v>
      </c>
      <c r="H462" s="14" t="s">
        <v>528</v>
      </c>
      <c r="I462" s="14">
        <v>8.75</v>
      </c>
      <c r="J462" s="14">
        <v>1.09</v>
      </c>
    </row>
    <row r="463" ht="15.75" customHeight="1">
      <c r="A463" s="14" t="s">
        <v>174</v>
      </c>
      <c r="B463" s="14" t="s">
        <v>1207</v>
      </c>
      <c r="C463" s="14" t="s">
        <v>1208</v>
      </c>
      <c r="D463" s="14" t="s">
        <v>387</v>
      </c>
      <c r="E463" s="14" t="s">
        <v>115</v>
      </c>
      <c r="F463" s="14">
        <v>460.0</v>
      </c>
      <c r="G463" s="14" t="s">
        <v>537</v>
      </c>
      <c r="H463" s="14" t="s">
        <v>562</v>
      </c>
      <c r="I463" s="14">
        <v>8.25</v>
      </c>
      <c r="J463" s="14">
        <v>2.75</v>
      </c>
    </row>
    <row r="464" ht="15.75" customHeight="1">
      <c r="A464" s="14" t="s">
        <v>174</v>
      </c>
      <c r="B464" s="14" t="s">
        <v>1209</v>
      </c>
      <c r="C464" s="14" t="s">
        <v>1210</v>
      </c>
      <c r="D464" s="14" t="s">
        <v>327</v>
      </c>
      <c r="E464" s="14" t="s">
        <v>121</v>
      </c>
      <c r="F464" s="14">
        <v>461.0</v>
      </c>
      <c r="G464" s="14" t="s">
        <v>537</v>
      </c>
      <c r="H464" s="14" t="s">
        <v>518</v>
      </c>
      <c r="I464" s="14">
        <v>8.0</v>
      </c>
      <c r="J464" s="14">
        <v>2.0</v>
      </c>
    </row>
    <row r="465" ht="15.75" customHeight="1">
      <c r="A465" s="14" t="s">
        <v>174</v>
      </c>
      <c r="B465" s="14" t="s">
        <v>1211</v>
      </c>
      <c r="C465" s="14" t="s">
        <v>1212</v>
      </c>
      <c r="D465" s="14" t="s">
        <v>285</v>
      </c>
      <c r="E465" s="14" t="s">
        <v>121</v>
      </c>
      <c r="F465" s="14">
        <v>462.0</v>
      </c>
      <c r="G465" s="14" t="s">
        <v>537</v>
      </c>
      <c r="H465" s="14" t="s">
        <v>522</v>
      </c>
      <c r="I465" s="14">
        <v>8.0</v>
      </c>
      <c r="J465" s="14">
        <v>8.0</v>
      </c>
    </row>
    <row r="466" ht="15.75" customHeight="1">
      <c r="A466" s="14" t="s">
        <v>174</v>
      </c>
      <c r="B466" s="14" t="s">
        <v>1213</v>
      </c>
      <c r="C466" s="14" t="s">
        <v>1214</v>
      </c>
      <c r="D466" s="14" t="s">
        <v>243</v>
      </c>
      <c r="E466" s="14" t="s">
        <v>118</v>
      </c>
      <c r="F466" s="14">
        <v>463.0</v>
      </c>
      <c r="G466" s="14" t="s">
        <v>537</v>
      </c>
      <c r="H466" s="14" t="s">
        <v>531</v>
      </c>
      <c r="I466" s="14">
        <v>7.5</v>
      </c>
      <c r="J466" s="14">
        <v>1.88</v>
      </c>
    </row>
    <row r="467" ht="15.75" customHeight="1">
      <c r="A467" s="14" t="s">
        <v>174</v>
      </c>
      <c r="B467" s="14" t="s">
        <v>1215</v>
      </c>
      <c r="C467" s="14" t="s">
        <v>1216</v>
      </c>
      <c r="D467" s="14" t="s">
        <v>236</v>
      </c>
      <c r="E467" s="14" t="s">
        <v>123</v>
      </c>
      <c r="F467" s="14">
        <v>464.0</v>
      </c>
      <c r="G467" s="14" t="s">
        <v>537</v>
      </c>
      <c r="H467" s="14" t="s">
        <v>522</v>
      </c>
      <c r="I467" s="14">
        <v>6.5</v>
      </c>
      <c r="J467" s="14">
        <v>0.72</v>
      </c>
    </row>
    <row r="468" ht="15.75" customHeight="1">
      <c r="A468" s="14" t="s">
        <v>174</v>
      </c>
      <c r="B468" s="14" t="s">
        <v>1217</v>
      </c>
      <c r="C468" s="14" t="s">
        <v>1218</v>
      </c>
      <c r="D468" s="14" t="s">
        <v>314</v>
      </c>
      <c r="E468" s="14" t="s">
        <v>118</v>
      </c>
      <c r="F468" s="14">
        <v>465.0</v>
      </c>
      <c r="G468" s="14" t="s">
        <v>537</v>
      </c>
      <c r="H468" s="14" t="s">
        <v>528</v>
      </c>
      <c r="I468" s="14">
        <v>6.5</v>
      </c>
      <c r="J468" s="14">
        <v>2.17</v>
      </c>
    </row>
    <row r="469" ht="15.75" customHeight="1">
      <c r="A469" s="14" t="s">
        <v>174</v>
      </c>
      <c r="B469" s="14" t="s">
        <v>1219</v>
      </c>
      <c r="C469" s="14" t="s">
        <v>1220</v>
      </c>
      <c r="D469" s="14" t="s">
        <v>191</v>
      </c>
      <c r="E469" s="14" t="s">
        <v>121</v>
      </c>
      <c r="F469" s="14">
        <v>466.0</v>
      </c>
      <c r="G469" s="14" t="s">
        <v>537</v>
      </c>
      <c r="H469" s="14" t="s">
        <v>520</v>
      </c>
      <c r="I469" s="14">
        <v>6.5</v>
      </c>
      <c r="J469" s="14">
        <v>1.08</v>
      </c>
    </row>
    <row r="470" ht="15.75" customHeight="1">
      <c r="A470" s="14" t="s">
        <v>174</v>
      </c>
      <c r="B470" s="14" t="s">
        <v>1221</v>
      </c>
      <c r="C470" s="14" t="s">
        <v>1222</v>
      </c>
      <c r="D470" s="14" t="s">
        <v>191</v>
      </c>
      <c r="E470" s="14" t="s">
        <v>115</v>
      </c>
      <c r="F470" s="14">
        <v>467.0</v>
      </c>
      <c r="G470" s="14" t="s">
        <v>537</v>
      </c>
      <c r="H470" s="14" t="s">
        <v>520</v>
      </c>
      <c r="I470" s="14">
        <v>5.75</v>
      </c>
      <c r="J470" s="14">
        <v>5.75</v>
      </c>
    </row>
    <row r="471" ht="15.75" customHeight="1">
      <c r="A471" s="14" t="s">
        <v>174</v>
      </c>
      <c r="B471" s="14" t="s">
        <v>1223</v>
      </c>
      <c r="C471" s="14" t="s">
        <v>1224</v>
      </c>
      <c r="D471" s="14" t="s">
        <v>1225</v>
      </c>
      <c r="E471" s="14" t="s">
        <v>121</v>
      </c>
      <c r="F471" s="14">
        <v>468.0</v>
      </c>
      <c r="G471" s="14" t="s">
        <v>537</v>
      </c>
      <c r="H471" s="14" t="s">
        <v>523</v>
      </c>
      <c r="I471" s="14">
        <v>5.5</v>
      </c>
      <c r="J471" s="14">
        <v>1.38</v>
      </c>
    </row>
    <row r="472" ht="15.75" customHeight="1">
      <c r="A472" s="14" t="s">
        <v>174</v>
      </c>
      <c r="B472" s="14" t="s">
        <v>1226</v>
      </c>
      <c r="C472" s="14" t="s">
        <v>1227</v>
      </c>
      <c r="D472" s="14" t="s">
        <v>185</v>
      </c>
      <c r="E472" s="14" t="s">
        <v>121</v>
      </c>
      <c r="F472" s="14">
        <v>469.0</v>
      </c>
      <c r="G472" s="14" t="s">
        <v>537</v>
      </c>
      <c r="H472" s="14" t="s">
        <v>512</v>
      </c>
      <c r="I472" s="14">
        <v>5.5</v>
      </c>
      <c r="J472" s="14">
        <v>1.83</v>
      </c>
    </row>
    <row r="473" ht="15.75" customHeight="1">
      <c r="A473" s="14" t="s">
        <v>174</v>
      </c>
      <c r="B473" s="14" t="s">
        <v>1228</v>
      </c>
      <c r="C473" s="14" t="s">
        <v>1229</v>
      </c>
      <c r="D473" s="14" t="s">
        <v>215</v>
      </c>
      <c r="E473" s="14" t="s">
        <v>118</v>
      </c>
      <c r="F473" s="14">
        <v>470.0</v>
      </c>
      <c r="G473" s="14" t="s">
        <v>537</v>
      </c>
      <c r="H473" s="14" t="s">
        <v>523</v>
      </c>
      <c r="I473" s="14">
        <v>5.5</v>
      </c>
      <c r="J473" s="14">
        <v>0.92</v>
      </c>
    </row>
    <row r="474" ht="15.75" customHeight="1">
      <c r="A474" s="14" t="s">
        <v>174</v>
      </c>
      <c r="B474" s="14" t="s">
        <v>1230</v>
      </c>
      <c r="C474" s="14" t="s">
        <v>1231</v>
      </c>
      <c r="D474" s="14" t="s">
        <v>191</v>
      </c>
      <c r="E474" s="14" t="s">
        <v>121</v>
      </c>
      <c r="F474" s="14">
        <v>471.0</v>
      </c>
      <c r="G474" s="14" t="s">
        <v>537</v>
      </c>
      <c r="H474" s="14" t="s">
        <v>520</v>
      </c>
      <c r="I474" s="14">
        <v>5.5</v>
      </c>
      <c r="J474" s="14">
        <v>0.79</v>
      </c>
    </row>
    <row r="475" ht="15.75" customHeight="1">
      <c r="A475" s="14" t="s">
        <v>174</v>
      </c>
      <c r="B475" s="14" t="s">
        <v>1232</v>
      </c>
      <c r="C475" s="14" t="s">
        <v>1233</v>
      </c>
      <c r="D475" s="14" t="s">
        <v>188</v>
      </c>
      <c r="E475" s="14" t="s">
        <v>123</v>
      </c>
      <c r="F475" s="14">
        <v>472.0</v>
      </c>
      <c r="G475" s="14" t="s">
        <v>537</v>
      </c>
      <c r="H475" s="14" t="s">
        <v>528</v>
      </c>
      <c r="I475" s="14">
        <v>5.0</v>
      </c>
      <c r="J475" s="14">
        <v>5.0</v>
      </c>
    </row>
    <row r="476" ht="15.75" customHeight="1">
      <c r="A476" s="14" t="s">
        <v>174</v>
      </c>
      <c r="B476" s="14" t="s">
        <v>1234</v>
      </c>
      <c r="C476" s="14" t="s">
        <v>1235</v>
      </c>
      <c r="D476" s="14" t="s">
        <v>257</v>
      </c>
      <c r="E476" s="14" t="s">
        <v>118</v>
      </c>
      <c r="F476" s="14">
        <v>473.0</v>
      </c>
      <c r="G476" s="14" t="s">
        <v>537</v>
      </c>
      <c r="H476" s="14" t="s">
        <v>531</v>
      </c>
      <c r="I476" s="14">
        <v>4.5</v>
      </c>
      <c r="J476" s="14">
        <v>0.9</v>
      </c>
    </row>
    <row r="477" ht="15.75" customHeight="1">
      <c r="A477" s="14" t="s">
        <v>174</v>
      </c>
      <c r="B477" s="14" t="s">
        <v>368</v>
      </c>
      <c r="C477" s="14" t="s">
        <v>369</v>
      </c>
      <c r="D477" s="14" t="s">
        <v>370</v>
      </c>
      <c r="E477" s="14" t="s">
        <v>121</v>
      </c>
      <c r="F477" s="14">
        <v>474.0</v>
      </c>
      <c r="G477" s="14" t="s">
        <v>537</v>
      </c>
      <c r="H477" s="14" t="s">
        <v>514</v>
      </c>
      <c r="I477" s="14">
        <v>4.5</v>
      </c>
      <c r="J477" s="14">
        <v>0.9</v>
      </c>
    </row>
    <row r="478" ht="15.75" customHeight="1">
      <c r="A478" s="14" t="s">
        <v>174</v>
      </c>
      <c r="B478" s="14" t="s">
        <v>1236</v>
      </c>
      <c r="C478" s="14" t="s">
        <v>1237</v>
      </c>
      <c r="D478" s="14" t="s">
        <v>185</v>
      </c>
      <c r="E478" s="14" t="s">
        <v>123</v>
      </c>
      <c r="F478" s="14">
        <v>475.0</v>
      </c>
      <c r="G478" s="14" t="s">
        <v>537</v>
      </c>
      <c r="H478" s="14" t="s">
        <v>512</v>
      </c>
      <c r="I478" s="14">
        <v>3.5</v>
      </c>
      <c r="J478" s="14">
        <v>1.17</v>
      </c>
    </row>
    <row r="479" ht="15.75" customHeight="1">
      <c r="A479" s="14" t="s">
        <v>174</v>
      </c>
      <c r="B479" s="14" t="s">
        <v>1238</v>
      </c>
      <c r="C479" s="14" t="s">
        <v>1239</v>
      </c>
      <c r="D479" s="14" t="s">
        <v>215</v>
      </c>
      <c r="E479" s="14" t="s">
        <v>121</v>
      </c>
      <c r="F479" s="14">
        <v>476.0</v>
      </c>
      <c r="G479" s="14" t="s">
        <v>537</v>
      </c>
      <c r="H479" s="14" t="s">
        <v>523</v>
      </c>
      <c r="I479" s="14">
        <v>3.5</v>
      </c>
      <c r="J479" s="14">
        <v>0.7</v>
      </c>
    </row>
    <row r="480" ht="15.75" customHeight="1">
      <c r="A480" s="14" t="s">
        <v>174</v>
      </c>
      <c r="B480" s="14" t="s">
        <v>1240</v>
      </c>
      <c r="C480" s="14" t="s">
        <v>1241</v>
      </c>
      <c r="D480" s="14" t="s">
        <v>215</v>
      </c>
      <c r="E480" s="14" t="s">
        <v>121</v>
      </c>
      <c r="F480" s="14">
        <v>477.0</v>
      </c>
      <c r="G480" s="14" t="s">
        <v>537</v>
      </c>
      <c r="H480" s="14" t="s">
        <v>523</v>
      </c>
      <c r="I480" s="14">
        <v>3.5</v>
      </c>
      <c r="J480" s="14">
        <v>0.58</v>
      </c>
    </row>
    <row r="481" ht="15.75" customHeight="1">
      <c r="A481" s="14" t="s">
        <v>174</v>
      </c>
      <c r="B481" s="14" t="s">
        <v>1242</v>
      </c>
      <c r="C481" s="14" t="s">
        <v>1243</v>
      </c>
      <c r="D481" s="14" t="s">
        <v>314</v>
      </c>
      <c r="E481" s="14" t="s">
        <v>118</v>
      </c>
      <c r="F481" s="14">
        <v>478.0</v>
      </c>
      <c r="G481" s="14" t="s">
        <v>537</v>
      </c>
      <c r="H481" s="14" t="s">
        <v>528</v>
      </c>
      <c r="I481" s="14">
        <v>3.25</v>
      </c>
      <c r="J481" s="14">
        <v>1.62</v>
      </c>
    </row>
    <row r="482" ht="15.75" customHeight="1">
      <c r="A482" s="14" t="s">
        <v>174</v>
      </c>
      <c r="B482" s="14" t="s">
        <v>1244</v>
      </c>
      <c r="C482" s="14" t="s">
        <v>1245</v>
      </c>
      <c r="D482" s="14" t="s">
        <v>566</v>
      </c>
      <c r="E482" s="14" t="s">
        <v>123</v>
      </c>
      <c r="F482" s="14">
        <v>479.0</v>
      </c>
      <c r="G482" s="14" t="s">
        <v>537</v>
      </c>
      <c r="H482" s="14" t="s">
        <v>562</v>
      </c>
      <c r="I482" s="14">
        <v>3.0</v>
      </c>
      <c r="J482" s="14">
        <v>0.75</v>
      </c>
    </row>
    <row r="483" ht="15.75" customHeight="1">
      <c r="A483" s="14" t="s">
        <v>174</v>
      </c>
      <c r="B483" s="14" t="s">
        <v>1246</v>
      </c>
      <c r="C483" s="14" t="s">
        <v>1247</v>
      </c>
      <c r="D483" s="14" t="s">
        <v>566</v>
      </c>
      <c r="E483" s="14" t="s">
        <v>123</v>
      </c>
      <c r="F483" s="14">
        <v>480.0</v>
      </c>
      <c r="G483" s="14" t="s">
        <v>537</v>
      </c>
      <c r="H483" s="14" t="s">
        <v>562</v>
      </c>
      <c r="I483" s="14">
        <v>3.0</v>
      </c>
      <c r="J483" s="14">
        <v>0.43</v>
      </c>
    </row>
    <row r="484" ht="15.75" customHeight="1">
      <c r="A484" s="14" t="s">
        <v>174</v>
      </c>
      <c r="B484" s="14" t="s">
        <v>1248</v>
      </c>
      <c r="C484" s="14" t="s">
        <v>1249</v>
      </c>
      <c r="D484" s="14" t="s">
        <v>231</v>
      </c>
      <c r="E484" s="14" t="s">
        <v>658</v>
      </c>
      <c r="F484" s="14">
        <v>481.0</v>
      </c>
      <c r="G484" s="14" t="s">
        <v>537</v>
      </c>
      <c r="H484" s="14" t="s">
        <v>512</v>
      </c>
      <c r="I484" s="14">
        <v>3.0</v>
      </c>
      <c r="J484" s="14">
        <v>1.0</v>
      </c>
    </row>
    <row r="485" ht="15.75" customHeight="1">
      <c r="A485" s="14" t="s">
        <v>174</v>
      </c>
      <c r="B485" s="14" t="s">
        <v>1250</v>
      </c>
      <c r="C485" s="14" t="s">
        <v>1251</v>
      </c>
      <c r="D485" s="14" t="s">
        <v>231</v>
      </c>
      <c r="E485" s="14" t="s">
        <v>121</v>
      </c>
      <c r="F485" s="14">
        <v>482.0</v>
      </c>
      <c r="G485" s="14" t="s">
        <v>537</v>
      </c>
      <c r="H485" s="14" t="s">
        <v>512</v>
      </c>
      <c r="I485" s="14">
        <v>3.0</v>
      </c>
      <c r="J485" s="14">
        <v>0.75</v>
      </c>
    </row>
    <row r="486" ht="15.75" customHeight="1">
      <c r="A486" s="14" t="s">
        <v>174</v>
      </c>
      <c r="B486" s="14" t="s">
        <v>1252</v>
      </c>
      <c r="C486" s="14" t="s">
        <v>1253</v>
      </c>
      <c r="D486" s="14" t="s">
        <v>327</v>
      </c>
      <c r="E486" s="14" t="s">
        <v>121</v>
      </c>
      <c r="F486" s="14">
        <v>483.0</v>
      </c>
      <c r="G486" s="14" t="s">
        <v>537</v>
      </c>
      <c r="H486" s="14" t="s">
        <v>518</v>
      </c>
      <c r="I486" s="14">
        <v>3.0</v>
      </c>
      <c r="J486" s="14">
        <v>3.0</v>
      </c>
    </row>
    <row r="487" ht="15.75" customHeight="1">
      <c r="A487" s="14" t="s">
        <v>174</v>
      </c>
      <c r="B487" s="14" t="s">
        <v>1254</v>
      </c>
      <c r="C487" s="14" t="s">
        <v>1255</v>
      </c>
      <c r="D487" s="14" t="s">
        <v>180</v>
      </c>
      <c r="E487" s="14" t="s">
        <v>121</v>
      </c>
      <c r="F487" s="14">
        <v>484.0</v>
      </c>
      <c r="G487" s="14" t="s">
        <v>537</v>
      </c>
      <c r="H487" s="14" t="s">
        <v>514</v>
      </c>
      <c r="I487" s="14">
        <v>3.0</v>
      </c>
      <c r="J487" s="14">
        <v>1.5</v>
      </c>
    </row>
    <row r="488" ht="15.75" customHeight="1">
      <c r="A488" s="14" t="s">
        <v>174</v>
      </c>
      <c r="B488" s="14" t="s">
        <v>1256</v>
      </c>
      <c r="C488" s="14" t="s">
        <v>1257</v>
      </c>
      <c r="D488" s="14" t="s">
        <v>566</v>
      </c>
      <c r="E488" s="14" t="s">
        <v>123</v>
      </c>
      <c r="F488" s="14">
        <v>485.0</v>
      </c>
      <c r="G488" s="14" t="s">
        <v>537</v>
      </c>
      <c r="H488" s="14" t="s">
        <v>562</v>
      </c>
      <c r="I488" s="14">
        <v>3.0</v>
      </c>
      <c r="J488" s="14">
        <v>0.5</v>
      </c>
    </row>
    <row r="489" ht="15.75" customHeight="1">
      <c r="A489" s="14" t="s">
        <v>174</v>
      </c>
      <c r="B489" s="14" t="s">
        <v>1258</v>
      </c>
      <c r="C489" s="14" t="s">
        <v>1259</v>
      </c>
      <c r="D489" s="14" t="s">
        <v>199</v>
      </c>
      <c r="E489" s="14" t="s">
        <v>123</v>
      </c>
      <c r="F489" s="14">
        <v>486.0</v>
      </c>
      <c r="G489" s="14" t="s">
        <v>537</v>
      </c>
      <c r="H489" s="14" t="s">
        <v>514</v>
      </c>
      <c r="I489" s="14">
        <v>3.0</v>
      </c>
      <c r="J489" s="14">
        <v>1.0</v>
      </c>
    </row>
    <row r="490" ht="15.75" customHeight="1">
      <c r="A490" s="14" t="s">
        <v>174</v>
      </c>
      <c r="B490" s="14" t="s">
        <v>1260</v>
      </c>
      <c r="C490" s="14" t="s">
        <v>1261</v>
      </c>
      <c r="D490" s="14" t="s">
        <v>314</v>
      </c>
      <c r="E490" s="14" t="s">
        <v>123</v>
      </c>
      <c r="F490" s="14">
        <v>487.0</v>
      </c>
      <c r="G490" s="14" t="s">
        <v>537</v>
      </c>
      <c r="H490" s="14" t="s">
        <v>528</v>
      </c>
      <c r="I490" s="14">
        <v>2.5</v>
      </c>
      <c r="J490" s="14">
        <v>2.5</v>
      </c>
    </row>
    <row r="491" ht="15.75" customHeight="1">
      <c r="A491" s="14" t="s">
        <v>174</v>
      </c>
      <c r="B491" s="14" t="s">
        <v>1262</v>
      </c>
      <c r="C491" s="14" t="s">
        <v>1263</v>
      </c>
      <c r="D491" s="14" t="s">
        <v>215</v>
      </c>
      <c r="E491" s="14" t="s">
        <v>123</v>
      </c>
      <c r="F491" s="14">
        <v>488.0</v>
      </c>
      <c r="G491" s="14" t="s">
        <v>537</v>
      </c>
      <c r="H491" s="14" t="s">
        <v>523</v>
      </c>
      <c r="I491" s="14">
        <v>2.5</v>
      </c>
      <c r="J491" s="14">
        <v>1.25</v>
      </c>
    </row>
    <row r="492" ht="15.75" customHeight="1">
      <c r="A492" s="14" t="s">
        <v>174</v>
      </c>
      <c r="B492" s="14" t="s">
        <v>1264</v>
      </c>
      <c r="C492" s="14" t="s">
        <v>1265</v>
      </c>
      <c r="D492" s="14" t="s">
        <v>221</v>
      </c>
      <c r="E492" s="14" t="s">
        <v>118</v>
      </c>
      <c r="F492" s="14">
        <v>489.0</v>
      </c>
      <c r="G492" s="14" t="s">
        <v>537</v>
      </c>
      <c r="H492" s="14" t="s">
        <v>520</v>
      </c>
      <c r="I492" s="14">
        <v>2.5</v>
      </c>
      <c r="J492" s="14">
        <v>0.36</v>
      </c>
    </row>
    <row r="493" ht="15.75" customHeight="1">
      <c r="A493" s="14" t="s">
        <v>174</v>
      </c>
      <c r="B493" s="14" t="s">
        <v>1266</v>
      </c>
      <c r="C493" s="14" t="s">
        <v>1267</v>
      </c>
      <c r="D493" s="14" t="s">
        <v>387</v>
      </c>
      <c r="E493" s="14" t="s">
        <v>121</v>
      </c>
      <c r="F493" s="14">
        <v>490.0</v>
      </c>
      <c r="G493" s="14" t="s">
        <v>537</v>
      </c>
      <c r="H493" s="14" t="s">
        <v>562</v>
      </c>
      <c r="I493" s="14">
        <v>2.0</v>
      </c>
      <c r="J493" s="14">
        <v>2.0</v>
      </c>
    </row>
    <row r="494" ht="15.75" customHeight="1">
      <c r="A494" s="14" t="s">
        <v>174</v>
      </c>
      <c r="B494" s="14" t="s">
        <v>1268</v>
      </c>
      <c r="C494" s="14" t="s">
        <v>1269</v>
      </c>
      <c r="D494" s="14" t="s">
        <v>327</v>
      </c>
      <c r="E494" s="14" t="s">
        <v>121</v>
      </c>
      <c r="F494" s="14">
        <v>491.0</v>
      </c>
      <c r="G494" s="14" t="s">
        <v>537</v>
      </c>
      <c r="H494" s="14" t="s">
        <v>518</v>
      </c>
      <c r="I494" s="14">
        <v>2.0</v>
      </c>
      <c r="J494" s="14">
        <v>1.0</v>
      </c>
    </row>
    <row r="495" ht="15.75" customHeight="1">
      <c r="A495" s="14" t="s">
        <v>174</v>
      </c>
      <c r="B495" s="14" t="s">
        <v>1270</v>
      </c>
      <c r="C495" s="14" t="s">
        <v>1271</v>
      </c>
      <c r="D495" s="14" t="s">
        <v>185</v>
      </c>
      <c r="E495" s="14" t="s">
        <v>658</v>
      </c>
      <c r="F495" s="14">
        <v>492.0</v>
      </c>
      <c r="G495" s="14" t="s">
        <v>537</v>
      </c>
      <c r="H495" s="14" t="s">
        <v>512</v>
      </c>
      <c r="I495" s="14">
        <v>2.0</v>
      </c>
      <c r="J495" s="14">
        <v>2.0</v>
      </c>
    </row>
    <row r="496" ht="15.75" customHeight="1">
      <c r="A496" s="14" t="s">
        <v>174</v>
      </c>
      <c r="B496" s="14" t="s">
        <v>1272</v>
      </c>
      <c r="C496" s="14" t="s">
        <v>1273</v>
      </c>
      <c r="D496" s="14" t="s">
        <v>221</v>
      </c>
      <c r="E496" s="14" t="s">
        <v>121</v>
      </c>
      <c r="F496" s="14">
        <v>493.0</v>
      </c>
      <c r="G496" s="14" t="s">
        <v>537</v>
      </c>
      <c r="H496" s="14" t="s">
        <v>520</v>
      </c>
      <c r="I496" s="14">
        <v>1.5</v>
      </c>
      <c r="J496" s="14">
        <v>0.38</v>
      </c>
    </row>
    <row r="497" ht="15.75" customHeight="1">
      <c r="A497" s="14" t="s">
        <v>174</v>
      </c>
      <c r="B497" s="14" t="s">
        <v>1274</v>
      </c>
      <c r="C497" s="14" t="s">
        <v>1275</v>
      </c>
      <c r="D497" s="14" t="s">
        <v>387</v>
      </c>
      <c r="E497" s="14" t="s">
        <v>123</v>
      </c>
      <c r="F497" s="14">
        <v>494.0</v>
      </c>
      <c r="G497" s="14" t="s">
        <v>537</v>
      </c>
      <c r="H497" s="14" t="s">
        <v>562</v>
      </c>
      <c r="I497" s="14">
        <v>1.5</v>
      </c>
      <c r="J497" s="14">
        <v>1.5</v>
      </c>
    </row>
    <row r="498" ht="15.75" customHeight="1">
      <c r="A498" s="14" t="s">
        <v>174</v>
      </c>
      <c r="B498" s="14" t="s">
        <v>1276</v>
      </c>
      <c r="C498" s="14" t="s">
        <v>1277</v>
      </c>
      <c r="D498" s="14" t="s">
        <v>177</v>
      </c>
      <c r="E498" s="14" t="s">
        <v>121</v>
      </c>
      <c r="F498" s="14">
        <v>495.0</v>
      </c>
      <c r="G498" s="14" t="s">
        <v>537</v>
      </c>
      <c r="H498" s="14" t="s">
        <v>518</v>
      </c>
      <c r="I498" s="14">
        <v>1.5</v>
      </c>
      <c r="J498" s="14">
        <v>0.25</v>
      </c>
    </row>
    <row r="499" ht="15.75" customHeight="1">
      <c r="A499" s="14" t="s">
        <v>174</v>
      </c>
      <c r="B499" s="14" t="s">
        <v>1278</v>
      </c>
      <c r="C499" s="14" t="s">
        <v>1279</v>
      </c>
      <c r="D499" s="14" t="s">
        <v>236</v>
      </c>
      <c r="E499" s="14" t="s">
        <v>115</v>
      </c>
      <c r="F499" s="14">
        <v>496.0</v>
      </c>
      <c r="G499" s="14" t="s">
        <v>537</v>
      </c>
      <c r="H499" s="14" t="s">
        <v>522</v>
      </c>
      <c r="I499" s="14">
        <v>1.25</v>
      </c>
      <c r="J499" s="14">
        <v>1.25</v>
      </c>
    </row>
    <row r="500" ht="15.75" customHeight="1">
      <c r="A500" s="14" t="s">
        <v>174</v>
      </c>
      <c r="B500" s="14" t="s">
        <v>1280</v>
      </c>
      <c r="C500" s="14" t="s">
        <v>1281</v>
      </c>
      <c r="D500" s="14" t="s">
        <v>243</v>
      </c>
      <c r="E500" s="14" t="s">
        <v>118</v>
      </c>
      <c r="F500" s="14">
        <v>497.0</v>
      </c>
      <c r="G500" s="14" t="s">
        <v>537</v>
      </c>
      <c r="H500" s="14" t="s">
        <v>531</v>
      </c>
      <c r="I500" s="14">
        <v>1.0</v>
      </c>
      <c r="J500" s="14">
        <v>1.0</v>
      </c>
    </row>
    <row r="501" ht="15.75" customHeight="1">
      <c r="A501" s="14" t="s">
        <v>174</v>
      </c>
      <c r="B501" s="14" t="s">
        <v>1282</v>
      </c>
      <c r="C501" s="14" t="s">
        <v>1283</v>
      </c>
      <c r="D501" s="14" t="s">
        <v>221</v>
      </c>
      <c r="E501" s="14" t="s">
        <v>123</v>
      </c>
      <c r="F501" s="14">
        <v>498.0</v>
      </c>
      <c r="G501" s="14" t="s">
        <v>537</v>
      </c>
      <c r="H501" s="14" t="s">
        <v>520</v>
      </c>
      <c r="I501" s="14">
        <v>1.0</v>
      </c>
      <c r="J501" s="14">
        <v>0.5</v>
      </c>
    </row>
    <row r="502" ht="15.75" customHeight="1">
      <c r="A502" s="14" t="s">
        <v>174</v>
      </c>
      <c r="B502" s="14" t="s">
        <v>1284</v>
      </c>
      <c r="C502" s="14" t="s">
        <v>1285</v>
      </c>
      <c r="D502" s="14" t="s">
        <v>221</v>
      </c>
      <c r="E502" s="14" t="s">
        <v>123</v>
      </c>
      <c r="F502" s="14">
        <v>499.0</v>
      </c>
      <c r="G502" s="14" t="s">
        <v>537</v>
      </c>
      <c r="H502" s="14" t="s">
        <v>520</v>
      </c>
      <c r="I502" s="14">
        <v>1.0</v>
      </c>
      <c r="J502" s="14">
        <v>1.0</v>
      </c>
    </row>
    <row r="503" ht="15.75" customHeight="1">
      <c r="A503" s="14" t="s">
        <v>174</v>
      </c>
      <c r="B503" s="14" t="s">
        <v>1286</v>
      </c>
      <c r="C503" s="14" t="s">
        <v>1287</v>
      </c>
      <c r="D503" s="14" t="s">
        <v>236</v>
      </c>
      <c r="E503" s="14" t="s">
        <v>123</v>
      </c>
      <c r="F503" s="14">
        <v>500.0</v>
      </c>
      <c r="G503" s="14" t="s">
        <v>537</v>
      </c>
      <c r="H503" s="14" t="s">
        <v>522</v>
      </c>
      <c r="I503" s="14">
        <v>1.0</v>
      </c>
      <c r="J503" s="14">
        <v>1.0</v>
      </c>
    </row>
    <row r="504" ht="15.75" customHeight="1">
      <c r="A504" s="14" t="s">
        <v>174</v>
      </c>
      <c r="B504" s="14" t="s">
        <v>1288</v>
      </c>
      <c r="C504" s="14" t="s">
        <v>1289</v>
      </c>
      <c r="D504" s="14" t="s">
        <v>314</v>
      </c>
      <c r="E504" s="14" t="s">
        <v>121</v>
      </c>
      <c r="F504" s="14">
        <v>501.0</v>
      </c>
      <c r="G504" s="14" t="s">
        <v>537</v>
      </c>
      <c r="H504" s="14" t="s">
        <v>528</v>
      </c>
      <c r="I504" s="14">
        <v>1.0</v>
      </c>
      <c r="J504" s="14">
        <v>0.33</v>
      </c>
    </row>
    <row r="505" ht="15.75" customHeight="1">
      <c r="A505" s="14" t="s">
        <v>174</v>
      </c>
      <c r="B505" s="14" t="s">
        <v>1290</v>
      </c>
      <c r="C505" s="14" t="s">
        <v>1291</v>
      </c>
      <c r="D505" s="14" t="s">
        <v>314</v>
      </c>
      <c r="E505" s="14" t="s">
        <v>121</v>
      </c>
      <c r="F505" s="14">
        <v>502.0</v>
      </c>
      <c r="G505" s="14" t="s">
        <v>537</v>
      </c>
      <c r="H505" s="14" t="s">
        <v>528</v>
      </c>
      <c r="I505" s="14">
        <v>1.0</v>
      </c>
      <c r="J505" s="14">
        <v>1.0</v>
      </c>
    </row>
    <row r="506" ht="15.75" customHeight="1">
      <c r="A506" s="14" t="s">
        <v>174</v>
      </c>
      <c r="B506" s="14" t="s">
        <v>1292</v>
      </c>
      <c r="C506" s="14" t="s">
        <v>1293</v>
      </c>
      <c r="D506" s="14" t="s">
        <v>185</v>
      </c>
      <c r="E506" s="14" t="s">
        <v>118</v>
      </c>
      <c r="F506" s="14">
        <v>503.0</v>
      </c>
      <c r="G506" s="14" t="s">
        <v>537</v>
      </c>
      <c r="H506" s="14" t="s">
        <v>512</v>
      </c>
      <c r="I506" s="14">
        <v>0.5</v>
      </c>
      <c r="J506" s="14">
        <v>0.5</v>
      </c>
    </row>
    <row r="507" ht="15.75" customHeight="1">
      <c r="A507" s="14" t="s">
        <v>174</v>
      </c>
      <c r="B507" s="14" t="s">
        <v>1294</v>
      </c>
      <c r="C507" s="14" t="s">
        <v>1295</v>
      </c>
      <c r="D507" s="14" t="s">
        <v>305</v>
      </c>
      <c r="E507" s="14" t="s">
        <v>123</v>
      </c>
      <c r="F507" s="14">
        <v>504.0</v>
      </c>
      <c r="G507" s="14" t="s">
        <v>537</v>
      </c>
      <c r="H507" s="14" t="s">
        <v>539</v>
      </c>
      <c r="I507" s="14">
        <v>0.5</v>
      </c>
      <c r="J507" s="14">
        <v>0.07</v>
      </c>
    </row>
    <row r="508" ht="15.75" customHeight="1">
      <c r="A508" s="14" t="s">
        <v>174</v>
      </c>
      <c r="B508" s="14" t="s">
        <v>1296</v>
      </c>
      <c r="C508" s="14" t="s">
        <v>1297</v>
      </c>
      <c r="D508" s="14" t="s">
        <v>243</v>
      </c>
      <c r="E508" s="14" t="s">
        <v>121</v>
      </c>
      <c r="F508" s="14">
        <v>505.0</v>
      </c>
      <c r="G508" s="14" t="s">
        <v>538</v>
      </c>
      <c r="H508" s="14" t="s">
        <v>531</v>
      </c>
      <c r="I508" s="14">
        <v>0.5</v>
      </c>
      <c r="J508" s="14">
        <v>0.17</v>
      </c>
    </row>
    <row r="509" ht="15.75" customHeight="1">
      <c r="A509" s="14" t="s">
        <v>174</v>
      </c>
      <c r="B509" s="14" t="s">
        <v>1298</v>
      </c>
      <c r="C509" s="14" t="s">
        <v>1299</v>
      </c>
      <c r="D509" s="14" t="s">
        <v>1300</v>
      </c>
      <c r="E509" s="14" t="s">
        <v>118</v>
      </c>
      <c r="F509" s="14">
        <v>506.0</v>
      </c>
      <c r="G509" s="14" t="s">
        <v>537</v>
      </c>
      <c r="H509" s="14" t="s">
        <v>512</v>
      </c>
      <c r="I509" s="14">
        <v>0.5</v>
      </c>
      <c r="J509" s="14">
        <v>0.12</v>
      </c>
    </row>
    <row r="510" ht="15.75" customHeight="1">
      <c r="A510" s="14" t="s">
        <v>174</v>
      </c>
      <c r="B510" s="14" t="s">
        <v>1301</v>
      </c>
      <c r="C510" s="14" t="s">
        <v>1302</v>
      </c>
      <c r="D510" s="14" t="s">
        <v>243</v>
      </c>
      <c r="E510" s="14" t="s">
        <v>121</v>
      </c>
      <c r="F510" s="14">
        <v>507.0</v>
      </c>
      <c r="G510" s="14" t="s">
        <v>537</v>
      </c>
      <c r="H510" s="14" t="s">
        <v>531</v>
      </c>
      <c r="I510" s="14">
        <v>0.0</v>
      </c>
      <c r="J510" s="14">
        <v>0.0</v>
      </c>
    </row>
    <row r="511" ht="15.75" customHeight="1">
      <c r="A511" s="14" t="s">
        <v>174</v>
      </c>
      <c r="B511" s="14" t="s">
        <v>1303</v>
      </c>
      <c r="C511" s="14" t="s">
        <v>1304</v>
      </c>
      <c r="D511" s="14" t="s">
        <v>314</v>
      </c>
      <c r="E511" s="14" t="s">
        <v>123</v>
      </c>
      <c r="F511" s="14">
        <v>508.0</v>
      </c>
      <c r="G511" s="14" t="s">
        <v>537</v>
      </c>
      <c r="H511" s="14" t="s">
        <v>528</v>
      </c>
      <c r="I511" s="14">
        <v>0.0</v>
      </c>
      <c r="J511" s="14">
        <v>0.0</v>
      </c>
    </row>
    <row r="512" ht="15.75" customHeight="1">
      <c r="A512" s="14" t="s">
        <v>174</v>
      </c>
      <c r="B512" s="14" t="s">
        <v>1305</v>
      </c>
      <c r="C512" s="14" t="s">
        <v>1306</v>
      </c>
      <c r="D512" s="14" t="s">
        <v>221</v>
      </c>
      <c r="E512" s="14" t="s">
        <v>118</v>
      </c>
      <c r="F512" s="14">
        <v>509.0</v>
      </c>
      <c r="G512" s="14" t="s">
        <v>537</v>
      </c>
      <c r="H512" s="14" t="s">
        <v>520</v>
      </c>
      <c r="I512" s="14">
        <v>0.0</v>
      </c>
      <c r="J512" s="14">
        <v>0.0</v>
      </c>
    </row>
    <row r="513" ht="15.75" customHeight="1">
      <c r="A513" s="14" t="s">
        <v>174</v>
      </c>
      <c r="B513" s="14" t="s">
        <v>1307</v>
      </c>
      <c r="C513" s="14" t="s">
        <v>1308</v>
      </c>
      <c r="D513" s="14" t="s">
        <v>566</v>
      </c>
      <c r="E513" s="14" t="s">
        <v>121</v>
      </c>
      <c r="F513" s="14">
        <v>510.0</v>
      </c>
      <c r="G513" s="14" t="s">
        <v>537</v>
      </c>
      <c r="H513" s="14" t="s">
        <v>562</v>
      </c>
      <c r="I513" s="14">
        <v>0.0</v>
      </c>
      <c r="J513" s="14">
        <v>0.0</v>
      </c>
    </row>
    <row r="514" ht="15.75" customHeight="1">
      <c r="A514" s="14" t="s">
        <v>174</v>
      </c>
      <c r="B514" s="14" t="s">
        <v>1309</v>
      </c>
      <c r="C514" s="14" t="s">
        <v>1310</v>
      </c>
      <c r="D514" s="14" t="s">
        <v>285</v>
      </c>
      <c r="E514" s="14" t="s">
        <v>123</v>
      </c>
      <c r="F514" s="14">
        <v>511.0</v>
      </c>
      <c r="G514" s="14" t="s">
        <v>537</v>
      </c>
      <c r="H514" s="14" t="s">
        <v>522</v>
      </c>
      <c r="I514" s="14">
        <v>0.0</v>
      </c>
      <c r="J514" s="14">
        <v>0.0</v>
      </c>
    </row>
    <row r="515" ht="15.75" customHeight="1">
      <c r="A515" s="14" t="s">
        <v>174</v>
      </c>
      <c r="B515" s="14" t="s">
        <v>1311</v>
      </c>
      <c r="C515" s="14" t="s">
        <v>1312</v>
      </c>
      <c r="D515" s="14" t="s">
        <v>221</v>
      </c>
      <c r="E515" s="14" t="s">
        <v>121</v>
      </c>
      <c r="F515" s="14">
        <v>512.0</v>
      </c>
      <c r="G515" s="14" t="s">
        <v>537</v>
      </c>
      <c r="H515" s="14" t="s">
        <v>520</v>
      </c>
      <c r="I515" s="14">
        <v>0.0</v>
      </c>
      <c r="J515" s="14">
        <v>0.0</v>
      </c>
    </row>
    <row r="516" ht="15.75" customHeight="1">
      <c r="A516" s="14" t="s">
        <v>174</v>
      </c>
      <c r="B516" s="14" t="s">
        <v>1313</v>
      </c>
      <c r="C516" s="14" t="s">
        <v>1314</v>
      </c>
      <c r="D516" s="14" t="s">
        <v>566</v>
      </c>
      <c r="E516" s="14" t="s">
        <v>123</v>
      </c>
      <c r="F516" s="14">
        <v>513.0</v>
      </c>
      <c r="G516" s="14" t="s">
        <v>537</v>
      </c>
      <c r="H516" s="14" t="s">
        <v>562</v>
      </c>
      <c r="I516" s="14">
        <v>0.0</v>
      </c>
      <c r="J516" s="14">
        <v>0.0</v>
      </c>
    </row>
    <row r="517" ht="15.75" customHeight="1">
      <c r="A517" s="14" t="s">
        <v>174</v>
      </c>
      <c r="B517" s="14" t="s">
        <v>1315</v>
      </c>
      <c r="C517" s="14" t="s">
        <v>1316</v>
      </c>
      <c r="D517" s="14" t="s">
        <v>221</v>
      </c>
      <c r="E517" s="14" t="s">
        <v>121</v>
      </c>
      <c r="F517" s="14">
        <v>514.0</v>
      </c>
      <c r="G517" s="14" t="s">
        <v>537</v>
      </c>
      <c r="H517" s="14" t="s">
        <v>520</v>
      </c>
      <c r="I517" s="14">
        <v>0.0</v>
      </c>
      <c r="J517" s="14">
        <v>0.0</v>
      </c>
    </row>
    <row r="518" ht="15.75" customHeight="1">
      <c r="A518" s="14" t="s">
        <v>174</v>
      </c>
      <c r="B518" s="14" t="s">
        <v>1317</v>
      </c>
      <c r="C518" s="14" t="s">
        <v>1318</v>
      </c>
      <c r="D518" s="14" t="s">
        <v>215</v>
      </c>
      <c r="E518" s="14" t="s">
        <v>123</v>
      </c>
      <c r="F518" s="14">
        <v>515.0</v>
      </c>
      <c r="G518" s="14" t="s">
        <v>537</v>
      </c>
      <c r="H518" s="14" t="s">
        <v>523</v>
      </c>
      <c r="I518" s="14">
        <v>0.0</v>
      </c>
      <c r="J518" s="14">
        <v>0.0</v>
      </c>
    </row>
    <row r="519" ht="15.75" customHeight="1">
      <c r="A519" s="14" t="s">
        <v>174</v>
      </c>
      <c r="B519" s="14" t="s">
        <v>1319</v>
      </c>
      <c r="C519" s="14" t="s">
        <v>1320</v>
      </c>
      <c r="D519" s="14" t="s">
        <v>180</v>
      </c>
      <c r="E519" s="14" t="s">
        <v>118</v>
      </c>
      <c r="F519" s="14">
        <v>516.0</v>
      </c>
      <c r="G519" s="14" t="s">
        <v>537</v>
      </c>
      <c r="H519" s="14" t="s">
        <v>514</v>
      </c>
      <c r="I519" s="14">
        <v>0.0</v>
      </c>
      <c r="J519" s="14">
        <v>0.0</v>
      </c>
    </row>
    <row r="520" ht="15.75" customHeight="1">
      <c r="A520" s="14" t="s">
        <v>174</v>
      </c>
      <c r="B520" s="14" t="s">
        <v>1321</v>
      </c>
      <c r="C520" s="14" t="s">
        <v>1322</v>
      </c>
      <c r="D520" s="14" t="s">
        <v>243</v>
      </c>
      <c r="E520" s="14" t="s">
        <v>123</v>
      </c>
      <c r="F520" s="14">
        <v>517.0</v>
      </c>
      <c r="G520" s="14" t="s">
        <v>537</v>
      </c>
      <c r="H520" s="14" t="s">
        <v>531</v>
      </c>
      <c r="I520" s="14">
        <v>0.0</v>
      </c>
      <c r="J520" s="14">
        <v>0.0</v>
      </c>
    </row>
    <row r="521" ht="15.75" customHeight="1">
      <c r="A521" s="14" t="s">
        <v>174</v>
      </c>
      <c r="B521" s="14" t="s">
        <v>1323</v>
      </c>
      <c r="C521" s="14" t="s">
        <v>1324</v>
      </c>
      <c r="D521" s="14" t="s">
        <v>285</v>
      </c>
      <c r="E521" s="14" t="s">
        <v>118</v>
      </c>
      <c r="F521" s="14">
        <v>518.0</v>
      </c>
      <c r="G521" s="14" t="s">
        <v>537</v>
      </c>
      <c r="H521" s="14" t="s">
        <v>522</v>
      </c>
      <c r="I521" s="14">
        <v>0.0</v>
      </c>
      <c r="J521" s="14">
        <v>0.0</v>
      </c>
    </row>
    <row r="522" ht="15.75" customHeight="1">
      <c r="A522" s="14" t="s">
        <v>174</v>
      </c>
      <c r="B522" s="14" t="s">
        <v>1325</v>
      </c>
      <c r="C522" s="14" t="s">
        <v>1326</v>
      </c>
      <c r="D522" s="14" t="s">
        <v>226</v>
      </c>
      <c r="E522" s="14" t="s">
        <v>121</v>
      </c>
      <c r="F522" s="14">
        <v>519.0</v>
      </c>
      <c r="G522" s="14" t="s">
        <v>537</v>
      </c>
      <c r="H522" s="14" t="s">
        <v>539</v>
      </c>
      <c r="I522" s="14">
        <v>0.0</v>
      </c>
      <c r="J522" s="14">
        <v>0.0</v>
      </c>
    </row>
    <row r="523" ht="15.75" customHeight="1">
      <c r="A523" s="14" t="s">
        <v>174</v>
      </c>
      <c r="B523" s="14" t="s">
        <v>1327</v>
      </c>
      <c r="C523" s="14" t="s">
        <v>1328</v>
      </c>
      <c r="D523" s="14" t="s">
        <v>314</v>
      </c>
      <c r="E523" s="14" t="s">
        <v>658</v>
      </c>
      <c r="F523" s="14">
        <v>520.0</v>
      </c>
      <c r="G523" s="14" t="s">
        <v>537</v>
      </c>
      <c r="H523" s="14" t="s">
        <v>528</v>
      </c>
      <c r="I523" s="14">
        <v>0.0</v>
      </c>
      <c r="J523" s="14">
        <v>0.0</v>
      </c>
    </row>
    <row r="524" ht="15.75" customHeight="1">
      <c r="A524" s="14" t="s">
        <v>174</v>
      </c>
      <c r="B524" s="14" t="s">
        <v>1329</v>
      </c>
      <c r="C524" s="14" t="s">
        <v>1330</v>
      </c>
      <c r="D524" s="14" t="s">
        <v>314</v>
      </c>
      <c r="E524" s="14" t="s">
        <v>118</v>
      </c>
      <c r="F524" s="14">
        <v>521.0</v>
      </c>
      <c r="G524" s="14" t="s">
        <v>537</v>
      </c>
      <c r="H524" s="14" t="s">
        <v>528</v>
      </c>
      <c r="I524" s="14">
        <v>0.0</v>
      </c>
      <c r="J524" s="14">
        <v>0.0</v>
      </c>
    </row>
    <row r="525" ht="15.75" customHeight="1">
      <c r="A525" s="14" t="s">
        <v>174</v>
      </c>
      <c r="B525" s="14" t="s">
        <v>1331</v>
      </c>
      <c r="C525" s="14" t="s">
        <v>1332</v>
      </c>
      <c r="D525" s="14" t="s">
        <v>215</v>
      </c>
      <c r="E525" s="14" t="s">
        <v>121</v>
      </c>
      <c r="F525" s="14">
        <v>522.0</v>
      </c>
      <c r="G525" s="14" t="s">
        <v>537</v>
      </c>
      <c r="H525" s="14" t="s">
        <v>523</v>
      </c>
      <c r="I525" s="14">
        <v>0.0</v>
      </c>
      <c r="J525" s="14">
        <v>0.0</v>
      </c>
    </row>
    <row r="526" ht="15.75" customHeight="1">
      <c r="A526" s="14" t="s">
        <v>174</v>
      </c>
      <c r="B526" s="14" t="s">
        <v>1333</v>
      </c>
      <c r="C526" s="14" t="s">
        <v>1334</v>
      </c>
      <c r="D526" s="14" t="s">
        <v>185</v>
      </c>
      <c r="E526" s="14" t="s">
        <v>118</v>
      </c>
      <c r="F526" s="14">
        <v>523.0</v>
      </c>
      <c r="G526" s="14" t="s">
        <v>537</v>
      </c>
      <c r="H526" s="14" t="s">
        <v>512</v>
      </c>
      <c r="I526" s="14">
        <v>0.0</v>
      </c>
      <c r="J526" s="14">
        <v>0.0</v>
      </c>
    </row>
    <row r="527" ht="15.75" customHeight="1">
      <c r="A527" s="14" t="s">
        <v>174</v>
      </c>
      <c r="B527" s="14" t="s">
        <v>1335</v>
      </c>
      <c r="C527" s="14" t="s">
        <v>1336</v>
      </c>
      <c r="D527" s="14" t="s">
        <v>305</v>
      </c>
      <c r="E527" s="14" t="s">
        <v>118</v>
      </c>
      <c r="F527" s="14">
        <v>524.0</v>
      </c>
      <c r="G527" s="14" t="s">
        <v>537</v>
      </c>
      <c r="H527" s="14" t="s">
        <v>539</v>
      </c>
      <c r="I527" s="14">
        <v>0.0</v>
      </c>
      <c r="J527" s="14">
        <v>0.0</v>
      </c>
    </row>
    <row r="528" ht="15.75" customHeight="1">
      <c r="A528" s="14" t="s">
        <v>174</v>
      </c>
      <c r="B528" s="14" t="s">
        <v>1337</v>
      </c>
      <c r="C528" s="14" t="s">
        <v>1338</v>
      </c>
      <c r="D528" s="14" t="s">
        <v>314</v>
      </c>
      <c r="E528" s="14" t="s">
        <v>118</v>
      </c>
      <c r="F528" s="14">
        <v>525.0</v>
      </c>
      <c r="G528" s="14" t="s">
        <v>537</v>
      </c>
      <c r="H528" s="14" t="s">
        <v>528</v>
      </c>
      <c r="I528" s="14">
        <v>0.0</v>
      </c>
      <c r="J528" s="14">
        <v>0.0</v>
      </c>
    </row>
    <row r="529" ht="15.75" customHeight="1">
      <c r="A529" s="14" t="s">
        <v>174</v>
      </c>
      <c r="B529" s="14" t="s">
        <v>1339</v>
      </c>
      <c r="C529" s="14" t="s">
        <v>1340</v>
      </c>
      <c r="D529" s="14" t="s">
        <v>188</v>
      </c>
      <c r="E529" s="14" t="s">
        <v>118</v>
      </c>
      <c r="F529" s="14">
        <v>526.0</v>
      </c>
      <c r="G529" s="14" t="s">
        <v>537</v>
      </c>
      <c r="H529" s="14" t="s">
        <v>528</v>
      </c>
      <c r="I529" s="14">
        <v>0.0</v>
      </c>
      <c r="J529" s="14">
        <v>0.0</v>
      </c>
    </row>
    <row r="530" ht="15.75" customHeight="1">
      <c r="A530" s="14" t="s">
        <v>174</v>
      </c>
      <c r="B530" s="14" t="s">
        <v>1341</v>
      </c>
      <c r="C530" s="14" t="s">
        <v>1342</v>
      </c>
      <c r="D530" s="14" t="s">
        <v>215</v>
      </c>
      <c r="E530" s="14" t="s">
        <v>123</v>
      </c>
      <c r="F530" s="14">
        <v>527.0</v>
      </c>
      <c r="G530" s="14" t="s">
        <v>537</v>
      </c>
      <c r="H530" s="14" t="s">
        <v>523</v>
      </c>
      <c r="I530" s="14">
        <v>0.0</v>
      </c>
      <c r="J530" s="14">
        <v>0.0</v>
      </c>
    </row>
    <row r="531" ht="15.75" customHeight="1">
      <c r="A531" s="14" t="s">
        <v>174</v>
      </c>
      <c r="B531" s="14" t="s">
        <v>1343</v>
      </c>
      <c r="C531" s="14" t="s">
        <v>1344</v>
      </c>
      <c r="D531" s="14" t="s">
        <v>285</v>
      </c>
      <c r="E531" s="14" t="s">
        <v>118</v>
      </c>
      <c r="F531" s="14">
        <v>528.0</v>
      </c>
      <c r="G531" s="14" t="s">
        <v>537</v>
      </c>
      <c r="H531" s="14" t="s">
        <v>522</v>
      </c>
      <c r="I531" s="14">
        <v>0.0</v>
      </c>
      <c r="J531" s="14">
        <v>0.0</v>
      </c>
    </row>
    <row r="532" ht="15.75" customHeight="1">
      <c r="A532" s="14" t="s">
        <v>174</v>
      </c>
      <c r="B532" s="14" t="s">
        <v>1345</v>
      </c>
      <c r="C532" s="14" t="s">
        <v>1346</v>
      </c>
      <c r="D532" s="14" t="s">
        <v>243</v>
      </c>
      <c r="E532" s="14" t="s">
        <v>118</v>
      </c>
      <c r="F532" s="14">
        <v>529.0</v>
      </c>
      <c r="G532" s="14" t="s">
        <v>537</v>
      </c>
      <c r="H532" s="14" t="s">
        <v>531</v>
      </c>
      <c r="I532" s="14">
        <v>0.0</v>
      </c>
      <c r="J532" s="14">
        <v>0.0</v>
      </c>
    </row>
    <row r="533" ht="15.75" customHeight="1">
      <c r="A533" s="14" t="s">
        <v>174</v>
      </c>
      <c r="B533" s="14" t="s">
        <v>1347</v>
      </c>
      <c r="C533" s="14" t="s">
        <v>1348</v>
      </c>
      <c r="D533" s="14" t="s">
        <v>327</v>
      </c>
      <c r="E533" s="14" t="s">
        <v>118</v>
      </c>
      <c r="F533" s="14">
        <v>530.0</v>
      </c>
      <c r="G533" s="14" t="s">
        <v>537</v>
      </c>
      <c r="H533" s="14" t="s">
        <v>518</v>
      </c>
      <c r="I533" s="14">
        <v>0.0</v>
      </c>
      <c r="J533" s="14">
        <v>0.0</v>
      </c>
    </row>
    <row r="534" ht="15.75" customHeight="1">
      <c r="A534" s="14" t="s">
        <v>174</v>
      </c>
      <c r="B534" s="14" t="s">
        <v>1349</v>
      </c>
      <c r="C534" s="14" t="s">
        <v>1350</v>
      </c>
      <c r="D534" s="14" t="s">
        <v>226</v>
      </c>
      <c r="E534" s="14" t="s">
        <v>118</v>
      </c>
      <c r="F534" s="14">
        <v>531.0</v>
      </c>
      <c r="G534" s="14" t="s">
        <v>537</v>
      </c>
      <c r="H534" s="14" t="s">
        <v>539</v>
      </c>
      <c r="I534" s="14">
        <v>0.0</v>
      </c>
      <c r="J534" s="14">
        <v>0.0</v>
      </c>
    </row>
    <row r="535" ht="15.75" customHeight="1">
      <c r="A535" s="14" t="s">
        <v>174</v>
      </c>
      <c r="B535" s="14" t="s">
        <v>1351</v>
      </c>
      <c r="C535" s="14" t="s">
        <v>1352</v>
      </c>
      <c r="D535" s="14" t="s">
        <v>243</v>
      </c>
      <c r="E535" s="14" t="s">
        <v>118</v>
      </c>
      <c r="F535" s="14">
        <v>532.0</v>
      </c>
      <c r="G535" s="14" t="s">
        <v>537</v>
      </c>
      <c r="H535" s="14" t="s">
        <v>531</v>
      </c>
      <c r="I535" s="14">
        <v>0.0</v>
      </c>
      <c r="J535" s="14">
        <v>0.0</v>
      </c>
    </row>
    <row r="536" ht="15.75" customHeight="1">
      <c r="A536" s="14" t="s">
        <v>174</v>
      </c>
      <c r="B536" s="14" t="s">
        <v>1353</v>
      </c>
      <c r="C536" s="14" t="s">
        <v>1354</v>
      </c>
      <c r="D536" s="14" t="s">
        <v>243</v>
      </c>
      <c r="E536" s="14" t="s">
        <v>115</v>
      </c>
      <c r="F536" s="14">
        <v>533.0</v>
      </c>
      <c r="G536" s="14" t="s">
        <v>537</v>
      </c>
      <c r="H536" s="14" t="s">
        <v>531</v>
      </c>
      <c r="I536" s="14">
        <v>0.0</v>
      </c>
      <c r="J536" s="14">
        <v>0.0</v>
      </c>
    </row>
    <row r="537" ht="15.75" customHeight="1">
      <c r="A537" s="14" t="s">
        <v>174</v>
      </c>
      <c r="B537" s="14" t="s">
        <v>1355</v>
      </c>
      <c r="C537" s="14" t="s">
        <v>1356</v>
      </c>
      <c r="D537" s="14" t="s">
        <v>215</v>
      </c>
      <c r="E537" s="14" t="s">
        <v>115</v>
      </c>
      <c r="F537" s="14">
        <v>534.0</v>
      </c>
      <c r="G537" s="14" t="s">
        <v>537</v>
      </c>
      <c r="H537" s="14" t="s">
        <v>523</v>
      </c>
      <c r="I537" s="14">
        <v>0.0</v>
      </c>
      <c r="J537" s="14">
        <v>0.0</v>
      </c>
    </row>
    <row r="538" ht="15.75" customHeight="1">
      <c r="A538" s="14" t="s">
        <v>174</v>
      </c>
      <c r="B538" s="14" t="s">
        <v>1357</v>
      </c>
      <c r="C538" s="14" t="s">
        <v>1358</v>
      </c>
      <c r="D538" s="14" t="s">
        <v>257</v>
      </c>
      <c r="E538" s="14" t="s">
        <v>118</v>
      </c>
      <c r="F538" s="14">
        <v>535.0</v>
      </c>
      <c r="G538" s="14" t="s">
        <v>537</v>
      </c>
      <c r="H538" s="14" t="s">
        <v>531</v>
      </c>
      <c r="I538" s="14">
        <v>0.0</v>
      </c>
      <c r="J538" s="14">
        <v>0.0</v>
      </c>
    </row>
    <row r="539" ht="15.75" customHeight="1">
      <c r="A539" s="14" t="s">
        <v>174</v>
      </c>
      <c r="B539" s="14" t="s">
        <v>1359</v>
      </c>
      <c r="C539" s="14" t="s">
        <v>1360</v>
      </c>
      <c r="D539" s="14" t="s">
        <v>314</v>
      </c>
      <c r="E539" s="14" t="s">
        <v>121</v>
      </c>
      <c r="F539" s="14">
        <v>536.0</v>
      </c>
      <c r="G539" s="14" t="s">
        <v>537</v>
      </c>
      <c r="H539" s="14" t="s">
        <v>528</v>
      </c>
      <c r="I539" s="14">
        <v>0.0</v>
      </c>
      <c r="J539" s="14">
        <v>0.0</v>
      </c>
    </row>
    <row r="540" ht="15.75" customHeight="1">
      <c r="A540" s="14" t="s">
        <v>174</v>
      </c>
      <c r="B540" s="14" t="s">
        <v>1361</v>
      </c>
      <c r="C540" s="14" t="s">
        <v>1362</v>
      </c>
      <c r="D540" s="14" t="s">
        <v>226</v>
      </c>
      <c r="E540" s="14" t="s">
        <v>121</v>
      </c>
      <c r="F540" s="14">
        <v>537.0</v>
      </c>
      <c r="G540" s="14" t="s">
        <v>537</v>
      </c>
      <c r="H540" s="14" t="s">
        <v>539</v>
      </c>
      <c r="I540" s="14">
        <v>0.0</v>
      </c>
      <c r="J540" s="14">
        <v>0.0</v>
      </c>
    </row>
    <row r="541" ht="15.75" customHeight="1">
      <c r="A541" s="14" t="s">
        <v>174</v>
      </c>
      <c r="B541" s="14" t="s">
        <v>1363</v>
      </c>
      <c r="C541" s="14" t="s">
        <v>1364</v>
      </c>
      <c r="D541" s="14" t="s">
        <v>191</v>
      </c>
      <c r="E541" s="14" t="s">
        <v>123</v>
      </c>
      <c r="F541" s="14">
        <v>538.0</v>
      </c>
      <c r="G541" s="14" t="s">
        <v>537</v>
      </c>
      <c r="H541" s="14" t="s">
        <v>520</v>
      </c>
      <c r="I541" s="14">
        <v>0.0</v>
      </c>
      <c r="J541" s="14">
        <v>0.0</v>
      </c>
    </row>
    <row r="542" ht="15.75" customHeight="1">
      <c r="A542" s="14" t="s">
        <v>174</v>
      </c>
      <c r="B542" s="14" t="s">
        <v>1365</v>
      </c>
      <c r="C542" s="14" t="s">
        <v>1366</v>
      </c>
      <c r="D542" s="14" t="s">
        <v>177</v>
      </c>
      <c r="E542" s="14" t="s">
        <v>121</v>
      </c>
      <c r="F542" s="14">
        <v>539.0</v>
      </c>
      <c r="G542" s="14" t="s">
        <v>537</v>
      </c>
      <c r="H542" s="14" t="s">
        <v>518</v>
      </c>
      <c r="I542" s="14">
        <v>0.0</v>
      </c>
      <c r="J542" s="14">
        <v>0.0</v>
      </c>
    </row>
    <row r="543" ht="15.75" customHeight="1">
      <c r="A543" s="14" t="s">
        <v>174</v>
      </c>
      <c r="B543" s="14" t="s">
        <v>1367</v>
      </c>
      <c r="C543" s="14" t="s">
        <v>1368</v>
      </c>
      <c r="D543" s="14" t="s">
        <v>327</v>
      </c>
      <c r="E543" s="14" t="s">
        <v>115</v>
      </c>
      <c r="F543" s="14">
        <v>540.0</v>
      </c>
      <c r="G543" s="14" t="s">
        <v>537</v>
      </c>
      <c r="H543" s="14" t="s">
        <v>518</v>
      </c>
      <c r="I543" s="14">
        <v>0.0</v>
      </c>
      <c r="J543" s="14">
        <v>0.0</v>
      </c>
    </row>
    <row r="544" ht="15.75" customHeight="1">
      <c r="A544" s="14" t="s">
        <v>174</v>
      </c>
      <c r="B544" s="14" t="s">
        <v>1369</v>
      </c>
      <c r="C544" s="14" t="s">
        <v>1370</v>
      </c>
      <c r="D544" s="14" t="s">
        <v>453</v>
      </c>
      <c r="E544" s="14" t="s">
        <v>123</v>
      </c>
      <c r="F544" s="14">
        <v>541.0</v>
      </c>
      <c r="G544" s="14" t="s">
        <v>537</v>
      </c>
      <c r="H544" s="14" t="s">
        <v>523</v>
      </c>
      <c r="I544" s="14">
        <v>0.0</v>
      </c>
      <c r="J544" s="14">
        <v>0.0</v>
      </c>
    </row>
    <row r="545" ht="15.75" customHeight="1">
      <c r="A545" s="14" t="s">
        <v>174</v>
      </c>
      <c r="B545" s="14" t="s">
        <v>1371</v>
      </c>
      <c r="C545" s="14" t="s">
        <v>1372</v>
      </c>
      <c r="D545" s="14" t="s">
        <v>566</v>
      </c>
      <c r="E545" s="14" t="s">
        <v>123</v>
      </c>
      <c r="F545" s="14">
        <v>542.0</v>
      </c>
      <c r="G545" s="14" t="s">
        <v>537</v>
      </c>
      <c r="H545" s="14" t="s">
        <v>562</v>
      </c>
      <c r="I545" s="14">
        <v>0.0</v>
      </c>
      <c r="J545" s="14">
        <v>0.0</v>
      </c>
    </row>
    <row r="546" ht="15.75" customHeight="1">
      <c r="A546" s="14" t="s">
        <v>174</v>
      </c>
      <c r="B546" s="14" t="s">
        <v>1373</v>
      </c>
      <c r="C546" s="14" t="s">
        <v>1374</v>
      </c>
      <c r="D546" s="14" t="s">
        <v>257</v>
      </c>
      <c r="E546" s="14" t="s">
        <v>121</v>
      </c>
      <c r="F546" s="14">
        <v>543.0</v>
      </c>
      <c r="G546" s="14" t="s">
        <v>537</v>
      </c>
      <c r="H546" s="14" t="s">
        <v>531</v>
      </c>
      <c r="I546" s="14">
        <v>0.0</v>
      </c>
      <c r="J546" s="14">
        <v>0.0</v>
      </c>
    </row>
    <row r="547" ht="15.75" customHeight="1">
      <c r="A547" s="14" t="s">
        <v>174</v>
      </c>
      <c r="B547" s="14" t="s">
        <v>1375</v>
      </c>
      <c r="C547" s="14" t="s">
        <v>1376</v>
      </c>
      <c r="D547" s="14" t="s">
        <v>221</v>
      </c>
      <c r="E547" s="14" t="s">
        <v>118</v>
      </c>
      <c r="F547" s="14">
        <v>544.0</v>
      </c>
      <c r="G547" s="14" t="s">
        <v>537</v>
      </c>
      <c r="H547" s="14" t="s">
        <v>520</v>
      </c>
      <c r="I547" s="14">
        <v>0.0</v>
      </c>
      <c r="J547" s="14">
        <v>0.0</v>
      </c>
    </row>
    <row r="548" ht="15.75" customHeight="1">
      <c r="A548" s="14" t="s">
        <v>174</v>
      </c>
      <c r="B548" s="14" t="s">
        <v>1377</v>
      </c>
      <c r="C548" s="14" t="s">
        <v>1378</v>
      </c>
      <c r="D548" s="14" t="s">
        <v>305</v>
      </c>
      <c r="E548" s="14" t="s">
        <v>115</v>
      </c>
      <c r="F548" s="14">
        <v>545.0</v>
      </c>
      <c r="G548" s="14" t="s">
        <v>537</v>
      </c>
      <c r="H548" s="14" t="s">
        <v>539</v>
      </c>
      <c r="I548" s="14">
        <v>0.0</v>
      </c>
      <c r="J548" s="14">
        <v>0.0</v>
      </c>
    </row>
    <row r="549" ht="15.75" customHeight="1">
      <c r="A549" s="14" t="s">
        <v>174</v>
      </c>
      <c r="B549" s="14" t="s">
        <v>1379</v>
      </c>
      <c r="C549" s="14" t="s">
        <v>1380</v>
      </c>
      <c r="D549" s="14" t="s">
        <v>327</v>
      </c>
      <c r="E549" s="14" t="s">
        <v>121</v>
      </c>
      <c r="F549" s="14">
        <v>546.0</v>
      </c>
      <c r="G549" s="14" t="s">
        <v>537</v>
      </c>
      <c r="H549" s="14" t="s">
        <v>518</v>
      </c>
      <c r="I549" s="14">
        <v>0.0</v>
      </c>
      <c r="J549" s="14">
        <v>0.0</v>
      </c>
    </row>
    <row r="550" ht="15.75" customHeight="1">
      <c r="A550" s="14" t="s">
        <v>174</v>
      </c>
      <c r="B550" s="14" t="s">
        <v>1381</v>
      </c>
      <c r="C550" s="14" t="s">
        <v>1382</v>
      </c>
      <c r="D550" s="14" t="s">
        <v>236</v>
      </c>
      <c r="E550" s="14" t="s">
        <v>121</v>
      </c>
      <c r="F550" s="14">
        <v>547.0</v>
      </c>
      <c r="G550" s="14" t="s">
        <v>537</v>
      </c>
      <c r="H550" s="14" t="s">
        <v>522</v>
      </c>
      <c r="I550" s="14">
        <v>0.0</v>
      </c>
      <c r="J550" s="14">
        <v>0.0</v>
      </c>
    </row>
    <row r="551" ht="15.75" customHeight="1">
      <c r="A551" s="14" t="s">
        <v>174</v>
      </c>
      <c r="B551" s="14" t="s">
        <v>1383</v>
      </c>
      <c r="C551" s="14" t="s">
        <v>1384</v>
      </c>
      <c r="D551" s="14" t="s">
        <v>180</v>
      </c>
      <c r="E551" s="14" t="s">
        <v>115</v>
      </c>
      <c r="F551" s="14">
        <v>548.0</v>
      </c>
      <c r="G551" s="14" t="s">
        <v>537</v>
      </c>
      <c r="H551" s="14" t="s">
        <v>514</v>
      </c>
      <c r="I551" s="14">
        <v>0.0</v>
      </c>
      <c r="J551" s="14">
        <v>0.0</v>
      </c>
    </row>
    <row r="552" ht="15.75" customHeight="1">
      <c r="A552" s="14" t="s">
        <v>174</v>
      </c>
      <c r="B552" s="14" t="s">
        <v>1385</v>
      </c>
      <c r="C552" s="14" t="s">
        <v>1386</v>
      </c>
      <c r="D552" s="14" t="s">
        <v>285</v>
      </c>
      <c r="E552" s="14" t="s">
        <v>118</v>
      </c>
      <c r="F552" s="14">
        <v>549.0</v>
      </c>
      <c r="G552" s="14" t="s">
        <v>537</v>
      </c>
      <c r="H552" s="14" t="s">
        <v>522</v>
      </c>
      <c r="I552" s="14">
        <v>0.0</v>
      </c>
      <c r="J552" s="14">
        <v>0.0</v>
      </c>
    </row>
    <row r="553" ht="15.75" customHeight="1">
      <c r="A553" s="14" t="s">
        <v>174</v>
      </c>
      <c r="B553" s="14" t="s">
        <v>1387</v>
      </c>
      <c r="C553" s="14" t="s">
        <v>1388</v>
      </c>
      <c r="D553" s="14" t="s">
        <v>566</v>
      </c>
      <c r="E553" s="14" t="s">
        <v>118</v>
      </c>
      <c r="F553" s="14">
        <v>550.0</v>
      </c>
      <c r="G553" s="14" t="s">
        <v>537</v>
      </c>
      <c r="H553" s="14" t="s">
        <v>562</v>
      </c>
      <c r="I553" s="14">
        <v>0.0</v>
      </c>
      <c r="J553" s="14">
        <v>0.0</v>
      </c>
    </row>
    <row r="554" ht="15.75" customHeight="1">
      <c r="A554" s="14" t="s">
        <v>174</v>
      </c>
      <c r="B554" s="14" t="s">
        <v>1389</v>
      </c>
      <c r="C554" s="14" t="s">
        <v>1390</v>
      </c>
      <c r="D554" s="14" t="s">
        <v>285</v>
      </c>
      <c r="E554" s="14" t="s">
        <v>121</v>
      </c>
      <c r="F554" s="14">
        <v>551.0</v>
      </c>
      <c r="G554" s="14" t="s">
        <v>537</v>
      </c>
      <c r="H554" s="14" t="s">
        <v>522</v>
      </c>
      <c r="I554" s="14">
        <v>0.0</v>
      </c>
      <c r="J554" s="14">
        <v>0.0</v>
      </c>
    </row>
    <row r="555" ht="15.75" customHeight="1">
      <c r="A555" s="14" t="s">
        <v>174</v>
      </c>
      <c r="B555" s="14" t="s">
        <v>1391</v>
      </c>
      <c r="C555" s="14" t="s">
        <v>1392</v>
      </c>
      <c r="D555" s="14" t="s">
        <v>236</v>
      </c>
      <c r="E555" s="14" t="s">
        <v>123</v>
      </c>
      <c r="F555" s="14">
        <v>552.0</v>
      </c>
      <c r="G555" s="14" t="s">
        <v>537</v>
      </c>
      <c r="H555" s="14" t="s">
        <v>522</v>
      </c>
      <c r="I555" s="14">
        <v>0.0</v>
      </c>
      <c r="J555" s="14">
        <v>0.0</v>
      </c>
    </row>
    <row r="556" ht="15.75" customHeight="1">
      <c r="A556" s="14" t="s">
        <v>174</v>
      </c>
      <c r="B556" s="14" t="s">
        <v>1393</v>
      </c>
      <c r="C556" s="14" t="s">
        <v>1394</v>
      </c>
      <c r="D556" s="14" t="s">
        <v>243</v>
      </c>
      <c r="E556" s="14" t="s">
        <v>115</v>
      </c>
      <c r="F556" s="14">
        <v>553.0</v>
      </c>
      <c r="G556" s="14" t="s">
        <v>537</v>
      </c>
      <c r="H556" s="14" t="s">
        <v>531</v>
      </c>
      <c r="I556" s="14">
        <v>0.0</v>
      </c>
      <c r="J556" s="14">
        <v>0.0</v>
      </c>
    </row>
    <row r="557" ht="15.75" customHeight="1">
      <c r="A557" s="14" t="s">
        <v>174</v>
      </c>
      <c r="B557" s="14" t="s">
        <v>1395</v>
      </c>
      <c r="C557" s="14" t="s">
        <v>1396</v>
      </c>
      <c r="D557" s="14" t="s">
        <v>236</v>
      </c>
      <c r="E557" s="14" t="s">
        <v>118</v>
      </c>
      <c r="F557" s="14">
        <v>554.0</v>
      </c>
      <c r="G557" s="14" t="s">
        <v>537</v>
      </c>
      <c r="H557" s="14" t="s">
        <v>522</v>
      </c>
      <c r="I557" s="14">
        <v>0.0</v>
      </c>
      <c r="J557" s="14">
        <v>0.0</v>
      </c>
    </row>
    <row r="558" ht="15.75" customHeight="1">
      <c r="A558" s="14" t="s">
        <v>174</v>
      </c>
      <c r="B558" s="14" t="s">
        <v>1397</v>
      </c>
      <c r="C558" s="14" t="s">
        <v>1398</v>
      </c>
      <c r="D558" s="14" t="s">
        <v>199</v>
      </c>
      <c r="E558" s="14" t="s">
        <v>121</v>
      </c>
      <c r="F558" s="14">
        <v>555.0</v>
      </c>
      <c r="G558" s="14" t="s">
        <v>537</v>
      </c>
      <c r="H558" s="14" t="s">
        <v>514</v>
      </c>
      <c r="I558" s="14">
        <v>0.0</v>
      </c>
      <c r="J558" s="14">
        <v>0.0</v>
      </c>
    </row>
    <row r="559" ht="15.75" customHeight="1">
      <c r="A559" s="14" t="s">
        <v>174</v>
      </c>
      <c r="B559" s="14" t="s">
        <v>1399</v>
      </c>
      <c r="C559" s="14" t="s">
        <v>1400</v>
      </c>
      <c r="D559" s="14" t="s">
        <v>236</v>
      </c>
      <c r="E559" s="14" t="s">
        <v>115</v>
      </c>
      <c r="F559" s="14">
        <v>556.0</v>
      </c>
      <c r="G559" s="14" t="s">
        <v>537</v>
      </c>
      <c r="H559" s="14" t="s">
        <v>522</v>
      </c>
      <c r="I559" s="14">
        <v>0.0</v>
      </c>
      <c r="J559" s="14">
        <v>0.0</v>
      </c>
    </row>
    <row r="560" ht="15.75" customHeight="1">
      <c r="A560" s="14" t="s">
        <v>174</v>
      </c>
      <c r="B560" s="14" t="s">
        <v>1401</v>
      </c>
      <c r="C560" s="14" t="s">
        <v>1402</v>
      </c>
      <c r="D560" s="14" t="s">
        <v>236</v>
      </c>
      <c r="E560" s="14" t="s">
        <v>121</v>
      </c>
      <c r="F560" s="14">
        <v>557.0</v>
      </c>
      <c r="G560" s="14" t="s">
        <v>537</v>
      </c>
      <c r="H560" s="14" t="s">
        <v>522</v>
      </c>
      <c r="I560" s="14">
        <v>0.0</v>
      </c>
      <c r="J560" s="14">
        <v>0.0</v>
      </c>
    </row>
    <row r="561" ht="15.75" customHeight="1">
      <c r="A561" s="14" t="s">
        <v>174</v>
      </c>
      <c r="B561" s="14" t="s">
        <v>1403</v>
      </c>
      <c r="C561" s="14" t="s">
        <v>1404</v>
      </c>
      <c r="D561" s="14" t="s">
        <v>180</v>
      </c>
      <c r="E561" s="14" t="s">
        <v>118</v>
      </c>
      <c r="F561" s="14">
        <v>558.0</v>
      </c>
      <c r="G561" s="14" t="s">
        <v>537</v>
      </c>
      <c r="H561" s="14" t="s">
        <v>514</v>
      </c>
      <c r="I561" s="14">
        <v>0.0</v>
      </c>
      <c r="J561" s="14">
        <v>0.0</v>
      </c>
    </row>
    <row r="562" ht="15.75" customHeight="1">
      <c r="A562" s="14" t="s">
        <v>174</v>
      </c>
      <c r="B562" s="14" t="s">
        <v>1405</v>
      </c>
      <c r="C562" s="14" t="s">
        <v>1406</v>
      </c>
      <c r="D562" s="14" t="s">
        <v>566</v>
      </c>
      <c r="E562" s="14" t="s">
        <v>121</v>
      </c>
      <c r="F562" s="14">
        <v>559.0</v>
      </c>
      <c r="G562" s="14" t="s">
        <v>537</v>
      </c>
      <c r="H562" s="14" t="s">
        <v>562</v>
      </c>
      <c r="I562" s="14">
        <v>0.0</v>
      </c>
      <c r="J562" s="14">
        <v>0.0</v>
      </c>
    </row>
    <row r="563" ht="15.75" customHeight="1">
      <c r="A563" s="14" t="s">
        <v>174</v>
      </c>
      <c r="B563" s="14" t="s">
        <v>1407</v>
      </c>
      <c r="C563" s="14" t="s">
        <v>1408</v>
      </c>
      <c r="D563" s="14" t="s">
        <v>199</v>
      </c>
      <c r="E563" s="14" t="s">
        <v>121</v>
      </c>
      <c r="F563" s="14">
        <v>560.0</v>
      </c>
      <c r="G563" s="14" t="s">
        <v>537</v>
      </c>
      <c r="H563" s="14" t="s">
        <v>514</v>
      </c>
      <c r="I563" s="14">
        <v>0.0</v>
      </c>
      <c r="J563" s="14">
        <v>0.0</v>
      </c>
    </row>
    <row r="564" ht="15.75" customHeight="1">
      <c r="A564" s="14" t="s">
        <v>174</v>
      </c>
      <c r="B564" s="14" t="s">
        <v>1409</v>
      </c>
      <c r="C564" s="14" t="s">
        <v>1410</v>
      </c>
      <c r="D564" s="14" t="s">
        <v>387</v>
      </c>
      <c r="E564" s="14" t="s">
        <v>115</v>
      </c>
      <c r="F564" s="14">
        <v>561.0</v>
      </c>
      <c r="G564" s="14" t="s">
        <v>537</v>
      </c>
      <c r="H564" s="14" t="s">
        <v>562</v>
      </c>
      <c r="I564" s="14">
        <v>0.0</v>
      </c>
      <c r="J564" s="14">
        <v>0.0</v>
      </c>
    </row>
    <row r="565" ht="15.75" customHeight="1">
      <c r="A565" s="14" t="s">
        <v>174</v>
      </c>
      <c r="B565" s="14" t="s">
        <v>1411</v>
      </c>
      <c r="C565" s="14" t="s">
        <v>1412</v>
      </c>
      <c r="D565" s="14" t="s">
        <v>314</v>
      </c>
      <c r="E565" s="14" t="s">
        <v>121</v>
      </c>
      <c r="F565" s="14">
        <v>562.0</v>
      </c>
      <c r="G565" s="14" t="s">
        <v>537</v>
      </c>
      <c r="H565" s="14" t="s">
        <v>528</v>
      </c>
      <c r="I565" s="14">
        <v>0.0</v>
      </c>
      <c r="J565" s="14">
        <v>0.0</v>
      </c>
    </row>
    <row r="566" ht="15.75" customHeight="1">
      <c r="A566" s="14" t="s">
        <v>174</v>
      </c>
      <c r="B566" s="14" t="s">
        <v>1413</v>
      </c>
      <c r="C566" s="14" t="s">
        <v>1414</v>
      </c>
      <c r="D566" s="14" t="s">
        <v>221</v>
      </c>
      <c r="E566" s="14" t="s">
        <v>118</v>
      </c>
      <c r="F566" s="14">
        <v>563.0</v>
      </c>
      <c r="G566" s="14" t="s">
        <v>537</v>
      </c>
      <c r="H566" s="14" t="s">
        <v>520</v>
      </c>
      <c r="I566" s="14">
        <v>0.0</v>
      </c>
      <c r="J566" s="14">
        <v>0.0</v>
      </c>
    </row>
    <row r="567" ht="15.75" customHeight="1">
      <c r="A567" s="14" t="s">
        <v>174</v>
      </c>
      <c r="B567" s="14" t="s">
        <v>1415</v>
      </c>
      <c r="C567" s="14" t="s">
        <v>1416</v>
      </c>
      <c r="D567" s="14" t="s">
        <v>566</v>
      </c>
      <c r="E567" s="14" t="s">
        <v>121</v>
      </c>
      <c r="F567" s="14">
        <v>564.0</v>
      </c>
      <c r="G567" s="14" t="s">
        <v>537</v>
      </c>
      <c r="H567" s="14" t="s">
        <v>562</v>
      </c>
      <c r="I567" s="14">
        <v>0.0</v>
      </c>
      <c r="J567" s="14">
        <v>0.0</v>
      </c>
    </row>
    <row r="568" ht="15.75" customHeight="1">
      <c r="A568" s="14" t="s">
        <v>174</v>
      </c>
      <c r="B568" s="14" t="s">
        <v>1417</v>
      </c>
      <c r="C568" s="14" t="s">
        <v>1418</v>
      </c>
      <c r="D568" s="14" t="s">
        <v>199</v>
      </c>
      <c r="E568" s="14" t="s">
        <v>121</v>
      </c>
      <c r="F568" s="14">
        <v>565.0</v>
      </c>
      <c r="G568" s="14" t="s">
        <v>537</v>
      </c>
      <c r="H568" s="14" t="s">
        <v>514</v>
      </c>
      <c r="I568" s="14">
        <v>0.0</v>
      </c>
      <c r="J568" s="14">
        <v>0.0</v>
      </c>
    </row>
    <row r="569" ht="15.75" customHeight="1">
      <c r="A569" s="14" t="s">
        <v>174</v>
      </c>
      <c r="B569" s="14" t="s">
        <v>1419</v>
      </c>
      <c r="C569" s="14" t="s">
        <v>1420</v>
      </c>
      <c r="D569" s="14" t="s">
        <v>387</v>
      </c>
      <c r="E569" s="14" t="s">
        <v>118</v>
      </c>
      <c r="F569" s="14">
        <v>566.0</v>
      </c>
      <c r="G569" s="14" t="s">
        <v>537</v>
      </c>
      <c r="H569" s="14" t="s">
        <v>562</v>
      </c>
      <c r="I569" s="14">
        <v>0.0</v>
      </c>
      <c r="J569" s="14">
        <v>0.0</v>
      </c>
    </row>
    <row r="570" ht="15.75" customHeight="1">
      <c r="A570" s="14" t="s">
        <v>174</v>
      </c>
      <c r="B570" s="14" t="s">
        <v>1421</v>
      </c>
      <c r="C570" s="14" t="s">
        <v>1422</v>
      </c>
      <c r="D570" s="14" t="s">
        <v>453</v>
      </c>
      <c r="E570" s="14" t="s">
        <v>115</v>
      </c>
      <c r="F570" s="14">
        <v>567.0</v>
      </c>
      <c r="G570" s="14" t="s">
        <v>537</v>
      </c>
      <c r="H570" s="14" t="s">
        <v>523</v>
      </c>
      <c r="I570" s="14">
        <v>0.0</v>
      </c>
      <c r="J570" s="14">
        <v>0.0</v>
      </c>
    </row>
    <row r="571" ht="15.75" customHeight="1">
      <c r="A571" s="14" t="s">
        <v>174</v>
      </c>
      <c r="B571" s="14" t="s">
        <v>1423</v>
      </c>
      <c r="C571" s="14" t="s">
        <v>1424</v>
      </c>
      <c r="D571" s="14" t="s">
        <v>257</v>
      </c>
      <c r="E571" s="14" t="s">
        <v>118</v>
      </c>
      <c r="F571" s="14">
        <v>568.0</v>
      </c>
      <c r="G571" s="14" t="s">
        <v>537</v>
      </c>
      <c r="H571" s="14" t="s">
        <v>531</v>
      </c>
      <c r="I571" s="14">
        <v>0.0</v>
      </c>
      <c r="J571" s="14">
        <v>0.0</v>
      </c>
    </row>
    <row r="572" ht="15.75" customHeight="1">
      <c r="A572" s="14" t="s">
        <v>174</v>
      </c>
      <c r="B572" s="14" t="s">
        <v>1425</v>
      </c>
      <c r="C572" s="14" t="s">
        <v>1426</v>
      </c>
      <c r="D572" s="14" t="s">
        <v>566</v>
      </c>
      <c r="E572" s="14" t="s">
        <v>118</v>
      </c>
      <c r="F572" s="14">
        <v>569.0</v>
      </c>
      <c r="G572" s="14" t="s">
        <v>537</v>
      </c>
      <c r="H572" s="14" t="s">
        <v>562</v>
      </c>
      <c r="I572" s="14">
        <v>0.0</v>
      </c>
      <c r="J572" s="14">
        <v>0.0</v>
      </c>
    </row>
    <row r="573" ht="15.75" customHeight="1">
      <c r="A573" s="14" t="s">
        <v>174</v>
      </c>
      <c r="B573" s="14" t="s">
        <v>1427</v>
      </c>
      <c r="C573" s="14" t="s">
        <v>1428</v>
      </c>
      <c r="D573" s="14" t="s">
        <v>199</v>
      </c>
      <c r="E573" s="14" t="s">
        <v>118</v>
      </c>
      <c r="F573" s="14">
        <v>570.0</v>
      </c>
      <c r="G573" s="14" t="s">
        <v>537</v>
      </c>
      <c r="H573" s="14" t="s">
        <v>514</v>
      </c>
      <c r="I573" s="14">
        <v>0.0</v>
      </c>
      <c r="J573" s="14">
        <v>0.0</v>
      </c>
    </row>
    <row r="574" ht="15.75" customHeight="1">
      <c r="A574" s="14" t="s">
        <v>174</v>
      </c>
      <c r="B574" s="14" t="s">
        <v>1429</v>
      </c>
      <c r="C574" s="14" t="s">
        <v>1430</v>
      </c>
      <c r="D574" s="14" t="s">
        <v>221</v>
      </c>
      <c r="E574" s="14" t="s">
        <v>123</v>
      </c>
      <c r="F574" s="14">
        <v>571.0</v>
      </c>
      <c r="G574" s="14" t="s">
        <v>537</v>
      </c>
      <c r="H574" s="14" t="s">
        <v>520</v>
      </c>
      <c r="I574" s="14">
        <v>0.0</v>
      </c>
      <c r="J574" s="14">
        <v>0.0</v>
      </c>
    </row>
    <row r="575" ht="15.75" customHeight="1">
      <c r="A575" s="14" t="s">
        <v>174</v>
      </c>
      <c r="B575" s="14" t="s">
        <v>1431</v>
      </c>
      <c r="C575" s="14" t="s">
        <v>1432</v>
      </c>
      <c r="D575" s="14" t="s">
        <v>215</v>
      </c>
      <c r="E575" s="14" t="s">
        <v>118</v>
      </c>
      <c r="F575" s="14">
        <v>572.0</v>
      </c>
      <c r="G575" s="14" t="s">
        <v>537</v>
      </c>
      <c r="H575" s="14" t="s">
        <v>523</v>
      </c>
      <c r="I575" s="14">
        <v>0.0</v>
      </c>
      <c r="J575" s="14">
        <v>0.0</v>
      </c>
    </row>
    <row r="576" ht="15.75" customHeight="1">
      <c r="A576" s="14" t="s">
        <v>174</v>
      </c>
      <c r="B576" s="14" t="s">
        <v>1433</v>
      </c>
      <c r="C576" s="14" t="s">
        <v>1434</v>
      </c>
      <c r="D576" s="14" t="s">
        <v>243</v>
      </c>
      <c r="E576" s="14" t="s">
        <v>118</v>
      </c>
      <c r="F576" s="14">
        <v>573.0</v>
      </c>
      <c r="G576" s="14" t="s">
        <v>537</v>
      </c>
      <c r="H576" s="14" t="s">
        <v>531</v>
      </c>
      <c r="I576" s="14">
        <v>0.0</v>
      </c>
      <c r="J576" s="14">
        <v>0.0</v>
      </c>
    </row>
    <row r="577" ht="15.75" customHeight="1">
      <c r="A577" s="14" t="s">
        <v>174</v>
      </c>
      <c r="B577" s="14" t="s">
        <v>1435</v>
      </c>
      <c r="C577" s="14" t="s">
        <v>1436</v>
      </c>
      <c r="D577" s="14" t="s">
        <v>453</v>
      </c>
      <c r="E577" s="14" t="s">
        <v>121</v>
      </c>
      <c r="F577" s="14">
        <v>574.0</v>
      </c>
      <c r="G577" s="14" t="s">
        <v>537</v>
      </c>
      <c r="H577" s="14" t="s">
        <v>523</v>
      </c>
      <c r="I577" s="14">
        <v>0.0</v>
      </c>
      <c r="J577" s="14">
        <v>0.0</v>
      </c>
    </row>
    <row r="578" ht="15.75" customHeight="1">
      <c r="A578" s="14" t="s">
        <v>174</v>
      </c>
      <c r="B578" s="14" t="s">
        <v>1437</v>
      </c>
      <c r="C578" s="14" t="s">
        <v>1438</v>
      </c>
      <c r="D578" s="14" t="s">
        <v>453</v>
      </c>
      <c r="E578" s="14" t="s">
        <v>121</v>
      </c>
      <c r="F578" s="14">
        <v>575.0</v>
      </c>
      <c r="G578" s="14" t="s">
        <v>537</v>
      </c>
      <c r="H578" s="14" t="s">
        <v>523</v>
      </c>
      <c r="I578" s="14">
        <v>0.0</v>
      </c>
      <c r="J578" s="14">
        <v>0.0</v>
      </c>
    </row>
    <row r="579" ht="15.75" customHeight="1">
      <c r="A579" s="14" t="s">
        <v>174</v>
      </c>
      <c r="B579" s="14" t="s">
        <v>1439</v>
      </c>
      <c r="C579" s="14" t="s">
        <v>1440</v>
      </c>
      <c r="D579" s="14" t="s">
        <v>188</v>
      </c>
      <c r="E579" s="14" t="s">
        <v>118</v>
      </c>
      <c r="F579" s="14">
        <v>576.0</v>
      </c>
      <c r="G579" s="14" t="s">
        <v>537</v>
      </c>
      <c r="H579" s="14" t="s">
        <v>528</v>
      </c>
      <c r="I579" s="14">
        <v>0.0</v>
      </c>
      <c r="J579" s="14">
        <v>0.0</v>
      </c>
    </row>
    <row r="580" ht="15.75" customHeight="1">
      <c r="A580" s="14" t="s">
        <v>174</v>
      </c>
      <c r="B580" s="14" t="s">
        <v>1441</v>
      </c>
      <c r="C580" s="14" t="s">
        <v>1442</v>
      </c>
      <c r="D580" s="14" t="s">
        <v>387</v>
      </c>
      <c r="E580" s="14" t="s">
        <v>658</v>
      </c>
      <c r="F580" s="14">
        <v>577.0</v>
      </c>
      <c r="G580" s="14" t="s">
        <v>537</v>
      </c>
      <c r="H580" s="14" t="s">
        <v>562</v>
      </c>
      <c r="I580" s="14">
        <v>0.0</v>
      </c>
      <c r="J580" s="14">
        <v>0.0</v>
      </c>
    </row>
    <row r="581" ht="15.75" customHeight="1">
      <c r="A581" s="14" t="s">
        <v>174</v>
      </c>
      <c r="B581" s="14" t="s">
        <v>1443</v>
      </c>
      <c r="C581" s="14" t="s">
        <v>1444</v>
      </c>
      <c r="D581" s="14" t="s">
        <v>188</v>
      </c>
      <c r="E581" s="14" t="s">
        <v>121</v>
      </c>
      <c r="F581" s="14">
        <v>578.0</v>
      </c>
      <c r="G581" s="14" t="s">
        <v>537</v>
      </c>
      <c r="H581" s="14" t="s">
        <v>528</v>
      </c>
      <c r="I581" s="14">
        <v>0.0</v>
      </c>
      <c r="J581" s="14">
        <v>0.0</v>
      </c>
    </row>
    <row r="582" ht="15.75" customHeight="1">
      <c r="A582" s="14" t="s">
        <v>174</v>
      </c>
      <c r="B582" s="14" t="s">
        <v>1445</v>
      </c>
      <c r="C582" s="14" t="s">
        <v>1446</v>
      </c>
      <c r="D582" s="14" t="s">
        <v>566</v>
      </c>
      <c r="E582" s="14" t="s">
        <v>123</v>
      </c>
      <c r="F582" s="14">
        <v>579.0</v>
      </c>
      <c r="G582" s="14" t="s">
        <v>537</v>
      </c>
      <c r="H582" s="14" t="s">
        <v>562</v>
      </c>
      <c r="I582" s="14">
        <v>0.0</v>
      </c>
      <c r="J582" s="14">
        <v>0.0</v>
      </c>
    </row>
    <row r="583" ht="15.75" customHeight="1">
      <c r="A583" s="14" t="s">
        <v>174</v>
      </c>
      <c r="B583" s="14" t="s">
        <v>1447</v>
      </c>
      <c r="C583" s="14" t="s">
        <v>1448</v>
      </c>
      <c r="D583" s="14" t="s">
        <v>566</v>
      </c>
      <c r="E583" s="14" t="s">
        <v>121</v>
      </c>
      <c r="F583" s="14">
        <v>580.0</v>
      </c>
      <c r="G583" s="14" t="s">
        <v>537</v>
      </c>
      <c r="H583" s="14" t="s">
        <v>562</v>
      </c>
      <c r="I583" s="14">
        <v>0.0</v>
      </c>
      <c r="J583" s="14">
        <v>0.0</v>
      </c>
    </row>
    <row r="584" ht="15.75" customHeight="1">
      <c r="A584" s="14" t="s">
        <v>174</v>
      </c>
      <c r="B584" s="14" t="s">
        <v>1449</v>
      </c>
      <c r="C584" s="14" t="s">
        <v>1448</v>
      </c>
      <c r="D584" s="14" t="s">
        <v>566</v>
      </c>
      <c r="E584" s="14" t="s">
        <v>121</v>
      </c>
      <c r="F584" s="14">
        <v>581.0</v>
      </c>
      <c r="G584" s="14" t="s">
        <v>537</v>
      </c>
      <c r="H584" s="14" t="s">
        <v>562</v>
      </c>
      <c r="I584" s="14">
        <v>0.0</v>
      </c>
      <c r="J584" s="14">
        <v>0.0</v>
      </c>
    </row>
    <row r="585" ht="15.75" customHeight="1">
      <c r="A585" s="14" t="s">
        <v>174</v>
      </c>
      <c r="B585" s="14" t="s">
        <v>1450</v>
      </c>
      <c r="C585" s="14" t="s">
        <v>1451</v>
      </c>
      <c r="D585" s="14" t="s">
        <v>257</v>
      </c>
      <c r="E585" s="14" t="s">
        <v>121</v>
      </c>
      <c r="F585" s="14">
        <v>582.0</v>
      </c>
      <c r="G585" s="14" t="s">
        <v>537</v>
      </c>
      <c r="H585" s="14" t="s">
        <v>531</v>
      </c>
      <c r="I585" s="14">
        <v>0.0</v>
      </c>
      <c r="J585" s="14">
        <v>0.0</v>
      </c>
    </row>
    <row r="586" ht="15.75" customHeight="1">
      <c r="A586" s="14" t="s">
        <v>174</v>
      </c>
      <c r="B586" s="14" t="s">
        <v>1452</v>
      </c>
      <c r="C586" s="14" t="s">
        <v>1453</v>
      </c>
      <c r="D586" s="14" t="s">
        <v>180</v>
      </c>
      <c r="E586" s="14" t="s">
        <v>121</v>
      </c>
      <c r="F586" s="14">
        <v>583.0</v>
      </c>
      <c r="G586" s="14" t="s">
        <v>537</v>
      </c>
      <c r="H586" s="14" t="s">
        <v>514</v>
      </c>
      <c r="I586" s="14">
        <v>0.0</v>
      </c>
      <c r="J586" s="14">
        <v>0.0</v>
      </c>
    </row>
    <row r="587" ht="15.75" customHeight="1">
      <c r="A587" s="14" t="s">
        <v>174</v>
      </c>
      <c r="B587" s="14" t="s">
        <v>1454</v>
      </c>
      <c r="C587" s="14" t="s">
        <v>1455</v>
      </c>
      <c r="D587" s="14" t="s">
        <v>185</v>
      </c>
      <c r="E587" s="14" t="s">
        <v>121</v>
      </c>
      <c r="F587" s="14">
        <v>584.0</v>
      </c>
      <c r="G587" s="14" t="s">
        <v>537</v>
      </c>
      <c r="H587" s="14" t="s">
        <v>512</v>
      </c>
      <c r="I587" s="14">
        <v>0.0</v>
      </c>
      <c r="J587" s="14">
        <v>0.0</v>
      </c>
    </row>
    <row r="588" ht="15.75" customHeight="1">
      <c r="A588" s="14" t="s">
        <v>174</v>
      </c>
      <c r="B588" s="14" t="s">
        <v>1456</v>
      </c>
      <c r="C588" s="14" t="s">
        <v>1457</v>
      </c>
      <c r="D588" s="14" t="s">
        <v>191</v>
      </c>
      <c r="E588" s="14" t="s">
        <v>121</v>
      </c>
      <c r="F588" s="14">
        <v>585.0</v>
      </c>
      <c r="G588" s="14" t="s">
        <v>537</v>
      </c>
      <c r="H588" s="14" t="s">
        <v>520</v>
      </c>
      <c r="I588" s="14">
        <v>0.0</v>
      </c>
      <c r="J588" s="14">
        <v>0.0</v>
      </c>
    </row>
    <row r="589" ht="15.75" customHeight="1">
      <c r="A589" s="14" t="s">
        <v>174</v>
      </c>
      <c r="B589" s="14" t="s">
        <v>1458</v>
      </c>
      <c r="C589" s="14" t="s">
        <v>1459</v>
      </c>
      <c r="D589" s="14" t="s">
        <v>226</v>
      </c>
      <c r="E589" s="14" t="s">
        <v>123</v>
      </c>
      <c r="F589" s="14">
        <v>586.0</v>
      </c>
      <c r="G589" s="14" t="s">
        <v>537</v>
      </c>
      <c r="H589" s="14" t="s">
        <v>539</v>
      </c>
      <c r="I589" s="14">
        <v>0.0</v>
      </c>
      <c r="J589" s="14">
        <v>0.0</v>
      </c>
    </row>
    <row r="590" ht="15.75" customHeight="1">
      <c r="A590" s="14" t="s">
        <v>174</v>
      </c>
      <c r="B590" s="14" t="s">
        <v>1460</v>
      </c>
      <c r="C590" s="14" t="s">
        <v>1461</v>
      </c>
      <c r="D590" s="14" t="s">
        <v>327</v>
      </c>
      <c r="E590" s="14" t="s">
        <v>115</v>
      </c>
      <c r="F590" s="14">
        <v>587.0</v>
      </c>
      <c r="G590" s="14" t="s">
        <v>537</v>
      </c>
      <c r="H590" s="14" t="s">
        <v>518</v>
      </c>
      <c r="I590" s="14">
        <v>0.0</v>
      </c>
      <c r="J590" s="14">
        <v>0.0</v>
      </c>
    </row>
    <row r="591" ht="15.75" customHeight="1">
      <c r="A591" s="14" t="s">
        <v>174</v>
      </c>
      <c r="B591" s="14" t="s">
        <v>1462</v>
      </c>
      <c r="C591" s="14" t="s">
        <v>1463</v>
      </c>
      <c r="D591" s="14" t="s">
        <v>453</v>
      </c>
      <c r="E591" s="14" t="s">
        <v>121</v>
      </c>
      <c r="F591" s="14">
        <v>588.0</v>
      </c>
      <c r="G591" s="14" t="s">
        <v>537</v>
      </c>
      <c r="H591" s="14" t="s">
        <v>523</v>
      </c>
      <c r="I591" s="14">
        <v>0.0</v>
      </c>
      <c r="J591" s="14">
        <v>0.0</v>
      </c>
    </row>
    <row r="592" ht="15.75" customHeight="1">
      <c r="A592" s="14" t="s">
        <v>174</v>
      </c>
      <c r="B592" s="14" t="s">
        <v>1464</v>
      </c>
      <c r="C592" s="14" t="s">
        <v>1465</v>
      </c>
      <c r="D592" s="14" t="s">
        <v>453</v>
      </c>
      <c r="E592" s="14" t="s">
        <v>121</v>
      </c>
      <c r="F592" s="14">
        <v>589.0</v>
      </c>
      <c r="G592" s="14" t="s">
        <v>537</v>
      </c>
      <c r="H592" s="14" t="s">
        <v>523</v>
      </c>
      <c r="I592" s="14">
        <v>0.0</v>
      </c>
      <c r="J592" s="14">
        <v>0.0</v>
      </c>
    </row>
    <row r="593" ht="15.75" customHeight="1">
      <c r="A593" s="14" t="s">
        <v>174</v>
      </c>
      <c r="B593" s="14" t="s">
        <v>1466</v>
      </c>
      <c r="C593" s="14" t="s">
        <v>1467</v>
      </c>
      <c r="D593" s="14" t="s">
        <v>188</v>
      </c>
      <c r="E593" s="14" t="s">
        <v>115</v>
      </c>
      <c r="F593" s="14">
        <v>590.0</v>
      </c>
      <c r="G593" s="14" t="s">
        <v>537</v>
      </c>
      <c r="H593" s="14" t="s">
        <v>528</v>
      </c>
      <c r="I593" s="14">
        <v>0.0</v>
      </c>
      <c r="J593" s="14">
        <v>0.0</v>
      </c>
    </row>
    <row r="594" ht="15.75" customHeight="1">
      <c r="A594" s="14" t="s">
        <v>174</v>
      </c>
      <c r="B594" s="14" t="s">
        <v>1468</v>
      </c>
      <c r="C594" s="14" t="s">
        <v>1469</v>
      </c>
      <c r="D594" s="14" t="s">
        <v>285</v>
      </c>
      <c r="E594" s="14" t="s">
        <v>121</v>
      </c>
      <c r="F594" s="14">
        <v>591.0</v>
      </c>
      <c r="G594" s="14" t="s">
        <v>537</v>
      </c>
      <c r="H594" s="14" t="s">
        <v>522</v>
      </c>
      <c r="I594" s="14">
        <v>0.0</v>
      </c>
      <c r="J594" s="14">
        <v>0.0</v>
      </c>
    </row>
    <row r="595" ht="15.75" customHeight="1">
      <c r="A595" s="14" t="s">
        <v>174</v>
      </c>
      <c r="B595" s="14" t="s">
        <v>1470</v>
      </c>
      <c r="C595" s="14" t="s">
        <v>1471</v>
      </c>
      <c r="D595" s="14" t="s">
        <v>285</v>
      </c>
      <c r="E595" s="14" t="s">
        <v>123</v>
      </c>
      <c r="F595" s="14">
        <v>592.0</v>
      </c>
      <c r="G595" s="14" t="s">
        <v>537</v>
      </c>
      <c r="H595" s="14" t="s">
        <v>522</v>
      </c>
      <c r="I595" s="14">
        <v>0.0</v>
      </c>
      <c r="J595" s="14">
        <v>0.0</v>
      </c>
    </row>
    <row r="596" ht="15.75" customHeight="1">
      <c r="A596" s="14" t="s">
        <v>174</v>
      </c>
      <c r="B596" s="14" t="s">
        <v>1472</v>
      </c>
      <c r="C596" s="14" t="s">
        <v>1473</v>
      </c>
      <c r="D596" s="14" t="s">
        <v>177</v>
      </c>
      <c r="E596" s="14" t="s">
        <v>123</v>
      </c>
      <c r="F596" s="14">
        <v>593.0</v>
      </c>
      <c r="G596" s="14" t="s">
        <v>537</v>
      </c>
      <c r="H596" s="14" t="s">
        <v>518</v>
      </c>
      <c r="I596" s="14">
        <v>0.0</v>
      </c>
      <c r="J596" s="14">
        <v>0.0</v>
      </c>
    </row>
    <row r="597" ht="15.75" customHeight="1">
      <c r="A597" s="14" t="s">
        <v>174</v>
      </c>
      <c r="B597" s="14" t="s">
        <v>1474</v>
      </c>
      <c r="C597" s="14" t="s">
        <v>1475</v>
      </c>
      <c r="D597" s="14" t="s">
        <v>177</v>
      </c>
      <c r="E597" s="14" t="s">
        <v>118</v>
      </c>
      <c r="F597" s="14">
        <v>594.0</v>
      </c>
      <c r="G597" s="14" t="s">
        <v>537</v>
      </c>
      <c r="H597" s="14" t="s">
        <v>518</v>
      </c>
      <c r="I597" s="14">
        <v>0.0</v>
      </c>
      <c r="J597" s="14">
        <v>0.0</v>
      </c>
    </row>
    <row r="598" ht="15.75" customHeight="1">
      <c r="A598" s="14" t="s">
        <v>174</v>
      </c>
      <c r="B598" s="14" t="s">
        <v>1476</v>
      </c>
      <c r="C598" s="14" t="s">
        <v>1477</v>
      </c>
      <c r="D598" s="14" t="s">
        <v>177</v>
      </c>
      <c r="E598" s="14" t="s">
        <v>115</v>
      </c>
      <c r="F598" s="14">
        <v>595.0</v>
      </c>
      <c r="G598" s="14" t="s">
        <v>537</v>
      </c>
      <c r="H598" s="14" t="s">
        <v>518</v>
      </c>
      <c r="I598" s="14">
        <v>0.0</v>
      </c>
      <c r="J598" s="14">
        <v>0.0</v>
      </c>
    </row>
    <row r="599" ht="15.75" customHeight="1">
      <c r="A599" s="14" t="s">
        <v>174</v>
      </c>
      <c r="B599" s="14" t="s">
        <v>1478</v>
      </c>
      <c r="C599" s="14" t="s">
        <v>1479</v>
      </c>
      <c r="D599" s="14" t="s">
        <v>566</v>
      </c>
      <c r="E599" s="14" t="s">
        <v>118</v>
      </c>
      <c r="F599" s="14">
        <v>596.0</v>
      </c>
      <c r="G599" s="14" t="s">
        <v>537</v>
      </c>
      <c r="H599" s="14" t="s">
        <v>562</v>
      </c>
      <c r="I599" s="14">
        <v>0.0</v>
      </c>
      <c r="J599" s="14">
        <v>0.0</v>
      </c>
    </row>
    <row r="600" ht="15.75" customHeight="1">
      <c r="A600" s="14" t="s">
        <v>174</v>
      </c>
      <c r="B600" s="14" t="s">
        <v>1480</v>
      </c>
      <c r="C600" s="14" t="s">
        <v>1481</v>
      </c>
      <c r="D600" s="14" t="s">
        <v>199</v>
      </c>
      <c r="E600" s="14" t="s">
        <v>121</v>
      </c>
      <c r="F600" s="14">
        <v>597.0</v>
      </c>
      <c r="G600" s="14" t="s">
        <v>537</v>
      </c>
      <c r="H600" s="14" t="s">
        <v>514</v>
      </c>
      <c r="I600" s="14">
        <v>0.0</v>
      </c>
      <c r="J600" s="14">
        <v>0.0</v>
      </c>
    </row>
    <row r="601" ht="15.75" customHeight="1">
      <c r="A601" s="14" t="s">
        <v>174</v>
      </c>
      <c r="B601" s="14" t="s">
        <v>1482</v>
      </c>
      <c r="C601" s="14" t="s">
        <v>1483</v>
      </c>
      <c r="D601" s="14" t="s">
        <v>236</v>
      </c>
      <c r="E601" s="14" t="s">
        <v>123</v>
      </c>
      <c r="F601" s="14">
        <v>598.0</v>
      </c>
      <c r="G601" s="14" t="s">
        <v>537</v>
      </c>
      <c r="H601" s="14" t="s">
        <v>522</v>
      </c>
      <c r="I601" s="14">
        <v>0.0</v>
      </c>
      <c r="J601" s="14">
        <v>0.0</v>
      </c>
    </row>
    <row r="602" ht="15.75" customHeight="1">
      <c r="A602" s="14" t="s">
        <v>174</v>
      </c>
      <c r="B602" s="14" t="s">
        <v>1484</v>
      </c>
      <c r="C602" s="14" t="s">
        <v>1485</v>
      </c>
      <c r="D602" s="14" t="s">
        <v>285</v>
      </c>
      <c r="E602" s="14" t="s">
        <v>115</v>
      </c>
      <c r="F602" s="14">
        <v>599.0</v>
      </c>
      <c r="G602" s="14" t="s">
        <v>537</v>
      </c>
      <c r="H602" s="14" t="s">
        <v>522</v>
      </c>
      <c r="I602" s="14">
        <v>0.0</v>
      </c>
      <c r="J602" s="14">
        <v>0.0</v>
      </c>
    </row>
    <row r="603" ht="15.75" customHeight="1">
      <c r="A603" s="14" t="s">
        <v>174</v>
      </c>
      <c r="B603" s="14" t="s">
        <v>1486</v>
      </c>
      <c r="C603" s="14" t="s">
        <v>1487</v>
      </c>
      <c r="D603" s="14" t="s">
        <v>243</v>
      </c>
      <c r="E603" s="14" t="s">
        <v>121</v>
      </c>
      <c r="F603" s="14">
        <v>600.0</v>
      </c>
      <c r="G603" s="14" t="s">
        <v>537</v>
      </c>
      <c r="H603" s="14" t="s">
        <v>531</v>
      </c>
      <c r="I603" s="14">
        <v>0.0</v>
      </c>
      <c r="J603" s="14">
        <v>0.0</v>
      </c>
    </row>
    <row r="604" ht="15.75" customHeight="1">
      <c r="A604" s="14" t="s">
        <v>174</v>
      </c>
      <c r="B604" s="14" t="s">
        <v>1488</v>
      </c>
      <c r="C604" s="14" t="s">
        <v>1489</v>
      </c>
      <c r="D604" s="14" t="s">
        <v>177</v>
      </c>
      <c r="E604" s="14" t="s">
        <v>123</v>
      </c>
      <c r="F604" s="14">
        <v>601.0</v>
      </c>
      <c r="G604" s="14" t="s">
        <v>537</v>
      </c>
      <c r="H604" s="14" t="s">
        <v>518</v>
      </c>
      <c r="I604" s="14">
        <v>0.0</v>
      </c>
      <c r="J604" s="14">
        <v>0.0</v>
      </c>
    </row>
    <row r="605" ht="15.75" customHeight="1">
      <c r="A605" s="14" t="s">
        <v>174</v>
      </c>
      <c r="B605" s="14" t="s">
        <v>1490</v>
      </c>
      <c r="C605" s="14" t="s">
        <v>1491</v>
      </c>
      <c r="D605" s="14" t="s">
        <v>191</v>
      </c>
      <c r="E605" s="14" t="s">
        <v>118</v>
      </c>
      <c r="F605" s="14">
        <v>602.0</v>
      </c>
      <c r="G605" s="14" t="s">
        <v>537</v>
      </c>
      <c r="H605" s="14" t="s">
        <v>520</v>
      </c>
      <c r="I605" s="14">
        <v>0.0</v>
      </c>
      <c r="J605" s="14">
        <v>0.0</v>
      </c>
    </row>
    <row r="606" ht="15.75" customHeight="1">
      <c r="A606" s="14" t="s">
        <v>174</v>
      </c>
      <c r="B606" s="14" t="s">
        <v>1492</v>
      </c>
      <c r="C606" s="14" t="s">
        <v>1493</v>
      </c>
      <c r="D606" s="14" t="s">
        <v>199</v>
      </c>
      <c r="E606" s="14" t="s">
        <v>123</v>
      </c>
      <c r="F606" s="14">
        <v>603.0</v>
      </c>
      <c r="G606" s="14" t="s">
        <v>537</v>
      </c>
      <c r="H606" s="14" t="s">
        <v>514</v>
      </c>
      <c r="I606" s="14">
        <v>0.0</v>
      </c>
      <c r="J606" s="14">
        <v>0.0</v>
      </c>
    </row>
    <row r="607" ht="15.75" customHeight="1">
      <c r="A607" s="14" t="s">
        <v>174</v>
      </c>
      <c r="B607" s="14" t="s">
        <v>1494</v>
      </c>
      <c r="C607" s="14" t="s">
        <v>1495</v>
      </c>
      <c r="D607" s="14" t="s">
        <v>566</v>
      </c>
      <c r="E607" s="14" t="s">
        <v>118</v>
      </c>
      <c r="F607" s="14">
        <v>604.0</v>
      </c>
      <c r="G607" s="14" t="s">
        <v>537</v>
      </c>
      <c r="H607" s="14" t="s">
        <v>562</v>
      </c>
      <c r="I607" s="14">
        <v>0.0</v>
      </c>
      <c r="J607" s="14">
        <v>0.0</v>
      </c>
    </row>
    <row r="608" ht="15.75" customHeight="1">
      <c r="A608" s="14" t="s">
        <v>174</v>
      </c>
      <c r="B608" s="14" t="s">
        <v>1496</v>
      </c>
      <c r="C608" s="14" t="s">
        <v>1497</v>
      </c>
      <c r="D608" s="14" t="s">
        <v>243</v>
      </c>
      <c r="E608" s="14" t="s">
        <v>123</v>
      </c>
      <c r="F608" s="14">
        <v>605.0</v>
      </c>
      <c r="G608" s="14" t="s">
        <v>537</v>
      </c>
      <c r="H608" s="14" t="s">
        <v>531</v>
      </c>
      <c r="I608" s="14">
        <v>0.0</v>
      </c>
      <c r="J608" s="14">
        <v>0.0</v>
      </c>
    </row>
    <row r="609" ht="15.75" customHeight="1">
      <c r="A609" s="14" t="s">
        <v>174</v>
      </c>
      <c r="B609" s="14" t="s">
        <v>1498</v>
      </c>
      <c r="C609" s="14" t="s">
        <v>1499</v>
      </c>
      <c r="D609" s="14" t="s">
        <v>221</v>
      </c>
      <c r="E609" s="14" t="s">
        <v>121</v>
      </c>
      <c r="F609" s="14">
        <v>606.0</v>
      </c>
      <c r="G609" s="14" t="s">
        <v>537</v>
      </c>
      <c r="H609" s="14" t="s">
        <v>520</v>
      </c>
      <c r="I609" s="14">
        <v>0.0</v>
      </c>
      <c r="J609" s="14">
        <v>0.0</v>
      </c>
    </row>
    <row r="610" ht="15.75" customHeight="1">
      <c r="A610" s="14" t="s">
        <v>174</v>
      </c>
      <c r="B610" s="14" t="s">
        <v>1500</v>
      </c>
      <c r="C610" s="14" t="s">
        <v>1501</v>
      </c>
      <c r="D610" s="14" t="s">
        <v>191</v>
      </c>
      <c r="E610" s="14" t="s">
        <v>121</v>
      </c>
      <c r="F610" s="14">
        <v>607.0</v>
      </c>
      <c r="G610" s="14" t="s">
        <v>537</v>
      </c>
      <c r="H610" s="14" t="s">
        <v>520</v>
      </c>
      <c r="I610" s="14">
        <v>0.0</v>
      </c>
      <c r="J610" s="14">
        <v>0.0</v>
      </c>
    </row>
    <row r="611" ht="15.75" customHeight="1">
      <c r="A611" s="14" t="s">
        <v>174</v>
      </c>
      <c r="B611" s="14" t="s">
        <v>1502</v>
      </c>
      <c r="C611" s="14" t="s">
        <v>1503</v>
      </c>
      <c r="D611" s="14" t="s">
        <v>215</v>
      </c>
      <c r="E611" s="14" t="s">
        <v>121</v>
      </c>
      <c r="F611" s="14">
        <v>608.0</v>
      </c>
      <c r="G611" s="14" t="s">
        <v>537</v>
      </c>
      <c r="H611" s="14" t="s">
        <v>523</v>
      </c>
      <c r="I611" s="14">
        <v>0.0</v>
      </c>
      <c r="J611" s="14">
        <v>0.0</v>
      </c>
    </row>
    <row r="612" ht="15.75" customHeight="1">
      <c r="A612" s="14" t="s">
        <v>174</v>
      </c>
      <c r="B612" s="14" t="s">
        <v>1504</v>
      </c>
      <c r="C612" s="14" t="s">
        <v>1505</v>
      </c>
      <c r="D612" s="14" t="s">
        <v>221</v>
      </c>
      <c r="E612" s="14" t="s">
        <v>123</v>
      </c>
      <c r="F612" s="14">
        <v>609.0</v>
      </c>
      <c r="G612" s="14" t="s">
        <v>537</v>
      </c>
      <c r="H612" s="14" t="s">
        <v>520</v>
      </c>
      <c r="I612" s="14">
        <v>0.0</v>
      </c>
      <c r="J612" s="14">
        <v>0.0</v>
      </c>
    </row>
    <row r="613" ht="15.75" customHeight="1">
      <c r="A613" s="14" t="s">
        <v>174</v>
      </c>
      <c r="B613" s="14" t="s">
        <v>1506</v>
      </c>
      <c r="C613" s="14" t="s">
        <v>1507</v>
      </c>
      <c r="D613" s="14" t="s">
        <v>188</v>
      </c>
      <c r="E613" s="14" t="s">
        <v>121</v>
      </c>
      <c r="F613" s="14">
        <v>610.0</v>
      </c>
      <c r="G613" s="14" t="s">
        <v>537</v>
      </c>
      <c r="H613" s="14" t="s">
        <v>528</v>
      </c>
      <c r="I613" s="14">
        <v>0.0</v>
      </c>
      <c r="J613" s="14">
        <v>0.0</v>
      </c>
    </row>
    <row r="614" ht="15.75" customHeight="1">
      <c r="A614" s="14" t="s">
        <v>174</v>
      </c>
      <c r="B614" s="14" t="s">
        <v>1508</v>
      </c>
      <c r="C614" s="14" t="s">
        <v>1509</v>
      </c>
      <c r="D614" s="14" t="s">
        <v>180</v>
      </c>
      <c r="E614" s="14" t="s">
        <v>121</v>
      </c>
      <c r="F614" s="14">
        <v>611.0</v>
      </c>
      <c r="G614" s="14" t="s">
        <v>537</v>
      </c>
      <c r="H614" s="14" t="s">
        <v>514</v>
      </c>
      <c r="I614" s="14">
        <v>0.0</v>
      </c>
      <c r="J614" s="14">
        <v>0.0</v>
      </c>
    </row>
    <row r="615" ht="15.75" customHeight="1">
      <c r="A615" s="14" t="s">
        <v>174</v>
      </c>
      <c r="B615" s="14" t="s">
        <v>1510</v>
      </c>
      <c r="C615" s="14" t="s">
        <v>1511</v>
      </c>
      <c r="D615" s="14" t="s">
        <v>314</v>
      </c>
      <c r="E615" s="14" t="s">
        <v>121</v>
      </c>
      <c r="F615" s="14">
        <v>612.0</v>
      </c>
      <c r="G615" s="14" t="s">
        <v>537</v>
      </c>
      <c r="H615" s="14" t="s">
        <v>528</v>
      </c>
      <c r="I615" s="14">
        <v>0.0</v>
      </c>
      <c r="J615" s="14">
        <v>0.0</v>
      </c>
    </row>
    <row r="616" ht="15.75" customHeight="1">
      <c r="A616" s="14" t="s">
        <v>174</v>
      </c>
      <c r="B616" s="14" t="s">
        <v>1512</v>
      </c>
      <c r="C616" s="14" t="s">
        <v>1513</v>
      </c>
      <c r="D616" s="14" t="s">
        <v>188</v>
      </c>
      <c r="E616" s="14" t="s">
        <v>576</v>
      </c>
      <c r="F616" s="14">
        <v>613.0</v>
      </c>
      <c r="G616" s="14" t="s">
        <v>537</v>
      </c>
      <c r="H616" s="14" t="s">
        <v>528</v>
      </c>
      <c r="I616" s="14">
        <v>0.0</v>
      </c>
      <c r="J616" s="14">
        <v>0.0</v>
      </c>
    </row>
    <row r="617" ht="15.75" customHeight="1">
      <c r="A617" s="14" t="s">
        <v>174</v>
      </c>
      <c r="B617" s="14" t="s">
        <v>1514</v>
      </c>
      <c r="C617" s="14" t="s">
        <v>1515</v>
      </c>
      <c r="D617" s="14" t="s">
        <v>231</v>
      </c>
      <c r="E617" s="14" t="s">
        <v>121</v>
      </c>
      <c r="F617" s="14">
        <v>614.0</v>
      </c>
      <c r="G617" s="14" t="s">
        <v>537</v>
      </c>
      <c r="H617" s="14" t="s">
        <v>512</v>
      </c>
      <c r="I617" s="14">
        <v>0.0</v>
      </c>
      <c r="J617" s="14">
        <v>0.0</v>
      </c>
    </row>
    <row r="618" ht="15.75" customHeight="1">
      <c r="A618" s="14" t="s">
        <v>174</v>
      </c>
      <c r="B618" s="14" t="s">
        <v>1516</v>
      </c>
      <c r="C618" s="14" t="s">
        <v>1517</v>
      </c>
      <c r="D618" s="14" t="s">
        <v>327</v>
      </c>
      <c r="E618" s="14" t="s">
        <v>115</v>
      </c>
      <c r="F618" s="14">
        <v>615.0</v>
      </c>
      <c r="G618" s="14" t="s">
        <v>537</v>
      </c>
      <c r="H618" s="14" t="s">
        <v>518</v>
      </c>
      <c r="I618" s="14">
        <v>0.0</v>
      </c>
      <c r="J618" s="14">
        <v>0.0</v>
      </c>
    </row>
    <row r="619" ht="15.75" customHeight="1">
      <c r="A619" s="14" t="s">
        <v>174</v>
      </c>
      <c r="B619" s="14" t="s">
        <v>1518</v>
      </c>
      <c r="C619" s="14" t="s">
        <v>1519</v>
      </c>
      <c r="D619" s="14" t="s">
        <v>215</v>
      </c>
      <c r="E619" s="14" t="s">
        <v>115</v>
      </c>
      <c r="F619" s="14">
        <v>616.0</v>
      </c>
      <c r="G619" s="14" t="s">
        <v>537</v>
      </c>
      <c r="H619" s="14" t="s">
        <v>523</v>
      </c>
      <c r="I619" s="14">
        <v>0.0</v>
      </c>
      <c r="J619" s="14">
        <v>0.0</v>
      </c>
    </row>
    <row r="620" ht="15.75" customHeight="1">
      <c r="A620" s="14" t="s">
        <v>174</v>
      </c>
      <c r="B620" s="14" t="s">
        <v>1520</v>
      </c>
      <c r="C620" s="14" t="s">
        <v>1521</v>
      </c>
      <c r="D620" s="14" t="s">
        <v>285</v>
      </c>
      <c r="E620" s="14" t="s">
        <v>121</v>
      </c>
      <c r="F620" s="14">
        <v>617.0</v>
      </c>
      <c r="G620" s="14" t="s">
        <v>537</v>
      </c>
      <c r="H620" s="14" t="s">
        <v>522</v>
      </c>
      <c r="I620" s="14">
        <v>0.0</v>
      </c>
      <c r="J620" s="14">
        <v>0.0</v>
      </c>
    </row>
    <row r="621" ht="15.75" customHeight="1">
      <c r="A621" s="14" t="s">
        <v>174</v>
      </c>
      <c r="B621" s="14" t="s">
        <v>1522</v>
      </c>
      <c r="C621" s="14" t="s">
        <v>1523</v>
      </c>
      <c r="D621" s="14" t="s">
        <v>215</v>
      </c>
      <c r="E621" s="14" t="s">
        <v>121</v>
      </c>
      <c r="F621" s="14">
        <v>618.0</v>
      </c>
      <c r="G621" s="14" t="s">
        <v>537</v>
      </c>
      <c r="H621" s="14" t="s">
        <v>523</v>
      </c>
      <c r="I621" s="14">
        <v>0.0</v>
      </c>
      <c r="J621" s="14">
        <v>0.0</v>
      </c>
    </row>
    <row r="622" ht="15.75" customHeight="1">
      <c r="A622" s="14" t="s">
        <v>174</v>
      </c>
      <c r="B622" s="14" t="s">
        <v>1524</v>
      </c>
      <c r="C622" s="14" t="s">
        <v>1525</v>
      </c>
      <c r="D622" s="14" t="s">
        <v>188</v>
      </c>
      <c r="E622" s="14" t="s">
        <v>123</v>
      </c>
      <c r="F622" s="14">
        <v>619.0</v>
      </c>
      <c r="G622" s="14" t="s">
        <v>537</v>
      </c>
      <c r="H622" s="14" t="s">
        <v>528</v>
      </c>
      <c r="I622" s="14">
        <v>0.0</v>
      </c>
      <c r="J622" s="14">
        <v>0.0</v>
      </c>
    </row>
    <row r="623" ht="15.75" customHeight="1">
      <c r="A623" s="14" t="s">
        <v>174</v>
      </c>
      <c r="B623" s="14" t="s">
        <v>1526</v>
      </c>
      <c r="C623" s="14" t="s">
        <v>1527</v>
      </c>
      <c r="D623" s="14" t="s">
        <v>453</v>
      </c>
      <c r="E623" s="14" t="s">
        <v>123</v>
      </c>
      <c r="F623" s="14">
        <v>620.0</v>
      </c>
      <c r="G623" s="14" t="s">
        <v>537</v>
      </c>
      <c r="H623" s="14" t="s">
        <v>523</v>
      </c>
      <c r="I623" s="14">
        <v>0.0</v>
      </c>
      <c r="J623" s="14">
        <v>0.0</v>
      </c>
    </row>
    <row r="624" ht="15.75" customHeight="1">
      <c r="A624" s="14" t="s">
        <v>174</v>
      </c>
      <c r="B624" s="14" t="s">
        <v>1528</v>
      </c>
      <c r="C624" s="14" t="s">
        <v>1529</v>
      </c>
      <c r="D624" s="14" t="s">
        <v>177</v>
      </c>
      <c r="E624" s="14" t="s">
        <v>123</v>
      </c>
      <c r="F624" s="14">
        <v>621.0</v>
      </c>
      <c r="G624" s="14" t="s">
        <v>537</v>
      </c>
      <c r="H624" s="14" t="s">
        <v>518</v>
      </c>
      <c r="I624" s="14">
        <v>0.0</v>
      </c>
      <c r="J624" s="14">
        <v>0.0</v>
      </c>
    </row>
    <row r="625" ht="15.75" customHeight="1">
      <c r="A625" s="14" t="s">
        <v>174</v>
      </c>
      <c r="B625" s="14" t="s">
        <v>1530</v>
      </c>
      <c r="C625" s="14" t="s">
        <v>1531</v>
      </c>
      <c r="D625" s="14" t="s">
        <v>185</v>
      </c>
      <c r="E625" s="14" t="s">
        <v>121</v>
      </c>
      <c r="F625" s="14">
        <v>622.0</v>
      </c>
      <c r="G625" s="14" t="s">
        <v>537</v>
      </c>
      <c r="H625" s="14" t="s">
        <v>512</v>
      </c>
      <c r="I625" s="14">
        <v>0.0</v>
      </c>
      <c r="J625" s="14">
        <v>0.0</v>
      </c>
    </row>
    <row r="626" ht="15.75" customHeight="1">
      <c r="A626" s="14" t="s">
        <v>174</v>
      </c>
      <c r="B626" s="14" t="s">
        <v>1532</v>
      </c>
      <c r="C626" s="14" t="s">
        <v>1533</v>
      </c>
      <c r="D626" s="14" t="s">
        <v>215</v>
      </c>
      <c r="E626" s="14" t="s">
        <v>115</v>
      </c>
      <c r="F626" s="14">
        <v>623.0</v>
      </c>
      <c r="G626" s="14" t="s">
        <v>537</v>
      </c>
      <c r="H626" s="14" t="s">
        <v>523</v>
      </c>
      <c r="I626" s="14">
        <v>0.0</v>
      </c>
      <c r="J626" s="14">
        <v>0.0</v>
      </c>
    </row>
    <row r="627" ht="15.75" customHeight="1">
      <c r="A627" s="14" t="s">
        <v>174</v>
      </c>
      <c r="B627" s="14" t="s">
        <v>1534</v>
      </c>
      <c r="C627" s="14" t="s">
        <v>1535</v>
      </c>
      <c r="D627" s="14" t="s">
        <v>188</v>
      </c>
      <c r="E627" s="14" t="s">
        <v>123</v>
      </c>
      <c r="F627" s="14">
        <v>624.0</v>
      </c>
      <c r="G627" s="14" t="s">
        <v>537</v>
      </c>
      <c r="H627" s="14" t="s">
        <v>528</v>
      </c>
      <c r="I627" s="14">
        <v>0.0</v>
      </c>
      <c r="J627" s="14">
        <v>0.0</v>
      </c>
    </row>
    <row r="628" ht="15.75" customHeight="1">
      <c r="A628" s="14" t="s">
        <v>174</v>
      </c>
      <c r="B628" s="14" t="s">
        <v>1536</v>
      </c>
      <c r="C628" s="14" t="s">
        <v>1537</v>
      </c>
      <c r="D628" s="14" t="s">
        <v>1538</v>
      </c>
      <c r="E628" s="14" t="s">
        <v>115</v>
      </c>
      <c r="F628" s="14">
        <v>625.0</v>
      </c>
      <c r="G628" s="14" t="s">
        <v>537</v>
      </c>
      <c r="H628" s="14" t="s">
        <v>522</v>
      </c>
      <c r="I628" s="14">
        <v>0.0</v>
      </c>
      <c r="J628" s="14">
        <v>0.0</v>
      </c>
    </row>
    <row r="629" ht="15.75" customHeight="1">
      <c r="A629" s="14" t="s">
        <v>174</v>
      </c>
      <c r="B629" s="14" t="s">
        <v>1539</v>
      </c>
      <c r="C629" s="14" t="s">
        <v>1540</v>
      </c>
      <c r="D629" s="14" t="s">
        <v>221</v>
      </c>
      <c r="E629" s="14" t="s">
        <v>123</v>
      </c>
      <c r="F629" s="14">
        <v>626.0</v>
      </c>
      <c r="G629" s="14" t="s">
        <v>537</v>
      </c>
      <c r="H629" s="14" t="s">
        <v>520</v>
      </c>
      <c r="I629" s="14">
        <v>0.0</v>
      </c>
      <c r="J629" s="14">
        <v>0.0</v>
      </c>
    </row>
    <row r="630" ht="15.75" customHeight="1">
      <c r="A630" s="14" t="s">
        <v>174</v>
      </c>
      <c r="B630" s="14" t="s">
        <v>1541</v>
      </c>
      <c r="C630" s="14" t="s">
        <v>1542</v>
      </c>
      <c r="D630" s="14" t="s">
        <v>327</v>
      </c>
      <c r="E630" s="14" t="s">
        <v>123</v>
      </c>
      <c r="F630" s="14">
        <v>627.0</v>
      </c>
      <c r="G630" s="14" t="s">
        <v>537</v>
      </c>
      <c r="H630" s="14" t="s">
        <v>518</v>
      </c>
      <c r="I630" s="14">
        <v>0.0</v>
      </c>
      <c r="J630" s="14">
        <v>0.0</v>
      </c>
    </row>
    <row r="631" ht="15.75" customHeight="1">
      <c r="A631" s="14" t="s">
        <v>174</v>
      </c>
      <c r="B631" s="14" t="s">
        <v>1543</v>
      </c>
      <c r="C631" s="14" t="s">
        <v>1544</v>
      </c>
      <c r="D631" s="14" t="s">
        <v>387</v>
      </c>
      <c r="E631" s="14" t="s">
        <v>123</v>
      </c>
      <c r="F631" s="14">
        <v>628.0</v>
      </c>
      <c r="G631" s="14" t="s">
        <v>537</v>
      </c>
      <c r="H631" s="14" t="s">
        <v>562</v>
      </c>
      <c r="I631" s="14">
        <v>0.0</v>
      </c>
      <c r="J631" s="14">
        <v>0.0</v>
      </c>
    </row>
    <row r="632" ht="15.75" customHeight="1">
      <c r="A632" s="14" t="s">
        <v>174</v>
      </c>
      <c r="B632" s="14" t="s">
        <v>1545</v>
      </c>
      <c r="C632" s="14" t="s">
        <v>1546</v>
      </c>
      <c r="D632" s="14" t="s">
        <v>199</v>
      </c>
      <c r="E632" s="14" t="s">
        <v>115</v>
      </c>
      <c r="F632" s="14">
        <v>629.0</v>
      </c>
      <c r="G632" s="14" t="s">
        <v>537</v>
      </c>
      <c r="H632" s="14" t="s">
        <v>514</v>
      </c>
      <c r="I632" s="14">
        <v>0.0</v>
      </c>
      <c r="J632" s="14">
        <v>0.0</v>
      </c>
    </row>
    <row r="633" ht="15.75" customHeight="1">
      <c r="A633" s="14" t="s">
        <v>174</v>
      </c>
      <c r="B633" s="14" t="s">
        <v>1547</v>
      </c>
      <c r="C633" s="14" t="s">
        <v>1548</v>
      </c>
      <c r="D633" s="14" t="s">
        <v>453</v>
      </c>
      <c r="E633" s="14" t="s">
        <v>123</v>
      </c>
      <c r="F633" s="14">
        <v>630.0</v>
      </c>
      <c r="G633" s="14" t="s">
        <v>537</v>
      </c>
      <c r="H633" s="14" t="s">
        <v>523</v>
      </c>
      <c r="I633" s="14">
        <v>0.0</v>
      </c>
      <c r="J633" s="14">
        <v>0.0</v>
      </c>
    </row>
    <row r="634" ht="15.75" customHeight="1">
      <c r="A634" s="14" t="s">
        <v>174</v>
      </c>
      <c r="B634" s="14" t="s">
        <v>1549</v>
      </c>
      <c r="C634" s="14" t="s">
        <v>1550</v>
      </c>
      <c r="D634" s="14" t="s">
        <v>314</v>
      </c>
      <c r="E634" s="14" t="s">
        <v>123</v>
      </c>
      <c r="F634" s="14">
        <v>631.0</v>
      </c>
      <c r="G634" s="14" t="s">
        <v>537</v>
      </c>
      <c r="H634" s="14" t="s">
        <v>528</v>
      </c>
      <c r="I634" s="14">
        <v>0.0</v>
      </c>
      <c r="J634" s="14">
        <v>0.0</v>
      </c>
    </row>
    <row r="635" ht="15.75" customHeight="1">
      <c r="A635" s="14" t="s">
        <v>174</v>
      </c>
      <c r="B635" s="14" t="s">
        <v>1551</v>
      </c>
      <c r="C635" s="14" t="s">
        <v>1552</v>
      </c>
      <c r="D635" s="14" t="s">
        <v>243</v>
      </c>
      <c r="E635" s="14" t="s">
        <v>123</v>
      </c>
      <c r="F635" s="14">
        <v>632.0</v>
      </c>
      <c r="G635" s="14" t="s">
        <v>537</v>
      </c>
      <c r="H635" s="14" t="s">
        <v>531</v>
      </c>
      <c r="I635" s="14">
        <v>0.0</v>
      </c>
      <c r="J635" s="14">
        <v>0.0</v>
      </c>
    </row>
    <row r="636" ht="15.75" customHeight="1">
      <c r="A636" s="14" t="s">
        <v>174</v>
      </c>
      <c r="B636" s="14" t="s">
        <v>1553</v>
      </c>
      <c r="C636" s="14" t="s">
        <v>1554</v>
      </c>
      <c r="D636" s="14" t="s">
        <v>188</v>
      </c>
      <c r="E636" s="14" t="s">
        <v>118</v>
      </c>
      <c r="F636" s="14">
        <v>633.0</v>
      </c>
      <c r="G636" s="14" t="s">
        <v>537</v>
      </c>
      <c r="H636" s="14" t="s">
        <v>528</v>
      </c>
      <c r="I636" s="14">
        <v>0.0</v>
      </c>
      <c r="J636" s="14">
        <v>0.0</v>
      </c>
    </row>
    <row r="637" ht="15.75" customHeight="1">
      <c r="A637" s="14" t="s">
        <v>174</v>
      </c>
      <c r="B637" s="14" t="s">
        <v>1555</v>
      </c>
      <c r="C637" s="14" t="s">
        <v>1556</v>
      </c>
      <c r="D637" s="14" t="s">
        <v>226</v>
      </c>
      <c r="E637" s="14" t="s">
        <v>115</v>
      </c>
      <c r="F637" s="14">
        <v>634.0</v>
      </c>
      <c r="G637" s="14" t="s">
        <v>537</v>
      </c>
      <c r="H637" s="14" t="s">
        <v>539</v>
      </c>
      <c r="I637" s="14">
        <v>0.0</v>
      </c>
      <c r="J637" s="14">
        <v>0.0</v>
      </c>
    </row>
    <row r="638" ht="15.75" customHeight="1">
      <c r="A638" s="14" t="s">
        <v>174</v>
      </c>
      <c r="B638" s="14" t="s">
        <v>1557</v>
      </c>
      <c r="C638" s="14" t="s">
        <v>1558</v>
      </c>
      <c r="D638" s="14" t="s">
        <v>305</v>
      </c>
      <c r="E638" s="14" t="s">
        <v>123</v>
      </c>
      <c r="F638" s="14">
        <v>635.0</v>
      </c>
      <c r="G638" s="14" t="s">
        <v>537</v>
      </c>
      <c r="H638" s="14" t="s">
        <v>539</v>
      </c>
      <c r="I638" s="14">
        <v>0.0</v>
      </c>
      <c r="J638" s="14">
        <v>0.0</v>
      </c>
    </row>
    <row r="639" ht="15.75" customHeight="1">
      <c r="A639" s="14" t="s">
        <v>174</v>
      </c>
      <c r="B639" s="14" t="s">
        <v>1559</v>
      </c>
      <c r="C639" s="14" t="s">
        <v>1560</v>
      </c>
      <c r="D639" s="14" t="s">
        <v>215</v>
      </c>
      <c r="E639" s="14" t="s">
        <v>118</v>
      </c>
      <c r="F639" s="14">
        <v>636.0</v>
      </c>
      <c r="G639" s="14" t="s">
        <v>537</v>
      </c>
      <c r="H639" s="14" t="s">
        <v>523</v>
      </c>
      <c r="I639" s="14">
        <v>0.0</v>
      </c>
      <c r="J639" s="14">
        <v>0.0</v>
      </c>
    </row>
    <row r="640" ht="15.75" customHeight="1">
      <c r="A640" s="14" t="s">
        <v>174</v>
      </c>
      <c r="B640" s="14" t="s">
        <v>1561</v>
      </c>
      <c r="C640" s="14" t="s">
        <v>1562</v>
      </c>
      <c r="D640" s="14" t="s">
        <v>387</v>
      </c>
      <c r="E640" s="14" t="s">
        <v>123</v>
      </c>
      <c r="F640" s="14">
        <v>637.0</v>
      </c>
      <c r="G640" s="14" t="s">
        <v>537</v>
      </c>
      <c r="H640" s="14" t="s">
        <v>562</v>
      </c>
      <c r="I640" s="14">
        <v>0.0</v>
      </c>
      <c r="J640" s="14">
        <v>0.0</v>
      </c>
    </row>
    <row r="641" ht="15.75" customHeight="1">
      <c r="A641" s="14" t="s">
        <v>174</v>
      </c>
      <c r="B641" s="14" t="s">
        <v>1563</v>
      </c>
      <c r="C641" s="14" t="s">
        <v>1564</v>
      </c>
      <c r="D641" s="14" t="s">
        <v>221</v>
      </c>
      <c r="E641" s="14" t="s">
        <v>115</v>
      </c>
      <c r="F641" s="14">
        <v>638.0</v>
      </c>
      <c r="G641" s="14" t="s">
        <v>537</v>
      </c>
      <c r="H641" s="14" t="s">
        <v>520</v>
      </c>
      <c r="I641" s="14">
        <v>0.0</v>
      </c>
      <c r="J641" s="14">
        <v>0.0</v>
      </c>
    </row>
    <row r="642" ht="15.75" customHeight="1">
      <c r="A642" s="14" t="s">
        <v>174</v>
      </c>
      <c r="B642" s="14" t="s">
        <v>1565</v>
      </c>
      <c r="C642" s="14" t="s">
        <v>1566</v>
      </c>
      <c r="D642" s="14" t="s">
        <v>177</v>
      </c>
      <c r="E642" s="14" t="s">
        <v>123</v>
      </c>
      <c r="F642" s="14">
        <v>639.0</v>
      </c>
      <c r="G642" s="14" t="s">
        <v>537</v>
      </c>
      <c r="H642" s="14" t="s">
        <v>518</v>
      </c>
      <c r="I642" s="14">
        <v>0.0</v>
      </c>
      <c r="J642" s="14">
        <v>0.0</v>
      </c>
    </row>
    <row r="643" ht="15.75" customHeight="1">
      <c r="A643" s="14" t="s">
        <v>174</v>
      </c>
      <c r="B643" s="14" t="s">
        <v>1567</v>
      </c>
      <c r="C643" s="14" t="s">
        <v>1568</v>
      </c>
      <c r="D643" s="14" t="s">
        <v>387</v>
      </c>
      <c r="E643" s="14" t="s">
        <v>115</v>
      </c>
      <c r="F643" s="14">
        <v>640.0</v>
      </c>
      <c r="G643" s="14" t="s">
        <v>537</v>
      </c>
      <c r="H643" s="14" t="s">
        <v>562</v>
      </c>
      <c r="I643" s="14">
        <v>0.0</v>
      </c>
      <c r="J643" s="14">
        <v>0.0</v>
      </c>
    </row>
    <row r="644" ht="15.75" customHeight="1">
      <c r="A644" s="14" t="s">
        <v>174</v>
      </c>
      <c r="B644" s="14" t="s">
        <v>1569</v>
      </c>
      <c r="C644" s="14" t="s">
        <v>1570</v>
      </c>
      <c r="D644" s="14" t="s">
        <v>257</v>
      </c>
      <c r="E644" s="14" t="s">
        <v>123</v>
      </c>
      <c r="F644" s="14">
        <v>641.0</v>
      </c>
      <c r="G644" s="14" t="s">
        <v>537</v>
      </c>
      <c r="H644" s="14" t="s">
        <v>531</v>
      </c>
      <c r="I644" s="14">
        <v>0.0</v>
      </c>
      <c r="J644" s="14">
        <v>0.0</v>
      </c>
    </row>
    <row r="645" ht="15.75" customHeight="1">
      <c r="A645" s="14" t="s">
        <v>174</v>
      </c>
      <c r="B645" s="14" t="s">
        <v>1571</v>
      </c>
      <c r="C645" s="14" t="s">
        <v>1572</v>
      </c>
      <c r="D645" s="14" t="s">
        <v>180</v>
      </c>
      <c r="E645" s="14" t="s">
        <v>121</v>
      </c>
      <c r="F645" s="14">
        <v>642.0</v>
      </c>
      <c r="G645" s="14" t="s">
        <v>537</v>
      </c>
      <c r="H645" s="14" t="s">
        <v>514</v>
      </c>
      <c r="I645" s="14">
        <v>0.0</v>
      </c>
      <c r="J645" s="14">
        <v>0.0</v>
      </c>
    </row>
    <row r="646" ht="15.75" customHeight="1">
      <c r="A646" s="14" t="s">
        <v>174</v>
      </c>
      <c r="B646" s="14" t="s">
        <v>1573</v>
      </c>
      <c r="C646" s="14" t="s">
        <v>1574</v>
      </c>
      <c r="D646" s="14" t="s">
        <v>453</v>
      </c>
      <c r="E646" s="14" t="s">
        <v>123</v>
      </c>
      <c r="F646" s="14">
        <v>643.0</v>
      </c>
      <c r="G646" s="14" t="s">
        <v>537</v>
      </c>
      <c r="H646" s="14" t="s">
        <v>523</v>
      </c>
      <c r="I646" s="14">
        <v>0.0</v>
      </c>
      <c r="J646" s="14">
        <v>0.0</v>
      </c>
    </row>
    <row r="647" ht="15.75" customHeight="1">
      <c r="A647" s="14" t="s">
        <v>174</v>
      </c>
      <c r="B647" s="14" t="s">
        <v>1575</v>
      </c>
      <c r="C647" s="14" t="s">
        <v>1576</v>
      </c>
      <c r="D647" s="14" t="s">
        <v>566</v>
      </c>
      <c r="E647" s="14" t="s">
        <v>115</v>
      </c>
      <c r="F647" s="14">
        <v>644.0</v>
      </c>
      <c r="G647" s="14" t="s">
        <v>537</v>
      </c>
      <c r="H647" s="14" t="s">
        <v>562</v>
      </c>
      <c r="I647" s="14">
        <v>0.0</v>
      </c>
      <c r="J647" s="14">
        <v>0.0</v>
      </c>
    </row>
    <row r="648" ht="15.75" customHeight="1">
      <c r="A648" s="14" t="s">
        <v>174</v>
      </c>
      <c r="B648" s="14" t="s">
        <v>1577</v>
      </c>
      <c r="C648" s="14" t="s">
        <v>1578</v>
      </c>
      <c r="D648" s="14" t="s">
        <v>453</v>
      </c>
      <c r="E648" s="14" t="s">
        <v>123</v>
      </c>
      <c r="F648" s="14">
        <v>645.0</v>
      </c>
      <c r="G648" s="14" t="s">
        <v>537</v>
      </c>
      <c r="H648" s="14" t="s">
        <v>523</v>
      </c>
      <c r="I648" s="14">
        <v>0.0</v>
      </c>
      <c r="J648" s="14">
        <v>0.0</v>
      </c>
    </row>
    <row r="649" ht="15.75" customHeight="1">
      <c r="A649" s="14" t="s">
        <v>174</v>
      </c>
      <c r="B649" s="14" t="s">
        <v>1579</v>
      </c>
      <c r="C649" s="14" t="s">
        <v>1580</v>
      </c>
      <c r="D649" s="14" t="s">
        <v>180</v>
      </c>
      <c r="E649" s="14" t="s">
        <v>121</v>
      </c>
      <c r="F649" s="14">
        <v>646.0</v>
      </c>
      <c r="G649" s="14" t="s">
        <v>537</v>
      </c>
      <c r="H649" s="14" t="s">
        <v>514</v>
      </c>
      <c r="I649" s="14">
        <v>0.0</v>
      </c>
      <c r="J649" s="14">
        <v>0.0</v>
      </c>
    </row>
    <row r="650" ht="15.75" customHeight="1">
      <c r="A650" s="14" t="s">
        <v>174</v>
      </c>
      <c r="B650" s="14" t="s">
        <v>1581</v>
      </c>
      <c r="C650" s="14" t="s">
        <v>1582</v>
      </c>
      <c r="D650" s="14" t="s">
        <v>243</v>
      </c>
      <c r="E650" s="14" t="s">
        <v>115</v>
      </c>
      <c r="F650" s="14">
        <v>647.0</v>
      </c>
      <c r="G650" s="14" t="s">
        <v>537</v>
      </c>
      <c r="H650" s="14" t="s">
        <v>531</v>
      </c>
      <c r="I650" s="14">
        <v>0.0</v>
      </c>
      <c r="J650" s="14">
        <v>0.0</v>
      </c>
    </row>
    <row r="651" ht="15.75" customHeight="1">
      <c r="A651" s="14" t="s">
        <v>174</v>
      </c>
      <c r="B651" s="14" t="s">
        <v>1583</v>
      </c>
      <c r="C651" s="14" t="s">
        <v>1584</v>
      </c>
      <c r="D651" s="14" t="s">
        <v>453</v>
      </c>
      <c r="E651" s="14" t="s">
        <v>121</v>
      </c>
      <c r="F651" s="14">
        <v>648.0</v>
      </c>
      <c r="G651" s="14" t="s">
        <v>537</v>
      </c>
      <c r="H651" s="14" t="s">
        <v>523</v>
      </c>
      <c r="I651" s="14">
        <v>0.0</v>
      </c>
      <c r="J651" s="14">
        <v>0.0</v>
      </c>
    </row>
    <row r="652" ht="15.75" customHeight="1">
      <c r="A652" s="14" t="s">
        <v>174</v>
      </c>
      <c r="B652" s="14" t="s">
        <v>1585</v>
      </c>
      <c r="C652" s="14" t="s">
        <v>1586</v>
      </c>
      <c r="D652" s="14" t="s">
        <v>243</v>
      </c>
      <c r="E652" s="14" t="s">
        <v>121</v>
      </c>
      <c r="F652" s="14">
        <v>649.0</v>
      </c>
      <c r="G652" s="14" t="s">
        <v>537</v>
      </c>
      <c r="H652" s="14" t="s">
        <v>531</v>
      </c>
      <c r="I652" s="14">
        <v>0.0</v>
      </c>
      <c r="J652" s="14">
        <v>0.0</v>
      </c>
    </row>
    <row r="653" ht="15.75" customHeight="1">
      <c r="A653" s="14" t="s">
        <v>174</v>
      </c>
      <c r="B653" s="14" t="s">
        <v>1587</v>
      </c>
      <c r="C653" s="14" t="s">
        <v>1588</v>
      </c>
      <c r="D653" s="14" t="s">
        <v>243</v>
      </c>
      <c r="E653" s="14" t="s">
        <v>121</v>
      </c>
      <c r="F653" s="14">
        <v>650.0</v>
      </c>
      <c r="G653" s="14" t="s">
        <v>537</v>
      </c>
      <c r="H653" s="14" t="s">
        <v>531</v>
      </c>
      <c r="I653" s="14">
        <v>0.0</v>
      </c>
      <c r="J653" s="14">
        <v>0.0</v>
      </c>
    </row>
    <row r="654" ht="15.75" customHeight="1">
      <c r="A654" s="14" t="s">
        <v>174</v>
      </c>
      <c r="B654" s="14" t="s">
        <v>1589</v>
      </c>
      <c r="C654" s="14" t="s">
        <v>1590</v>
      </c>
      <c r="D654" s="14" t="s">
        <v>236</v>
      </c>
      <c r="E654" s="14" t="s">
        <v>118</v>
      </c>
      <c r="F654" s="14">
        <v>651.0</v>
      </c>
      <c r="G654" s="14" t="s">
        <v>537</v>
      </c>
      <c r="H654" s="14" t="s">
        <v>522</v>
      </c>
      <c r="I654" s="14">
        <v>0.0</v>
      </c>
      <c r="J654" s="14">
        <v>0.0</v>
      </c>
    </row>
    <row r="655" ht="15.75" customHeight="1">
      <c r="A655" s="14" t="s">
        <v>174</v>
      </c>
      <c r="B655" s="14" t="s">
        <v>1591</v>
      </c>
      <c r="C655" s="14" t="s">
        <v>1592</v>
      </c>
      <c r="D655" s="14" t="s">
        <v>236</v>
      </c>
      <c r="E655" s="14" t="s">
        <v>118</v>
      </c>
      <c r="F655" s="14">
        <v>652.0</v>
      </c>
      <c r="G655" s="14" t="s">
        <v>537</v>
      </c>
      <c r="H655" s="14" t="s">
        <v>522</v>
      </c>
      <c r="I655" s="14">
        <v>0.0</v>
      </c>
      <c r="J655" s="14">
        <v>0.0</v>
      </c>
    </row>
    <row r="656" ht="15.75" customHeight="1">
      <c r="A656" s="14" t="s">
        <v>174</v>
      </c>
      <c r="B656" s="14" t="s">
        <v>1593</v>
      </c>
      <c r="C656" s="14" t="s">
        <v>1594</v>
      </c>
      <c r="D656" s="14" t="s">
        <v>243</v>
      </c>
      <c r="E656" s="14" t="s">
        <v>118</v>
      </c>
      <c r="F656" s="14">
        <v>653.0</v>
      </c>
      <c r="G656" s="14" t="s">
        <v>537</v>
      </c>
      <c r="H656" s="14" t="s">
        <v>531</v>
      </c>
      <c r="I656" s="14">
        <v>0.0</v>
      </c>
      <c r="J656" s="14">
        <v>0.0</v>
      </c>
    </row>
    <row r="657" ht="15.75" customHeight="1">
      <c r="A657" s="14" t="s">
        <v>174</v>
      </c>
      <c r="B657" s="14" t="s">
        <v>1595</v>
      </c>
      <c r="C657" s="14" t="s">
        <v>1596</v>
      </c>
      <c r="D657" s="14" t="s">
        <v>191</v>
      </c>
      <c r="E657" s="14" t="s">
        <v>123</v>
      </c>
      <c r="F657" s="14">
        <v>654.0</v>
      </c>
      <c r="G657" s="14" t="s">
        <v>537</v>
      </c>
      <c r="H657" s="14" t="s">
        <v>520</v>
      </c>
      <c r="I657" s="14">
        <v>0.0</v>
      </c>
      <c r="J657" s="14">
        <v>0.0</v>
      </c>
    </row>
    <row r="658" ht="15.75" customHeight="1">
      <c r="A658" s="14" t="s">
        <v>174</v>
      </c>
      <c r="B658" s="14" t="s">
        <v>1597</v>
      </c>
      <c r="C658" s="14" t="s">
        <v>1598</v>
      </c>
      <c r="D658" s="14" t="s">
        <v>226</v>
      </c>
      <c r="E658" s="14" t="s">
        <v>115</v>
      </c>
      <c r="F658" s="14">
        <v>655.0</v>
      </c>
      <c r="G658" s="14" t="s">
        <v>537</v>
      </c>
      <c r="H658" s="14" t="s">
        <v>539</v>
      </c>
      <c r="I658" s="14">
        <v>0.0</v>
      </c>
      <c r="J658" s="14">
        <v>0.0</v>
      </c>
    </row>
    <row r="659" ht="15.75" customHeight="1">
      <c r="A659" s="14" t="s">
        <v>174</v>
      </c>
      <c r="B659" s="14" t="s">
        <v>1599</v>
      </c>
      <c r="C659" s="14" t="s">
        <v>1600</v>
      </c>
      <c r="D659" s="14" t="s">
        <v>305</v>
      </c>
      <c r="E659" s="14" t="s">
        <v>121</v>
      </c>
      <c r="F659" s="14">
        <v>656.0</v>
      </c>
      <c r="G659" s="14" t="s">
        <v>537</v>
      </c>
      <c r="H659" s="14" t="s">
        <v>539</v>
      </c>
      <c r="I659" s="14">
        <v>0.0</v>
      </c>
      <c r="J659" s="14">
        <v>0.0</v>
      </c>
    </row>
    <row r="660" ht="15.75" customHeight="1">
      <c r="A660" s="14" t="s">
        <v>174</v>
      </c>
      <c r="B660" s="14" t="s">
        <v>1601</v>
      </c>
      <c r="C660" s="14" t="s">
        <v>1602</v>
      </c>
      <c r="D660" s="14" t="s">
        <v>226</v>
      </c>
      <c r="E660" s="14" t="s">
        <v>115</v>
      </c>
      <c r="F660" s="14">
        <v>657.0</v>
      </c>
      <c r="G660" s="14" t="s">
        <v>537</v>
      </c>
      <c r="H660" s="14" t="s">
        <v>539</v>
      </c>
      <c r="I660" s="14">
        <v>0.0</v>
      </c>
      <c r="J660" s="14">
        <v>0.0</v>
      </c>
    </row>
    <row r="661" ht="15.75" customHeight="1">
      <c r="A661" s="14" t="s">
        <v>174</v>
      </c>
      <c r="B661" s="14" t="s">
        <v>1603</v>
      </c>
      <c r="C661" s="14" t="s">
        <v>1604</v>
      </c>
      <c r="D661" s="14" t="s">
        <v>226</v>
      </c>
      <c r="E661" s="14" t="s">
        <v>121</v>
      </c>
      <c r="F661" s="14">
        <v>658.0</v>
      </c>
      <c r="G661" s="14" t="s">
        <v>537</v>
      </c>
      <c r="H661" s="14" t="s">
        <v>539</v>
      </c>
      <c r="I661" s="14">
        <v>0.0</v>
      </c>
      <c r="J661" s="14">
        <v>0.0</v>
      </c>
    </row>
    <row r="662" ht="15.75" customHeight="1">
      <c r="A662" s="14" t="s">
        <v>174</v>
      </c>
      <c r="B662" s="14" t="s">
        <v>1605</v>
      </c>
      <c r="C662" s="14" t="s">
        <v>1606</v>
      </c>
      <c r="D662" s="14" t="s">
        <v>188</v>
      </c>
      <c r="E662" s="14" t="s">
        <v>121</v>
      </c>
      <c r="F662" s="14">
        <v>659.0</v>
      </c>
      <c r="G662" s="14" t="s">
        <v>537</v>
      </c>
      <c r="H662" s="14" t="s">
        <v>528</v>
      </c>
      <c r="I662" s="14">
        <v>0.0</v>
      </c>
      <c r="J662" s="14">
        <v>0.0</v>
      </c>
    </row>
    <row r="663" ht="15.75" customHeight="1">
      <c r="A663" s="14" t="s">
        <v>174</v>
      </c>
      <c r="B663" s="14" t="s">
        <v>1607</v>
      </c>
      <c r="C663" s="14" t="s">
        <v>1608</v>
      </c>
      <c r="D663" s="14" t="s">
        <v>226</v>
      </c>
      <c r="E663" s="14" t="s">
        <v>121</v>
      </c>
      <c r="F663" s="14">
        <v>660.0</v>
      </c>
      <c r="G663" s="14" t="s">
        <v>537</v>
      </c>
      <c r="H663" s="14" t="s">
        <v>539</v>
      </c>
      <c r="I663" s="14">
        <v>0.0</v>
      </c>
      <c r="J663" s="14">
        <v>0.0</v>
      </c>
    </row>
    <row r="664" ht="15.75" customHeight="1">
      <c r="A664" s="14" t="s">
        <v>174</v>
      </c>
      <c r="B664" s="14" t="s">
        <v>1609</v>
      </c>
      <c r="C664" s="14" t="s">
        <v>1610</v>
      </c>
      <c r="D664" s="14" t="s">
        <v>257</v>
      </c>
      <c r="E664" s="14" t="s">
        <v>123</v>
      </c>
      <c r="F664" s="14">
        <v>661.0</v>
      </c>
      <c r="G664" s="14" t="s">
        <v>537</v>
      </c>
      <c r="H664" s="14" t="s">
        <v>531</v>
      </c>
      <c r="I664" s="14">
        <v>0.0</v>
      </c>
      <c r="J664" s="14">
        <v>0.0</v>
      </c>
    </row>
    <row r="665" ht="15.75" customHeight="1">
      <c r="A665" s="14" t="s">
        <v>174</v>
      </c>
      <c r="B665" s="14" t="s">
        <v>1611</v>
      </c>
      <c r="C665" s="14" t="s">
        <v>1612</v>
      </c>
      <c r="D665" s="14" t="s">
        <v>185</v>
      </c>
      <c r="E665" s="14" t="s">
        <v>115</v>
      </c>
      <c r="F665" s="14">
        <v>662.0</v>
      </c>
      <c r="G665" s="14" t="s">
        <v>537</v>
      </c>
      <c r="H665" s="14" t="s">
        <v>512</v>
      </c>
      <c r="I665" s="14">
        <v>0.0</v>
      </c>
      <c r="J665" s="14">
        <v>0.0</v>
      </c>
    </row>
    <row r="666" ht="15.75" customHeight="1">
      <c r="A666" s="14" t="s">
        <v>174</v>
      </c>
      <c r="B666" s="14" t="s">
        <v>1613</v>
      </c>
      <c r="C666" s="14" t="s">
        <v>1614</v>
      </c>
      <c r="D666" s="14" t="s">
        <v>215</v>
      </c>
      <c r="E666" s="14" t="s">
        <v>115</v>
      </c>
      <c r="F666" s="14">
        <v>663.0</v>
      </c>
      <c r="G666" s="14" t="s">
        <v>537</v>
      </c>
      <c r="H666" s="14" t="s">
        <v>523</v>
      </c>
      <c r="I666" s="14">
        <v>0.0</v>
      </c>
      <c r="J666" s="14">
        <v>0.0</v>
      </c>
    </row>
    <row r="667" ht="15.75" customHeight="1">
      <c r="A667" s="14" t="s">
        <v>174</v>
      </c>
      <c r="B667" s="14" t="s">
        <v>1615</v>
      </c>
      <c r="C667" s="14" t="s">
        <v>1616</v>
      </c>
      <c r="D667" s="14" t="s">
        <v>191</v>
      </c>
      <c r="E667" s="14" t="s">
        <v>115</v>
      </c>
      <c r="F667" s="14">
        <v>664.0</v>
      </c>
      <c r="G667" s="14" t="s">
        <v>537</v>
      </c>
      <c r="H667" s="14" t="s">
        <v>520</v>
      </c>
      <c r="I667" s="14">
        <v>0.0</v>
      </c>
      <c r="J667" s="14">
        <v>0.0</v>
      </c>
    </row>
    <row r="668" ht="15.75" customHeight="1">
      <c r="A668" s="14" t="s">
        <v>174</v>
      </c>
      <c r="B668" s="14" t="s">
        <v>1617</v>
      </c>
      <c r="C668" s="14" t="s">
        <v>1618</v>
      </c>
      <c r="D668" s="14" t="s">
        <v>199</v>
      </c>
      <c r="E668" s="14" t="s">
        <v>121</v>
      </c>
      <c r="F668" s="14">
        <v>665.0</v>
      </c>
      <c r="G668" s="14" t="s">
        <v>537</v>
      </c>
      <c r="H668" s="14" t="s">
        <v>514</v>
      </c>
      <c r="I668" s="14">
        <v>0.0</v>
      </c>
      <c r="J668" s="14">
        <v>0.0</v>
      </c>
    </row>
    <row r="669" ht="15.75" customHeight="1">
      <c r="A669" s="14" t="s">
        <v>174</v>
      </c>
      <c r="B669" s="14" t="s">
        <v>1619</v>
      </c>
      <c r="C669" s="14" t="s">
        <v>1620</v>
      </c>
      <c r="D669" s="14" t="s">
        <v>226</v>
      </c>
      <c r="E669" s="14" t="s">
        <v>121</v>
      </c>
      <c r="F669" s="14">
        <v>666.0</v>
      </c>
      <c r="G669" s="14" t="s">
        <v>537</v>
      </c>
      <c r="H669" s="14" t="s">
        <v>539</v>
      </c>
      <c r="I669" s="14">
        <v>0.0</v>
      </c>
      <c r="J669" s="14">
        <v>0.0</v>
      </c>
    </row>
    <row r="670" ht="15.75" customHeight="1">
      <c r="A670" s="14" t="s">
        <v>174</v>
      </c>
      <c r="B670" s="14" t="s">
        <v>1621</v>
      </c>
      <c r="C670" s="14" t="s">
        <v>1622</v>
      </c>
      <c r="D670" s="14" t="s">
        <v>215</v>
      </c>
      <c r="E670" s="14" t="s">
        <v>115</v>
      </c>
      <c r="F670" s="14">
        <v>667.0</v>
      </c>
      <c r="G670" s="14" t="s">
        <v>537</v>
      </c>
      <c r="H670" s="14" t="s">
        <v>523</v>
      </c>
      <c r="I670" s="14">
        <v>0.0</v>
      </c>
      <c r="J670" s="14">
        <v>0.0</v>
      </c>
    </row>
    <row r="671" ht="15.75" customHeight="1">
      <c r="A671" s="14" t="s">
        <v>174</v>
      </c>
      <c r="B671" s="14" t="s">
        <v>1623</v>
      </c>
      <c r="C671" s="14" t="s">
        <v>1624</v>
      </c>
      <c r="D671" s="14" t="s">
        <v>180</v>
      </c>
      <c r="E671" s="14" t="s">
        <v>123</v>
      </c>
      <c r="F671" s="14">
        <v>668.0</v>
      </c>
      <c r="G671" s="14" t="s">
        <v>537</v>
      </c>
      <c r="H671" s="14" t="s">
        <v>514</v>
      </c>
      <c r="I671" s="14">
        <v>0.0</v>
      </c>
      <c r="J671" s="14">
        <v>0.0</v>
      </c>
    </row>
    <row r="672" ht="15.75" customHeight="1">
      <c r="A672" s="14" t="s">
        <v>174</v>
      </c>
      <c r="B672" s="14" t="s">
        <v>1625</v>
      </c>
      <c r="C672" s="14" t="s">
        <v>1626</v>
      </c>
      <c r="D672" s="14" t="s">
        <v>180</v>
      </c>
      <c r="E672" s="14" t="s">
        <v>123</v>
      </c>
      <c r="F672" s="14">
        <v>669.0</v>
      </c>
      <c r="G672" s="14" t="s">
        <v>537</v>
      </c>
      <c r="H672" s="14" t="s">
        <v>514</v>
      </c>
      <c r="I672" s="14">
        <v>0.0</v>
      </c>
      <c r="J672" s="14">
        <v>0.0</v>
      </c>
    </row>
    <row r="673" ht="15.75" customHeight="1">
      <c r="A673" s="14" t="s">
        <v>174</v>
      </c>
      <c r="B673" s="14" t="s">
        <v>1627</v>
      </c>
      <c r="C673" s="14" t="s">
        <v>1628</v>
      </c>
      <c r="D673" s="14" t="s">
        <v>221</v>
      </c>
      <c r="E673" s="14" t="s">
        <v>115</v>
      </c>
      <c r="F673" s="14">
        <v>670.0</v>
      </c>
      <c r="G673" s="14" t="s">
        <v>537</v>
      </c>
      <c r="H673" s="14" t="s">
        <v>520</v>
      </c>
      <c r="I673" s="14">
        <v>0.0</v>
      </c>
      <c r="J673" s="14">
        <v>0.0</v>
      </c>
    </row>
    <row r="674" ht="15.75" customHeight="1">
      <c r="A674" s="14" t="s">
        <v>174</v>
      </c>
      <c r="B674" s="14" t="s">
        <v>1629</v>
      </c>
      <c r="C674" s="14" t="s">
        <v>1630</v>
      </c>
      <c r="D674" s="14" t="s">
        <v>314</v>
      </c>
      <c r="E674" s="14" t="s">
        <v>118</v>
      </c>
      <c r="F674" s="14">
        <v>671.0</v>
      </c>
      <c r="G674" s="14" t="s">
        <v>537</v>
      </c>
      <c r="H674" s="14" t="s">
        <v>528</v>
      </c>
      <c r="I674" s="14">
        <v>0.0</v>
      </c>
      <c r="J674" s="14">
        <v>0.0</v>
      </c>
    </row>
    <row r="675" ht="15.75" customHeight="1">
      <c r="A675" s="14" t="s">
        <v>174</v>
      </c>
      <c r="B675" s="14" t="s">
        <v>1631</v>
      </c>
      <c r="C675" s="14" t="s">
        <v>1632</v>
      </c>
      <c r="D675" s="14" t="s">
        <v>566</v>
      </c>
      <c r="E675" s="14" t="s">
        <v>115</v>
      </c>
      <c r="F675" s="14">
        <v>672.0</v>
      </c>
      <c r="G675" s="14" t="s">
        <v>537</v>
      </c>
      <c r="H675" s="14" t="s">
        <v>562</v>
      </c>
      <c r="I675" s="14">
        <v>0.0</v>
      </c>
      <c r="J675" s="14">
        <v>0.0</v>
      </c>
    </row>
    <row r="676" ht="15.75" customHeight="1">
      <c r="A676" s="14" t="s">
        <v>174</v>
      </c>
      <c r="B676" s="14" t="s">
        <v>1633</v>
      </c>
      <c r="C676" s="14" t="s">
        <v>1634</v>
      </c>
      <c r="D676" s="14" t="s">
        <v>305</v>
      </c>
      <c r="E676" s="14" t="s">
        <v>121</v>
      </c>
      <c r="F676" s="14">
        <v>673.0</v>
      </c>
      <c r="G676" s="14" t="s">
        <v>537</v>
      </c>
      <c r="H676" s="14" t="s">
        <v>539</v>
      </c>
      <c r="I676" s="14">
        <v>0.0</v>
      </c>
      <c r="J676" s="14">
        <v>0.0</v>
      </c>
    </row>
    <row r="677" ht="15.75" customHeight="1">
      <c r="A677" s="14" t="s">
        <v>174</v>
      </c>
      <c r="B677" s="14" t="s">
        <v>1635</v>
      </c>
      <c r="C677" s="14" t="s">
        <v>1636</v>
      </c>
      <c r="D677" s="14" t="s">
        <v>185</v>
      </c>
      <c r="E677" s="14" t="s">
        <v>123</v>
      </c>
      <c r="F677" s="14">
        <v>674.0</v>
      </c>
      <c r="G677" s="14" t="s">
        <v>537</v>
      </c>
      <c r="H677" s="14" t="s">
        <v>512</v>
      </c>
      <c r="I677" s="14">
        <v>0.0</v>
      </c>
      <c r="J677" s="14">
        <v>0.0</v>
      </c>
    </row>
    <row r="678" ht="15.75" customHeight="1">
      <c r="A678" s="14" t="s">
        <v>174</v>
      </c>
      <c r="B678" s="14" t="s">
        <v>1637</v>
      </c>
      <c r="C678" s="14" t="s">
        <v>1638</v>
      </c>
      <c r="D678" s="14" t="s">
        <v>221</v>
      </c>
      <c r="E678" s="14" t="s">
        <v>118</v>
      </c>
      <c r="F678" s="14">
        <v>675.0</v>
      </c>
      <c r="G678" s="14" t="s">
        <v>537</v>
      </c>
      <c r="H678" s="14" t="s">
        <v>520</v>
      </c>
      <c r="I678" s="14">
        <v>0.0</v>
      </c>
      <c r="J678" s="14">
        <v>0.0</v>
      </c>
    </row>
    <row r="679" ht="15.75" customHeight="1">
      <c r="A679" s="14" t="s">
        <v>174</v>
      </c>
      <c r="B679" s="14" t="s">
        <v>1639</v>
      </c>
      <c r="C679" s="14" t="s">
        <v>1640</v>
      </c>
      <c r="D679" s="14" t="s">
        <v>188</v>
      </c>
      <c r="E679" s="14" t="s">
        <v>121</v>
      </c>
      <c r="F679" s="14">
        <v>676.0</v>
      </c>
      <c r="G679" s="14" t="s">
        <v>537</v>
      </c>
      <c r="H679" s="14" t="s">
        <v>528</v>
      </c>
      <c r="I679" s="14">
        <v>0.0</v>
      </c>
      <c r="J679" s="14">
        <v>0.0</v>
      </c>
    </row>
    <row r="680" ht="15.75" customHeight="1">
      <c r="A680" s="14" t="s">
        <v>174</v>
      </c>
      <c r="B680" s="14" t="s">
        <v>1641</v>
      </c>
      <c r="C680" s="14" t="s">
        <v>1642</v>
      </c>
      <c r="D680" s="14" t="s">
        <v>199</v>
      </c>
      <c r="E680" s="14" t="s">
        <v>115</v>
      </c>
      <c r="F680" s="14">
        <v>677.0</v>
      </c>
      <c r="G680" s="14" t="s">
        <v>537</v>
      </c>
      <c r="H680" s="14" t="s">
        <v>514</v>
      </c>
      <c r="I680" s="14">
        <v>0.0</v>
      </c>
      <c r="J680" s="14">
        <v>0.0</v>
      </c>
    </row>
    <row r="681" ht="15.75" customHeight="1">
      <c r="A681" s="14" t="s">
        <v>174</v>
      </c>
      <c r="B681" s="14" t="s">
        <v>1643</v>
      </c>
      <c r="C681" s="14" t="s">
        <v>1644</v>
      </c>
      <c r="D681" s="14" t="s">
        <v>314</v>
      </c>
      <c r="E681" s="14" t="s">
        <v>118</v>
      </c>
      <c r="F681" s="14">
        <v>678.0</v>
      </c>
      <c r="G681" s="14" t="s">
        <v>537</v>
      </c>
      <c r="H681" s="14" t="s">
        <v>528</v>
      </c>
      <c r="I681" s="14">
        <v>0.0</v>
      </c>
      <c r="J681" s="14">
        <v>0.0</v>
      </c>
    </row>
    <row r="682" ht="15.75" customHeight="1">
      <c r="A682" s="14" t="s">
        <v>174</v>
      </c>
      <c r="B682" s="14" t="s">
        <v>1645</v>
      </c>
      <c r="C682" s="14" t="s">
        <v>1646</v>
      </c>
      <c r="D682" s="14" t="s">
        <v>191</v>
      </c>
      <c r="E682" s="14" t="s">
        <v>121</v>
      </c>
      <c r="F682" s="14">
        <v>679.0</v>
      </c>
      <c r="G682" s="14" t="s">
        <v>537</v>
      </c>
      <c r="H682" s="14" t="s">
        <v>520</v>
      </c>
      <c r="I682" s="14">
        <v>0.0</v>
      </c>
      <c r="J682" s="14">
        <v>0.0</v>
      </c>
    </row>
    <row r="683" ht="15.75" customHeight="1">
      <c r="A683" s="14" t="s">
        <v>174</v>
      </c>
      <c r="B683" s="14" t="s">
        <v>1647</v>
      </c>
      <c r="C683" s="14" t="s">
        <v>1648</v>
      </c>
      <c r="D683" s="14" t="s">
        <v>199</v>
      </c>
      <c r="E683" s="14" t="s">
        <v>123</v>
      </c>
      <c r="F683" s="14">
        <v>680.0</v>
      </c>
      <c r="G683" s="14" t="s">
        <v>537</v>
      </c>
      <c r="H683" s="14" t="s">
        <v>514</v>
      </c>
      <c r="I683" s="14">
        <v>0.0</v>
      </c>
      <c r="J683" s="14">
        <v>0.0</v>
      </c>
    </row>
    <row r="684" ht="15.75" customHeight="1">
      <c r="A684" s="14" t="s">
        <v>174</v>
      </c>
      <c r="B684" s="14" t="s">
        <v>1649</v>
      </c>
      <c r="C684" s="14" t="s">
        <v>1650</v>
      </c>
      <c r="D684" s="14" t="s">
        <v>221</v>
      </c>
      <c r="E684" s="14" t="s">
        <v>118</v>
      </c>
      <c r="F684" s="14">
        <v>681.0</v>
      </c>
      <c r="G684" s="14" t="s">
        <v>537</v>
      </c>
      <c r="H684" s="14" t="s">
        <v>520</v>
      </c>
      <c r="I684" s="14">
        <v>0.0</v>
      </c>
      <c r="J684" s="14">
        <v>0.0</v>
      </c>
    </row>
    <row r="685" ht="15.75" customHeight="1">
      <c r="A685" s="14" t="s">
        <v>174</v>
      </c>
      <c r="B685" s="14" t="s">
        <v>1651</v>
      </c>
      <c r="C685" s="14" t="s">
        <v>1652</v>
      </c>
      <c r="D685" s="14" t="s">
        <v>243</v>
      </c>
      <c r="E685" s="14" t="s">
        <v>123</v>
      </c>
      <c r="F685" s="14">
        <v>682.0</v>
      </c>
      <c r="G685" s="14" t="s">
        <v>537</v>
      </c>
      <c r="H685" s="14" t="s">
        <v>531</v>
      </c>
      <c r="I685" s="14">
        <v>0.0</v>
      </c>
      <c r="J685" s="14">
        <v>0.0</v>
      </c>
    </row>
    <row r="686" ht="15.75" customHeight="1">
      <c r="A686" s="14" t="s">
        <v>174</v>
      </c>
      <c r="B686" s="14" t="s">
        <v>1653</v>
      </c>
      <c r="C686" s="14" t="s">
        <v>1654</v>
      </c>
      <c r="D686" s="14" t="s">
        <v>221</v>
      </c>
      <c r="E686" s="14" t="s">
        <v>115</v>
      </c>
      <c r="F686" s="14">
        <v>683.0</v>
      </c>
      <c r="G686" s="14" t="s">
        <v>537</v>
      </c>
      <c r="H686" s="14" t="s">
        <v>520</v>
      </c>
      <c r="I686" s="14">
        <v>0.0</v>
      </c>
      <c r="J686" s="14">
        <v>0.0</v>
      </c>
    </row>
    <row r="687" ht="15.75" customHeight="1">
      <c r="A687" s="14" t="s">
        <v>174</v>
      </c>
      <c r="B687" s="14" t="s">
        <v>1655</v>
      </c>
      <c r="C687" s="14" t="s">
        <v>1656</v>
      </c>
      <c r="D687" s="14" t="s">
        <v>221</v>
      </c>
      <c r="E687" s="14" t="s">
        <v>118</v>
      </c>
      <c r="F687" s="14">
        <v>684.0</v>
      </c>
      <c r="G687" s="14" t="s">
        <v>537</v>
      </c>
      <c r="H687" s="14" t="s">
        <v>520</v>
      </c>
      <c r="I687" s="14">
        <v>0.0</v>
      </c>
      <c r="J687" s="14">
        <v>0.0</v>
      </c>
    </row>
    <row r="688" ht="15.75" customHeight="1">
      <c r="A688" s="14" t="s">
        <v>174</v>
      </c>
      <c r="B688" s="14" t="s">
        <v>1657</v>
      </c>
      <c r="C688" s="14" t="s">
        <v>1658</v>
      </c>
      <c r="D688" s="14" t="s">
        <v>199</v>
      </c>
      <c r="E688" s="14" t="s">
        <v>121</v>
      </c>
      <c r="F688" s="14">
        <v>685.0</v>
      </c>
      <c r="G688" s="14" t="s">
        <v>537</v>
      </c>
      <c r="H688" s="14" t="s">
        <v>514</v>
      </c>
      <c r="I688" s="14">
        <v>0.0</v>
      </c>
      <c r="J688" s="14">
        <v>0.0</v>
      </c>
    </row>
    <row r="689" ht="15.75" customHeight="1">
      <c r="A689" s="14" t="s">
        <v>174</v>
      </c>
      <c r="B689" s="14" t="s">
        <v>1659</v>
      </c>
      <c r="C689" s="14" t="s">
        <v>1660</v>
      </c>
      <c r="D689" s="14" t="s">
        <v>314</v>
      </c>
      <c r="E689" s="14" t="s">
        <v>118</v>
      </c>
      <c r="F689" s="14">
        <v>686.0</v>
      </c>
      <c r="G689" s="14" t="s">
        <v>537</v>
      </c>
      <c r="H689" s="14" t="s">
        <v>528</v>
      </c>
      <c r="I689" s="14">
        <v>0.0</v>
      </c>
      <c r="J689" s="14">
        <v>0.0</v>
      </c>
    </row>
    <row r="690" ht="15.75" customHeight="1">
      <c r="A690" s="14" t="s">
        <v>174</v>
      </c>
      <c r="B690" s="14" t="s">
        <v>1661</v>
      </c>
      <c r="C690" s="14" t="s">
        <v>1662</v>
      </c>
      <c r="D690" s="14" t="s">
        <v>314</v>
      </c>
      <c r="E690" s="14" t="s">
        <v>121</v>
      </c>
      <c r="F690" s="14">
        <v>687.0</v>
      </c>
      <c r="G690" s="14" t="s">
        <v>537</v>
      </c>
      <c r="H690" s="14" t="s">
        <v>528</v>
      </c>
      <c r="I690" s="14">
        <v>0.0</v>
      </c>
      <c r="J690" s="14">
        <v>0.0</v>
      </c>
    </row>
    <row r="691" ht="15.75" customHeight="1">
      <c r="A691" s="14" t="s">
        <v>174</v>
      </c>
      <c r="B691" s="14" t="s">
        <v>1663</v>
      </c>
      <c r="C691" s="14" t="s">
        <v>1664</v>
      </c>
      <c r="D691" s="14" t="s">
        <v>314</v>
      </c>
      <c r="E691" s="14" t="s">
        <v>121</v>
      </c>
      <c r="F691" s="14">
        <v>688.0</v>
      </c>
      <c r="G691" s="14" t="s">
        <v>537</v>
      </c>
      <c r="H691" s="14" t="s">
        <v>528</v>
      </c>
      <c r="I691" s="14">
        <v>0.0</v>
      </c>
      <c r="J691" s="14">
        <v>0.0</v>
      </c>
    </row>
    <row r="692" ht="15.75" customHeight="1">
      <c r="A692" s="14" t="s">
        <v>174</v>
      </c>
      <c r="B692" s="14" t="s">
        <v>1665</v>
      </c>
      <c r="C692" s="14" t="s">
        <v>1666</v>
      </c>
      <c r="D692" s="14" t="s">
        <v>314</v>
      </c>
      <c r="E692" s="14" t="s">
        <v>576</v>
      </c>
      <c r="F692" s="14">
        <v>689.0</v>
      </c>
      <c r="G692" s="14" t="s">
        <v>537</v>
      </c>
      <c r="H692" s="14" t="s">
        <v>528</v>
      </c>
      <c r="I692" s="14">
        <v>0.0</v>
      </c>
      <c r="J692" s="14">
        <v>0.0</v>
      </c>
    </row>
    <row r="693" ht="15.75" customHeight="1">
      <c r="A693" s="14" t="s">
        <v>174</v>
      </c>
      <c r="B693" s="14" t="s">
        <v>1667</v>
      </c>
      <c r="C693" s="14" t="s">
        <v>1668</v>
      </c>
      <c r="D693" s="14" t="s">
        <v>191</v>
      </c>
      <c r="E693" s="14" t="s">
        <v>123</v>
      </c>
      <c r="F693" s="14">
        <v>690.0</v>
      </c>
      <c r="G693" s="14" t="s">
        <v>537</v>
      </c>
      <c r="H693" s="14" t="s">
        <v>520</v>
      </c>
      <c r="I693" s="14">
        <v>0.0</v>
      </c>
      <c r="J693" s="14">
        <v>0.0</v>
      </c>
    </row>
    <row r="694" ht="15.75" customHeight="1">
      <c r="A694" s="14" t="s">
        <v>174</v>
      </c>
      <c r="B694" s="14" t="s">
        <v>1669</v>
      </c>
      <c r="C694" s="14" t="s">
        <v>1670</v>
      </c>
      <c r="D694" s="14" t="s">
        <v>180</v>
      </c>
      <c r="E694" s="14" t="s">
        <v>118</v>
      </c>
      <c r="F694" s="14">
        <v>691.0</v>
      </c>
      <c r="G694" s="14" t="s">
        <v>537</v>
      </c>
      <c r="H694" s="14" t="s">
        <v>514</v>
      </c>
      <c r="I694" s="14">
        <v>0.0</v>
      </c>
      <c r="J694" s="14">
        <v>0.0</v>
      </c>
    </row>
    <row r="695" ht="15.75" customHeight="1">
      <c r="A695" s="14" t="s">
        <v>174</v>
      </c>
      <c r="B695" s="14" t="s">
        <v>1671</v>
      </c>
      <c r="C695" s="14" t="s">
        <v>1672</v>
      </c>
      <c r="D695" s="14" t="s">
        <v>215</v>
      </c>
      <c r="E695" s="14" t="s">
        <v>121</v>
      </c>
      <c r="F695" s="14">
        <v>692.0</v>
      </c>
      <c r="G695" s="14" t="s">
        <v>537</v>
      </c>
      <c r="H695" s="14" t="s">
        <v>523</v>
      </c>
      <c r="I695" s="14">
        <v>0.0</v>
      </c>
      <c r="J695" s="14">
        <v>0.0</v>
      </c>
    </row>
    <row r="696" ht="15.75" customHeight="1">
      <c r="A696" s="14" t="s">
        <v>174</v>
      </c>
      <c r="B696" s="14" t="s">
        <v>1673</v>
      </c>
      <c r="C696" s="14" t="s">
        <v>1674</v>
      </c>
      <c r="D696" s="14" t="s">
        <v>188</v>
      </c>
      <c r="E696" s="14" t="s">
        <v>123</v>
      </c>
      <c r="F696" s="14">
        <v>693.0</v>
      </c>
      <c r="G696" s="14" t="s">
        <v>537</v>
      </c>
      <c r="H696" s="14" t="s">
        <v>528</v>
      </c>
      <c r="I696" s="14">
        <v>0.0</v>
      </c>
      <c r="J696" s="14">
        <v>0.0</v>
      </c>
    </row>
    <row r="697" ht="15.75" customHeight="1">
      <c r="A697" s="14" t="s">
        <v>174</v>
      </c>
      <c r="B697" s="14" t="s">
        <v>1675</v>
      </c>
      <c r="C697" s="14" t="s">
        <v>1676</v>
      </c>
      <c r="D697" s="14" t="s">
        <v>188</v>
      </c>
      <c r="E697" s="14" t="s">
        <v>121</v>
      </c>
      <c r="F697" s="14">
        <v>694.0</v>
      </c>
      <c r="G697" s="14" t="s">
        <v>537</v>
      </c>
      <c r="H697" s="14" t="s">
        <v>528</v>
      </c>
      <c r="I697" s="14">
        <v>0.0</v>
      </c>
      <c r="J697" s="14">
        <v>0.0</v>
      </c>
    </row>
    <row r="698" ht="15.75" customHeight="1">
      <c r="A698" s="14" t="s">
        <v>174</v>
      </c>
      <c r="B698" s="14" t="s">
        <v>1677</v>
      </c>
      <c r="C698" s="14" t="s">
        <v>1678</v>
      </c>
      <c r="D698" s="14" t="s">
        <v>221</v>
      </c>
      <c r="E698" s="14" t="s">
        <v>118</v>
      </c>
      <c r="F698" s="14">
        <v>695.0</v>
      </c>
      <c r="G698" s="14" t="s">
        <v>537</v>
      </c>
      <c r="H698" s="14" t="s">
        <v>520</v>
      </c>
      <c r="I698" s="14">
        <v>0.0</v>
      </c>
      <c r="J698" s="14">
        <v>0.0</v>
      </c>
    </row>
    <row r="699" ht="15.75" customHeight="1">
      <c r="A699" s="14" t="s">
        <v>174</v>
      </c>
      <c r="B699" s="14" t="s">
        <v>1679</v>
      </c>
      <c r="C699" s="14" t="s">
        <v>1680</v>
      </c>
      <c r="D699" s="14" t="s">
        <v>1681</v>
      </c>
      <c r="E699" s="14" t="s">
        <v>115</v>
      </c>
      <c r="F699" s="14">
        <v>696.0</v>
      </c>
      <c r="G699" s="14" t="s">
        <v>537</v>
      </c>
      <c r="H699" s="14" t="s">
        <v>531</v>
      </c>
      <c r="I699" s="14">
        <v>0.0</v>
      </c>
      <c r="J699" s="14">
        <v>0.0</v>
      </c>
    </row>
    <row r="700" ht="15.75" customHeight="1">
      <c r="A700" s="14" t="s">
        <v>174</v>
      </c>
      <c r="B700" s="14" t="s">
        <v>1682</v>
      </c>
      <c r="C700" s="14" t="s">
        <v>1683</v>
      </c>
      <c r="D700" s="14" t="s">
        <v>191</v>
      </c>
      <c r="E700" s="14" t="s">
        <v>118</v>
      </c>
      <c r="F700" s="14">
        <v>697.0</v>
      </c>
      <c r="G700" s="14" t="s">
        <v>537</v>
      </c>
      <c r="H700" s="14" t="s">
        <v>520</v>
      </c>
      <c r="I700" s="14">
        <v>0.0</v>
      </c>
      <c r="J700" s="14">
        <v>0.0</v>
      </c>
    </row>
    <row r="701" ht="15.75" customHeight="1">
      <c r="A701" s="14" t="s">
        <v>174</v>
      </c>
      <c r="B701" s="14" t="s">
        <v>1684</v>
      </c>
      <c r="C701" s="14" t="s">
        <v>1685</v>
      </c>
      <c r="D701" s="14" t="s">
        <v>231</v>
      </c>
      <c r="E701" s="14" t="s">
        <v>121</v>
      </c>
      <c r="F701" s="14">
        <v>698.0</v>
      </c>
      <c r="G701" s="14" t="s">
        <v>537</v>
      </c>
      <c r="H701" s="14" t="s">
        <v>512</v>
      </c>
      <c r="I701" s="14">
        <v>0.0</v>
      </c>
      <c r="J701" s="14">
        <v>0.0</v>
      </c>
    </row>
    <row r="702" ht="15.75" customHeight="1">
      <c r="A702" s="14" t="s">
        <v>174</v>
      </c>
      <c r="B702" s="14" t="s">
        <v>1686</v>
      </c>
      <c r="C702" s="14" t="s">
        <v>1687</v>
      </c>
      <c r="D702" s="14" t="s">
        <v>566</v>
      </c>
      <c r="E702" s="14" t="s">
        <v>121</v>
      </c>
      <c r="F702" s="14">
        <v>699.0</v>
      </c>
      <c r="G702" s="14" t="s">
        <v>537</v>
      </c>
      <c r="H702" s="14" t="s">
        <v>562</v>
      </c>
      <c r="I702" s="14">
        <v>0.0</v>
      </c>
      <c r="J702" s="14">
        <v>0.0</v>
      </c>
    </row>
    <row r="703" ht="15.75" customHeight="1">
      <c r="A703" s="14" t="s">
        <v>174</v>
      </c>
      <c r="B703" s="14" t="s">
        <v>1688</v>
      </c>
      <c r="C703" s="14" t="s">
        <v>1689</v>
      </c>
      <c r="D703" s="14" t="s">
        <v>327</v>
      </c>
      <c r="E703" s="14" t="s">
        <v>121</v>
      </c>
      <c r="F703" s="14">
        <v>700.0</v>
      </c>
      <c r="G703" s="14" t="s">
        <v>537</v>
      </c>
      <c r="H703" s="14" t="s">
        <v>518</v>
      </c>
      <c r="I703" s="14">
        <v>0.0</v>
      </c>
      <c r="J703" s="14">
        <v>0.0</v>
      </c>
    </row>
    <row r="704" ht="15.75" customHeight="1">
      <c r="A704" s="14" t="s">
        <v>174</v>
      </c>
      <c r="B704" s="14" t="s">
        <v>1690</v>
      </c>
      <c r="C704" s="14" t="s">
        <v>1691</v>
      </c>
      <c r="D704" s="14" t="s">
        <v>177</v>
      </c>
      <c r="E704" s="14" t="s">
        <v>123</v>
      </c>
      <c r="F704" s="14">
        <v>701.0</v>
      </c>
      <c r="G704" s="14" t="s">
        <v>537</v>
      </c>
      <c r="H704" s="14" t="s">
        <v>518</v>
      </c>
      <c r="I704" s="14">
        <v>0.0</v>
      </c>
      <c r="J704" s="14">
        <v>0.0</v>
      </c>
    </row>
    <row r="705" ht="15.75" customHeight="1">
      <c r="A705" s="14" t="s">
        <v>174</v>
      </c>
      <c r="B705" s="14" t="s">
        <v>1692</v>
      </c>
      <c r="C705" s="14" t="s">
        <v>1693</v>
      </c>
      <c r="D705" s="14" t="s">
        <v>199</v>
      </c>
      <c r="E705" s="14" t="s">
        <v>121</v>
      </c>
      <c r="F705" s="14">
        <v>702.0</v>
      </c>
      <c r="G705" s="14" t="s">
        <v>537</v>
      </c>
      <c r="H705" s="14" t="s">
        <v>514</v>
      </c>
      <c r="I705" s="14">
        <v>0.0</v>
      </c>
      <c r="J705" s="14">
        <v>0.0</v>
      </c>
    </row>
    <row r="706" ht="15.75" customHeight="1">
      <c r="A706" s="14" t="s">
        <v>174</v>
      </c>
      <c r="B706" s="14" t="s">
        <v>1694</v>
      </c>
      <c r="C706" s="14" t="s">
        <v>1695</v>
      </c>
      <c r="D706" s="14" t="s">
        <v>185</v>
      </c>
      <c r="E706" s="14" t="s">
        <v>121</v>
      </c>
      <c r="F706" s="14">
        <v>703.0</v>
      </c>
      <c r="G706" s="14" t="s">
        <v>537</v>
      </c>
      <c r="H706" s="14" t="s">
        <v>512</v>
      </c>
      <c r="I706" s="14">
        <v>0.0</v>
      </c>
      <c r="J706" s="14">
        <v>0.0</v>
      </c>
    </row>
    <row r="707" ht="15.75" customHeight="1">
      <c r="A707" s="14" t="s">
        <v>174</v>
      </c>
      <c r="B707" s="14" t="s">
        <v>1696</v>
      </c>
      <c r="C707" s="14" t="s">
        <v>1697</v>
      </c>
      <c r="D707" s="14" t="s">
        <v>221</v>
      </c>
      <c r="E707" s="14" t="s">
        <v>118</v>
      </c>
      <c r="F707" s="14">
        <v>704.0</v>
      </c>
      <c r="G707" s="14" t="s">
        <v>537</v>
      </c>
      <c r="H707" s="14" t="s">
        <v>520</v>
      </c>
      <c r="I707" s="14">
        <v>0.0</v>
      </c>
      <c r="J707" s="14">
        <v>0.0</v>
      </c>
    </row>
    <row r="708" ht="15.75" customHeight="1">
      <c r="A708" s="14" t="s">
        <v>174</v>
      </c>
      <c r="B708" s="14" t="s">
        <v>1698</v>
      </c>
      <c r="C708" s="14" t="s">
        <v>1699</v>
      </c>
      <c r="D708" s="14" t="s">
        <v>185</v>
      </c>
      <c r="E708" s="14" t="s">
        <v>118</v>
      </c>
      <c r="F708" s="14">
        <v>705.0</v>
      </c>
      <c r="G708" s="14" t="s">
        <v>537</v>
      </c>
      <c r="H708" s="14" t="s">
        <v>512</v>
      </c>
      <c r="I708" s="14">
        <v>0.0</v>
      </c>
      <c r="J708" s="14">
        <v>0.0</v>
      </c>
    </row>
    <row r="709" ht="15.75" customHeight="1">
      <c r="A709" s="14" t="s">
        <v>174</v>
      </c>
      <c r="B709" s="14" t="s">
        <v>390</v>
      </c>
      <c r="C709" s="14" t="s">
        <v>391</v>
      </c>
      <c r="D709" s="14" t="s">
        <v>243</v>
      </c>
      <c r="E709" s="14" t="s">
        <v>121</v>
      </c>
      <c r="F709" s="14">
        <v>706.0</v>
      </c>
      <c r="G709" s="14" t="s">
        <v>537</v>
      </c>
      <c r="H709" s="14" t="s">
        <v>531</v>
      </c>
      <c r="I709" s="14">
        <v>0.0</v>
      </c>
      <c r="J709" s="14">
        <v>0.0</v>
      </c>
    </row>
    <row r="710" ht="15.75" customHeight="1">
      <c r="A710" s="14" t="s">
        <v>174</v>
      </c>
      <c r="B710" s="14" t="s">
        <v>1700</v>
      </c>
      <c r="C710" s="14" t="s">
        <v>1701</v>
      </c>
      <c r="D710" s="14" t="s">
        <v>243</v>
      </c>
      <c r="E710" s="14" t="s">
        <v>121</v>
      </c>
      <c r="F710" s="14">
        <v>707.0</v>
      </c>
      <c r="G710" s="14" t="s">
        <v>537</v>
      </c>
      <c r="H710" s="14" t="s">
        <v>531</v>
      </c>
      <c r="I710" s="14">
        <v>0.0</v>
      </c>
      <c r="J710" s="14">
        <v>0.0</v>
      </c>
    </row>
    <row r="711" ht="15.75" customHeight="1">
      <c r="A711" s="14" t="s">
        <v>174</v>
      </c>
      <c r="B711" s="14" t="s">
        <v>1702</v>
      </c>
      <c r="C711" s="14" t="s">
        <v>1703</v>
      </c>
      <c r="D711" s="14" t="s">
        <v>177</v>
      </c>
      <c r="E711" s="14" t="s">
        <v>121</v>
      </c>
      <c r="F711" s="14">
        <v>708.0</v>
      </c>
      <c r="G711" s="14" t="s">
        <v>537</v>
      </c>
      <c r="H711" s="14" t="s">
        <v>518</v>
      </c>
      <c r="I711" s="14">
        <v>0.0</v>
      </c>
      <c r="J711" s="14">
        <v>0.0</v>
      </c>
    </row>
    <row r="712" ht="15.75" customHeight="1">
      <c r="A712" s="14" t="s">
        <v>174</v>
      </c>
      <c r="B712" s="14" t="s">
        <v>1704</v>
      </c>
      <c r="C712" s="14" t="s">
        <v>1705</v>
      </c>
      <c r="D712" s="14" t="s">
        <v>327</v>
      </c>
      <c r="E712" s="14" t="s">
        <v>123</v>
      </c>
      <c r="F712" s="14">
        <v>709.0</v>
      </c>
      <c r="G712" s="14" t="s">
        <v>537</v>
      </c>
      <c r="H712" s="14" t="s">
        <v>518</v>
      </c>
      <c r="I712" s="14">
        <v>0.0</v>
      </c>
      <c r="J712" s="14">
        <v>0.0</v>
      </c>
    </row>
    <row r="713" ht="15.75" customHeight="1">
      <c r="A713" s="14" t="s">
        <v>174</v>
      </c>
      <c r="B713" s="14" t="s">
        <v>1706</v>
      </c>
      <c r="C713" s="14" t="s">
        <v>1707</v>
      </c>
      <c r="D713" s="14" t="s">
        <v>215</v>
      </c>
      <c r="E713" s="14" t="s">
        <v>121</v>
      </c>
      <c r="F713" s="14">
        <v>710.0</v>
      </c>
      <c r="G713" s="14" t="s">
        <v>537</v>
      </c>
      <c r="H713" s="14" t="s">
        <v>523</v>
      </c>
      <c r="I713" s="14">
        <v>0.0</v>
      </c>
      <c r="J713" s="14">
        <v>0.0</v>
      </c>
    </row>
    <row r="714" ht="15.75" customHeight="1">
      <c r="A714" s="14" t="s">
        <v>174</v>
      </c>
      <c r="B714" s="14" t="s">
        <v>1708</v>
      </c>
      <c r="C714" s="14" t="s">
        <v>1709</v>
      </c>
      <c r="D714" s="14" t="s">
        <v>231</v>
      </c>
      <c r="E714" s="14" t="s">
        <v>118</v>
      </c>
      <c r="F714" s="14">
        <v>711.0</v>
      </c>
      <c r="G714" s="14" t="s">
        <v>537</v>
      </c>
      <c r="H714" s="14" t="s">
        <v>512</v>
      </c>
      <c r="I714" s="14">
        <v>0.0</v>
      </c>
      <c r="J714" s="14">
        <v>0.0</v>
      </c>
    </row>
    <row r="715" ht="15.75" customHeight="1">
      <c r="A715" s="14" t="s">
        <v>174</v>
      </c>
      <c r="B715" s="14" t="s">
        <v>1710</v>
      </c>
      <c r="C715" s="14" t="s">
        <v>1711</v>
      </c>
      <c r="D715" s="14" t="s">
        <v>243</v>
      </c>
      <c r="E715" s="14" t="s">
        <v>123</v>
      </c>
      <c r="F715" s="14">
        <v>712.0</v>
      </c>
      <c r="G715" s="14" t="s">
        <v>537</v>
      </c>
      <c r="H715" s="14" t="s">
        <v>531</v>
      </c>
      <c r="I715" s="14">
        <v>0.0</v>
      </c>
      <c r="J715" s="14">
        <v>0.0</v>
      </c>
    </row>
    <row r="716" ht="15.75" customHeight="1">
      <c r="A716" s="14" t="s">
        <v>174</v>
      </c>
      <c r="B716" s="14" t="s">
        <v>1712</v>
      </c>
      <c r="C716" s="14" t="s">
        <v>1713</v>
      </c>
      <c r="D716" s="14" t="s">
        <v>305</v>
      </c>
      <c r="E716" s="14" t="s">
        <v>115</v>
      </c>
      <c r="F716" s="14">
        <v>713.0</v>
      </c>
      <c r="G716" s="14" t="s">
        <v>537</v>
      </c>
      <c r="H716" s="14" t="s">
        <v>539</v>
      </c>
      <c r="I716" s="14">
        <v>0.0</v>
      </c>
      <c r="J716" s="14">
        <v>0.0</v>
      </c>
    </row>
    <row r="717" ht="15.75" customHeight="1">
      <c r="A717" s="14" t="s">
        <v>174</v>
      </c>
      <c r="B717" s="14" t="s">
        <v>1714</v>
      </c>
      <c r="C717" s="14" t="s">
        <v>1715</v>
      </c>
      <c r="D717" s="14" t="s">
        <v>243</v>
      </c>
      <c r="E717" s="14" t="s">
        <v>123</v>
      </c>
      <c r="F717" s="14">
        <v>714.0</v>
      </c>
      <c r="G717" s="14" t="s">
        <v>537</v>
      </c>
      <c r="H717" s="14" t="s">
        <v>531</v>
      </c>
      <c r="I717" s="14">
        <v>0.0</v>
      </c>
      <c r="J717" s="14">
        <v>0.0</v>
      </c>
    </row>
    <row r="718" ht="15.75" customHeight="1">
      <c r="A718" s="14" t="s">
        <v>174</v>
      </c>
      <c r="B718" s="14" t="s">
        <v>1716</v>
      </c>
      <c r="C718" s="14" t="s">
        <v>1717</v>
      </c>
      <c r="D718" s="14" t="s">
        <v>177</v>
      </c>
      <c r="E718" s="14" t="s">
        <v>118</v>
      </c>
      <c r="F718" s="14">
        <v>715.0</v>
      </c>
      <c r="G718" s="14" t="s">
        <v>537</v>
      </c>
      <c r="H718" s="14" t="s">
        <v>518</v>
      </c>
      <c r="I718" s="14">
        <v>0.0</v>
      </c>
      <c r="J718" s="14">
        <v>0.0</v>
      </c>
    </row>
    <row r="719" ht="15.75" customHeight="1">
      <c r="A719" s="14" t="s">
        <v>174</v>
      </c>
      <c r="B719" s="14" t="s">
        <v>1718</v>
      </c>
      <c r="C719" s="14" t="s">
        <v>1719</v>
      </c>
      <c r="D719" s="14" t="s">
        <v>566</v>
      </c>
      <c r="E719" s="14" t="s">
        <v>121</v>
      </c>
      <c r="F719" s="14">
        <v>716.0</v>
      </c>
      <c r="G719" s="14" t="s">
        <v>537</v>
      </c>
      <c r="H719" s="14" t="s">
        <v>562</v>
      </c>
      <c r="I719" s="14">
        <v>0.0</v>
      </c>
      <c r="J719" s="14">
        <v>0.0</v>
      </c>
    </row>
    <row r="720" ht="15.75" customHeight="1">
      <c r="A720" s="14" t="s">
        <v>174</v>
      </c>
      <c r="B720" s="14" t="s">
        <v>1720</v>
      </c>
      <c r="C720" s="14" t="s">
        <v>1721</v>
      </c>
      <c r="D720" s="14" t="s">
        <v>185</v>
      </c>
      <c r="E720" s="14" t="s">
        <v>118</v>
      </c>
      <c r="F720" s="14">
        <v>717.0</v>
      </c>
      <c r="G720" s="14" t="s">
        <v>537</v>
      </c>
      <c r="H720" s="14" t="s">
        <v>512</v>
      </c>
      <c r="I720" s="14">
        <v>0.0</v>
      </c>
      <c r="J720" s="14">
        <v>0.0</v>
      </c>
    </row>
    <row r="721" ht="15.75" customHeight="1">
      <c r="A721" s="14" t="s">
        <v>174</v>
      </c>
      <c r="B721" s="14" t="s">
        <v>1722</v>
      </c>
      <c r="C721" s="14" t="s">
        <v>1723</v>
      </c>
      <c r="D721" s="14" t="s">
        <v>453</v>
      </c>
      <c r="E721" s="14" t="s">
        <v>118</v>
      </c>
      <c r="F721" s="14">
        <v>718.0</v>
      </c>
      <c r="G721" s="14" t="s">
        <v>537</v>
      </c>
      <c r="H721" s="14" t="s">
        <v>523</v>
      </c>
      <c r="I721" s="14">
        <v>0.0</v>
      </c>
      <c r="J721" s="14">
        <v>0.0</v>
      </c>
    </row>
    <row r="722" ht="15.75" customHeight="1">
      <c r="A722" s="14" t="s">
        <v>174</v>
      </c>
      <c r="B722" s="14" t="s">
        <v>1724</v>
      </c>
      <c r="C722" s="14" t="s">
        <v>1725</v>
      </c>
      <c r="D722" s="14" t="s">
        <v>177</v>
      </c>
      <c r="E722" s="14" t="s">
        <v>118</v>
      </c>
      <c r="F722" s="14">
        <v>719.0</v>
      </c>
      <c r="G722" s="14" t="s">
        <v>537</v>
      </c>
      <c r="H722" s="14" t="s">
        <v>518</v>
      </c>
      <c r="I722" s="14">
        <v>0.0</v>
      </c>
      <c r="J722" s="14">
        <v>0.0</v>
      </c>
    </row>
    <row r="723" ht="15.75" customHeight="1">
      <c r="A723" s="14" t="s">
        <v>174</v>
      </c>
      <c r="B723" s="14" t="s">
        <v>1726</v>
      </c>
      <c r="C723" s="14" t="s">
        <v>1727</v>
      </c>
      <c r="D723" s="14" t="s">
        <v>199</v>
      </c>
      <c r="E723" s="14" t="s">
        <v>123</v>
      </c>
      <c r="F723" s="14">
        <v>720.0</v>
      </c>
      <c r="G723" s="14" t="s">
        <v>537</v>
      </c>
      <c r="H723" s="14" t="s">
        <v>514</v>
      </c>
      <c r="I723" s="14">
        <v>0.0</v>
      </c>
      <c r="J723" s="14">
        <v>0.0</v>
      </c>
    </row>
    <row r="724" ht="15.75" customHeight="1">
      <c r="A724" s="14" t="s">
        <v>174</v>
      </c>
      <c r="B724" s="14" t="s">
        <v>1728</v>
      </c>
      <c r="C724" s="14" t="s">
        <v>1729</v>
      </c>
      <c r="D724" s="14" t="s">
        <v>327</v>
      </c>
      <c r="E724" s="14" t="s">
        <v>121</v>
      </c>
      <c r="F724" s="14">
        <v>721.0</v>
      </c>
      <c r="G724" s="14" t="s">
        <v>537</v>
      </c>
      <c r="H724" s="14" t="s">
        <v>518</v>
      </c>
      <c r="I724" s="14">
        <v>0.0</v>
      </c>
      <c r="J724" s="14">
        <v>0.0</v>
      </c>
    </row>
    <row r="725" ht="15.75" customHeight="1">
      <c r="A725" s="14" t="s">
        <v>174</v>
      </c>
      <c r="B725" s="14" t="s">
        <v>1730</v>
      </c>
      <c r="C725" s="14" t="s">
        <v>1731</v>
      </c>
      <c r="D725" s="14" t="s">
        <v>453</v>
      </c>
      <c r="E725" s="14" t="s">
        <v>115</v>
      </c>
      <c r="F725" s="14">
        <v>722.0</v>
      </c>
      <c r="G725" s="14" t="s">
        <v>537</v>
      </c>
      <c r="H725" s="14" t="s">
        <v>523</v>
      </c>
      <c r="I725" s="14">
        <v>0.0</v>
      </c>
      <c r="J725" s="14">
        <v>0.0</v>
      </c>
    </row>
    <row r="726" ht="15.75" customHeight="1">
      <c r="A726" s="14" t="s">
        <v>174</v>
      </c>
      <c r="B726" s="14" t="s">
        <v>1732</v>
      </c>
      <c r="C726" s="14" t="s">
        <v>1733</v>
      </c>
      <c r="D726" s="14" t="s">
        <v>285</v>
      </c>
      <c r="E726" s="14" t="s">
        <v>115</v>
      </c>
      <c r="F726" s="14">
        <v>723.0</v>
      </c>
      <c r="G726" s="14" t="s">
        <v>537</v>
      </c>
      <c r="H726" s="14" t="s">
        <v>522</v>
      </c>
      <c r="I726" s="14">
        <v>0.0</v>
      </c>
      <c r="J726" s="14">
        <v>0.0</v>
      </c>
    </row>
    <row r="727" ht="15.75" customHeight="1">
      <c r="A727" s="14" t="s">
        <v>174</v>
      </c>
      <c r="B727" s="14" t="s">
        <v>1734</v>
      </c>
      <c r="C727" s="14" t="s">
        <v>1735</v>
      </c>
      <c r="D727" s="14" t="s">
        <v>566</v>
      </c>
      <c r="E727" s="14" t="s">
        <v>123</v>
      </c>
      <c r="F727" s="14">
        <v>724.0</v>
      </c>
      <c r="G727" s="14" t="s">
        <v>537</v>
      </c>
      <c r="H727" s="14" t="s">
        <v>562</v>
      </c>
      <c r="I727" s="14">
        <v>0.0</v>
      </c>
      <c r="J727" s="14">
        <v>0.0</v>
      </c>
    </row>
    <row r="728" ht="15.75" customHeight="1">
      <c r="A728" s="14" t="s">
        <v>174</v>
      </c>
      <c r="B728" s="14" t="s">
        <v>1736</v>
      </c>
      <c r="C728" s="14" t="s">
        <v>1737</v>
      </c>
      <c r="D728" s="14" t="s">
        <v>199</v>
      </c>
      <c r="E728" s="14" t="s">
        <v>115</v>
      </c>
      <c r="F728" s="14">
        <v>725.0</v>
      </c>
      <c r="G728" s="14" t="s">
        <v>537</v>
      </c>
      <c r="H728" s="14" t="s">
        <v>514</v>
      </c>
      <c r="I728" s="14">
        <v>0.0</v>
      </c>
      <c r="J728" s="14">
        <v>0.0</v>
      </c>
    </row>
    <row r="729" ht="15.75" customHeight="1">
      <c r="A729" s="14" t="s">
        <v>174</v>
      </c>
      <c r="B729" s="14" t="s">
        <v>1738</v>
      </c>
      <c r="C729" s="14" t="s">
        <v>1739</v>
      </c>
      <c r="D729" s="14" t="s">
        <v>221</v>
      </c>
      <c r="E729" s="14" t="s">
        <v>123</v>
      </c>
      <c r="F729" s="14">
        <v>726.0</v>
      </c>
      <c r="G729" s="14" t="s">
        <v>537</v>
      </c>
      <c r="H729" s="14" t="s">
        <v>520</v>
      </c>
      <c r="I729" s="14">
        <v>0.0</v>
      </c>
      <c r="J729" s="14">
        <v>0.0</v>
      </c>
    </row>
    <row r="730" ht="15.75" customHeight="1">
      <c r="A730" s="14" t="s">
        <v>174</v>
      </c>
      <c r="B730" s="14" t="s">
        <v>1740</v>
      </c>
      <c r="C730" s="14" t="s">
        <v>1741</v>
      </c>
      <c r="D730" s="14" t="s">
        <v>314</v>
      </c>
      <c r="E730" s="14" t="s">
        <v>121</v>
      </c>
      <c r="F730" s="14">
        <v>727.0</v>
      </c>
      <c r="G730" s="14" t="s">
        <v>537</v>
      </c>
      <c r="H730" s="14" t="s">
        <v>528</v>
      </c>
      <c r="I730" s="14">
        <v>0.0</v>
      </c>
      <c r="J730" s="14">
        <v>0.0</v>
      </c>
    </row>
    <row r="731" ht="15.75" customHeight="1">
      <c r="A731" s="14" t="s">
        <v>174</v>
      </c>
      <c r="B731" s="14" t="s">
        <v>1742</v>
      </c>
      <c r="C731" s="14" t="s">
        <v>1743</v>
      </c>
      <c r="D731" s="14" t="s">
        <v>221</v>
      </c>
      <c r="E731" s="14" t="s">
        <v>115</v>
      </c>
      <c r="F731" s="14">
        <v>728.0</v>
      </c>
      <c r="G731" s="14" t="s">
        <v>537</v>
      </c>
      <c r="H731" s="14" t="s">
        <v>520</v>
      </c>
      <c r="I731" s="14">
        <v>0.0</v>
      </c>
      <c r="J731" s="14">
        <v>0.0</v>
      </c>
    </row>
    <row r="732" ht="15.75" customHeight="1">
      <c r="A732" s="14" t="s">
        <v>174</v>
      </c>
      <c r="B732" s="14" t="s">
        <v>1744</v>
      </c>
      <c r="C732" s="14" t="s">
        <v>1745</v>
      </c>
      <c r="D732" s="14" t="s">
        <v>180</v>
      </c>
      <c r="E732" s="14" t="s">
        <v>123</v>
      </c>
      <c r="F732" s="14">
        <v>729.0</v>
      </c>
      <c r="G732" s="14" t="s">
        <v>537</v>
      </c>
      <c r="H732" s="14" t="s">
        <v>514</v>
      </c>
      <c r="I732" s="14">
        <v>0.0</v>
      </c>
      <c r="J732" s="14">
        <v>0.0</v>
      </c>
    </row>
    <row r="733" ht="15.75" customHeight="1">
      <c r="A733" s="14" t="s">
        <v>174</v>
      </c>
      <c r="B733" s="14" t="s">
        <v>1746</v>
      </c>
      <c r="C733" s="14" t="s">
        <v>1747</v>
      </c>
      <c r="D733" s="14" t="s">
        <v>177</v>
      </c>
      <c r="E733" s="14" t="s">
        <v>121</v>
      </c>
      <c r="F733" s="14">
        <v>730.0</v>
      </c>
      <c r="G733" s="14" t="s">
        <v>537</v>
      </c>
      <c r="H733" s="14" t="s">
        <v>518</v>
      </c>
      <c r="I733" s="14">
        <v>0.0</v>
      </c>
      <c r="J733" s="14">
        <v>0.0</v>
      </c>
    </row>
    <row r="734" ht="15.75" customHeight="1">
      <c r="A734" s="14" t="s">
        <v>174</v>
      </c>
      <c r="B734" s="14" t="s">
        <v>1748</v>
      </c>
      <c r="C734" s="14" t="s">
        <v>1749</v>
      </c>
      <c r="D734" s="14" t="s">
        <v>231</v>
      </c>
      <c r="E734" s="14" t="s">
        <v>115</v>
      </c>
      <c r="F734" s="14">
        <v>731.0</v>
      </c>
      <c r="G734" s="14" t="s">
        <v>537</v>
      </c>
      <c r="H734" s="14" t="s">
        <v>512</v>
      </c>
      <c r="I734" s="14">
        <v>0.0</v>
      </c>
      <c r="J734" s="14">
        <v>0.0</v>
      </c>
    </row>
    <row r="735" ht="15.75" customHeight="1">
      <c r="A735" s="14" t="s">
        <v>174</v>
      </c>
      <c r="B735" s="14" t="s">
        <v>1750</v>
      </c>
      <c r="C735" s="14" t="s">
        <v>1751</v>
      </c>
      <c r="D735" s="14" t="s">
        <v>285</v>
      </c>
      <c r="E735" s="14" t="s">
        <v>115</v>
      </c>
      <c r="F735" s="14">
        <v>732.0</v>
      </c>
      <c r="G735" s="14" t="s">
        <v>537</v>
      </c>
      <c r="H735" s="14" t="s">
        <v>522</v>
      </c>
      <c r="I735" s="14">
        <v>0.0</v>
      </c>
      <c r="J735" s="14">
        <v>0.0</v>
      </c>
    </row>
    <row r="736" ht="15.75" customHeight="1">
      <c r="A736" s="14" t="s">
        <v>174</v>
      </c>
      <c r="B736" s="14" t="s">
        <v>1752</v>
      </c>
      <c r="C736" s="14" t="s">
        <v>1753</v>
      </c>
      <c r="D736" s="14" t="s">
        <v>566</v>
      </c>
      <c r="E736" s="14" t="s">
        <v>123</v>
      </c>
      <c r="F736" s="14">
        <v>733.0</v>
      </c>
      <c r="G736" s="14" t="s">
        <v>537</v>
      </c>
      <c r="H736" s="14" t="s">
        <v>562</v>
      </c>
      <c r="I736" s="14">
        <v>0.0</v>
      </c>
      <c r="J736" s="14">
        <v>0.0</v>
      </c>
    </row>
    <row r="737" ht="15.75" customHeight="1">
      <c r="A737" s="14" t="s">
        <v>174</v>
      </c>
      <c r="B737" s="14" t="s">
        <v>1754</v>
      </c>
      <c r="C737" s="14" t="s">
        <v>1755</v>
      </c>
      <c r="D737" s="14" t="s">
        <v>327</v>
      </c>
      <c r="E737" s="14" t="s">
        <v>576</v>
      </c>
      <c r="F737" s="14">
        <v>734.0</v>
      </c>
      <c r="G737" s="14" t="s">
        <v>537</v>
      </c>
      <c r="H737" s="14" t="s">
        <v>518</v>
      </c>
      <c r="I737" s="14">
        <v>0.0</v>
      </c>
      <c r="J737" s="14">
        <v>0.0</v>
      </c>
    </row>
    <row r="738" ht="15.75" customHeight="1">
      <c r="A738" s="14" t="s">
        <v>174</v>
      </c>
      <c r="B738" s="14" t="s">
        <v>1756</v>
      </c>
      <c r="C738" s="14" t="s">
        <v>1757</v>
      </c>
      <c r="D738" s="14" t="s">
        <v>305</v>
      </c>
      <c r="E738" s="14" t="s">
        <v>115</v>
      </c>
      <c r="F738" s="14">
        <v>735.0</v>
      </c>
      <c r="G738" s="14" t="s">
        <v>537</v>
      </c>
      <c r="H738" s="14" t="s">
        <v>539</v>
      </c>
      <c r="I738" s="14">
        <v>0.0</v>
      </c>
      <c r="J738" s="14">
        <v>0.0</v>
      </c>
    </row>
    <row r="739" ht="15.75" customHeight="1">
      <c r="A739" s="14" t="s">
        <v>174</v>
      </c>
      <c r="B739" s="14" t="s">
        <v>1758</v>
      </c>
      <c r="C739" s="14" t="s">
        <v>1759</v>
      </c>
      <c r="D739" s="14" t="s">
        <v>185</v>
      </c>
      <c r="E739" s="14" t="s">
        <v>115</v>
      </c>
      <c r="F739" s="14">
        <v>736.0</v>
      </c>
      <c r="G739" s="14" t="s">
        <v>537</v>
      </c>
      <c r="H739" s="14" t="s">
        <v>512</v>
      </c>
      <c r="I739" s="14">
        <v>0.0</v>
      </c>
      <c r="J739" s="14">
        <v>0.0</v>
      </c>
    </row>
    <row r="740" ht="15.75" customHeight="1">
      <c r="A740" s="14" t="s">
        <v>174</v>
      </c>
      <c r="B740" s="14" t="s">
        <v>1760</v>
      </c>
      <c r="C740" s="14" t="s">
        <v>1761</v>
      </c>
      <c r="D740" s="14" t="s">
        <v>327</v>
      </c>
      <c r="E740" s="14" t="s">
        <v>118</v>
      </c>
      <c r="F740" s="14">
        <v>737.0</v>
      </c>
      <c r="G740" s="14" t="s">
        <v>537</v>
      </c>
      <c r="H740" s="14" t="s">
        <v>518</v>
      </c>
      <c r="I740" s="14">
        <v>0.0</v>
      </c>
      <c r="J740" s="14">
        <v>0.0</v>
      </c>
    </row>
    <row r="741" ht="15.75" customHeight="1">
      <c r="A741" s="14" t="s">
        <v>174</v>
      </c>
      <c r="B741" s="14" t="s">
        <v>1762</v>
      </c>
      <c r="C741" s="14" t="s">
        <v>1763</v>
      </c>
      <c r="D741" s="14" t="s">
        <v>285</v>
      </c>
      <c r="E741" s="14" t="s">
        <v>118</v>
      </c>
      <c r="F741" s="14">
        <v>738.0</v>
      </c>
      <c r="G741" s="14" t="s">
        <v>537</v>
      </c>
      <c r="H741" s="14" t="s">
        <v>522</v>
      </c>
      <c r="I741" s="14">
        <v>0.0</v>
      </c>
      <c r="J741" s="14">
        <v>0.0</v>
      </c>
    </row>
    <row r="742" ht="15.75" customHeight="1">
      <c r="A742" s="14" t="s">
        <v>174</v>
      </c>
      <c r="B742" s="14" t="s">
        <v>1764</v>
      </c>
      <c r="C742" s="14" t="s">
        <v>1765</v>
      </c>
      <c r="D742" s="14" t="s">
        <v>188</v>
      </c>
      <c r="E742" s="14" t="s">
        <v>115</v>
      </c>
      <c r="F742" s="14">
        <v>739.0</v>
      </c>
      <c r="G742" s="14" t="s">
        <v>537</v>
      </c>
      <c r="H742" s="14" t="s">
        <v>528</v>
      </c>
      <c r="I742" s="14">
        <v>0.0</v>
      </c>
      <c r="J742" s="14">
        <v>0.0</v>
      </c>
    </row>
    <row r="743" ht="15.75" customHeight="1">
      <c r="A743" s="14" t="s">
        <v>174</v>
      </c>
      <c r="B743" s="14" t="s">
        <v>1766</v>
      </c>
      <c r="C743" s="14" t="s">
        <v>1767</v>
      </c>
      <c r="D743" s="14" t="s">
        <v>453</v>
      </c>
      <c r="E743" s="14" t="s">
        <v>115</v>
      </c>
      <c r="F743" s="14">
        <v>740.0</v>
      </c>
      <c r="G743" s="14" t="s">
        <v>537</v>
      </c>
      <c r="H743" s="14" t="s">
        <v>523</v>
      </c>
      <c r="I743" s="14">
        <v>0.0</v>
      </c>
      <c r="J743" s="14">
        <v>0.0</v>
      </c>
    </row>
    <row r="744" ht="15.75" customHeight="1">
      <c r="A744" s="14" t="s">
        <v>174</v>
      </c>
      <c r="B744" s="14" t="s">
        <v>1768</v>
      </c>
      <c r="C744" s="14" t="s">
        <v>1769</v>
      </c>
      <c r="D744" s="14" t="s">
        <v>180</v>
      </c>
      <c r="E744" s="14" t="s">
        <v>118</v>
      </c>
      <c r="F744" s="14">
        <v>741.0</v>
      </c>
      <c r="G744" s="14" t="s">
        <v>537</v>
      </c>
      <c r="H744" s="14" t="s">
        <v>514</v>
      </c>
      <c r="I744" s="14">
        <v>0.0</v>
      </c>
      <c r="J744" s="14">
        <v>0.0</v>
      </c>
    </row>
    <row r="745" ht="15.75" customHeight="1">
      <c r="A745" s="14" t="s">
        <v>174</v>
      </c>
      <c r="B745" s="14" t="s">
        <v>1770</v>
      </c>
      <c r="C745" s="14" t="s">
        <v>1771</v>
      </c>
      <c r="D745" s="14" t="s">
        <v>188</v>
      </c>
      <c r="E745" s="14" t="s">
        <v>123</v>
      </c>
      <c r="F745" s="14">
        <v>742.0</v>
      </c>
      <c r="G745" s="14" t="s">
        <v>537</v>
      </c>
      <c r="H745" s="14" t="s">
        <v>528</v>
      </c>
      <c r="I745" s="14">
        <v>0.0</v>
      </c>
      <c r="J745" s="14">
        <v>0.0</v>
      </c>
    </row>
    <row r="746" ht="15.75" customHeight="1">
      <c r="A746" s="14" t="s">
        <v>174</v>
      </c>
      <c r="B746" s="14" t="s">
        <v>1772</v>
      </c>
      <c r="C746" s="14" t="s">
        <v>1773</v>
      </c>
      <c r="D746" s="14" t="s">
        <v>314</v>
      </c>
      <c r="E746" s="14" t="s">
        <v>121</v>
      </c>
      <c r="F746" s="14">
        <v>743.0</v>
      </c>
      <c r="G746" s="14" t="s">
        <v>537</v>
      </c>
      <c r="H746" s="14" t="s">
        <v>528</v>
      </c>
      <c r="I746" s="14">
        <v>0.0</v>
      </c>
      <c r="J746" s="14">
        <v>0.0</v>
      </c>
    </row>
    <row r="747" ht="15.75" customHeight="1">
      <c r="A747" s="14" t="s">
        <v>174</v>
      </c>
      <c r="B747" s="14" t="s">
        <v>1774</v>
      </c>
      <c r="C747" s="14" t="s">
        <v>1775</v>
      </c>
      <c r="D747" s="14" t="s">
        <v>177</v>
      </c>
      <c r="E747" s="14" t="s">
        <v>115</v>
      </c>
      <c r="F747" s="14">
        <v>744.0</v>
      </c>
      <c r="G747" s="14" t="s">
        <v>537</v>
      </c>
      <c r="H747" s="14" t="s">
        <v>518</v>
      </c>
      <c r="I747" s="14">
        <v>0.0</v>
      </c>
      <c r="J747" s="14">
        <v>0.0</v>
      </c>
    </row>
    <row r="748" ht="15.75" customHeight="1">
      <c r="A748" s="14" t="s">
        <v>174</v>
      </c>
      <c r="B748" s="14" t="s">
        <v>1776</v>
      </c>
      <c r="C748" s="14" t="s">
        <v>1777</v>
      </c>
      <c r="D748" s="14" t="s">
        <v>243</v>
      </c>
      <c r="E748" s="14" t="s">
        <v>123</v>
      </c>
      <c r="F748" s="14">
        <v>745.0</v>
      </c>
      <c r="G748" s="14" t="s">
        <v>537</v>
      </c>
      <c r="H748" s="14" t="s">
        <v>531</v>
      </c>
      <c r="I748" s="14">
        <v>0.0</v>
      </c>
      <c r="J748" s="14">
        <v>0.0</v>
      </c>
    </row>
    <row r="749" ht="15.75" customHeight="1">
      <c r="A749" s="14" t="s">
        <v>174</v>
      </c>
      <c r="B749" s="14" t="s">
        <v>1778</v>
      </c>
      <c r="C749" s="14" t="s">
        <v>1779</v>
      </c>
      <c r="D749" s="14" t="s">
        <v>314</v>
      </c>
      <c r="E749" s="14" t="s">
        <v>115</v>
      </c>
      <c r="F749" s="14">
        <v>746.0</v>
      </c>
      <c r="G749" s="14" t="s">
        <v>537</v>
      </c>
      <c r="H749" s="14" t="s">
        <v>528</v>
      </c>
      <c r="I749" s="14">
        <v>0.0</v>
      </c>
      <c r="J749" s="14">
        <v>0.0</v>
      </c>
    </row>
    <row r="750" ht="15.75" customHeight="1">
      <c r="A750" s="14" t="s">
        <v>174</v>
      </c>
      <c r="B750" s="14" t="s">
        <v>1780</v>
      </c>
      <c r="C750" s="14" t="s">
        <v>1781</v>
      </c>
      <c r="D750" s="14" t="s">
        <v>185</v>
      </c>
      <c r="E750" s="14" t="s">
        <v>121</v>
      </c>
      <c r="F750" s="14">
        <v>747.0</v>
      </c>
      <c r="G750" s="14" t="s">
        <v>537</v>
      </c>
      <c r="H750" s="14" t="s">
        <v>512</v>
      </c>
      <c r="I750" s="14">
        <v>0.0</v>
      </c>
      <c r="J750" s="14">
        <v>0.0</v>
      </c>
    </row>
    <row r="751" ht="15.75" customHeight="1">
      <c r="A751" s="14" t="s">
        <v>174</v>
      </c>
      <c r="B751" s="14" t="s">
        <v>1782</v>
      </c>
      <c r="C751" s="14" t="s">
        <v>1783</v>
      </c>
      <c r="D751" s="14" t="s">
        <v>231</v>
      </c>
      <c r="E751" s="14" t="s">
        <v>121</v>
      </c>
      <c r="F751" s="14">
        <v>748.0</v>
      </c>
      <c r="G751" s="14" t="s">
        <v>537</v>
      </c>
      <c r="H751" s="14" t="s">
        <v>512</v>
      </c>
      <c r="I751" s="14">
        <v>0.0</v>
      </c>
      <c r="J751" s="14">
        <v>0.0</v>
      </c>
    </row>
    <row r="752" ht="15.75" customHeight="1">
      <c r="A752" s="14" t="s">
        <v>174</v>
      </c>
      <c r="B752" s="14" t="s">
        <v>1784</v>
      </c>
      <c r="C752" s="14" t="s">
        <v>1785</v>
      </c>
      <c r="D752" s="14" t="s">
        <v>199</v>
      </c>
      <c r="E752" s="14" t="s">
        <v>118</v>
      </c>
      <c r="F752" s="14">
        <v>749.0</v>
      </c>
      <c r="G752" s="14" t="s">
        <v>537</v>
      </c>
      <c r="H752" s="14" t="s">
        <v>514</v>
      </c>
      <c r="I752" s="14">
        <v>0.0</v>
      </c>
      <c r="J752" s="14">
        <v>0.0</v>
      </c>
    </row>
    <row r="753" ht="15.75" customHeight="1">
      <c r="A753" s="14" t="s">
        <v>174</v>
      </c>
      <c r="B753" s="14" t="s">
        <v>1786</v>
      </c>
      <c r="C753" s="14" t="s">
        <v>1787</v>
      </c>
      <c r="D753" s="14" t="s">
        <v>177</v>
      </c>
      <c r="E753" s="14" t="s">
        <v>121</v>
      </c>
      <c r="F753" s="14">
        <v>750.0</v>
      </c>
      <c r="G753" s="14" t="s">
        <v>537</v>
      </c>
      <c r="H753" s="14" t="s">
        <v>518</v>
      </c>
      <c r="I753" s="14">
        <v>0.0</v>
      </c>
      <c r="J753" s="14">
        <v>0.0</v>
      </c>
    </row>
    <row r="754" ht="15.75" customHeight="1">
      <c r="A754" s="14" t="s">
        <v>174</v>
      </c>
      <c r="B754" s="14" t="s">
        <v>1788</v>
      </c>
      <c r="C754" s="14" t="s">
        <v>1789</v>
      </c>
      <c r="D754" s="14" t="s">
        <v>177</v>
      </c>
      <c r="E754" s="14" t="s">
        <v>121</v>
      </c>
      <c r="F754" s="14">
        <v>751.0</v>
      </c>
      <c r="G754" s="14" t="s">
        <v>537</v>
      </c>
      <c r="H754" s="14" t="s">
        <v>518</v>
      </c>
      <c r="I754" s="14">
        <v>0.0</v>
      </c>
      <c r="J754" s="14">
        <v>0.0</v>
      </c>
    </row>
    <row r="755" ht="15.75" customHeight="1">
      <c r="A755" s="14" t="s">
        <v>174</v>
      </c>
      <c r="B755" s="14" t="s">
        <v>1790</v>
      </c>
      <c r="C755" s="14" t="s">
        <v>1791</v>
      </c>
      <c r="D755" s="14" t="s">
        <v>236</v>
      </c>
      <c r="E755" s="14" t="s">
        <v>118</v>
      </c>
      <c r="F755" s="14">
        <v>752.0</v>
      </c>
      <c r="G755" s="14" t="s">
        <v>537</v>
      </c>
      <c r="H755" s="14" t="s">
        <v>522</v>
      </c>
      <c r="I755" s="14">
        <v>0.0</v>
      </c>
      <c r="J755" s="14">
        <v>0.0</v>
      </c>
    </row>
    <row r="756" ht="15.75" customHeight="1">
      <c r="A756" s="14" t="s">
        <v>174</v>
      </c>
      <c r="B756" s="14" t="s">
        <v>1792</v>
      </c>
      <c r="C756" s="14" t="s">
        <v>1793</v>
      </c>
      <c r="D756" s="14" t="s">
        <v>188</v>
      </c>
      <c r="E756" s="14" t="s">
        <v>121</v>
      </c>
      <c r="F756" s="14">
        <v>753.0</v>
      </c>
      <c r="G756" s="14" t="s">
        <v>537</v>
      </c>
      <c r="H756" s="14" t="s">
        <v>528</v>
      </c>
      <c r="I756" s="14">
        <v>0.0</v>
      </c>
      <c r="J756" s="14">
        <v>0.0</v>
      </c>
    </row>
    <row r="757" ht="15.75" customHeight="1">
      <c r="A757" s="14" t="s">
        <v>174</v>
      </c>
      <c r="B757" s="14" t="s">
        <v>1794</v>
      </c>
      <c r="C757" s="14" t="s">
        <v>1795</v>
      </c>
      <c r="D757" s="14" t="s">
        <v>226</v>
      </c>
      <c r="E757" s="14" t="s">
        <v>121</v>
      </c>
      <c r="F757" s="14">
        <v>754.0</v>
      </c>
      <c r="G757" s="14" t="s">
        <v>537</v>
      </c>
      <c r="H757" s="14" t="s">
        <v>539</v>
      </c>
      <c r="I757" s="14">
        <v>0.0</v>
      </c>
      <c r="J757" s="14">
        <v>0.0</v>
      </c>
    </row>
    <row r="758" ht="15.75" customHeight="1">
      <c r="A758" s="14" t="s">
        <v>174</v>
      </c>
      <c r="B758" s="14" t="s">
        <v>1796</v>
      </c>
      <c r="C758" s="14" t="s">
        <v>1797</v>
      </c>
      <c r="D758" s="14" t="s">
        <v>185</v>
      </c>
      <c r="E758" s="14" t="s">
        <v>118</v>
      </c>
      <c r="F758" s="14">
        <v>755.0</v>
      </c>
      <c r="G758" s="14" t="s">
        <v>537</v>
      </c>
      <c r="H758" s="14" t="s">
        <v>512</v>
      </c>
      <c r="I758" s="14">
        <v>0.0</v>
      </c>
      <c r="J758" s="14">
        <v>0.0</v>
      </c>
    </row>
    <row r="759" ht="15.75" customHeight="1">
      <c r="A759" s="14" t="s">
        <v>174</v>
      </c>
      <c r="B759" s="14" t="s">
        <v>1798</v>
      </c>
      <c r="C759" s="14" t="s">
        <v>1799</v>
      </c>
      <c r="D759" s="14" t="s">
        <v>285</v>
      </c>
      <c r="E759" s="14" t="s">
        <v>115</v>
      </c>
      <c r="F759" s="14">
        <v>756.0</v>
      </c>
      <c r="G759" s="14" t="s">
        <v>537</v>
      </c>
      <c r="H759" s="14" t="s">
        <v>522</v>
      </c>
      <c r="I759" s="14">
        <v>0.0</v>
      </c>
      <c r="J759" s="14">
        <v>0.0</v>
      </c>
    </row>
    <row r="760" ht="15.75" customHeight="1">
      <c r="A760" s="14" t="s">
        <v>174</v>
      </c>
      <c r="B760" s="14" t="s">
        <v>1800</v>
      </c>
      <c r="C760" s="14" t="s">
        <v>1801</v>
      </c>
      <c r="D760" s="14" t="s">
        <v>185</v>
      </c>
      <c r="E760" s="14" t="s">
        <v>115</v>
      </c>
      <c r="F760" s="14">
        <v>757.0</v>
      </c>
      <c r="G760" s="14" t="s">
        <v>537</v>
      </c>
      <c r="H760" s="14" t="s">
        <v>512</v>
      </c>
      <c r="I760" s="14">
        <v>0.0</v>
      </c>
      <c r="J760" s="14">
        <v>0.0</v>
      </c>
    </row>
    <row r="761" ht="15.75" customHeight="1">
      <c r="A761" s="14" t="s">
        <v>174</v>
      </c>
      <c r="B761" s="14" t="s">
        <v>1802</v>
      </c>
      <c r="C761" s="14" t="s">
        <v>1803</v>
      </c>
      <c r="D761" s="14" t="s">
        <v>221</v>
      </c>
      <c r="E761" s="14" t="s">
        <v>121</v>
      </c>
      <c r="F761" s="14">
        <v>758.0</v>
      </c>
      <c r="G761" s="14" t="s">
        <v>537</v>
      </c>
      <c r="H761" s="14" t="s">
        <v>520</v>
      </c>
      <c r="I761" s="14">
        <v>0.0</v>
      </c>
      <c r="J761" s="14">
        <v>0.0</v>
      </c>
    </row>
    <row r="762" ht="15.75" customHeight="1">
      <c r="A762" s="14" t="s">
        <v>174</v>
      </c>
      <c r="B762" s="14" t="s">
        <v>1804</v>
      </c>
      <c r="C762" s="14" t="s">
        <v>1805</v>
      </c>
      <c r="D762" s="14" t="s">
        <v>177</v>
      </c>
      <c r="E762" s="14" t="s">
        <v>118</v>
      </c>
      <c r="F762" s="14">
        <v>759.0</v>
      </c>
      <c r="G762" s="14" t="s">
        <v>537</v>
      </c>
      <c r="H762" s="14" t="s">
        <v>518</v>
      </c>
      <c r="I762" s="14">
        <v>0.0</v>
      </c>
      <c r="J762" s="14">
        <v>0.0</v>
      </c>
    </row>
    <row r="763" ht="15.75" customHeight="1">
      <c r="A763" s="14" t="s">
        <v>174</v>
      </c>
      <c r="B763" s="14" t="s">
        <v>1806</v>
      </c>
      <c r="C763" s="14" t="s">
        <v>1807</v>
      </c>
      <c r="D763" s="14" t="s">
        <v>177</v>
      </c>
      <c r="E763" s="14" t="s">
        <v>118</v>
      </c>
      <c r="F763" s="14">
        <v>760.0</v>
      </c>
      <c r="G763" s="14" t="s">
        <v>537</v>
      </c>
      <c r="H763" s="14" t="s">
        <v>518</v>
      </c>
      <c r="I763" s="14">
        <v>0.0</v>
      </c>
      <c r="J763" s="14">
        <v>0.0</v>
      </c>
    </row>
    <row r="764" ht="15.75" customHeight="1">
      <c r="A764" s="14" t="s">
        <v>174</v>
      </c>
      <c r="B764" s="14" t="s">
        <v>1808</v>
      </c>
      <c r="C764" s="14" t="s">
        <v>1809</v>
      </c>
      <c r="D764" s="14" t="s">
        <v>191</v>
      </c>
      <c r="E764" s="14" t="s">
        <v>118</v>
      </c>
      <c r="F764" s="14">
        <v>761.0</v>
      </c>
      <c r="G764" s="14" t="s">
        <v>537</v>
      </c>
      <c r="H764" s="14" t="s">
        <v>520</v>
      </c>
      <c r="I764" s="14">
        <v>0.0</v>
      </c>
      <c r="J764" s="14">
        <v>0.0</v>
      </c>
    </row>
    <row r="765" ht="15.75" customHeight="1">
      <c r="A765" s="14" t="s">
        <v>174</v>
      </c>
      <c r="B765" s="14" t="s">
        <v>1810</v>
      </c>
      <c r="C765" s="14" t="s">
        <v>1811</v>
      </c>
      <c r="D765" s="14" t="s">
        <v>188</v>
      </c>
      <c r="E765" s="14" t="s">
        <v>123</v>
      </c>
      <c r="F765" s="14">
        <v>762.0</v>
      </c>
      <c r="G765" s="14" t="s">
        <v>537</v>
      </c>
      <c r="H765" s="14" t="s">
        <v>528</v>
      </c>
      <c r="I765" s="14">
        <v>0.0</v>
      </c>
      <c r="J765" s="14">
        <v>0.0</v>
      </c>
    </row>
    <row r="766" ht="15.75" customHeight="1">
      <c r="A766" s="14" t="s">
        <v>174</v>
      </c>
      <c r="B766" s="14" t="s">
        <v>1812</v>
      </c>
      <c r="C766" s="14" t="s">
        <v>1813</v>
      </c>
      <c r="D766" s="14" t="s">
        <v>314</v>
      </c>
      <c r="E766" s="14" t="s">
        <v>115</v>
      </c>
      <c r="F766" s="14">
        <v>763.0</v>
      </c>
      <c r="G766" s="14" t="s">
        <v>537</v>
      </c>
      <c r="H766" s="14" t="s">
        <v>528</v>
      </c>
      <c r="I766" s="14">
        <v>0.0</v>
      </c>
      <c r="J766" s="14">
        <v>0.0</v>
      </c>
    </row>
    <row r="767" ht="15.75" customHeight="1">
      <c r="A767" s="14" t="s">
        <v>174</v>
      </c>
      <c r="B767" s="14" t="s">
        <v>1814</v>
      </c>
      <c r="C767" s="14" t="s">
        <v>1815</v>
      </c>
      <c r="D767" s="14" t="s">
        <v>180</v>
      </c>
      <c r="E767" s="14" t="s">
        <v>118</v>
      </c>
      <c r="F767" s="14">
        <v>764.0</v>
      </c>
      <c r="G767" s="14" t="s">
        <v>537</v>
      </c>
      <c r="H767" s="14" t="s">
        <v>514</v>
      </c>
      <c r="I767" s="14">
        <v>0.0</v>
      </c>
      <c r="J767" s="14">
        <v>0.0</v>
      </c>
    </row>
    <row r="768" ht="15.75" customHeight="1">
      <c r="A768" s="14" t="s">
        <v>174</v>
      </c>
      <c r="B768" s="14" t="s">
        <v>1816</v>
      </c>
      <c r="C768" s="14" t="s">
        <v>1817</v>
      </c>
      <c r="D768" s="14" t="s">
        <v>327</v>
      </c>
      <c r="E768" s="14" t="s">
        <v>123</v>
      </c>
      <c r="F768" s="14">
        <v>765.0</v>
      </c>
      <c r="G768" s="14" t="s">
        <v>537</v>
      </c>
      <c r="H768" s="14" t="s">
        <v>518</v>
      </c>
      <c r="I768" s="14">
        <v>0.0</v>
      </c>
      <c r="J768" s="14">
        <v>0.0</v>
      </c>
    </row>
    <row r="769" ht="15.75" customHeight="1">
      <c r="A769" s="14" t="s">
        <v>174</v>
      </c>
      <c r="B769" s="14" t="s">
        <v>1818</v>
      </c>
      <c r="C769" s="14" t="s">
        <v>1819</v>
      </c>
      <c r="D769" s="14" t="s">
        <v>177</v>
      </c>
      <c r="E769" s="14" t="s">
        <v>123</v>
      </c>
      <c r="F769" s="14">
        <v>766.0</v>
      </c>
      <c r="G769" s="14" t="s">
        <v>537</v>
      </c>
      <c r="H769" s="14" t="s">
        <v>518</v>
      </c>
      <c r="I769" s="14">
        <v>0.0</v>
      </c>
      <c r="J769" s="14">
        <v>0.0</v>
      </c>
    </row>
    <row r="770" ht="15.75" customHeight="1">
      <c r="A770" s="14" t="s">
        <v>174</v>
      </c>
      <c r="B770" s="14" t="s">
        <v>1820</v>
      </c>
      <c r="C770" s="14" t="s">
        <v>1821</v>
      </c>
      <c r="D770" s="14" t="s">
        <v>180</v>
      </c>
      <c r="E770" s="14" t="s">
        <v>121</v>
      </c>
      <c r="F770" s="14">
        <v>767.0</v>
      </c>
      <c r="G770" s="14" t="s">
        <v>537</v>
      </c>
      <c r="H770" s="14" t="s">
        <v>514</v>
      </c>
      <c r="I770" s="14">
        <v>0.0</v>
      </c>
      <c r="J770" s="14">
        <v>0.0</v>
      </c>
    </row>
    <row r="771" ht="15.75" customHeight="1">
      <c r="A771" s="14" t="s">
        <v>174</v>
      </c>
      <c r="B771" s="14" t="s">
        <v>1822</v>
      </c>
      <c r="C771" s="14" t="s">
        <v>1823</v>
      </c>
      <c r="D771" s="14" t="s">
        <v>199</v>
      </c>
      <c r="E771" s="14" t="s">
        <v>115</v>
      </c>
      <c r="F771" s="14">
        <v>768.0</v>
      </c>
      <c r="G771" s="14" t="s">
        <v>537</v>
      </c>
      <c r="H771" s="14" t="s">
        <v>514</v>
      </c>
      <c r="I771" s="14">
        <v>0.0</v>
      </c>
      <c r="J771" s="14">
        <v>0.0</v>
      </c>
    </row>
    <row r="772" ht="15.75" customHeight="1">
      <c r="A772" s="14" t="s">
        <v>174</v>
      </c>
      <c r="B772" s="14" t="s">
        <v>1824</v>
      </c>
      <c r="C772" s="14" t="s">
        <v>1825</v>
      </c>
      <c r="D772" s="14" t="s">
        <v>566</v>
      </c>
      <c r="E772" s="14" t="s">
        <v>123</v>
      </c>
      <c r="F772" s="14">
        <v>769.0</v>
      </c>
      <c r="G772" s="14" t="s">
        <v>537</v>
      </c>
      <c r="H772" s="14" t="s">
        <v>562</v>
      </c>
      <c r="I772" s="14">
        <v>0.0</v>
      </c>
      <c r="J772" s="14">
        <v>0.0</v>
      </c>
    </row>
    <row r="773" ht="15.75" customHeight="1">
      <c r="A773" s="14" t="s">
        <v>174</v>
      </c>
      <c r="B773" s="14" t="s">
        <v>1826</v>
      </c>
      <c r="C773" s="14" t="s">
        <v>1827</v>
      </c>
      <c r="D773" s="14" t="s">
        <v>185</v>
      </c>
      <c r="E773" s="14" t="s">
        <v>123</v>
      </c>
      <c r="F773" s="14">
        <v>770.0</v>
      </c>
      <c r="G773" s="14" t="s">
        <v>537</v>
      </c>
      <c r="H773" s="14" t="s">
        <v>512</v>
      </c>
      <c r="I773" s="14">
        <v>0.0</v>
      </c>
      <c r="J773" s="14">
        <v>0.0</v>
      </c>
    </row>
    <row r="774" ht="15.75" customHeight="1">
      <c r="A774" s="14" t="s">
        <v>174</v>
      </c>
      <c r="B774" s="14" t="s">
        <v>1828</v>
      </c>
      <c r="C774" s="14" t="s">
        <v>1829</v>
      </c>
      <c r="D774" s="14" t="s">
        <v>314</v>
      </c>
      <c r="E774" s="14" t="s">
        <v>123</v>
      </c>
      <c r="F774" s="14">
        <v>771.0</v>
      </c>
      <c r="G774" s="14" t="s">
        <v>537</v>
      </c>
      <c r="H774" s="14" t="s">
        <v>528</v>
      </c>
      <c r="I774" s="14">
        <v>0.0</v>
      </c>
      <c r="J774" s="14">
        <v>0.0</v>
      </c>
    </row>
    <row r="775" ht="15.75" customHeight="1">
      <c r="A775" s="14" t="s">
        <v>174</v>
      </c>
      <c r="B775" s="14" t="s">
        <v>1830</v>
      </c>
      <c r="C775" s="14" t="s">
        <v>1831</v>
      </c>
      <c r="D775" s="14" t="s">
        <v>387</v>
      </c>
      <c r="E775" s="14" t="s">
        <v>121</v>
      </c>
      <c r="F775" s="14">
        <v>772.0</v>
      </c>
      <c r="G775" s="14" t="s">
        <v>537</v>
      </c>
      <c r="H775" s="14" t="s">
        <v>562</v>
      </c>
      <c r="I775" s="14">
        <v>0.0</v>
      </c>
      <c r="J775" s="14">
        <v>0.0</v>
      </c>
    </row>
    <row r="776" ht="15.75" customHeight="1">
      <c r="A776" s="14" t="s">
        <v>174</v>
      </c>
      <c r="B776" s="14" t="s">
        <v>1832</v>
      </c>
      <c r="C776" s="14" t="s">
        <v>1833</v>
      </c>
      <c r="D776" s="14" t="s">
        <v>387</v>
      </c>
      <c r="E776" s="14" t="s">
        <v>118</v>
      </c>
      <c r="F776" s="14">
        <v>773.0</v>
      </c>
      <c r="G776" s="14" t="s">
        <v>537</v>
      </c>
      <c r="H776" s="14" t="s">
        <v>562</v>
      </c>
      <c r="I776" s="14">
        <v>0.0</v>
      </c>
      <c r="J776" s="14">
        <v>0.0</v>
      </c>
    </row>
    <row r="777" ht="15.75" customHeight="1">
      <c r="A777" s="14" t="s">
        <v>174</v>
      </c>
      <c r="B777" s="14" t="s">
        <v>1834</v>
      </c>
      <c r="C777" s="14" t="s">
        <v>1835</v>
      </c>
      <c r="D777" s="14" t="s">
        <v>257</v>
      </c>
      <c r="E777" s="14" t="s">
        <v>121</v>
      </c>
      <c r="F777" s="14">
        <v>774.0</v>
      </c>
      <c r="G777" s="14" t="s">
        <v>537</v>
      </c>
      <c r="H777" s="14" t="s">
        <v>531</v>
      </c>
      <c r="I777" s="14">
        <v>0.0</v>
      </c>
      <c r="J777" s="14">
        <v>0.0</v>
      </c>
    </row>
    <row r="778" ht="15.75" customHeight="1">
      <c r="A778" s="14" t="s">
        <v>174</v>
      </c>
      <c r="B778" s="14" t="s">
        <v>1836</v>
      </c>
      <c r="C778" s="14" t="s">
        <v>1837</v>
      </c>
      <c r="D778" s="14" t="s">
        <v>243</v>
      </c>
      <c r="E778" s="14" t="s">
        <v>121</v>
      </c>
      <c r="F778" s="14">
        <v>775.0</v>
      </c>
      <c r="G778" s="14" t="s">
        <v>537</v>
      </c>
      <c r="H778" s="14" t="s">
        <v>531</v>
      </c>
      <c r="I778" s="14">
        <v>0.0</v>
      </c>
      <c r="J778" s="14">
        <v>0.0</v>
      </c>
    </row>
    <row r="779" ht="15.75" customHeight="1">
      <c r="A779" s="14" t="s">
        <v>174</v>
      </c>
      <c r="B779" s="14" t="s">
        <v>1838</v>
      </c>
      <c r="C779" s="14" t="s">
        <v>1839</v>
      </c>
      <c r="D779" s="14" t="s">
        <v>185</v>
      </c>
      <c r="E779" s="14" t="s">
        <v>115</v>
      </c>
      <c r="F779" s="14">
        <v>776.0</v>
      </c>
      <c r="G779" s="14" t="s">
        <v>537</v>
      </c>
      <c r="H779" s="14" t="s">
        <v>512</v>
      </c>
      <c r="I779" s="14">
        <v>0.0</v>
      </c>
      <c r="J779" s="14">
        <v>0.0</v>
      </c>
    </row>
    <row r="780" ht="15.75" customHeight="1">
      <c r="A780" s="14" t="s">
        <v>174</v>
      </c>
      <c r="B780" s="14" t="s">
        <v>1840</v>
      </c>
      <c r="C780" s="14" t="s">
        <v>1841</v>
      </c>
      <c r="D780" s="14" t="s">
        <v>257</v>
      </c>
      <c r="E780" s="14" t="s">
        <v>121</v>
      </c>
      <c r="F780" s="14">
        <v>777.0</v>
      </c>
      <c r="G780" s="14" t="s">
        <v>537</v>
      </c>
      <c r="H780" s="14" t="s">
        <v>531</v>
      </c>
      <c r="I780" s="14">
        <v>0.0</v>
      </c>
      <c r="J780" s="14">
        <v>0.0</v>
      </c>
    </row>
    <row r="781" ht="15.75" customHeight="1">
      <c r="A781" s="14" t="s">
        <v>174</v>
      </c>
      <c r="B781" s="14" t="s">
        <v>1842</v>
      </c>
      <c r="C781" s="14" t="s">
        <v>1843</v>
      </c>
      <c r="D781" s="14" t="s">
        <v>215</v>
      </c>
      <c r="E781" s="14" t="s">
        <v>121</v>
      </c>
      <c r="F781" s="14">
        <v>778.0</v>
      </c>
      <c r="G781" s="14" t="s">
        <v>537</v>
      </c>
      <c r="H781" s="14" t="s">
        <v>523</v>
      </c>
      <c r="I781" s="14">
        <v>0.0</v>
      </c>
      <c r="J781" s="14">
        <v>0.0</v>
      </c>
    </row>
    <row r="782" ht="15.75" customHeight="1">
      <c r="A782" s="14" t="s">
        <v>174</v>
      </c>
      <c r="B782" s="14" t="s">
        <v>1844</v>
      </c>
      <c r="C782" s="14" t="s">
        <v>1845</v>
      </c>
      <c r="D782" s="14" t="s">
        <v>231</v>
      </c>
      <c r="E782" s="14" t="s">
        <v>123</v>
      </c>
      <c r="F782" s="14">
        <v>779.0</v>
      </c>
      <c r="G782" s="14" t="s">
        <v>537</v>
      </c>
      <c r="H782" s="14" t="s">
        <v>512</v>
      </c>
      <c r="I782" s="14">
        <v>0.0</v>
      </c>
      <c r="J782" s="14">
        <v>0.0</v>
      </c>
    </row>
    <row r="783" ht="15.75" customHeight="1">
      <c r="A783" s="14" t="s">
        <v>174</v>
      </c>
      <c r="B783" s="14" t="s">
        <v>1846</v>
      </c>
      <c r="C783" s="14" t="s">
        <v>1847</v>
      </c>
      <c r="D783" s="14" t="s">
        <v>327</v>
      </c>
      <c r="E783" s="14" t="s">
        <v>121</v>
      </c>
      <c r="F783" s="14">
        <v>780.0</v>
      </c>
      <c r="G783" s="14" t="s">
        <v>537</v>
      </c>
      <c r="H783" s="14" t="s">
        <v>518</v>
      </c>
      <c r="I783" s="14">
        <v>0.0</v>
      </c>
      <c r="J783" s="14">
        <v>0.0</v>
      </c>
    </row>
    <row r="784" ht="15.75" customHeight="1">
      <c r="A784" s="14" t="s">
        <v>174</v>
      </c>
      <c r="B784" s="14" t="s">
        <v>1848</v>
      </c>
      <c r="C784" s="14" t="s">
        <v>1849</v>
      </c>
      <c r="D784" s="14" t="s">
        <v>221</v>
      </c>
      <c r="E784" s="14" t="s">
        <v>121</v>
      </c>
      <c r="F784" s="14">
        <v>781.0</v>
      </c>
      <c r="G784" s="14" t="s">
        <v>537</v>
      </c>
      <c r="H784" s="14" t="s">
        <v>520</v>
      </c>
      <c r="I784" s="14">
        <v>0.0</v>
      </c>
      <c r="J784" s="14">
        <v>0.0</v>
      </c>
    </row>
    <row r="785" ht="15.75" customHeight="1">
      <c r="A785" s="14" t="s">
        <v>174</v>
      </c>
      <c r="B785" s="14" t="s">
        <v>1850</v>
      </c>
      <c r="C785" s="14" t="s">
        <v>1851</v>
      </c>
      <c r="D785" s="14" t="s">
        <v>191</v>
      </c>
      <c r="E785" s="14" t="s">
        <v>123</v>
      </c>
      <c r="F785" s="14">
        <v>782.0</v>
      </c>
      <c r="G785" s="14" t="s">
        <v>537</v>
      </c>
      <c r="H785" s="14" t="s">
        <v>520</v>
      </c>
      <c r="I785" s="14">
        <v>0.0</v>
      </c>
      <c r="J785" s="14">
        <v>0.0</v>
      </c>
    </row>
    <row r="786" ht="15.75" customHeight="1">
      <c r="A786" s="14" t="s">
        <v>174</v>
      </c>
      <c r="B786" s="14" t="s">
        <v>1852</v>
      </c>
      <c r="C786" s="14" t="s">
        <v>1853</v>
      </c>
      <c r="D786" s="14" t="s">
        <v>215</v>
      </c>
      <c r="E786" s="14" t="s">
        <v>118</v>
      </c>
      <c r="F786" s="14">
        <v>783.0</v>
      </c>
      <c r="G786" s="14" t="s">
        <v>537</v>
      </c>
      <c r="H786" s="14" t="s">
        <v>523</v>
      </c>
      <c r="I786" s="14">
        <v>0.0</v>
      </c>
      <c r="J786" s="14">
        <v>0.0</v>
      </c>
    </row>
    <row r="787" ht="15.75" customHeight="1">
      <c r="A787" s="14" t="s">
        <v>174</v>
      </c>
      <c r="B787" s="14" t="s">
        <v>1854</v>
      </c>
      <c r="C787" s="14" t="s">
        <v>1855</v>
      </c>
      <c r="D787" s="14" t="s">
        <v>226</v>
      </c>
      <c r="E787" s="14" t="s">
        <v>123</v>
      </c>
      <c r="F787" s="14">
        <v>784.0</v>
      </c>
      <c r="G787" s="14" t="s">
        <v>537</v>
      </c>
      <c r="H787" s="14" t="s">
        <v>539</v>
      </c>
      <c r="I787" s="14">
        <v>0.0</v>
      </c>
      <c r="J787" s="14">
        <v>0.0</v>
      </c>
    </row>
    <row r="788" ht="15.75" customHeight="1">
      <c r="A788" s="14" t="s">
        <v>174</v>
      </c>
      <c r="B788" s="14" t="s">
        <v>1856</v>
      </c>
      <c r="C788" s="14" t="s">
        <v>1857</v>
      </c>
      <c r="D788" s="14" t="s">
        <v>314</v>
      </c>
      <c r="E788" s="14" t="s">
        <v>115</v>
      </c>
      <c r="F788" s="14">
        <v>785.0</v>
      </c>
      <c r="G788" s="14" t="s">
        <v>537</v>
      </c>
      <c r="H788" s="14" t="s">
        <v>528</v>
      </c>
      <c r="I788" s="14">
        <v>0.0</v>
      </c>
      <c r="J788" s="14">
        <v>0.0</v>
      </c>
    </row>
    <row r="789" ht="15.75" customHeight="1">
      <c r="A789" s="14" t="s">
        <v>174</v>
      </c>
      <c r="B789" s="14" t="s">
        <v>1858</v>
      </c>
      <c r="C789" s="14" t="s">
        <v>1859</v>
      </c>
      <c r="D789" s="14" t="s">
        <v>199</v>
      </c>
      <c r="E789" s="14" t="s">
        <v>118</v>
      </c>
      <c r="F789" s="14">
        <v>786.0</v>
      </c>
      <c r="G789" s="14" t="s">
        <v>537</v>
      </c>
      <c r="H789" s="14" t="s">
        <v>514</v>
      </c>
      <c r="I789" s="14">
        <v>0.0</v>
      </c>
      <c r="J789" s="14">
        <v>0.0</v>
      </c>
    </row>
    <row r="790" ht="15.75" customHeight="1">
      <c r="A790" s="14" t="s">
        <v>174</v>
      </c>
      <c r="B790" s="14" t="s">
        <v>1860</v>
      </c>
      <c r="C790" s="14" t="s">
        <v>1861</v>
      </c>
      <c r="D790" s="14" t="s">
        <v>285</v>
      </c>
      <c r="E790" s="14" t="s">
        <v>115</v>
      </c>
      <c r="F790" s="14">
        <v>787.0</v>
      </c>
      <c r="G790" s="14" t="s">
        <v>537</v>
      </c>
      <c r="H790" s="14" t="s">
        <v>522</v>
      </c>
      <c r="I790" s="14">
        <v>0.0</v>
      </c>
      <c r="J790" s="14">
        <v>0.0</v>
      </c>
    </row>
    <row r="791" ht="15.75" customHeight="1">
      <c r="A791" s="14" t="s">
        <v>174</v>
      </c>
      <c r="B791" s="14" t="s">
        <v>1862</v>
      </c>
      <c r="C791" s="14" t="s">
        <v>1863</v>
      </c>
      <c r="D791" s="14" t="s">
        <v>327</v>
      </c>
      <c r="E791" s="14" t="s">
        <v>121</v>
      </c>
      <c r="F791" s="14">
        <v>788.0</v>
      </c>
      <c r="G791" s="14" t="s">
        <v>537</v>
      </c>
      <c r="H791" s="14" t="s">
        <v>518</v>
      </c>
      <c r="I791" s="14">
        <v>0.0</v>
      </c>
      <c r="J791" s="14">
        <v>0.0</v>
      </c>
    </row>
    <row r="792" ht="15.75" customHeight="1">
      <c r="A792" s="14" t="s">
        <v>174</v>
      </c>
      <c r="B792" s="14" t="s">
        <v>1864</v>
      </c>
      <c r="C792" s="14" t="s">
        <v>1865</v>
      </c>
      <c r="D792" s="14" t="s">
        <v>314</v>
      </c>
      <c r="E792" s="14" t="s">
        <v>118</v>
      </c>
      <c r="F792" s="14">
        <v>789.0</v>
      </c>
      <c r="G792" s="14" t="s">
        <v>537</v>
      </c>
      <c r="H792" s="14" t="s">
        <v>528</v>
      </c>
      <c r="I792" s="14">
        <v>0.0</v>
      </c>
      <c r="J792" s="14">
        <v>0.0</v>
      </c>
    </row>
    <row r="793" ht="15.75" customHeight="1">
      <c r="A793" s="14" t="s">
        <v>174</v>
      </c>
      <c r="B793" s="14" t="s">
        <v>1866</v>
      </c>
      <c r="C793" s="14" t="s">
        <v>1867</v>
      </c>
      <c r="D793" s="14" t="s">
        <v>188</v>
      </c>
      <c r="E793" s="14" t="s">
        <v>115</v>
      </c>
      <c r="F793" s="14">
        <v>790.0</v>
      </c>
      <c r="G793" s="14" t="s">
        <v>537</v>
      </c>
      <c r="H793" s="14" t="s">
        <v>528</v>
      </c>
      <c r="I793" s="14">
        <v>0.0</v>
      </c>
      <c r="J793" s="14">
        <v>0.0</v>
      </c>
    </row>
    <row r="794" ht="15.75" customHeight="1">
      <c r="A794" s="14" t="s">
        <v>174</v>
      </c>
      <c r="B794" s="14" t="s">
        <v>1868</v>
      </c>
      <c r="C794" s="14" t="s">
        <v>1869</v>
      </c>
      <c r="D794" s="14" t="s">
        <v>180</v>
      </c>
      <c r="E794" s="14" t="s">
        <v>121</v>
      </c>
      <c r="F794" s="14">
        <v>791.0</v>
      </c>
      <c r="G794" s="14" t="s">
        <v>537</v>
      </c>
      <c r="H794" s="14" t="s">
        <v>514</v>
      </c>
      <c r="I794" s="14">
        <v>0.0</v>
      </c>
      <c r="J794" s="14">
        <v>0.0</v>
      </c>
    </row>
    <row r="795" ht="15.75" customHeight="1">
      <c r="A795" s="14" t="s">
        <v>174</v>
      </c>
      <c r="B795" s="14" t="s">
        <v>1870</v>
      </c>
      <c r="C795" s="14" t="s">
        <v>1871</v>
      </c>
      <c r="D795" s="14" t="s">
        <v>177</v>
      </c>
      <c r="E795" s="14" t="s">
        <v>121</v>
      </c>
      <c r="F795" s="14">
        <v>792.0</v>
      </c>
      <c r="G795" s="14" t="s">
        <v>537</v>
      </c>
      <c r="H795" s="14" t="s">
        <v>518</v>
      </c>
      <c r="I795" s="14">
        <v>0.0</v>
      </c>
      <c r="J795" s="14">
        <v>0.0</v>
      </c>
    </row>
    <row r="796" ht="15.75" customHeight="1">
      <c r="A796" s="14" t="s">
        <v>174</v>
      </c>
      <c r="B796" s="14" t="s">
        <v>1872</v>
      </c>
      <c r="C796" s="14" t="s">
        <v>1873</v>
      </c>
      <c r="D796" s="14" t="s">
        <v>566</v>
      </c>
      <c r="E796" s="14" t="s">
        <v>658</v>
      </c>
      <c r="F796" s="14">
        <v>793.0</v>
      </c>
      <c r="G796" s="14" t="s">
        <v>537</v>
      </c>
      <c r="H796" s="14" t="s">
        <v>562</v>
      </c>
      <c r="I796" s="14">
        <v>0.0</v>
      </c>
      <c r="J796" s="14">
        <v>0.0</v>
      </c>
    </row>
    <row r="797" ht="15.75" customHeight="1">
      <c r="A797" s="14" t="s">
        <v>174</v>
      </c>
      <c r="B797" s="14" t="s">
        <v>1874</v>
      </c>
      <c r="C797" s="14" t="s">
        <v>1875</v>
      </c>
      <c r="D797" s="14" t="s">
        <v>177</v>
      </c>
      <c r="E797" s="14" t="s">
        <v>118</v>
      </c>
      <c r="F797" s="14">
        <v>794.0</v>
      </c>
      <c r="G797" s="14" t="s">
        <v>537</v>
      </c>
      <c r="H797" s="14" t="s">
        <v>518</v>
      </c>
      <c r="I797" s="14">
        <v>0.0</v>
      </c>
      <c r="J797" s="14">
        <v>0.0</v>
      </c>
    </row>
    <row r="798" ht="15.75" customHeight="1">
      <c r="A798" s="14" t="s">
        <v>174</v>
      </c>
      <c r="B798" s="14" t="s">
        <v>1876</v>
      </c>
      <c r="C798" s="14" t="s">
        <v>1877</v>
      </c>
      <c r="D798" s="14" t="s">
        <v>387</v>
      </c>
      <c r="E798" s="14" t="s">
        <v>118</v>
      </c>
      <c r="F798" s="14">
        <v>795.0</v>
      </c>
      <c r="G798" s="14" t="s">
        <v>537</v>
      </c>
      <c r="H798" s="14" t="s">
        <v>562</v>
      </c>
      <c r="I798" s="14">
        <v>0.0</v>
      </c>
      <c r="J798" s="14">
        <v>0.0</v>
      </c>
    </row>
    <row r="799" ht="15.75" customHeight="1">
      <c r="A799" s="14" t="s">
        <v>174</v>
      </c>
      <c r="B799" s="14" t="s">
        <v>1878</v>
      </c>
      <c r="C799" s="14" t="s">
        <v>1879</v>
      </c>
      <c r="D799" s="14" t="s">
        <v>191</v>
      </c>
      <c r="E799" s="14" t="s">
        <v>115</v>
      </c>
      <c r="F799" s="14">
        <v>796.0</v>
      </c>
      <c r="G799" s="14" t="s">
        <v>537</v>
      </c>
      <c r="H799" s="14" t="s">
        <v>520</v>
      </c>
      <c r="I799" s="14">
        <v>0.0</v>
      </c>
      <c r="J799" s="14">
        <v>0.0</v>
      </c>
    </row>
    <row r="800" ht="15.75" customHeight="1">
      <c r="A800" s="14" t="s">
        <v>174</v>
      </c>
      <c r="B800" s="14" t="s">
        <v>1880</v>
      </c>
      <c r="C800" s="14" t="s">
        <v>1881</v>
      </c>
      <c r="D800" s="14" t="s">
        <v>566</v>
      </c>
      <c r="E800" s="14" t="s">
        <v>123</v>
      </c>
      <c r="F800" s="14">
        <v>797.0</v>
      </c>
      <c r="G800" s="14" t="s">
        <v>537</v>
      </c>
      <c r="H800" s="14" t="s">
        <v>562</v>
      </c>
      <c r="I800" s="14">
        <v>0.0</v>
      </c>
      <c r="J800" s="14">
        <v>0.0</v>
      </c>
    </row>
    <row r="801" ht="15.75" customHeight="1">
      <c r="A801" s="14" t="s">
        <v>174</v>
      </c>
      <c r="B801" s="14" t="s">
        <v>1882</v>
      </c>
      <c r="C801" s="14" t="s">
        <v>1883</v>
      </c>
      <c r="D801" s="14" t="s">
        <v>314</v>
      </c>
      <c r="E801" s="14" t="s">
        <v>123</v>
      </c>
      <c r="F801" s="14">
        <v>798.0</v>
      </c>
      <c r="G801" s="14" t="s">
        <v>537</v>
      </c>
      <c r="H801" s="14" t="s">
        <v>528</v>
      </c>
      <c r="I801" s="14">
        <v>0.0</v>
      </c>
      <c r="J801" s="14">
        <v>0.0</v>
      </c>
    </row>
    <row r="802" ht="15.75" customHeight="1">
      <c r="A802" s="14" t="s">
        <v>174</v>
      </c>
      <c r="B802" s="14" t="s">
        <v>1884</v>
      </c>
      <c r="C802" s="14" t="s">
        <v>1885</v>
      </c>
      <c r="D802" s="14" t="s">
        <v>199</v>
      </c>
      <c r="E802" s="14" t="s">
        <v>115</v>
      </c>
      <c r="F802" s="14">
        <v>799.0</v>
      </c>
      <c r="G802" s="14" t="s">
        <v>537</v>
      </c>
      <c r="H802" s="14" t="s">
        <v>514</v>
      </c>
      <c r="I802" s="14">
        <v>0.0</v>
      </c>
      <c r="J802" s="14">
        <v>0.0</v>
      </c>
    </row>
    <row r="803" ht="15.75" customHeight="1">
      <c r="A803" s="14" t="s">
        <v>174</v>
      </c>
      <c r="B803" s="14" t="s">
        <v>1886</v>
      </c>
      <c r="C803" s="14" t="s">
        <v>1887</v>
      </c>
      <c r="D803" s="14" t="s">
        <v>177</v>
      </c>
      <c r="E803" s="14" t="s">
        <v>115</v>
      </c>
      <c r="F803" s="14">
        <v>800.0</v>
      </c>
      <c r="G803" s="14" t="s">
        <v>537</v>
      </c>
      <c r="H803" s="14" t="s">
        <v>518</v>
      </c>
      <c r="I803" s="14">
        <v>0.0</v>
      </c>
      <c r="J803" s="14">
        <v>0.0</v>
      </c>
    </row>
    <row r="804" ht="15.75" customHeight="1">
      <c r="A804" s="14" t="s">
        <v>174</v>
      </c>
      <c r="B804" s="14" t="s">
        <v>1888</v>
      </c>
      <c r="C804" s="14" t="s">
        <v>1889</v>
      </c>
      <c r="D804" s="14" t="s">
        <v>221</v>
      </c>
      <c r="E804" s="14" t="s">
        <v>658</v>
      </c>
      <c r="F804" s="14">
        <v>801.0</v>
      </c>
      <c r="G804" s="14" t="s">
        <v>537</v>
      </c>
      <c r="H804" s="14" t="s">
        <v>520</v>
      </c>
      <c r="I804" s="14">
        <v>0.0</v>
      </c>
      <c r="J804" s="14">
        <v>0.0</v>
      </c>
    </row>
    <row r="805" ht="15.75" customHeight="1">
      <c r="A805" s="14" t="s">
        <v>174</v>
      </c>
      <c r="B805" s="14" t="s">
        <v>1890</v>
      </c>
      <c r="C805" s="14" t="s">
        <v>1891</v>
      </c>
      <c r="D805" s="14" t="s">
        <v>257</v>
      </c>
      <c r="E805" s="14" t="s">
        <v>123</v>
      </c>
      <c r="F805" s="14">
        <v>802.0</v>
      </c>
      <c r="G805" s="14" t="s">
        <v>537</v>
      </c>
      <c r="H805" s="14" t="s">
        <v>531</v>
      </c>
      <c r="I805" s="14">
        <v>0.0</v>
      </c>
      <c r="J805" s="14">
        <v>0.0</v>
      </c>
    </row>
    <row r="806" ht="15.75" customHeight="1">
      <c r="A806" s="14" t="s">
        <v>174</v>
      </c>
      <c r="B806" s="14" t="s">
        <v>1892</v>
      </c>
      <c r="C806" s="14" t="s">
        <v>1893</v>
      </c>
      <c r="D806" s="14" t="s">
        <v>453</v>
      </c>
      <c r="E806" s="14" t="s">
        <v>123</v>
      </c>
      <c r="F806" s="14">
        <v>803.0</v>
      </c>
      <c r="G806" s="14" t="s">
        <v>537</v>
      </c>
      <c r="H806" s="14" t="s">
        <v>523</v>
      </c>
      <c r="I806" s="14">
        <v>0.0</v>
      </c>
      <c r="J806" s="14">
        <v>0.0</v>
      </c>
    </row>
    <row r="807" ht="15.75" customHeight="1">
      <c r="A807" s="14" t="s">
        <v>174</v>
      </c>
      <c r="B807" s="14" t="s">
        <v>1894</v>
      </c>
      <c r="C807" s="14" t="s">
        <v>1895</v>
      </c>
      <c r="D807" s="14" t="s">
        <v>231</v>
      </c>
      <c r="E807" s="14" t="s">
        <v>115</v>
      </c>
      <c r="F807" s="14">
        <v>804.0</v>
      </c>
      <c r="G807" s="14" t="s">
        <v>537</v>
      </c>
      <c r="H807" s="14" t="s">
        <v>512</v>
      </c>
      <c r="I807" s="14">
        <v>0.0</v>
      </c>
      <c r="J807" s="14">
        <v>0.0</v>
      </c>
    </row>
    <row r="808" ht="15.75" customHeight="1">
      <c r="A808" s="14" t="s">
        <v>174</v>
      </c>
      <c r="B808" s="14" t="s">
        <v>1896</v>
      </c>
      <c r="C808" s="14" t="s">
        <v>1897</v>
      </c>
      <c r="D808" s="14" t="s">
        <v>177</v>
      </c>
      <c r="E808" s="14" t="s">
        <v>118</v>
      </c>
      <c r="F808" s="14">
        <v>805.0</v>
      </c>
      <c r="G808" s="14" t="s">
        <v>537</v>
      </c>
      <c r="H808" s="14" t="s">
        <v>518</v>
      </c>
      <c r="I808" s="14">
        <v>0.0</v>
      </c>
      <c r="J808" s="14">
        <v>0.0</v>
      </c>
    </row>
    <row r="809" ht="15.75" customHeight="1">
      <c r="A809" s="14" t="s">
        <v>174</v>
      </c>
      <c r="B809" s="14" t="s">
        <v>1898</v>
      </c>
      <c r="C809" s="14" t="s">
        <v>1899</v>
      </c>
      <c r="D809" s="14" t="s">
        <v>566</v>
      </c>
      <c r="E809" s="14" t="s">
        <v>121</v>
      </c>
      <c r="F809" s="14">
        <v>806.0</v>
      </c>
      <c r="G809" s="14" t="s">
        <v>537</v>
      </c>
      <c r="H809" s="14" t="s">
        <v>562</v>
      </c>
      <c r="I809" s="14">
        <v>0.0</v>
      </c>
      <c r="J809" s="14">
        <v>0.0</v>
      </c>
    </row>
    <row r="810" ht="15.75" customHeight="1">
      <c r="A810" s="14" t="s">
        <v>174</v>
      </c>
      <c r="B810" s="14" t="s">
        <v>1900</v>
      </c>
      <c r="C810" s="14" t="s">
        <v>1901</v>
      </c>
      <c r="D810" s="14" t="s">
        <v>191</v>
      </c>
      <c r="E810" s="14" t="s">
        <v>115</v>
      </c>
      <c r="F810" s="14">
        <v>807.0</v>
      </c>
      <c r="G810" s="14" t="s">
        <v>537</v>
      </c>
      <c r="H810" s="14" t="s">
        <v>520</v>
      </c>
      <c r="I810" s="14">
        <v>0.0</v>
      </c>
      <c r="J810" s="14">
        <v>0.0</v>
      </c>
    </row>
    <row r="811" ht="15.75" customHeight="1">
      <c r="A811" s="14" t="s">
        <v>174</v>
      </c>
      <c r="B811" s="14" t="s">
        <v>1902</v>
      </c>
      <c r="C811" s="14" t="s">
        <v>1903</v>
      </c>
      <c r="D811" s="14" t="s">
        <v>387</v>
      </c>
      <c r="E811" s="14" t="s">
        <v>121</v>
      </c>
      <c r="F811" s="14">
        <v>808.0</v>
      </c>
      <c r="G811" s="14" t="s">
        <v>537</v>
      </c>
      <c r="H811" s="14" t="s">
        <v>562</v>
      </c>
      <c r="I811" s="14">
        <v>0.0</v>
      </c>
      <c r="J811" s="14">
        <v>0.0</v>
      </c>
    </row>
    <row r="812" ht="15.75" customHeight="1">
      <c r="A812" s="14" t="s">
        <v>174</v>
      </c>
      <c r="B812" s="14" t="s">
        <v>1904</v>
      </c>
      <c r="C812" s="14" t="s">
        <v>1905</v>
      </c>
      <c r="D812" s="14" t="s">
        <v>285</v>
      </c>
      <c r="E812" s="14" t="s">
        <v>123</v>
      </c>
      <c r="F812" s="14">
        <v>809.0</v>
      </c>
      <c r="G812" s="14" t="s">
        <v>537</v>
      </c>
      <c r="H812" s="14" t="s">
        <v>522</v>
      </c>
      <c r="I812" s="14">
        <v>0.0</v>
      </c>
      <c r="J812" s="14">
        <v>0.0</v>
      </c>
    </row>
    <row r="813" ht="15.75" customHeight="1">
      <c r="A813" s="14" t="s">
        <v>174</v>
      </c>
      <c r="B813" s="14" t="s">
        <v>1906</v>
      </c>
      <c r="C813" s="14" t="s">
        <v>1907</v>
      </c>
      <c r="D813" s="14" t="s">
        <v>236</v>
      </c>
      <c r="E813" s="14" t="s">
        <v>118</v>
      </c>
      <c r="F813" s="14">
        <v>810.0</v>
      </c>
      <c r="G813" s="14" t="s">
        <v>537</v>
      </c>
      <c r="H813" s="14" t="s">
        <v>522</v>
      </c>
      <c r="I813" s="14">
        <v>0.0</v>
      </c>
      <c r="J813" s="14">
        <v>0.0</v>
      </c>
    </row>
    <row r="814" ht="15.75" customHeight="1">
      <c r="A814" s="14" t="s">
        <v>174</v>
      </c>
      <c r="B814" s="14" t="s">
        <v>1908</v>
      </c>
      <c r="C814" s="14" t="s">
        <v>1909</v>
      </c>
      <c r="D814" s="14" t="s">
        <v>305</v>
      </c>
      <c r="E814" s="14" t="s">
        <v>121</v>
      </c>
      <c r="F814" s="14">
        <v>811.0</v>
      </c>
      <c r="G814" s="14" t="s">
        <v>537</v>
      </c>
      <c r="H814" s="14" t="s">
        <v>539</v>
      </c>
      <c r="I814" s="14">
        <v>0.0</v>
      </c>
      <c r="J814" s="14">
        <v>0.0</v>
      </c>
    </row>
    <row r="815" ht="15.75" customHeight="1">
      <c r="A815" s="14" t="s">
        <v>174</v>
      </c>
      <c r="B815" s="14" t="s">
        <v>1910</v>
      </c>
      <c r="C815" s="14" t="s">
        <v>1911</v>
      </c>
      <c r="D815" s="14" t="s">
        <v>566</v>
      </c>
      <c r="E815" s="14" t="s">
        <v>118</v>
      </c>
      <c r="F815" s="14">
        <v>812.0</v>
      </c>
      <c r="G815" s="14" t="s">
        <v>537</v>
      </c>
      <c r="H815" s="14" t="s">
        <v>562</v>
      </c>
      <c r="I815" s="14">
        <v>0.0</v>
      </c>
      <c r="J815" s="14">
        <v>0.0</v>
      </c>
    </row>
    <row r="816" ht="15.75" customHeight="1">
      <c r="A816" s="14" t="s">
        <v>174</v>
      </c>
      <c r="B816" s="14" t="s">
        <v>1912</v>
      </c>
      <c r="C816" s="14" t="s">
        <v>1913</v>
      </c>
      <c r="D816" s="14" t="s">
        <v>215</v>
      </c>
      <c r="E816" s="14" t="s">
        <v>118</v>
      </c>
      <c r="F816" s="14">
        <v>813.0</v>
      </c>
      <c r="G816" s="14" t="s">
        <v>537</v>
      </c>
      <c r="H816" s="14" t="s">
        <v>523</v>
      </c>
      <c r="I816" s="14">
        <v>0.0</v>
      </c>
      <c r="J816" s="14">
        <v>0.0</v>
      </c>
    </row>
    <row r="817" ht="15.75" customHeight="1">
      <c r="A817" s="14" t="s">
        <v>174</v>
      </c>
      <c r="B817" s="14" t="s">
        <v>1914</v>
      </c>
      <c r="C817" s="14" t="s">
        <v>1915</v>
      </c>
      <c r="D817" s="14" t="s">
        <v>221</v>
      </c>
      <c r="E817" s="14" t="s">
        <v>121</v>
      </c>
      <c r="F817" s="14">
        <v>814.0</v>
      </c>
      <c r="G817" s="14" t="s">
        <v>537</v>
      </c>
      <c r="H817" s="14" t="s">
        <v>520</v>
      </c>
      <c r="I817" s="14">
        <v>0.0</v>
      </c>
      <c r="J817" s="14">
        <v>0.0</v>
      </c>
    </row>
    <row r="818" ht="15.75" customHeight="1">
      <c r="A818" s="14" t="s">
        <v>174</v>
      </c>
      <c r="B818" s="14" t="s">
        <v>1916</v>
      </c>
      <c r="C818" s="14" t="s">
        <v>1917</v>
      </c>
      <c r="D818" s="14" t="s">
        <v>327</v>
      </c>
      <c r="E818" s="14" t="s">
        <v>118</v>
      </c>
      <c r="F818" s="14">
        <v>815.0</v>
      </c>
      <c r="G818" s="14" t="s">
        <v>537</v>
      </c>
      <c r="H818" s="14" t="s">
        <v>518</v>
      </c>
      <c r="I818" s="14">
        <v>0.0</v>
      </c>
      <c r="J818" s="14">
        <v>0.0</v>
      </c>
    </row>
    <row r="819" ht="15.75" customHeight="1">
      <c r="A819" s="14" t="s">
        <v>174</v>
      </c>
      <c r="B819" s="14" t="s">
        <v>1918</v>
      </c>
      <c r="C819" s="14" t="s">
        <v>1919</v>
      </c>
      <c r="D819" s="14" t="s">
        <v>191</v>
      </c>
      <c r="E819" s="14" t="s">
        <v>115</v>
      </c>
      <c r="F819" s="14">
        <v>816.0</v>
      </c>
      <c r="G819" s="14" t="s">
        <v>537</v>
      </c>
      <c r="H819" s="14" t="s">
        <v>520</v>
      </c>
      <c r="I819" s="14">
        <v>0.0</v>
      </c>
      <c r="J819" s="14">
        <v>0.0</v>
      </c>
    </row>
    <row r="820" ht="15.75" customHeight="1">
      <c r="A820" s="14" t="s">
        <v>174</v>
      </c>
      <c r="B820" s="14" t="s">
        <v>1920</v>
      </c>
      <c r="C820" s="14" t="s">
        <v>1921</v>
      </c>
      <c r="D820" s="14" t="s">
        <v>327</v>
      </c>
      <c r="E820" s="14" t="s">
        <v>115</v>
      </c>
      <c r="F820" s="14">
        <v>817.0</v>
      </c>
      <c r="G820" s="14" t="s">
        <v>537</v>
      </c>
      <c r="H820" s="14" t="s">
        <v>518</v>
      </c>
      <c r="I820" s="14">
        <v>0.0</v>
      </c>
      <c r="J820" s="14">
        <v>0.0</v>
      </c>
    </row>
    <row r="821" ht="15.75" customHeight="1">
      <c r="A821" s="14" t="s">
        <v>174</v>
      </c>
      <c r="B821" s="14" t="s">
        <v>1922</v>
      </c>
      <c r="C821" s="14" t="s">
        <v>1923</v>
      </c>
      <c r="D821" s="14" t="s">
        <v>199</v>
      </c>
      <c r="E821" s="14" t="s">
        <v>118</v>
      </c>
      <c r="F821" s="14">
        <v>818.0</v>
      </c>
      <c r="G821" s="14" t="s">
        <v>537</v>
      </c>
      <c r="H821" s="14" t="s">
        <v>514</v>
      </c>
      <c r="I821" s="14">
        <v>0.0</v>
      </c>
      <c r="J821" s="14">
        <v>0.0</v>
      </c>
    </row>
    <row r="822" ht="15.75" customHeight="1">
      <c r="A822" s="14" t="s">
        <v>174</v>
      </c>
      <c r="B822" s="14" t="s">
        <v>1924</v>
      </c>
      <c r="C822" s="14" t="s">
        <v>1925</v>
      </c>
      <c r="D822" s="14" t="s">
        <v>199</v>
      </c>
      <c r="E822" s="14" t="s">
        <v>118</v>
      </c>
      <c r="F822" s="14">
        <v>819.0</v>
      </c>
      <c r="G822" s="14" t="s">
        <v>537</v>
      </c>
      <c r="H822" s="14" t="s">
        <v>514</v>
      </c>
      <c r="I822" s="14">
        <v>0.0</v>
      </c>
      <c r="J822" s="14">
        <v>0.0</v>
      </c>
    </row>
    <row r="823" ht="15.75" customHeight="1">
      <c r="A823" s="14" t="s">
        <v>174</v>
      </c>
      <c r="B823" s="14" t="s">
        <v>1926</v>
      </c>
      <c r="C823" s="14" t="s">
        <v>1927</v>
      </c>
      <c r="D823" s="14" t="s">
        <v>243</v>
      </c>
      <c r="E823" s="14" t="s">
        <v>118</v>
      </c>
      <c r="F823" s="14">
        <v>820.0</v>
      </c>
      <c r="G823" s="14" t="s">
        <v>537</v>
      </c>
      <c r="H823" s="14" t="s">
        <v>531</v>
      </c>
      <c r="I823" s="14">
        <v>0.0</v>
      </c>
      <c r="J823" s="14">
        <v>0.0</v>
      </c>
    </row>
    <row r="824" ht="15.75" customHeight="1">
      <c r="A824" s="14" t="s">
        <v>174</v>
      </c>
      <c r="B824" s="14" t="s">
        <v>1928</v>
      </c>
      <c r="C824" s="14" t="s">
        <v>1929</v>
      </c>
      <c r="D824" s="14" t="s">
        <v>226</v>
      </c>
      <c r="E824" s="14" t="s">
        <v>115</v>
      </c>
      <c r="F824" s="14">
        <v>821.0</v>
      </c>
      <c r="G824" s="14" t="s">
        <v>537</v>
      </c>
      <c r="H824" s="14" t="s">
        <v>539</v>
      </c>
      <c r="I824" s="14">
        <v>0.0</v>
      </c>
      <c r="J824" s="14">
        <v>0.0</v>
      </c>
    </row>
    <row r="825" ht="15.75" customHeight="1">
      <c r="A825" s="14" t="s">
        <v>174</v>
      </c>
      <c r="B825" s="14" t="s">
        <v>1930</v>
      </c>
      <c r="C825" s="14" t="s">
        <v>1931</v>
      </c>
      <c r="D825" s="14" t="s">
        <v>243</v>
      </c>
      <c r="E825" s="14" t="s">
        <v>121</v>
      </c>
      <c r="F825" s="14">
        <v>822.0</v>
      </c>
      <c r="G825" s="14" t="s">
        <v>537</v>
      </c>
      <c r="H825" s="14" t="s">
        <v>531</v>
      </c>
      <c r="I825" s="14">
        <v>0.0</v>
      </c>
      <c r="J825" s="14">
        <v>0.0</v>
      </c>
    </row>
    <row r="826" ht="15.75" customHeight="1">
      <c r="A826" s="14" t="s">
        <v>174</v>
      </c>
      <c r="B826" s="14" t="s">
        <v>1932</v>
      </c>
      <c r="C826" s="14" t="s">
        <v>1933</v>
      </c>
      <c r="D826" s="14" t="s">
        <v>314</v>
      </c>
      <c r="E826" s="14" t="s">
        <v>123</v>
      </c>
      <c r="F826" s="14">
        <v>823.0</v>
      </c>
      <c r="G826" s="14" t="s">
        <v>537</v>
      </c>
      <c r="H826" s="14" t="s">
        <v>528</v>
      </c>
      <c r="I826" s="14">
        <v>0.0</v>
      </c>
      <c r="J826" s="14">
        <v>0.0</v>
      </c>
    </row>
    <row r="827" ht="15.75" customHeight="1">
      <c r="A827" s="14" t="s">
        <v>174</v>
      </c>
      <c r="B827" s="14" t="s">
        <v>1934</v>
      </c>
      <c r="C827" s="14" t="s">
        <v>1935</v>
      </c>
      <c r="D827" s="14" t="s">
        <v>285</v>
      </c>
      <c r="E827" s="14" t="s">
        <v>123</v>
      </c>
      <c r="F827" s="14">
        <v>824.0</v>
      </c>
      <c r="G827" s="14" t="s">
        <v>537</v>
      </c>
      <c r="H827" s="14" t="s">
        <v>522</v>
      </c>
      <c r="I827" s="14">
        <v>0.0</v>
      </c>
      <c r="J827" s="14">
        <v>0.0</v>
      </c>
    </row>
    <row r="828" ht="15.75" customHeight="1">
      <c r="A828" s="14" t="s">
        <v>174</v>
      </c>
      <c r="B828" s="14" t="s">
        <v>1936</v>
      </c>
      <c r="C828" s="14" t="s">
        <v>1937</v>
      </c>
      <c r="D828" s="14" t="s">
        <v>191</v>
      </c>
      <c r="E828" s="14" t="s">
        <v>123</v>
      </c>
      <c r="F828" s="14">
        <v>825.0</v>
      </c>
      <c r="G828" s="14" t="s">
        <v>537</v>
      </c>
      <c r="H828" s="14" t="s">
        <v>520</v>
      </c>
      <c r="I828" s="14">
        <v>0.0</v>
      </c>
      <c r="J828" s="14">
        <v>0.0</v>
      </c>
    </row>
    <row r="829" ht="15.75" customHeight="1">
      <c r="A829" s="14" t="s">
        <v>174</v>
      </c>
      <c r="B829" s="14" t="s">
        <v>1938</v>
      </c>
      <c r="C829" s="14" t="s">
        <v>1939</v>
      </c>
      <c r="D829" s="14" t="s">
        <v>191</v>
      </c>
      <c r="E829" s="14" t="s">
        <v>118</v>
      </c>
      <c r="F829" s="14">
        <v>826.0</v>
      </c>
      <c r="G829" s="14" t="s">
        <v>537</v>
      </c>
      <c r="H829" s="14" t="s">
        <v>520</v>
      </c>
      <c r="I829" s="14">
        <v>0.0</v>
      </c>
      <c r="J829" s="14">
        <v>0.0</v>
      </c>
    </row>
    <row r="830" ht="15.75" customHeight="1">
      <c r="A830" s="14" t="s">
        <v>174</v>
      </c>
      <c r="B830" s="14" t="s">
        <v>1940</v>
      </c>
      <c r="C830" s="14" t="s">
        <v>1941</v>
      </c>
      <c r="D830" s="14" t="s">
        <v>180</v>
      </c>
      <c r="E830" s="14" t="s">
        <v>121</v>
      </c>
      <c r="F830" s="14">
        <v>827.0</v>
      </c>
      <c r="G830" s="14" t="s">
        <v>537</v>
      </c>
      <c r="H830" s="14" t="s">
        <v>514</v>
      </c>
      <c r="I830" s="14">
        <v>0.0</v>
      </c>
      <c r="J830" s="14">
        <v>0.0</v>
      </c>
    </row>
    <row r="831" ht="15.75" customHeight="1">
      <c r="A831" s="14" t="s">
        <v>174</v>
      </c>
      <c r="B831" s="14" t="s">
        <v>1942</v>
      </c>
      <c r="C831" s="14" t="s">
        <v>1943</v>
      </c>
      <c r="D831" s="14" t="s">
        <v>180</v>
      </c>
      <c r="E831" s="14" t="s">
        <v>123</v>
      </c>
      <c r="F831" s="14">
        <v>828.0</v>
      </c>
      <c r="G831" s="14" t="s">
        <v>537</v>
      </c>
      <c r="H831" s="14" t="s">
        <v>514</v>
      </c>
      <c r="I831" s="14">
        <v>0.0</v>
      </c>
      <c r="J831" s="14">
        <v>0.0</v>
      </c>
    </row>
    <row r="832" ht="15.75" customHeight="1">
      <c r="A832" s="14" t="s">
        <v>174</v>
      </c>
      <c r="B832" s="14" t="s">
        <v>1944</v>
      </c>
      <c r="C832" s="14" t="s">
        <v>1945</v>
      </c>
      <c r="D832" s="14" t="s">
        <v>191</v>
      </c>
      <c r="E832" s="14" t="s">
        <v>121</v>
      </c>
      <c r="F832" s="14">
        <v>829.0</v>
      </c>
      <c r="G832" s="14" t="s">
        <v>537</v>
      </c>
      <c r="H832" s="14" t="s">
        <v>520</v>
      </c>
      <c r="I832" s="14">
        <v>0.0</v>
      </c>
      <c r="J832" s="14">
        <v>0.0</v>
      </c>
    </row>
    <row r="833" ht="15.75" customHeight="1">
      <c r="A833" s="14" t="s">
        <v>174</v>
      </c>
      <c r="B833" s="14" t="s">
        <v>1946</v>
      </c>
      <c r="C833" s="14" t="s">
        <v>1947</v>
      </c>
      <c r="D833" s="14" t="s">
        <v>566</v>
      </c>
      <c r="E833" s="14" t="s">
        <v>118</v>
      </c>
      <c r="F833" s="14">
        <v>830.0</v>
      </c>
      <c r="G833" s="14" t="s">
        <v>537</v>
      </c>
      <c r="H833" s="14" t="s">
        <v>562</v>
      </c>
      <c r="I833" s="14">
        <v>0.0</v>
      </c>
      <c r="J833" s="14">
        <v>0.0</v>
      </c>
    </row>
    <row r="834" ht="15.75" customHeight="1">
      <c r="A834" s="14" t="s">
        <v>174</v>
      </c>
      <c r="B834" s="14" t="s">
        <v>487</v>
      </c>
      <c r="C834" s="14" t="s">
        <v>1948</v>
      </c>
      <c r="D834" s="14" t="s">
        <v>180</v>
      </c>
      <c r="E834" s="14" t="s">
        <v>115</v>
      </c>
      <c r="F834" s="14">
        <v>831.0</v>
      </c>
      <c r="G834" s="14" t="s">
        <v>537</v>
      </c>
      <c r="H834" s="14" t="s">
        <v>514</v>
      </c>
      <c r="I834" s="14">
        <v>0.0</v>
      </c>
      <c r="J834" s="14">
        <v>0.0</v>
      </c>
    </row>
    <row r="835" ht="15.75" customHeight="1">
      <c r="A835" s="14" t="s">
        <v>174</v>
      </c>
      <c r="B835" s="14" t="s">
        <v>1949</v>
      </c>
      <c r="C835" s="14" t="s">
        <v>1950</v>
      </c>
      <c r="D835" s="14" t="s">
        <v>231</v>
      </c>
      <c r="E835" s="14" t="s">
        <v>121</v>
      </c>
      <c r="F835" s="14">
        <v>832.0</v>
      </c>
      <c r="G835" s="14" t="s">
        <v>537</v>
      </c>
      <c r="H835" s="14" t="s">
        <v>512</v>
      </c>
      <c r="I835" s="14">
        <v>0.0</v>
      </c>
      <c r="J835" s="14">
        <v>0.0</v>
      </c>
    </row>
    <row r="836" ht="15.75" customHeight="1">
      <c r="A836" s="14" t="s">
        <v>174</v>
      </c>
      <c r="B836" s="14" t="s">
        <v>1951</v>
      </c>
      <c r="C836" s="14" t="s">
        <v>1952</v>
      </c>
      <c r="D836" s="14" t="s">
        <v>188</v>
      </c>
      <c r="E836" s="14" t="s">
        <v>118</v>
      </c>
      <c r="F836" s="14">
        <v>833.0</v>
      </c>
      <c r="G836" s="14" t="s">
        <v>537</v>
      </c>
      <c r="H836" s="14" t="s">
        <v>528</v>
      </c>
      <c r="I836" s="14">
        <v>0.0</v>
      </c>
      <c r="J836" s="14">
        <v>0.0</v>
      </c>
    </row>
    <row r="837" ht="15.75" customHeight="1">
      <c r="A837" s="14" t="s">
        <v>174</v>
      </c>
      <c r="B837" s="14" t="s">
        <v>1953</v>
      </c>
      <c r="C837" s="14" t="s">
        <v>1954</v>
      </c>
      <c r="D837" s="14" t="s">
        <v>453</v>
      </c>
      <c r="E837" s="14" t="s">
        <v>118</v>
      </c>
      <c r="F837" s="14">
        <v>834.0</v>
      </c>
      <c r="G837" s="14" t="s">
        <v>537</v>
      </c>
      <c r="H837" s="14" t="s">
        <v>523</v>
      </c>
      <c r="I837" s="14">
        <v>0.0</v>
      </c>
      <c r="J837" s="14">
        <v>0.0</v>
      </c>
    </row>
    <row r="838" ht="15.75" customHeight="1">
      <c r="A838" s="14" t="s">
        <v>174</v>
      </c>
      <c r="B838" s="14" t="s">
        <v>1955</v>
      </c>
      <c r="C838" s="14" t="s">
        <v>1956</v>
      </c>
      <c r="D838" s="14" t="s">
        <v>191</v>
      </c>
      <c r="E838" s="14" t="s">
        <v>115</v>
      </c>
      <c r="F838" s="14">
        <v>835.0</v>
      </c>
      <c r="G838" s="14" t="s">
        <v>537</v>
      </c>
      <c r="H838" s="14" t="s">
        <v>520</v>
      </c>
      <c r="I838" s="14">
        <v>0.0</v>
      </c>
      <c r="J838" s="14">
        <v>0.0</v>
      </c>
    </row>
    <row r="839" ht="15.75" customHeight="1">
      <c r="A839" s="14" t="s">
        <v>174</v>
      </c>
      <c r="B839" s="14" t="s">
        <v>1957</v>
      </c>
      <c r="C839" s="14" t="s">
        <v>1958</v>
      </c>
      <c r="D839" s="14" t="s">
        <v>226</v>
      </c>
      <c r="E839" s="14" t="s">
        <v>118</v>
      </c>
      <c r="F839" s="14">
        <v>836.0</v>
      </c>
      <c r="G839" s="14" t="s">
        <v>537</v>
      </c>
      <c r="H839" s="14" t="s">
        <v>539</v>
      </c>
      <c r="I839" s="14">
        <v>0.0</v>
      </c>
      <c r="J839" s="14">
        <v>0.0</v>
      </c>
    </row>
    <row r="840" ht="15.75" customHeight="1">
      <c r="A840" s="14" t="s">
        <v>174</v>
      </c>
      <c r="B840" s="14" t="s">
        <v>1959</v>
      </c>
      <c r="C840" s="14" t="s">
        <v>1960</v>
      </c>
      <c r="D840" s="14" t="s">
        <v>188</v>
      </c>
      <c r="E840" s="14" t="s">
        <v>115</v>
      </c>
      <c r="F840" s="14">
        <v>837.0</v>
      </c>
      <c r="G840" s="14" t="s">
        <v>537</v>
      </c>
      <c r="H840" s="14" t="s">
        <v>528</v>
      </c>
      <c r="I840" s="14">
        <v>0.0</v>
      </c>
      <c r="J840" s="14">
        <v>0.0</v>
      </c>
    </row>
    <row r="841" ht="15.75" customHeight="1">
      <c r="A841" s="14" t="s">
        <v>174</v>
      </c>
      <c r="B841" s="14" t="s">
        <v>1961</v>
      </c>
      <c r="C841" s="14" t="s">
        <v>1962</v>
      </c>
      <c r="D841" s="14" t="s">
        <v>257</v>
      </c>
      <c r="E841" s="14" t="s">
        <v>123</v>
      </c>
      <c r="F841" s="14">
        <v>838.0</v>
      </c>
      <c r="G841" s="14" t="s">
        <v>537</v>
      </c>
      <c r="H841" s="14" t="s">
        <v>531</v>
      </c>
      <c r="I841" s="14">
        <v>0.0</v>
      </c>
      <c r="J841" s="14">
        <v>0.0</v>
      </c>
    </row>
    <row r="842" ht="15.75" customHeight="1">
      <c r="A842" s="14" t="s">
        <v>174</v>
      </c>
      <c r="B842" s="14" t="s">
        <v>1963</v>
      </c>
      <c r="C842" s="14" t="s">
        <v>1964</v>
      </c>
      <c r="D842" s="14" t="s">
        <v>327</v>
      </c>
      <c r="E842" s="14" t="s">
        <v>118</v>
      </c>
      <c r="F842" s="14">
        <v>839.0</v>
      </c>
      <c r="G842" s="14" t="s">
        <v>537</v>
      </c>
      <c r="H842" s="14" t="s">
        <v>518</v>
      </c>
      <c r="I842" s="14">
        <v>0.0</v>
      </c>
      <c r="J842" s="14">
        <v>0.0</v>
      </c>
    </row>
    <row r="843" ht="15.75" customHeight="1">
      <c r="A843" s="14" t="s">
        <v>174</v>
      </c>
      <c r="B843" s="14" t="s">
        <v>1965</v>
      </c>
      <c r="C843" s="14" t="s">
        <v>1966</v>
      </c>
      <c r="D843" s="14" t="s">
        <v>236</v>
      </c>
      <c r="E843" s="14" t="s">
        <v>118</v>
      </c>
      <c r="F843" s="14">
        <v>840.0</v>
      </c>
      <c r="G843" s="14" t="s">
        <v>537</v>
      </c>
      <c r="H843" s="14" t="s">
        <v>522</v>
      </c>
      <c r="I843" s="14">
        <v>0.0</v>
      </c>
      <c r="J843" s="14">
        <v>0.0</v>
      </c>
    </row>
    <row r="844" ht="15.75" customHeight="1">
      <c r="A844" s="14" t="s">
        <v>174</v>
      </c>
      <c r="B844" s="14" t="s">
        <v>1967</v>
      </c>
      <c r="C844" s="14" t="s">
        <v>1968</v>
      </c>
      <c r="D844" s="14" t="s">
        <v>314</v>
      </c>
      <c r="E844" s="14" t="s">
        <v>123</v>
      </c>
      <c r="F844" s="14">
        <v>841.0</v>
      </c>
      <c r="G844" s="14" t="s">
        <v>537</v>
      </c>
      <c r="H844" s="14" t="s">
        <v>528</v>
      </c>
      <c r="I844" s="14">
        <v>0.0</v>
      </c>
      <c r="J844" s="14">
        <v>0.0</v>
      </c>
    </row>
    <row r="845" ht="15.75" customHeight="1">
      <c r="A845" s="14" t="s">
        <v>174</v>
      </c>
      <c r="B845" s="14" t="s">
        <v>1969</v>
      </c>
      <c r="C845" s="14" t="s">
        <v>1970</v>
      </c>
      <c r="D845" s="14" t="s">
        <v>231</v>
      </c>
      <c r="E845" s="14" t="s">
        <v>123</v>
      </c>
      <c r="F845" s="14">
        <v>842.0</v>
      </c>
      <c r="G845" s="14" t="s">
        <v>537</v>
      </c>
      <c r="H845" s="14" t="s">
        <v>512</v>
      </c>
      <c r="I845" s="14">
        <v>0.0</v>
      </c>
      <c r="J845" s="14">
        <v>0.0</v>
      </c>
    </row>
    <row r="846" ht="15.75" customHeight="1">
      <c r="A846" s="14" t="s">
        <v>174</v>
      </c>
      <c r="B846" s="14" t="s">
        <v>1971</v>
      </c>
      <c r="C846" s="14" t="s">
        <v>1972</v>
      </c>
      <c r="D846" s="14" t="s">
        <v>231</v>
      </c>
      <c r="E846" s="14" t="s">
        <v>118</v>
      </c>
      <c r="F846" s="14">
        <v>843.0</v>
      </c>
      <c r="G846" s="14" t="s">
        <v>537</v>
      </c>
      <c r="H846" s="14" t="s">
        <v>512</v>
      </c>
      <c r="I846" s="14">
        <v>0.0</v>
      </c>
      <c r="J846" s="14">
        <v>0.0</v>
      </c>
    </row>
    <row r="847" ht="15.75" customHeight="1">
      <c r="A847" s="14" t="s">
        <v>174</v>
      </c>
      <c r="B847" s="14" t="s">
        <v>1973</v>
      </c>
      <c r="C847" s="14" t="s">
        <v>1974</v>
      </c>
      <c r="D847" s="14" t="s">
        <v>236</v>
      </c>
      <c r="E847" s="14" t="s">
        <v>121</v>
      </c>
      <c r="F847" s="14">
        <v>844.0</v>
      </c>
      <c r="G847" s="14" t="s">
        <v>537</v>
      </c>
      <c r="H847" s="14" t="s">
        <v>522</v>
      </c>
      <c r="I847" s="14">
        <v>0.0</v>
      </c>
      <c r="J847" s="14">
        <v>0.0</v>
      </c>
    </row>
    <row r="848" ht="15.75" customHeight="1">
      <c r="A848" s="14" t="s">
        <v>174</v>
      </c>
      <c r="B848" s="14" t="s">
        <v>1975</v>
      </c>
      <c r="C848" s="14" t="s">
        <v>1976</v>
      </c>
      <c r="D848" s="14" t="s">
        <v>285</v>
      </c>
      <c r="E848" s="14" t="s">
        <v>123</v>
      </c>
      <c r="F848" s="14">
        <v>845.0</v>
      </c>
      <c r="G848" s="14" t="s">
        <v>537</v>
      </c>
      <c r="H848" s="14" t="s">
        <v>522</v>
      </c>
      <c r="I848" s="14">
        <v>0.0</v>
      </c>
      <c r="J848" s="14">
        <v>0.0</v>
      </c>
    </row>
    <row r="849" ht="15.75" customHeight="1">
      <c r="A849" s="14" t="s">
        <v>174</v>
      </c>
      <c r="B849" s="14" t="s">
        <v>1977</v>
      </c>
      <c r="C849" s="14" t="s">
        <v>1978</v>
      </c>
      <c r="D849" s="14" t="s">
        <v>188</v>
      </c>
      <c r="E849" s="14" t="s">
        <v>115</v>
      </c>
      <c r="F849" s="14">
        <v>846.0</v>
      </c>
      <c r="G849" s="14" t="s">
        <v>537</v>
      </c>
      <c r="H849" s="14" t="s">
        <v>528</v>
      </c>
      <c r="I849" s="14">
        <v>0.0</v>
      </c>
      <c r="J849" s="14">
        <v>0.0</v>
      </c>
    </row>
    <row r="850" ht="15.75" customHeight="1">
      <c r="A850" s="14" t="s">
        <v>174</v>
      </c>
      <c r="B850" s="14" t="s">
        <v>1979</v>
      </c>
      <c r="C850" s="14" t="s">
        <v>1980</v>
      </c>
      <c r="D850" s="14" t="s">
        <v>387</v>
      </c>
      <c r="E850" s="14" t="s">
        <v>123</v>
      </c>
      <c r="F850" s="14">
        <v>847.0</v>
      </c>
      <c r="G850" s="14" t="s">
        <v>537</v>
      </c>
      <c r="H850" s="14" t="s">
        <v>562</v>
      </c>
      <c r="I850" s="14">
        <v>0.0</v>
      </c>
      <c r="J850" s="14">
        <v>0.0</v>
      </c>
    </row>
    <row r="851" ht="15.75" customHeight="1">
      <c r="A851" s="14" t="s">
        <v>174</v>
      </c>
      <c r="B851" s="14" t="s">
        <v>1981</v>
      </c>
      <c r="C851" s="14" t="s">
        <v>1982</v>
      </c>
      <c r="D851" s="14" t="s">
        <v>236</v>
      </c>
      <c r="E851" s="14" t="s">
        <v>118</v>
      </c>
      <c r="F851" s="14">
        <v>848.0</v>
      </c>
      <c r="G851" s="14" t="s">
        <v>537</v>
      </c>
      <c r="H851" s="14" t="s">
        <v>522</v>
      </c>
      <c r="I851" s="14">
        <v>0.0</v>
      </c>
      <c r="J851" s="14">
        <v>0.0</v>
      </c>
    </row>
    <row r="852" ht="15.75" customHeight="1">
      <c r="A852" s="14" t="s">
        <v>174</v>
      </c>
      <c r="B852" s="14" t="s">
        <v>1983</v>
      </c>
      <c r="C852" s="14" t="s">
        <v>1984</v>
      </c>
      <c r="D852" s="14" t="s">
        <v>243</v>
      </c>
      <c r="E852" s="14" t="s">
        <v>123</v>
      </c>
      <c r="F852" s="14">
        <v>849.0</v>
      </c>
      <c r="G852" s="14" t="s">
        <v>537</v>
      </c>
      <c r="H852" s="14" t="s">
        <v>531</v>
      </c>
      <c r="I852" s="14">
        <v>0.0</v>
      </c>
      <c r="J852" s="14">
        <v>0.0</v>
      </c>
    </row>
    <row r="853" ht="15.75" customHeight="1">
      <c r="A853" s="14" t="s">
        <v>174</v>
      </c>
      <c r="B853" s="14" t="s">
        <v>1985</v>
      </c>
      <c r="C853" s="14" t="s">
        <v>1986</v>
      </c>
      <c r="D853" s="14" t="s">
        <v>243</v>
      </c>
      <c r="E853" s="14" t="s">
        <v>123</v>
      </c>
      <c r="F853" s="14">
        <v>850.0</v>
      </c>
      <c r="G853" s="14" t="s">
        <v>537</v>
      </c>
      <c r="H853" s="14" t="s">
        <v>531</v>
      </c>
      <c r="I853" s="14">
        <v>0.0</v>
      </c>
      <c r="J853" s="14">
        <v>0.0</v>
      </c>
    </row>
    <row r="854" ht="15.75" customHeight="1">
      <c r="A854" s="14" t="s">
        <v>174</v>
      </c>
      <c r="B854" s="14" t="s">
        <v>1987</v>
      </c>
      <c r="C854" s="14" t="s">
        <v>1988</v>
      </c>
      <c r="D854" s="14" t="s">
        <v>236</v>
      </c>
      <c r="E854" s="14" t="s">
        <v>121</v>
      </c>
      <c r="F854" s="14">
        <v>851.0</v>
      </c>
      <c r="G854" s="14" t="s">
        <v>537</v>
      </c>
      <c r="H854" s="14" t="s">
        <v>522</v>
      </c>
      <c r="I854" s="14">
        <v>0.0</v>
      </c>
      <c r="J854" s="14">
        <v>0.0</v>
      </c>
    </row>
    <row r="855" ht="15.75" customHeight="1">
      <c r="A855" s="14" t="s">
        <v>174</v>
      </c>
      <c r="B855" s="14" t="s">
        <v>1989</v>
      </c>
      <c r="C855" s="14" t="s">
        <v>1990</v>
      </c>
      <c r="D855" s="14" t="s">
        <v>231</v>
      </c>
      <c r="E855" s="14" t="s">
        <v>115</v>
      </c>
      <c r="F855" s="14">
        <v>852.0</v>
      </c>
      <c r="G855" s="14" t="s">
        <v>537</v>
      </c>
      <c r="H855" s="14" t="s">
        <v>512</v>
      </c>
      <c r="I855" s="14">
        <v>0.0</v>
      </c>
      <c r="J855" s="14">
        <v>0.0</v>
      </c>
    </row>
    <row r="856" ht="15.75" customHeight="1">
      <c r="A856" s="14" t="s">
        <v>174</v>
      </c>
      <c r="B856" s="14" t="s">
        <v>1991</v>
      </c>
      <c r="C856" s="14" t="s">
        <v>1992</v>
      </c>
      <c r="D856" s="14" t="s">
        <v>327</v>
      </c>
      <c r="E856" s="14" t="s">
        <v>118</v>
      </c>
      <c r="F856" s="14">
        <v>853.0</v>
      </c>
      <c r="G856" s="14" t="s">
        <v>537</v>
      </c>
      <c r="H856" s="14" t="s">
        <v>518</v>
      </c>
      <c r="I856" s="14">
        <v>0.0</v>
      </c>
      <c r="J856" s="14">
        <v>0.0</v>
      </c>
    </row>
    <row r="857" ht="15.75" customHeight="1">
      <c r="A857" s="14" t="s">
        <v>174</v>
      </c>
      <c r="B857" s="14" t="s">
        <v>1993</v>
      </c>
      <c r="C857" s="14" t="s">
        <v>1994</v>
      </c>
      <c r="D857" s="14" t="s">
        <v>177</v>
      </c>
      <c r="E857" s="14" t="s">
        <v>121</v>
      </c>
      <c r="F857" s="14">
        <v>854.0</v>
      </c>
      <c r="G857" s="14" t="s">
        <v>537</v>
      </c>
      <c r="H857" s="14" t="s">
        <v>518</v>
      </c>
      <c r="I857" s="14">
        <v>0.0</v>
      </c>
      <c r="J857" s="14">
        <v>0.0</v>
      </c>
    </row>
    <row r="858" ht="15.75" customHeight="1">
      <c r="A858" s="14" t="s">
        <v>174</v>
      </c>
      <c r="B858" s="14" t="s">
        <v>1995</v>
      </c>
      <c r="C858" s="14" t="s">
        <v>1996</v>
      </c>
      <c r="D858" s="14" t="s">
        <v>188</v>
      </c>
      <c r="E858" s="14" t="s">
        <v>123</v>
      </c>
      <c r="F858" s="14">
        <v>855.0</v>
      </c>
      <c r="G858" s="14" t="s">
        <v>537</v>
      </c>
      <c r="H858" s="14" t="s">
        <v>528</v>
      </c>
      <c r="I858" s="14">
        <v>0.0</v>
      </c>
      <c r="J858" s="14">
        <v>0.0</v>
      </c>
    </row>
    <row r="859" ht="15.75" customHeight="1">
      <c r="A859" s="14" t="s">
        <v>174</v>
      </c>
      <c r="B859" s="14" t="s">
        <v>1997</v>
      </c>
      <c r="C859" s="14" t="s">
        <v>1998</v>
      </c>
      <c r="D859" s="14" t="s">
        <v>285</v>
      </c>
      <c r="E859" s="14" t="s">
        <v>121</v>
      </c>
      <c r="F859" s="14">
        <v>856.0</v>
      </c>
      <c r="G859" s="14" t="s">
        <v>537</v>
      </c>
      <c r="H859" s="14" t="s">
        <v>522</v>
      </c>
      <c r="I859" s="14">
        <v>0.0</v>
      </c>
      <c r="J859" s="14">
        <v>0.0</v>
      </c>
    </row>
    <row r="860" ht="15.75" customHeight="1">
      <c r="A860" s="14" t="s">
        <v>174</v>
      </c>
      <c r="B860" s="14" t="s">
        <v>1999</v>
      </c>
      <c r="C860" s="14" t="s">
        <v>2000</v>
      </c>
      <c r="D860" s="14" t="s">
        <v>387</v>
      </c>
      <c r="E860" s="14" t="s">
        <v>121</v>
      </c>
      <c r="F860" s="14">
        <v>857.0</v>
      </c>
      <c r="G860" s="14" t="s">
        <v>537</v>
      </c>
      <c r="H860" s="14" t="s">
        <v>562</v>
      </c>
      <c r="I860" s="14">
        <v>0.0</v>
      </c>
      <c r="J860" s="14">
        <v>0.0</v>
      </c>
    </row>
    <row r="861" ht="15.75" customHeight="1">
      <c r="A861" s="14" t="s">
        <v>174</v>
      </c>
      <c r="B861" s="14" t="s">
        <v>2001</v>
      </c>
      <c r="C861" s="14" t="s">
        <v>2002</v>
      </c>
      <c r="D861" s="14" t="s">
        <v>243</v>
      </c>
      <c r="E861" s="14" t="s">
        <v>118</v>
      </c>
      <c r="F861" s="14">
        <v>858.0</v>
      </c>
      <c r="G861" s="14" t="s">
        <v>537</v>
      </c>
      <c r="H861" s="14" t="s">
        <v>531</v>
      </c>
      <c r="I861" s="14">
        <v>0.0</v>
      </c>
      <c r="J861" s="14">
        <v>0.0</v>
      </c>
    </row>
    <row r="862" ht="15.75" customHeight="1">
      <c r="A862" s="14" t="s">
        <v>174</v>
      </c>
      <c r="B862" s="14" t="s">
        <v>2003</v>
      </c>
      <c r="C862" s="14" t="s">
        <v>2004</v>
      </c>
      <c r="D862" s="14" t="s">
        <v>226</v>
      </c>
      <c r="E862" s="14" t="s">
        <v>118</v>
      </c>
      <c r="F862" s="14">
        <v>859.0</v>
      </c>
      <c r="G862" s="14" t="s">
        <v>537</v>
      </c>
      <c r="H862" s="14" t="s">
        <v>539</v>
      </c>
      <c r="I862" s="14">
        <v>0.0</v>
      </c>
      <c r="J862" s="14">
        <v>0.0</v>
      </c>
    </row>
    <row r="863" ht="15.75" customHeight="1">
      <c r="A863" s="14" t="s">
        <v>174</v>
      </c>
      <c r="B863" s="14" t="s">
        <v>2005</v>
      </c>
      <c r="C863" s="14" t="s">
        <v>2006</v>
      </c>
      <c r="D863" s="14" t="s">
        <v>231</v>
      </c>
      <c r="E863" s="14" t="s">
        <v>118</v>
      </c>
      <c r="F863" s="14">
        <v>860.0</v>
      </c>
      <c r="G863" s="14" t="s">
        <v>537</v>
      </c>
      <c r="H863" s="14" t="s">
        <v>512</v>
      </c>
      <c r="I863" s="14">
        <v>0.0</v>
      </c>
      <c r="J863" s="14">
        <v>0.0</v>
      </c>
    </row>
    <row r="864" ht="15.75" customHeight="1">
      <c r="A864" s="14" t="s">
        <v>174</v>
      </c>
      <c r="B864" s="14" t="s">
        <v>2007</v>
      </c>
      <c r="C864" s="14" t="s">
        <v>2008</v>
      </c>
      <c r="D864" s="14" t="s">
        <v>257</v>
      </c>
      <c r="E864" s="14" t="s">
        <v>118</v>
      </c>
      <c r="F864" s="14">
        <v>861.0</v>
      </c>
      <c r="G864" s="14" t="s">
        <v>537</v>
      </c>
      <c r="H864" s="14" t="s">
        <v>531</v>
      </c>
      <c r="I864" s="14">
        <v>0.0</v>
      </c>
      <c r="J864" s="14">
        <v>0.0</v>
      </c>
    </row>
    <row r="865" ht="15.75" customHeight="1">
      <c r="A865" s="14" t="s">
        <v>174</v>
      </c>
      <c r="B865" s="14" t="s">
        <v>2009</v>
      </c>
      <c r="C865" s="14" t="s">
        <v>2010</v>
      </c>
      <c r="D865" s="14" t="s">
        <v>236</v>
      </c>
      <c r="E865" s="14" t="s">
        <v>118</v>
      </c>
      <c r="F865" s="14">
        <v>862.0</v>
      </c>
      <c r="G865" s="14" t="s">
        <v>537</v>
      </c>
      <c r="H865" s="14" t="s">
        <v>522</v>
      </c>
      <c r="I865" s="14">
        <v>0.0</v>
      </c>
      <c r="J865" s="14">
        <v>0.0</v>
      </c>
    </row>
    <row r="866" ht="15.75" customHeight="1">
      <c r="A866" s="14" t="s">
        <v>174</v>
      </c>
      <c r="B866" s="14" t="s">
        <v>2011</v>
      </c>
      <c r="C866" s="14" t="s">
        <v>2012</v>
      </c>
      <c r="D866" s="14" t="s">
        <v>226</v>
      </c>
      <c r="E866" s="14" t="s">
        <v>115</v>
      </c>
      <c r="F866" s="14">
        <v>863.0</v>
      </c>
      <c r="G866" s="14" t="s">
        <v>537</v>
      </c>
      <c r="H866" s="14" t="s">
        <v>539</v>
      </c>
      <c r="I866" s="14">
        <v>0.0</v>
      </c>
      <c r="J866" s="14">
        <v>0.0</v>
      </c>
    </row>
    <row r="867" ht="15.75" customHeight="1">
      <c r="A867" s="14" t="s">
        <v>174</v>
      </c>
      <c r="B867" s="14" t="s">
        <v>2013</v>
      </c>
      <c r="C867" s="14" t="s">
        <v>2014</v>
      </c>
      <c r="D867" s="14" t="s">
        <v>243</v>
      </c>
      <c r="E867" s="14" t="s">
        <v>123</v>
      </c>
      <c r="F867" s="14">
        <v>864.0</v>
      </c>
      <c r="G867" s="14" t="s">
        <v>537</v>
      </c>
      <c r="H867" s="14" t="s">
        <v>531</v>
      </c>
      <c r="I867" s="14">
        <v>0.0</v>
      </c>
      <c r="J867" s="14">
        <v>0.0</v>
      </c>
    </row>
    <row r="868" ht="15.75" customHeight="1">
      <c r="A868" s="14" t="s">
        <v>174</v>
      </c>
      <c r="B868" s="14" t="s">
        <v>2015</v>
      </c>
      <c r="C868" s="14" t="s">
        <v>2016</v>
      </c>
      <c r="D868" s="14" t="s">
        <v>185</v>
      </c>
      <c r="E868" s="14" t="s">
        <v>121</v>
      </c>
      <c r="F868" s="14">
        <v>865.0</v>
      </c>
      <c r="G868" s="14" t="s">
        <v>537</v>
      </c>
      <c r="H868" s="14" t="s">
        <v>512</v>
      </c>
      <c r="I868" s="14">
        <v>0.0</v>
      </c>
      <c r="J868" s="14">
        <v>0.0</v>
      </c>
    </row>
    <row r="869" ht="15.75" customHeight="1">
      <c r="A869" s="14" t="s">
        <v>174</v>
      </c>
      <c r="B869" s="14" t="s">
        <v>2017</v>
      </c>
      <c r="C869" s="14" t="s">
        <v>2018</v>
      </c>
      <c r="D869" s="14" t="s">
        <v>257</v>
      </c>
      <c r="E869" s="14" t="s">
        <v>115</v>
      </c>
      <c r="F869" s="14">
        <v>866.0</v>
      </c>
      <c r="G869" s="14" t="s">
        <v>537</v>
      </c>
      <c r="H869" s="14" t="s">
        <v>531</v>
      </c>
      <c r="I869" s="14">
        <v>0.0</v>
      </c>
      <c r="J869" s="14">
        <v>0.0</v>
      </c>
    </row>
    <row r="870" ht="15.75" customHeight="1">
      <c r="A870" s="14" t="s">
        <v>174</v>
      </c>
      <c r="B870" s="14" t="s">
        <v>2019</v>
      </c>
      <c r="C870" s="14" t="s">
        <v>2020</v>
      </c>
      <c r="D870" s="14" t="s">
        <v>327</v>
      </c>
      <c r="E870" s="14" t="s">
        <v>121</v>
      </c>
      <c r="F870" s="14">
        <v>867.0</v>
      </c>
      <c r="G870" s="14" t="s">
        <v>537</v>
      </c>
      <c r="H870" s="14" t="s">
        <v>518</v>
      </c>
      <c r="I870" s="14">
        <v>0.0</v>
      </c>
      <c r="J870" s="14">
        <v>0.0</v>
      </c>
    </row>
    <row r="871" ht="15.75" customHeight="1">
      <c r="A871" s="14" t="s">
        <v>174</v>
      </c>
      <c r="B871" s="14" t="s">
        <v>2021</v>
      </c>
      <c r="C871" s="14" t="s">
        <v>2022</v>
      </c>
      <c r="D871" s="14" t="s">
        <v>314</v>
      </c>
      <c r="E871" s="14" t="s">
        <v>118</v>
      </c>
      <c r="F871" s="14">
        <v>868.0</v>
      </c>
      <c r="G871" s="14" t="s">
        <v>537</v>
      </c>
      <c r="H871" s="14" t="s">
        <v>528</v>
      </c>
      <c r="I871" s="14">
        <v>0.0</v>
      </c>
      <c r="J871" s="14">
        <v>0.0</v>
      </c>
    </row>
    <row r="872" ht="15.75" customHeight="1">
      <c r="A872" s="14" t="s">
        <v>174</v>
      </c>
      <c r="B872" s="14" t="s">
        <v>2023</v>
      </c>
      <c r="C872" s="14" t="s">
        <v>2024</v>
      </c>
      <c r="D872" s="14" t="s">
        <v>177</v>
      </c>
      <c r="E872" s="14" t="s">
        <v>118</v>
      </c>
      <c r="F872" s="14">
        <v>869.0</v>
      </c>
      <c r="G872" s="14" t="s">
        <v>537</v>
      </c>
      <c r="H872" s="14" t="s">
        <v>518</v>
      </c>
      <c r="I872" s="14">
        <v>0.0</v>
      </c>
      <c r="J872" s="14">
        <v>0.0</v>
      </c>
    </row>
    <row r="873" ht="15.75" customHeight="1">
      <c r="A873" s="14" t="s">
        <v>174</v>
      </c>
      <c r="B873" s="14" t="s">
        <v>2025</v>
      </c>
      <c r="C873" s="14" t="s">
        <v>2026</v>
      </c>
      <c r="D873" s="14" t="s">
        <v>236</v>
      </c>
      <c r="E873" s="14" t="s">
        <v>115</v>
      </c>
      <c r="F873" s="14">
        <v>870.0</v>
      </c>
      <c r="G873" s="14" t="s">
        <v>537</v>
      </c>
      <c r="H873" s="14" t="s">
        <v>522</v>
      </c>
      <c r="I873" s="14">
        <v>0.0</v>
      </c>
      <c r="J873" s="14">
        <v>0.0</v>
      </c>
    </row>
    <row r="874" ht="15.75" customHeight="1">
      <c r="A874" s="14" t="s">
        <v>174</v>
      </c>
      <c r="B874" s="14" t="s">
        <v>2027</v>
      </c>
      <c r="C874" s="14" t="s">
        <v>2028</v>
      </c>
      <c r="D874" s="14" t="s">
        <v>314</v>
      </c>
      <c r="E874" s="14" t="s">
        <v>123</v>
      </c>
      <c r="F874" s="14">
        <v>871.0</v>
      </c>
      <c r="G874" s="14" t="s">
        <v>537</v>
      </c>
      <c r="H874" s="14" t="s">
        <v>528</v>
      </c>
      <c r="I874" s="14">
        <v>0.0</v>
      </c>
      <c r="J874" s="14">
        <v>0.0</v>
      </c>
    </row>
    <row r="875" ht="15.75" customHeight="1">
      <c r="A875" s="14" t="s">
        <v>174</v>
      </c>
      <c r="B875" s="14" t="s">
        <v>2029</v>
      </c>
      <c r="C875" s="14" t="s">
        <v>2030</v>
      </c>
      <c r="D875" s="14" t="s">
        <v>566</v>
      </c>
      <c r="E875" s="14" t="s">
        <v>123</v>
      </c>
      <c r="F875" s="14">
        <v>872.0</v>
      </c>
      <c r="G875" s="14" t="s">
        <v>537</v>
      </c>
      <c r="H875" s="14" t="s">
        <v>562</v>
      </c>
      <c r="I875" s="14">
        <v>0.0</v>
      </c>
      <c r="J875" s="14">
        <v>0.0</v>
      </c>
    </row>
    <row r="876" ht="15.75" customHeight="1">
      <c r="A876" s="14" t="s">
        <v>174</v>
      </c>
      <c r="B876" s="14" t="s">
        <v>2031</v>
      </c>
      <c r="C876" s="14" t="s">
        <v>2032</v>
      </c>
      <c r="D876" s="14" t="s">
        <v>257</v>
      </c>
      <c r="E876" s="14" t="s">
        <v>115</v>
      </c>
      <c r="F876" s="14">
        <v>873.0</v>
      </c>
      <c r="G876" s="14" t="s">
        <v>537</v>
      </c>
      <c r="H876" s="14" t="s">
        <v>531</v>
      </c>
      <c r="I876" s="14">
        <v>0.0</v>
      </c>
      <c r="J876" s="14">
        <v>0.0</v>
      </c>
    </row>
    <row r="877" ht="15.75" customHeight="1">
      <c r="A877" s="14" t="s">
        <v>174</v>
      </c>
      <c r="B877" s="14" t="s">
        <v>2033</v>
      </c>
      <c r="C877" s="14" t="s">
        <v>2034</v>
      </c>
      <c r="D877" s="14" t="s">
        <v>221</v>
      </c>
      <c r="E877" s="14" t="s">
        <v>123</v>
      </c>
      <c r="F877" s="14">
        <v>874.0</v>
      </c>
      <c r="G877" s="14" t="s">
        <v>537</v>
      </c>
      <c r="H877" s="14" t="s">
        <v>520</v>
      </c>
      <c r="I877" s="14">
        <v>0.0</v>
      </c>
      <c r="J877" s="14">
        <v>0.0</v>
      </c>
    </row>
    <row r="878" ht="15.75" customHeight="1">
      <c r="A878" s="14" t="s">
        <v>174</v>
      </c>
      <c r="B878" s="14" t="s">
        <v>2035</v>
      </c>
      <c r="C878" s="14" t="s">
        <v>2036</v>
      </c>
      <c r="D878" s="14" t="s">
        <v>191</v>
      </c>
      <c r="E878" s="14" t="s">
        <v>121</v>
      </c>
      <c r="F878" s="14">
        <v>875.0</v>
      </c>
      <c r="G878" s="14" t="s">
        <v>537</v>
      </c>
      <c r="H878" s="14" t="s">
        <v>520</v>
      </c>
      <c r="I878" s="14">
        <v>0.0</v>
      </c>
      <c r="J878" s="14">
        <v>0.0</v>
      </c>
    </row>
    <row r="879" ht="15.75" customHeight="1">
      <c r="A879" s="14" t="s">
        <v>174</v>
      </c>
      <c r="B879" s="14" t="s">
        <v>2037</v>
      </c>
      <c r="C879" s="14" t="s">
        <v>2038</v>
      </c>
      <c r="D879" s="14" t="s">
        <v>226</v>
      </c>
      <c r="E879" s="14" t="s">
        <v>115</v>
      </c>
      <c r="F879" s="14">
        <v>876.0</v>
      </c>
      <c r="G879" s="14" t="s">
        <v>537</v>
      </c>
      <c r="H879" s="14" t="s">
        <v>539</v>
      </c>
      <c r="I879" s="14">
        <v>0.0</v>
      </c>
      <c r="J879" s="14">
        <v>0.0</v>
      </c>
    </row>
    <row r="880" ht="15.75" customHeight="1">
      <c r="A880" s="14" t="s">
        <v>174</v>
      </c>
      <c r="B880" s="14" t="s">
        <v>2039</v>
      </c>
      <c r="C880" s="14" t="s">
        <v>2040</v>
      </c>
      <c r="D880" s="14" t="s">
        <v>243</v>
      </c>
      <c r="E880" s="14" t="s">
        <v>118</v>
      </c>
      <c r="F880" s="14">
        <v>877.0</v>
      </c>
      <c r="G880" s="14" t="s">
        <v>537</v>
      </c>
      <c r="H880" s="14" t="s">
        <v>531</v>
      </c>
      <c r="I880" s="14">
        <v>0.0</v>
      </c>
      <c r="J880" s="14">
        <v>0.0</v>
      </c>
    </row>
    <row r="881" ht="15.75" customHeight="1">
      <c r="A881" s="14" t="s">
        <v>174</v>
      </c>
      <c r="B881" s="14" t="s">
        <v>2041</v>
      </c>
      <c r="C881" s="14" t="s">
        <v>2042</v>
      </c>
      <c r="D881" s="14" t="s">
        <v>188</v>
      </c>
      <c r="E881" s="14" t="s">
        <v>121</v>
      </c>
      <c r="F881" s="14">
        <v>878.0</v>
      </c>
      <c r="G881" s="14" t="s">
        <v>537</v>
      </c>
      <c r="H881" s="14" t="s">
        <v>528</v>
      </c>
      <c r="I881" s="14">
        <v>0.0</v>
      </c>
      <c r="J881" s="14">
        <v>0.0</v>
      </c>
    </row>
    <row r="882" ht="15.75" customHeight="1">
      <c r="A882" s="14" t="s">
        <v>174</v>
      </c>
      <c r="B882" s="14" t="s">
        <v>2043</v>
      </c>
      <c r="C882" s="14" t="s">
        <v>2044</v>
      </c>
      <c r="D882" s="14" t="s">
        <v>231</v>
      </c>
      <c r="E882" s="14" t="s">
        <v>123</v>
      </c>
      <c r="F882" s="14">
        <v>879.0</v>
      </c>
      <c r="G882" s="14" t="s">
        <v>537</v>
      </c>
      <c r="H882" s="14" t="s">
        <v>512</v>
      </c>
      <c r="I882" s="14">
        <v>0.0</v>
      </c>
      <c r="J882" s="14">
        <v>0.0</v>
      </c>
    </row>
    <row r="883" ht="15.75" customHeight="1">
      <c r="A883" s="14" t="s">
        <v>174</v>
      </c>
      <c r="B883" s="14" t="s">
        <v>2045</v>
      </c>
      <c r="C883" s="14" t="s">
        <v>2046</v>
      </c>
      <c r="D883" s="14" t="s">
        <v>231</v>
      </c>
      <c r="E883" s="14" t="s">
        <v>118</v>
      </c>
      <c r="F883" s="14">
        <v>880.0</v>
      </c>
      <c r="G883" s="14" t="s">
        <v>537</v>
      </c>
      <c r="H883" s="14" t="s">
        <v>512</v>
      </c>
      <c r="I883" s="14">
        <v>0.0</v>
      </c>
      <c r="J883" s="14">
        <v>0.0</v>
      </c>
    </row>
    <row r="884" ht="15.75" customHeight="1">
      <c r="A884" s="14" t="s">
        <v>174</v>
      </c>
      <c r="B884" s="14" t="s">
        <v>2047</v>
      </c>
      <c r="C884" s="14" t="s">
        <v>2048</v>
      </c>
      <c r="D884" s="14" t="s">
        <v>257</v>
      </c>
      <c r="E884" s="14" t="s">
        <v>118</v>
      </c>
      <c r="F884" s="14">
        <v>881.0</v>
      </c>
      <c r="G884" s="14" t="s">
        <v>537</v>
      </c>
      <c r="H884" s="14" t="s">
        <v>531</v>
      </c>
      <c r="I884" s="14">
        <v>0.0</v>
      </c>
      <c r="J884" s="14">
        <v>0.0</v>
      </c>
    </row>
    <row r="885" ht="15.75" customHeight="1">
      <c r="A885" s="14" t="s">
        <v>174</v>
      </c>
      <c r="B885" s="14" t="s">
        <v>2049</v>
      </c>
      <c r="C885" s="14" t="s">
        <v>2050</v>
      </c>
      <c r="D885" s="14" t="s">
        <v>185</v>
      </c>
      <c r="E885" s="14" t="s">
        <v>123</v>
      </c>
      <c r="F885" s="14">
        <v>882.0</v>
      </c>
      <c r="G885" s="14" t="s">
        <v>537</v>
      </c>
      <c r="H885" s="14" t="s">
        <v>512</v>
      </c>
      <c r="I885" s="14">
        <v>0.0</v>
      </c>
      <c r="J885" s="14">
        <v>0.0</v>
      </c>
    </row>
    <row r="886" ht="15.75" customHeight="1">
      <c r="A886" s="14" t="s">
        <v>174</v>
      </c>
      <c r="B886" s="14" t="s">
        <v>2051</v>
      </c>
      <c r="C886" s="14" t="s">
        <v>2052</v>
      </c>
      <c r="D886" s="14" t="s">
        <v>226</v>
      </c>
      <c r="E886" s="14" t="s">
        <v>121</v>
      </c>
      <c r="F886" s="14">
        <v>883.0</v>
      </c>
      <c r="G886" s="14" t="s">
        <v>537</v>
      </c>
      <c r="H886" s="14" t="s">
        <v>539</v>
      </c>
      <c r="I886" s="14">
        <v>0.0</v>
      </c>
      <c r="J886" s="14">
        <v>0.0</v>
      </c>
    </row>
    <row r="887" ht="15.75" customHeight="1">
      <c r="A887" s="14" t="s">
        <v>174</v>
      </c>
      <c r="B887" s="14" t="s">
        <v>2053</v>
      </c>
      <c r="C887" s="14" t="s">
        <v>2054</v>
      </c>
      <c r="D887" s="14" t="s">
        <v>236</v>
      </c>
      <c r="E887" s="14" t="s">
        <v>121</v>
      </c>
      <c r="F887" s="14">
        <v>884.0</v>
      </c>
      <c r="G887" s="14" t="s">
        <v>537</v>
      </c>
      <c r="H887" s="14" t="s">
        <v>522</v>
      </c>
      <c r="I887" s="14">
        <v>0.0</v>
      </c>
      <c r="J887" s="14">
        <v>0.0</v>
      </c>
    </row>
    <row r="888" ht="15.75" customHeight="1">
      <c r="A888" s="14" t="s">
        <v>174</v>
      </c>
      <c r="B888" s="14" t="s">
        <v>2055</v>
      </c>
      <c r="C888" s="14" t="s">
        <v>2056</v>
      </c>
      <c r="D888" s="14" t="s">
        <v>314</v>
      </c>
      <c r="E888" s="14" t="s">
        <v>121</v>
      </c>
      <c r="F888" s="14">
        <v>885.0</v>
      </c>
      <c r="G888" s="14" t="s">
        <v>537</v>
      </c>
      <c r="H888" s="14" t="s">
        <v>528</v>
      </c>
      <c r="I888" s="14">
        <v>0.0</v>
      </c>
      <c r="J888" s="14">
        <v>0.0</v>
      </c>
    </row>
    <row r="889" ht="15.75" customHeight="1">
      <c r="A889" s="14" t="s">
        <v>174</v>
      </c>
      <c r="B889" s="14" t="s">
        <v>2057</v>
      </c>
      <c r="C889" s="14" t="s">
        <v>2058</v>
      </c>
      <c r="D889" s="14" t="s">
        <v>221</v>
      </c>
      <c r="E889" s="14" t="s">
        <v>115</v>
      </c>
      <c r="F889" s="14">
        <v>886.0</v>
      </c>
      <c r="G889" s="14" t="s">
        <v>537</v>
      </c>
      <c r="H889" s="14" t="s">
        <v>520</v>
      </c>
      <c r="I889" s="14">
        <v>0.0</v>
      </c>
      <c r="J889" s="14">
        <v>0.0</v>
      </c>
    </row>
    <row r="890" ht="15.75" customHeight="1">
      <c r="A890" s="14" t="s">
        <v>174</v>
      </c>
      <c r="B890" s="14" t="s">
        <v>2059</v>
      </c>
      <c r="C890" s="14" t="s">
        <v>2060</v>
      </c>
      <c r="D890" s="14" t="s">
        <v>188</v>
      </c>
      <c r="E890" s="14" t="s">
        <v>118</v>
      </c>
      <c r="F890" s="14">
        <v>887.0</v>
      </c>
      <c r="G890" s="14" t="s">
        <v>537</v>
      </c>
      <c r="H890" s="14" t="s">
        <v>528</v>
      </c>
      <c r="I890" s="14">
        <v>0.0</v>
      </c>
      <c r="J890" s="14">
        <v>0.0</v>
      </c>
    </row>
    <row r="891" ht="15.75" customHeight="1">
      <c r="A891" s="14" t="s">
        <v>174</v>
      </c>
      <c r="B891" s="14" t="s">
        <v>2061</v>
      </c>
      <c r="C891" s="14" t="s">
        <v>2062</v>
      </c>
      <c r="D891" s="14" t="s">
        <v>285</v>
      </c>
      <c r="E891" s="14" t="s">
        <v>118</v>
      </c>
      <c r="F891" s="14">
        <v>888.0</v>
      </c>
      <c r="G891" s="14" t="s">
        <v>537</v>
      </c>
      <c r="H891" s="14" t="s">
        <v>522</v>
      </c>
      <c r="I891" s="14">
        <v>0.0</v>
      </c>
      <c r="J891" s="14">
        <v>0.0</v>
      </c>
    </row>
    <row r="892" ht="15.75" customHeight="1">
      <c r="A892" s="14" t="s">
        <v>174</v>
      </c>
      <c r="B892" s="14" t="s">
        <v>2063</v>
      </c>
      <c r="C892" s="14" t="s">
        <v>2064</v>
      </c>
      <c r="D892" s="14" t="s">
        <v>185</v>
      </c>
      <c r="E892" s="14" t="s">
        <v>658</v>
      </c>
      <c r="F892" s="14">
        <v>889.0</v>
      </c>
      <c r="G892" s="14" t="s">
        <v>537</v>
      </c>
      <c r="H892" s="14" t="s">
        <v>512</v>
      </c>
      <c r="I892" s="14">
        <v>0.0</v>
      </c>
      <c r="J892" s="14">
        <v>0.0</v>
      </c>
    </row>
    <row r="893" ht="15.75" customHeight="1">
      <c r="A893" s="14" t="s">
        <v>174</v>
      </c>
      <c r="B893" s="14" t="s">
        <v>2065</v>
      </c>
      <c r="C893" s="14" t="s">
        <v>2066</v>
      </c>
      <c r="D893" s="14" t="s">
        <v>177</v>
      </c>
      <c r="E893" s="14" t="s">
        <v>118</v>
      </c>
      <c r="F893" s="14">
        <v>890.0</v>
      </c>
      <c r="G893" s="14" t="s">
        <v>537</v>
      </c>
      <c r="H893" s="14" t="s">
        <v>518</v>
      </c>
      <c r="I893" s="14">
        <v>0.0</v>
      </c>
      <c r="J893" s="14">
        <v>0.0</v>
      </c>
    </row>
    <row r="894" ht="15.75" customHeight="1">
      <c r="A894" s="14" t="s">
        <v>174</v>
      </c>
      <c r="B894" s="14" t="s">
        <v>2067</v>
      </c>
      <c r="C894" s="14" t="s">
        <v>2068</v>
      </c>
      <c r="D894" s="14" t="s">
        <v>243</v>
      </c>
      <c r="E894" s="14" t="s">
        <v>121</v>
      </c>
      <c r="F894" s="14">
        <v>891.0</v>
      </c>
      <c r="G894" s="14" t="s">
        <v>537</v>
      </c>
      <c r="H894" s="14" t="s">
        <v>531</v>
      </c>
      <c r="I894" s="14">
        <v>0.0</v>
      </c>
      <c r="J894" s="14">
        <v>0.0</v>
      </c>
    </row>
    <row r="895" ht="15.75" customHeight="1">
      <c r="A895" s="14" t="s">
        <v>174</v>
      </c>
      <c r="B895" s="14" t="s">
        <v>2069</v>
      </c>
      <c r="C895" s="14" t="s">
        <v>2070</v>
      </c>
      <c r="D895" s="14" t="s">
        <v>236</v>
      </c>
      <c r="E895" s="14" t="s">
        <v>115</v>
      </c>
      <c r="F895" s="14">
        <v>892.0</v>
      </c>
      <c r="G895" s="14" t="s">
        <v>537</v>
      </c>
      <c r="H895" s="14" t="s">
        <v>522</v>
      </c>
      <c r="I895" s="14">
        <v>0.0</v>
      </c>
      <c r="J895" s="14">
        <v>0.0</v>
      </c>
    </row>
    <row r="896" ht="15.75" customHeight="1">
      <c r="A896" s="14" t="s">
        <v>174</v>
      </c>
      <c r="B896" s="14" t="s">
        <v>2071</v>
      </c>
      <c r="C896" s="14" t="s">
        <v>2072</v>
      </c>
      <c r="D896" s="14" t="s">
        <v>243</v>
      </c>
      <c r="E896" s="14" t="s">
        <v>123</v>
      </c>
      <c r="F896" s="14">
        <v>893.0</v>
      </c>
      <c r="G896" s="14" t="s">
        <v>537</v>
      </c>
      <c r="H896" s="14" t="s">
        <v>531</v>
      </c>
      <c r="I896" s="14">
        <v>0.0</v>
      </c>
      <c r="J896" s="14">
        <v>0.0</v>
      </c>
    </row>
    <row r="897" ht="15.75" customHeight="1">
      <c r="A897" s="14" t="s">
        <v>174</v>
      </c>
      <c r="B897" s="14" t="s">
        <v>2073</v>
      </c>
      <c r="C897" s="14" t="s">
        <v>2074</v>
      </c>
      <c r="D897" s="14" t="s">
        <v>180</v>
      </c>
      <c r="E897" s="14" t="s">
        <v>118</v>
      </c>
      <c r="F897" s="14">
        <v>894.0</v>
      </c>
      <c r="G897" s="14" t="s">
        <v>537</v>
      </c>
      <c r="H897" s="14" t="s">
        <v>514</v>
      </c>
      <c r="I897" s="14">
        <v>0.0</v>
      </c>
      <c r="J897" s="14">
        <v>0.0</v>
      </c>
    </row>
    <row r="898" ht="15.75" customHeight="1">
      <c r="A898" s="14" t="s">
        <v>174</v>
      </c>
      <c r="B898" s="14" t="s">
        <v>2075</v>
      </c>
      <c r="C898" s="14" t="s">
        <v>2076</v>
      </c>
      <c r="D898" s="14" t="s">
        <v>285</v>
      </c>
      <c r="E898" s="14" t="s">
        <v>121</v>
      </c>
      <c r="F898" s="14">
        <v>895.0</v>
      </c>
      <c r="G898" s="14" t="s">
        <v>537</v>
      </c>
      <c r="H898" s="14" t="s">
        <v>522</v>
      </c>
      <c r="I898" s="14">
        <v>0.0</v>
      </c>
      <c r="J898" s="14">
        <v>0.0</v>
      </c>
    </row>
    <row r="899" ht="15.75" customHeight="1">
      <c r="A899" s="14" t="s">
        <v>174</v>
      </c>
      <c r="B899" s="14" t="s">
        <v>2077</v>
      </c>
      <c r="C899" s="14" t="s">
        <v>2078</v>
      </c>
      <c r="D899" s="14" t="s">
        <v>199</v>
      </c>
      <c r="E899" s="14" t="s">
        <v>115</v>
      </c>
      <c r="F899" s="14">
        <v>896.0</v>
      </c>
      <c r="G899" s="14" t="s">
        <v>537</v>
      </c>
      <c r="H899" s="14" t="s">
        <v>514</v>
      </c>
      <c r="I899" s="14">
        <v>0.0</v>
      </c>
      <c r="J899" s="14">
        <v>0.0</v>
      </c>
    </row>
    <row r="900" ht="15.75" customHeight="1">
      <c r="A900" s="14" t="s">
        <v>174</v>
      </c>
      <c r="B900" s="14" t="s">
        <v>2079</v>
      </c>
      <c r="C900" s="14" t="s">
        <v>2080</v>
      </c>
      <c r="D900" s="14" t="s">
        <v>177</v>
      </c>
      <c r="E900" s="14" t="s">
        <v>123</v>
      </c>
      <c r="F900" s="14">
        <v>897.0</v>
      </c>
      <c r="G900" s="14" t="s">
        <v>537</v>
      </c>
      <c r="H900" s="14" t="s">
        <v>518</v>
      </c>
      <c r="I900" s="14">
        <v>0.0</v>
      </c>
      <c r="J900" s="14">
        <v>0.0</v>
      </c>
    </row>
    <row r="901" ht="15.75" customHeight="1">
      <c r="A901" s="14" t="s">
        <v>174</v>
      </c>
      <c r="B901" s="14" t="s">
        <v>2081</v>
      </c>
      <c r="C901" s="14" t="s">
        <v>2082</v>
      </c>
      <c r="D901" s="14" t="s">
        <v>231</v>
      </c>
      <c r="E901" s="14" t="s">
        <v>121</v>
      </c>
      <c r="F901" s="14">
        <v>898.0</v>
      </c>
      <c r="G901" s="14" t="s">
        <v>537</v>
      </c>
      <c r="H901" s="14" t="s">
        <v>512</v>
      </c>
      <c r="I901" s="14">
        <v>0.0</v>
      </c>
      <c r="J901" s="14">
        <v>0.0</v>
      </c>
    </row>
    <row r="902" ht="15.75" customHeight="1">
      <c r="A902" s="14" t="s">
        <v>174</v>
      </c>
      <c r="B902" s="14" t="s">
        <v>2083</v>
      </c>
      <c r="C902" s="14" t="s">
        <v>2084</v>
      </c>
      <c r="D902" s="14" t="s">
        <v>243</v>
      </c>
      <c r="E902" s="14" t="s">
        <v>123</v>
      </c>
      <c r="F902" s="14">
        <v>899.0</v>
      </c>
      <c r="G902" s="14" t="s">
        <v>537</v>
      </c>
      <c r="H902" s="14" t="s">
        <v>531</v>
      </c>
      <c r="I902" s="14">
        <v>0.0</v>
      </c>
      <c r="J902" s="14">
        <v>0.0</v>
      </c>
    </row>
    <row r="903" ht="15.75" customHeight="1">
      <c r="A903" s="14" t="s">
        <v>174</v>
      </c>
      <c r="B903" s="14" t="s">
        <v>2085</v>
      </c>
      <c r="C903" s="14" t="s">
        <v>2086</v>
      </c>
      <c r="D903" s="14" t="s">
        <v>199</v>
      </c>
      <c r="E903" s="14" t="s">
        <v>123</v>
      </c>
      <c r="F903" s="14">
        <v>900.0</v>
      </c>
      <c r="G903" s="14" t="s">
        <v>537</v>
      </c>
      <c r="H903" s="14" t="s">
        <v>514</v>
      </c>
      <c r="I903" s="14">
        <v>0.0</v>
      </c>
      <c r="J903" s="14">
        <v>0.0</v>
      </c>
    </row>
    <row r="904" ht="15.75" customHeight="1">
      <c r="A904" s="14" t="s">
        <v>174</v>
      </c>
      <c r="B904" s="14" t="s">
        <v>2087</v>
      </c>
      <c r="C904" s="14" t="s">
        <v>2088</v>
      </c>
      <c r="D904" s="14" t="s">
        <v>285</v>
      </c>
      <c r="E904" s="14" t="s">
        <v>118</v>
      </c>
      <c r="F904" s="14">
        <v>901.0</v>
      </c>
      <c r="G904" s="14" t="s">
        <v>537</v>
      </c>
      <c r="H904" s="14" t="s">
        <v>522</v>
      </c>
      <c r="I904" s="14">
        <v>0.0</v>
      </c>
      <c r="J904" s="14">
        <v>0.0</v>
      </c>
    </row>
    <row r="905" ht="15.75" customHeight="1">
      <c r="A905" s="14" t="s">
        <v>174</v>
      </c>
      <c r="B905" s="14" t="s">
        <v>2089</v>
      </c>
      <c r="C905" s="14" t="s">
        <v>2090</v>
      </c>
      <c r="D905" s="14" t="s">
        <v>285</v>
      </c>
      <c r="E905" s="14" t="s">
        <v>118</v>
      </c>
      <c r="F905" s="14">
        <v>902.0</v>
      </c>
      <c r="G905" s="14" t="s">
        <v>537</v>
      </c>
      <c r="H905" s="14" t="s">
        <v>522</v>
      </c>
      <c r="I905" s="14">
        <v>0.0</v>
      </c>
      <c r="J905" s="14">
        <v>0.0</v>
      </c>
    </row>
    <row r="906" ht="15.75" customHeight="1">
      <c r="A906" s="14" t="s">
        <v>174</v>
      </c>
      <c r="B906" s="14" t="s">
        <v>2091</v>
      </c>
      <c r="C906" s="14" t="s">
        <v>2092</v>
      </c>
      <c r="D906" s="14" t="s">
        <v>236</v>
      </c>
      <c r="E906" s="14" t="s">
        <v>123</v>
      </c>
      <c r="F906" s="14">
        <v>903.0</v>
      </c>
      <c r="G906" s="14" t="s">
        <v>537</v>
      </c>
      <c r="H906" s="14" t="s">
        <v>522</v>
      </c>
      <c r="I906" s="14">
        <v>0.0</v>
      </c>
      <c r="J906" s="14">
        <v>0.0</v>
      </c>
    </row>
    <row r="907" ht="15.75" customHeight="1">
      <c r="A907" s="14" t="s">
        <v>174</v>
      </c>
      <c r="B907" s="14" t="s">
        <v>2093</v>
      </c>
      <c r="C907" s="14" t="s">
        <v>2094</v>
      </c>
      <c r="D907" s="14" t="s">
        <v>180</v>
      </c>
      <c r="E907" s="14" t="s">
        <v>118</v>
      </c>
      <c r="F907" s="14">
        <v>904.0</v>
      </c>
      <c r="G907" s="14" t="s">
        <v>537</v>
      </c>
      <c r="H907" s="14" t="s">
        <v>514</v>
      </c>
      <c r="I907" s="14">
        <v>0.0</v>
      </c>
      <c r="J907" s="14">
        <v>0.0</v>
      </c>
    </row>
    <row r="908" ht="15.75" customHeight="1">
      <c r="A908" s="14" t="s">
        <v>174</v>
      </c>
      <c r="B908" s="14" t="s">
        <v>2095</v>
      </c>
      <c r="C908" s="14" t="s">
        <v>2096</v>
      </c>
      <c r="D908" s="14" t="s">
        <v>236</v>
      </c>
      <c r="E908" s="14" t="s">
        <v>115</v>
      </c>
      <c r="F908" s="14">
        <v>905.0</v>
      </c>
      <c r="G908" s="14" t="s">
        <v>537</v>
      </c>
      <c r="H908" s="14" t="s">
        <v>522</v>
      </c>
      <c r="I908" s="14">
        <v>0.0</v>
      </c>
      <c r="J908" s="14">
        <v>0.0</v>
      </c>
    </row>
    <row r="909" ht="15.75" customHeight="1">
      <c r="A909" s="14" t="s">
        <v>174</v>
      </c>
      <c r="B909" s="14" t="s">
        <v>2097</v>
      </c>
      <c r="C909" s="14" t="s">
        <v>2098</v>
      </c>
      <c r="D909" s="14" t="s">
        <v>185</v>
      </c>
      <c r="E909" s="14" t="s">
        <v>121</v>
      </c>
      <c r="F909" s="14">
        <v>906.0</v>
      </c>
      <c r="G909" s="14" t="s">
        <v>537</v>
      </c>
      <c r="H909" s="14" t="s">
        <v>512</v>
      </c>
      <c r="I909" s="14">
        <v>0.0</v>
      </c>
      <c r="J909" s="14">
        <v>0.0</v>
      </c>
    </row>
    <row r="910" ht="15.75" customHeight="1">
      <c r="A910" s="14" t="s">
        <v>174</v>
      </c>
      <c r="B910" s="14" t="s">
        <v>2099</v>
      </c>
      <c r="C910" s="14" t="s">
        <v>2100</v>
      </c>
      <c r="D910" s="14" t="s">
        <v>199</v>
      </c>
      <c r="E910" s="14" t="s">
        <v>118</v>
      </c>
      <c r="F910" s="14">
        <v>907.0</v>
      </c>
      <c r="G910" s="14" t="s">
        <v>537</v>
      </c>
      <c r="H910" s="14" t="s">
        <v>514</v>
      </c>
      <c r="I910" s="14">
        <v>0.0</v>
      </c>
      <c r="J910" s="14">
        <v>0.0</v>
      </c>
    </row>
    <row r="911" ht="15.75" customHeight="1">
      <c r="A911" s="14" t="s">
        <v>174</v>
      </c>
      <c r="B911" s="14" t="s">
        <v>2101</v>
      </c>
      <c r="C911" s="14" t="s">
        <v>2102</v>
      </c>
      <c r="D911" s="14" t="s">
        <v>199</v>
      </c>
      <c r="E911" s="14" t="s">
        <v>118</v>
      </c>
      <c r="F911" s="14">
        <v>908.0</v>
      </c>
      <c r="G911" s="14" t="s">
        <v>537</v>
      </c>
      <c r="H911" s="14" t="s">
        <v>514</v>
      </c>
      <c r="I911" s="14">
        <v>-0.5</v>
      </c>
      <c r="J911" s="14">
        <v>-0.08</v>
      </c>
    </row>
    <row r="912" ht="15.75" customHeight="1">
      <c r="A912" s="14" t="s">
        <v>174</v>
      </c>
      <c r="B912" s="14" t="s">
        <v>2103</v>
      </c>
      <c r="C912" s="14" t="s">
        <v>2104</v>
      </c>
      <c r="D912" s="14" t="s">
        <v>226</v>
      </c>
      <c r="E912" s="14" t="s">
        <v>118</v>
      </c>
      <c r="F912" s="14">
        <v>909.0</v>
      </c>
      <c r="G912" s="14" t="s">
        <v>537</v>
      </c>
      <c r="H912" s="14" t="s">
        <v>539</v>
      </c>
      <c r="I912" s="14">
        <v>-0.5</v>
      </c>
      <c r="J912" s="14">
        <v>-0.25</v>
      </c>
    </row>
    <row r="913" ht="15.75" customHeight="1">
      <c r="A913" s="14" t="s">
        <v>174</v>
      </c>
      <c r="B913" s="14" t="s">
        <v>2105</v>
      </c>
      <c r="C913" s="14" t="s">
        <v>2106</v>
      </c>
      <c r="D913" s="14" t="s">
        <v>226</v>
      </c>
      <c r="E913" s="14" t="s">
        <v>123</v>
      </c>
      <c r="F913" s="14">
        <v>910.0</v>
      </c>
      <c r="G913" s="14" t="s">
        <v>537</v>
      </c>
      <c r="H913" s="14" t="s">
        <v>539</v>
      </c>
      <c r="I913" s="14">
        <v>-0.5</v>
      </c>
      <c r="J913" s="14">
        <v>-0.5</v>
      </c>
    </row>
    <row r="914" ht="15.75" customHeight="1">
      <c r="A914" s="14" t="s">
        <v>174</v>
      </c>
      <c r="B914" s="14" t="s">
        <v>2107</v>
      </c>
      <c r="C914" s="14" t="s">
        <v>2108</v>
      </c>
      <c r="D914" s="14" t="s">
        <v>243</v>
      </c>
      <c r="E914" s="14" t="s">
        <v>123</v>
      </c>
      <c r="F914" s="14">
        <v>911.0</v>
      </c>
      <c r="G914" s="14" t="s">
        <v>537</v>
      </c>
      <c r="H914" s="14" t="s">
        <v>531</v>
      </c>
      <c r="I914" s="14">
        <v>-0.5</v>
      </c>
      <c r="J914" s="14">
        <v>-0.25</v>
      </c>
    </row>
    <row r="915" ht="15.75" customHeight="1">
      <c r="A915" s="14" t="s">
        <v>174</v>
      </c>
      <c r="B915" s="14" t="s">
        <v>2109</v>
      </c>
      <c r="C915" s="14" t="s">
        <v>2110</v>
      </c>
      <c r="D915" s="14" t="s">
        <v>185</v>
      </c>
      <c r="E915" s="14" t="s">
        <v>118</v>
      </c>
      <c r="F915" s="14">
        <v>912.0</v>
      </c>
      <c r="G915" s="14" t="s">
        <v>537</v>
      </c>
      <c r="H915" s="14" t="s">
        <v>512</v>
      </c>
      <c r="I915" s="14">
        <v>-1.25</v>
      </c>
      <c r="J915" s="14">
        <v>-0.42</v>
      </c>
    </row>
    <row r="916" ht="15.75" customHeight="1">
      <c r="A916" s="14" t="s">
        <v>174</v>
      </c>
      <c r="B916" s="14" t="s">
        <v>2111</v>
      </c>
      <c r="C916" s="14" t="s">
        <v>2112</v>
      </c>
      <c r="D916" s="14" t="s">
        <v>453</v>
      </c>
      <c r="E916" s="14" t="s">
        <v>118</v>
      </c>
      <c r="F916" s="14">
        <v>913.0</v>
      </c>
      <c r="G916" s="14" t="s">
        <v>537</v>
      </c>
      <c r="H916" s="14" t="s">
        <v>523</v>
      </c>
      <c r="I916" s="14">
        <v>-1.5</v>
      </c>
      <c r="J916" s="14">
        <v>-0.75</v>
      </c>
    </row>
    <row r="917" ht="15.75" customHeight="1">
      <c r="A917" s="14" t="s">
        <v>174</v>
      </c>
      <c r="B917" s="14" t="s">
        <v>2113</v>
      </c>
      <c r="C917" s="14" t="s">
        <v>2114</v>
      </c>
      <c r="D917" s="14" t="s">
        <v>188</v>
      </c>
      <c r="E917" s="14" t="s">
        <v>121</v>
      </c>
      <c r="F917" s="14">
        <v>914.0</v>
      </c>
      <c r="G917" s="14" t="s">
        <v>537</v>
      </c>
      <c r="H917" s="14" t="s">
        <v>528</v>
      </c>
      <c r="I917" s="14">
        <v>-1.5</v>
      </c>
      <c r="J917" s="14">
        <v>-0.5</v>
      </c>
    </row>
    <row r="918" ht="15.75" customHeight="1">
      <c r="A918" s="14" t="s">
        <v>174</v>
      </c>
      <c r="B918" s="14" t="s">
        <v>2115</v>
      </c>
      <c r="C918" s="14" t="s">
        <v>2116</v>
      </c>
      <c r="D918" s="14" t="s">
        <v>188</v>
      </c>
      <c r="E918" s="14" t="s">
        <v>118</v>
      </c>
      <c r="F918" s="14">
        <v>915.0</v>
      </c>
      <c r="G918" s="14" t="s">
        <v>537</v>
      </c>
      <c r="H918" s="14" t="s">
        <v>528</v>
      </c>
      <c r="I918" s="14">
        <v>-1.75</v>
      </c>
      <c r="J918" s="14">
        <v>-0.58</v>
      </c>
    </row>
    <row r="919" ht="15.75" customHeight="1">
      <c r="A919" s="14" t="s">
        <v>174</v>
      </c>
      <c r="B919" s="14" t="s">
        <v>2117</v>
      </c>
      <c r="C919" s="14" t="s">
        <v>2118</v>
      </c>
      <c r="D919" s="14" t="s">
        <v>226</v>
      </c>
      <c r="E919" s="14" t="s">
        <v>118</v>
      </c>
      <c r="F919" s="14">
        <v>916.0</v>
      </c>
      <c r="G919" s="14" t="s">
        <v>537</v>
      </c>
      <c r="H919" s="14" t="s">
        <v>539</v>
      </c>
      <c r="I919" s="14">
        <v>-2.0</v>
      </c>
      <c r="J919" s="14">
        <v>-1.0</v>
      </c>
    </row>
    <row r="920" ht="15.75" customHeight="1">
      <c r="A920" s="14" t="s">
        <v>174</v>
      </c>
      <c r="B920" s="14" t="s">
        <v>2119</v>
      </c>
      <c r="C920" s="14" t="s">
        <v>2120</v>
      </c>
      <c r="D920" s="14" t="s">
        <v>327</v>
      </c>
      <c r="E920" s="14" t="s">
        <v>115</v>
      </c>
      <c r="F920" s="14">
        <v>917.0</v>
      </c>
      <c r="G920" s="14" t="s">
        <v>537</v>
      </c>
      <c r="H920" s="14" t="s">
        <v>518</v>
      </c>
      <c r="I920" s="14">
        <v>-3.0</v>
      </c>
      <c r="J920" s="14">
        <v>-3.0</v>
      </c>
    </row>
    <row r="921" ht="15.75" customHeight="1">
      <c r="A921" s="14" t="s">
        <v>174</v>
      </c>
      <c r="B921" s="14" t="s">
        <v>2121</v>
      </c>
      <c r="C921" s="14" t="s">
        <v>2122</v>
      </c>
      <c r="D921" s="14" t="s">
        <v>226</v>
      </c>
      <c r="E921" s="14" t="s">
        <v>118</v>
      </c>
      <c r="F921" s="14">
        <v>918.0</v>
      </c>
      <c r="G921" s="14" t="s">
        <v>537</v>
      </c>
      <c r="H921" s="14" t="s">
        <v>539</v>
      </c>
      <c r="I921" s="14">
        <v>-3.25</v>
      </c>
      <c r="J921" s="14">
        <v>-3.25</v>
      </c>
    </row>
    <row r="922" ht="15.75" customHeight="1">
      <c r="A922" s="14" t="s">
        <v>174</v>
      </c>
      <c r="B922" s="14" t="s">
        <v>2123</v>
      </c>
      <c r="C922" s="14" t="s">
        <v>2124</v>
      </c>
      <c r="D922" s="14" t="s">
        <v>285</v>
      </c>
      <c r="E922" s="14" t="s">
        <v>118</v>
      </c>
      <c r="F922" s="14">
        <v>919.0</v>
      </c>
      <c r="G922" s="14" t="s">
        <v>537</v>
      </c>
      <c r="H922" s="14" t="s">
        <v>522</v>
      </c>
      <c r="I922" s="14">
        <v>-4.0</v>
      </c>
      <c r="J922" s="14">
        <v>-1.33</v>
      </c>
    </row>
    <row r="923" ht="15.75" customHeight="1">
      <c r="A923" s="14" t="s">
        <v>174</v>
      </c>
      <c r="B923" s="14" t="s">
        <v>2125</v>
      </c>
      <c r="C923" s="14" t="s">
        <v>2126</v>
      </c>
      <c r="D923" s="14" t="s">
        <v>215</v>
      </c>
      <c r="E923" s="14" t="s">
        <v>118</v>
      </c>
      <c r="F923" s="14">
        <v>920.0</v>
      </c>
      <c r="G923" s="14" t="s">
        <v>537</v>
      </c>
      <c r="H923" s="14" t="s">
        <v>523</v>
      </c>
      <c r="I923" s="14">
        <v>-5.25</v>
      </c>
      <c r="J923" s="14">
        <v>-2.62</v>
      </c>
    </row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J1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" width="18.71"/>
    <col customWidth="1" min="9" max="26" width="8.71"/>
  </cols>
  <sheetData>
    <row r="1" ht="27.75" customHeight="1">
      <c r="A1" s="1" t="s">
        <v>2127</v>
      </c>
      <c r="B1" s="2"/>
      <c r="C1" s="2"/>
      <c r="D1" s="2"/>
      <c r="E1" s="2"/>
      <c r="F1" s="2"/>
      <c r="G1" s="2"/>
      <c r="H1" s="3"/>
    </row>
    <row r="2">
      <c r="A2" s="5" t="s">
        <v>2128</v>
      </c>
      <c r="B2" s="5" t="s">
        <v>2129</v>
      </c>
      <c r="C2" s="5" t="s">
        <v>2130</v>
      </c>
      <c r="D2" s="5" t="s">
        <v>2131</v>
      </c>
      <c r="E2" s="5" t="s">
        <v>2132</v>
      </c>
      <c r="F2" s="5" t="s">
        <v>2133</v>
      </c>
      <c r="G2" s="5" t="s">
        <v>2134</v>
      </c>
      <c r="H2" s="5" t="s">
        <v>2135</v>
      </c>
    </row>
    <row r="3">
      <c r="A3" s="10" t="s">
        <v>99</v>
      </c>
      <c r="B3" s="10" t="s">
        <v>115</v>
      </c>
      <c r="C3" s="10" t="s">
        <v>2136</v>
      </c>
      <c r="D3" s="10">
        <v>1.0</v>
      </c>
      <c r="E3" s="10" t="s">
        <v>79</v>
      </c>
      <c r="F3" s="10" t="s">
        <v>100</v>
      </c>
      <c r="G3" s="10" t="s">
        <v>2137</v>
      </c>
      <c r="H3" s="10" t="s">
        <v>2138</v>
      </c>
    </row>
    <row r="4">
      <c r="A4" s="10" t="s">
        <v>102</v>
      </c>
      <c r="B4" s="10" t="s">
        <v>118</v>
      </c>
      <c r="C4" s="10" t="s">
        <v>2139</v>
      </c>
      <c r="D4" s="10">
        <v>0.9</v>
      </c>
      <c r="E4" s="10" t="s">
        <v>2140</v>
      </c>
      <c r="F4" s="10" t="s">
        <v>74</v>
      </c>
      <c r="G4" s="10" t="s">
        <v>2141</v>
      </c>
      <c r="H4" s="10" t="s">
        <v>2142</v>
      </c>
    </row>
    <row r="5">
      <c r="A5" s="10" t="s">
        <v>104</v>
      </c>
      <c r="B5" s="10" t="s">
        <v>121</v>
      </c>
      <c r="C5" s="10" t="s">
        <v>2143</v>
      </c>
      <c r="D5" s="10">
        <v>0.75</v>
      </c>
      <c r="E5" s="10"/>
      <c r="F5" s="10" t="s">
        <v>105</v>
      </c>
      <c r="G5" s="10"/>
      <c r="H5" s="10" t="s">
        <v>2144</v>
      </c>
    </row>
    <row r="6">
      <c r="A6" s="10" t="s">
        <v>114</v>
      </c>
      <c r="B6" s="10" t="s">
        <v>123</v>
      </c>
      <c r="C6" s="10" t="s">
        <v>2145</v>
      </c>
      <c r="D6" s="10">
        <v>0.4</v>
      </c>
      <c r="E6" s="10"/>
      <c r="F6" s="10"/>
      <c r="G6" s="10"/>
      <c r="H6" s="10" t="s">
        <v>2146</v>
      </c>
    </row>
    <row r="7">
      <c r="A7" s="10" t="s">
        <v>117</v>
      </c>
      <c r="B7" s="10"/>
      <c r="C7" s="10" t="s">
        <v>2147</v>
      </c>
      <c r="D7" s="10">
        <v>0.95</v>
      </c>
      <c r="E7" s="10"/>
      <c r="F7" s="10"/>
      <c r="G7" s="10"/>
      <c r="H7" s="10" t="s">
        <v>2148</v>
      </c>
    </row>
    <row r="8">
      <c r="A8" s="10" t="s">
        <v>120</v>
      </c>
      <c r="B8" s="10"/>
      <c r="C8" s="10"/>
      <c r="D8" s="10"/>
      <c r="E8" s="10"/>
      <c r="F8" s="10"/>
      <c r="G8" s="10"/>
      <c r="H8" s="10" t="s">
        <v>2149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H1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14.71"/>
    <col customWidth="1" min="2" max="2" width="34.71"/>
    <col customWidth="1" min="3" max="6" width="13.71"/>
    <col customWidth="1" min="7" max="11" width="16.71"/>
    <col customWidth="1" min="12" max="35" width="13.71"/>
    <col customWidth="1" min="36" max="38" width="20.71"/>
  </cols>
  <sheetData>
    <row r="1" ht="27.75" customHeight="1">
      <c r="A1" s="1" t="s">
        <v>2150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3"/>
    </row>
    <row r="3">
      <c r="A3" s="5" t="s">
        <v>165</v>
      </c>
      <c r="B3" s="5" t="s">
        <v>506</v>
      </c>
      <c r="C3" s="5" t="s">
        <v>168</v>
      </c>
      <c r="D3" s="5" t="s">
        <v>2151</v>
      </c>
      <c r="E3" s="5" t="s">
        <v>2152</v>
      </c>
      <c r="F3" s="5" t="s">
        <v>88</v>
      </c>
      <c r="G3" s="5" t="s">
        <v>2153</v>
      </c>
      <c r="H3" s="5" t="s">
        <v>2154</v>
      </c>
      <c r="I3" s="5" t="s">
        <v>2155</v>
      </c>
      <c r="J3" s="5" t="s">
        <v>2130</v>
      </c>
      <c r="K3" s="5" t="s">
        <v>2156</v>
      </c>
      <c r="L3" s="5" t="s">
        <v>2157</v>
      </c>
      <c r="M3" s="5" t="s">
        <v>2158</v>
      </c>
      <c r="N3" s="5" t="s">
        <v>59</v>
      </c>
      <c r="O3" s="5" t="s">
        <v>51</v>
      </c>
      <c r="P3" s="5" t="s">
        <v>2159</v>
      </c>
      <c r="Q3" s="5" t="s">
        <v>113</v>
      </c>
      <c r="R3" s="5" t="s">
        <v>2160</v>
      </c>
      <c r="S3" s="5" t="s">
        <v>2161</v>
      </c>
      <c r="T3" s="5" t="s">
        <v>2162</v>
      </c>
      <c r="U3" s="5" t="s">
        <v>2163</v>
      </c>
      <c r="V3" s="5" t="s">
        <v>2164</v>
      </c>
      <c r="W3" s="5" t="s">
        <v>2165</v>
      </c>
      <c r="X3" s="5" t="s">
        <v>2166</v>
      </c>
      <c r="Y3" s="5" t="s">
        <v>2167</v>
      </c>
      <c r="Z3" s="5" t="s">
        <v>2168</v>
      </c>
      <c r="AA3" s="5" t="s">
        <v>508</v>
      </c>
      <c r="AB3" s="5" t="s">
        <v>2169</v>
      </c>
      <c r="AC3" s="5" t="s">
        <v>2170</v>
      </c>
      <c r="AD3" s="5" t="s">
        <v>2171</v>
      </c>
      <c r="AE3" s="5" t="s">
        <v>2172</v>
      </c>
      <c r="AF3" s="5" t="s">
        <v>2173</v>
      </c>
      <c r="AG3" s="5" t="s">
        <v>2174</v>
      </c>
      <c r="AH3" s="5" t="s">
        <v>2175</v>
      </c>
      <c r="AI3" s="5" t="s">
        <v>2176</v>
      </c>
      <c r="AJ3" s="5" t="s">
        <v>2177</v>
      </c>
      <c r="AK3" s="5" t="s">
        <v>2178</v>
      </c>
      <c r="AL3" s="5" t="s">
        <v>45</v>
      </c>
    </row>
    <row r="4">
      <c r="A4" s="10" t="s">
        <v>183</v>
      </c>
      <c r="B4" s="10" t="s">
        <v>510</v>
      </c>
      <c r="C4" s="10" t="s">
        <v>185</v>
      </c>
      <c r="D4" s="10" t="s">
        <v>121</v>
      </c>
      <c r="E4" s="10" t="s">
        <v>121</v>
      </c>
      <c r="F4" s="10" t="s">
        <v>99</v>
      </c>
      <c r="G4" s="11">
        <v>8.0</v>
      </c>
      <c r="H4" s="10">
        <v>7.0</v>
      </c>
      <c r="I4" s="10" t="s">
        <v>2140</v>
      </c>
      <c r="J4" s="10" t="s">
        <v>2136</v>
      </c>
      <c r="K4" s="10"/>
      <c r="L4" s="10">
        <v>663.0</v>
      </c>
      <c r="M4" s="10">
        <v>18.94</v>
      </c>
      <c r="N4" s="10"/>
      <c r="O4" s="10"/>
      <c r="P4" s="12">
        <f>IF($A4="","",IFERROR((IF($O4="",0,$O4)*Settings!$J$4+IF($L4="",0,$L4)*Settings!$J$5+IF($N4="",0,$N4)*Settings!$J$6)/(IF($O4="",0,Settings!$J$4)+IF($L4="",0,Settings!$J$5)+IF($N4="",0,Settings!$J$6)),0))</f>
        <v>663</v>
      </c>
      <c r="Q4" s="12">
        <f t="array" ref="Q4">IF($A4="","",XLOOKUP($E4,Settings!$A$19:$A$22,Settings!$G$19:$G$22,0))</f>
        <v>206</v>
      </c>
      <c r="R4" s="12">
        <f t="shared" ref="R4:R923" si="1">IF($A4="","",MAX(0,$P4-$Q4))</f>
        <v>457</v>
      </c>
      <c r="S4" s="12">
        <f>IF($A4="","",IF($R4&lt;=0,1,1+$R4/SUMIF($R$4:$R$923,"&gt;0",$R$4:$R$923)*(Settings!$B$5*(Settings!$B$6-Settings!$B$7))))</f>
        <v>57.42602892</v>
      </c>
      <c r="T4" s="12">
        <f t="array" ref="T4">IF($A4="","",XLOOKUP($F4,Settings!$I$15:$I$20,Settings!$J$15:$J$20,1))</f>
        <v>1.15</v>
      </c>
      <c r="U4" s="12">
        <f>IF($A4="","",1+(($G4-5)/5)*Settings!$J$8)</f>
        <v>1.09</v>
      </c>
      <c r="V4" s="12">
        <f>IF($A4="","",1+(($H4-5)/5)*Settings!$J$9)</f>
        <v>1.06</v>
      </c>
      <c r="W4" s="12">
        <f t="array" ref="W4">IF($A4="","",XLOOKUP($J4,Lists!$C$3:$C$7,Lists!$D$3:$D$7,1))</f>
        <v>1</v>
      </c>
      <c r="X4" s="12">
        <f>IF($A4="","",IF($I4="Yes",Settings!$J$10,1))</f>
        <v>1</v>
      </c>
      <c r="Y4" s="12">
        <f t="shared" ref="Y4:Y923" si="2">IF($A4="","",MAX(1,ROUND($S4*$T4*$U4*$V4*$W4*$X4,0)))</f>
        <v>76</v>
      </c>
      <c r="Z4" s="12">
        <f>IF($A4="","",IFERROR(ROUND(AVERAGEIFS('Historical Drafts'!$G$4:$G$300,'Historical Drafts'!$D$4:$D$300,$E4,'Historical Drafts'!$J$4:$J$300,"&gt;="&amp;$L4*0.85,'Historical Drafts'!$J$4:$J$300,"&lt;="&amp;$L4*1.15),0),$Y4))</f>
        <v>62</v>
      </c>
      <c r="AA4" s="12" t="str">
        <f>IF($A4="","",IF(COUNTIF('Auction Log'!$B$3:$B$300,$A4)&gt;0,"Sold","Available"))</f>
        <v>Available</v>
      </c>
      <c r="AB4" s="12" t="str">
        <f t="array" ref="AB4">IF($A4="","",IFERROR(XLOOKUP($A4,'Auction Log'!$B$3:$B$300,'Auction Log'!$G$3:$G$300,""),""))</f>
        <v/>
      </c>
      <c r="AC4" s="12" t="str">
        <f t="array" ref="AC4">IF($A4="","",IFERROR(XLOOKUP($A4,'Auction Log'!$B$3:$B$300,'Auction Log'!$F$3:$F$300,""),""))</f>
        <v/>
      </c>
      <c r="AD4" s="12">
        <f t="array" ref="AD4">IF($A4="","",ROUND($Y4*XLOOKUP($F4,Settings!$I$15:$I$20,Settings!$K$15:$K$20,0.4),0))</f>
        <v>34</v>
      </c>
      <c r="AE4" s="12">
        <f t="array" ref="AE4">IF($A4="","",ROUND($Y4*XLOOKUP($F4,Settings!$I$15:$I$20,Settings!$L$15:$L$20,0.8),0))</f>
        <v>61</v>
      </c>
      <c r="AF4" s="12">
        <f t="array" ref="AF4">IF($A4="","",ROUND($Y4*XLOOKUP($F4,Settings!$I$15:$I$20,Settings!$M$15:$M$20,1),0))</f>
        <v>76</v>
      </c>
      <c r="AG4" s="12">
        <f t="array" ref="AG4">IF($A4="","",ROUND($Y4*XLOOKUP($F4,Settings!$I$15:$I$20,Settings!$N$15:$N$20,1.1),0))</f>
        <v>84</v>
      </c>
      <c r="AH4" s="12">
        <f t="array" ref="AH4">IF($A4="","",ROUND($Y4*XLOOKUP($F4,Settings!$I$15:$I$20,Settings!$O$15:$O$20,1.1)*Settings!$J$7,0))</f>
        <v>90</v>
      </c>
      <c r="AI4" s="12">
        <f t="array" ref="AI4">IF($A4="","",IF($AA4="Sold","",MIN($AH4,IFERROR(XLOOKUP(Settings!$B$12,Managers!$B$4:$B$15,Managers!$H$4:$H$15),$AH4))))</f>
        <v>90</v>
      </c>
      <c r="AJ4" s="12" t="str">
        <f t="shared" ref="AJ4:AJ923" si="3">IF($A4="","",IF($AA4="Sold","Sold",IF($I4="Yes","Budget Drainer",IF($G4&gt;=8,"Target",IF($Z4&gt;$Y4*1.15,"Budget Drainer",IF($Y4&gt;$Z4*1.15,"Value Target","Recommended"))))))</f>
        <v>Target</v>
      </c>
      <c r="AK4" s="12">
        <f t="shared" ref="AK4:AK923" si="4">IF($A4="","",IF($AA4="Sold",0,ROUND($Y4+$G4*5+IF($AJ4="Budget Drainer",MAX(0,$Z4-$Y4),0),0)))</f>
        <v>116</v>
      </c>
      <c r="AL4" s="12" t="str">
        <f t="shared" ref="AL4:AL923" si="5">IF($A4="","",IF($I4="Yes","Avoid unless cheap",IF($J4&lt;&gt;"Low","Check transfer risk","")))</f>
        <v/>
      </c>
    </row>
    <row r="5">
      <c r="A5" s="10" t="s">
        <v>178</v>
      </c>
      <c r="B5" s="10" t="s">
        <v>179</v>
      </c>
      <c r="C5" s="10" t="s">
        <v>180</v>
      </c>
      <c r="D5" s="10" t="s">
        <v>123</v>
      </c>
      <c r="E5" s="10" t="s">
        <v>123</v>
      </c>
      <c r="F5" s="10" t="s">
        <v>99</v>
      </c>
      <c r="G5" s="11">
        <v>9.0</v>
      </c>
      <c r="H5" s="10">
        <v>7.0</v>
      </c>
      <c r="I5" s="10" t="s">
        <v>2140</v>
      </c>
      <c r="J5" s="10" t="s">
        <v>2136</v>
      </c>
      <c r="K5" s="10"/>
      <c r="L5" s="10">
        <v>539.0</v>
      </c>
      <c r="M5" s="10">
        <v>15.4</v>
      </c>
      <c r="N5" s="10"/>
      <c r="O5" s="10"/>
      <c r="P5" s="12">
        <f>IF($A5="","",IFERROR((IF($O5="",0,$O5)*Settings!$J$4+IF($L5="",0,$L5)*Settings!$J$5+IF($N5="",0,$N5)*Settings!$J$6)/(IF($O5="",0,Settings!$J$4)+IF($L5="",0,Settings!$J$5)+IF($N5="",0,Settings!$J$6)),0))</f>
        <v>539</v>
      </c>
      <c r="Q5" s="12">
        <f t="array" ref="Q5">IF($A5="","",XLOOKUP($E5,Settings!$A$19:$A$22,Settings!$G$19:$G$22,0))</f>
        <v>203</v>
      </c>
      <c r="R5" s="12">
        <f t="shared" si="1"/>
        <v>336</v>
      </c>
      <c r="S5" s="12">
        <f>IF($A5="","",IF($R5&lt;=0,1,1+$R5/SUMIF($R$4:$R$923,"&gt;0",$R$4:$R$923)*(Settings!$B$5*(Settings!$B$6-Settings!$B$7))))</f>
        <v>42.48609566</v>
      </c>
      <c r="T5" s="12">
        <f t="array" ref="T5">IF($A5="","",XLOOKUP($F5,Settings!$I$15:$I$20,Settings!$J$15:$J$20,1))</f>
        <v>1.15</v>
      </c>
      <c r="U5" s="12">
        <f>IF($A5="","",1+(($G5-5)/5)*Settings!$J$8)</f>
        <v>1.12</v>
      </c>
      <c r="V5" s="12">
        <f>IF($A5="","",1+(($H5-5)/5)*Settings!$J$9)</f>
        <v>1.06</v>
      </c>
      <c r="W5" s="12">
        <f t="array" ref="W5">IF($A5="","",XLOOKUP($J5,Lists!$C$3:$C$7,Lists!$D$3:$D$7,1))</f>
        <v>1</v>
      </c>
      <c r="X5" s="12">
        <f>IF($A5="","",IF($I5="Yes",Settings!$J$10,1))</f>
        <v>1</v>
      </c>
      <c r="Y5" s="12">
        <f t="shared" si="2"/>
        <v>58</v>
      </c>
      <c r="Z5" s="12">
        <f>IF($A5="","",IFERROR(ROUND(AVERAGEIFS('Historical Drafts'!$G$4:$G$300,'Historical Drafts'!$D$4:$D$300,$E5,'Historical Drafts'!$J$4:$J$300,"&gt;="&amp;$L5*0.85,'Historical Drafts'!$J$4:$J$300,"&lt;="&amp;$L5*1.15),0),$Y5))</f>
        <v>50</v>
      </c>
      <c r="AA5" s="12" t="str">
        <f>IF($A5="","",IF(COUNTIF('Auction Log'!$B$3:$B$300,$A5)&gt;0,"Sold","Available"))</f>
        <v>Available</v>
      </c>
      <c r="AB5" s="12" t="str">
        <f t="array" ref="AB5">IF($A5="","",IFERROR(XLOOKUP($A5,'Auction Log'!$B$3:$B$300,'Auction Log'!$G$3:$G$300,""),""))</f>
        <v/>
      </c>
      <c r="AC5" s="12" t="str">
        <f t="array" ref="AC5">IF($A5="","",IFERROR(XLOOKUP($A5,'Auction Log'!$B$3:$B$300,'Auction Log'!$F$3:$F$300,""),""))</f>
        <v/>
      </c>
      <c r="AD5" s="12">
        <f t="array" ref="AD5">IF($A5="","",ROUND($Y5*XLOOKUP($F5,Settings!$I$15:$I$20,Settings!$K$15:$K$20,0.4),0))</f>
        <v>26</v>
      </c>
      <c r="AE5" s="12">
        <f t="array" ref="AE5">IF($A5="","",ROUND($Y5*XLOOKUP($F5,Settings!$I$15:$I$20,Settings!$L$15:$L$20,0.8),0))</f>
        <v>46</v>
      </c>
      <c r="AF5" s="12">
        <f t="array" ref="AF5">IF($A5="","",ROUND($Y5*XLOOKUP($F5,Settings!$I$15:$I$20,Settings!$M$15:$M$20,1),0))</f>
        <v>58</v>
      </c>
      <c r="AG5" s="12">
        <f t="array" ref="AG5">IF($A5="","",ROUND($Y5*XLOOKUP($F5,Settings!$I$15:$I$20,Settings!$N$15:$N$20,1.1),0))</f>
        <v>64</v>
      </c>
      <c r="AH5" s="12">
        <f t="array" ref="AH5">IF($A5="","",ROUND($Y5*XLOOKUP($F5,Settings!$I$15:$I$20,Settings!$O$15:$O$20,1.1)*Settings!$J$7,0))</f>
        <v>68</v>
      </c>
      <c r="AI5" s="12">
        <f t="array" ref="AI5">IF($A5="","",IF($AA5="Sold","",MIN($AH5,IFERROR(XLOOKUP(Settings!$B$12,Managers!$B$4:$B$15,Managers!$H$4:$H$15),$AH5))))</f>
        <v>68</v>
      </c>
      <c r="AJ5" s="12" t="str">
        <f t="shared" si="3"/>
        <v>Target</v>
      </c>
      <c r="AK5" s="12">
        <f t="shared" si="4"/>
        <v>103</v>
      </c>
      <c r="AL5" s="12" t="str">
        <f t="shared" si="5"/>
        <v/>
      </c>
    </row>
    <row r="6">
      <c r="A6" s="10" t="s">
        <v>248</v>
      </c>
      <c r="B6" s="10" t="s">
        <v>249</v>
      </c>
      <c r="C6" s="10" t="s">
        <v>250</v>
      </c>
      <c r="D6" s="10" t="s">
        <v>123</v>
      </c>
      <c r="E6" s="10" t="s">
        <v>123</v>
      </c>
      <c r="F6" s="10" t="s">
        <v>99</v>
      </c>
      <c r="G6" s="11">
        <v>6.0</v>
      </c>
      <c r="H6" s="10">
        <v>7.0</v>
      </c>
      <c r="I6" s="10" t="s">
        <v>2140</v>
      </c>
      <c r="J6" s="10" t="s">
        <v>2136</v>
      </c>
      <c r="K6" s="10"/>
      <c r="L6" s="10">
        <v>462.5</v>
      </c>
      <c r="M6" s="10">
        <v>12.5</v>
      </c>
      <c r="N6" s="10"/>
      <c r="O6" s="10"/>
      <c r="P6" s="12">
        <f>IF($A6="","",IFERROR((IF($O6="",0,$O6)*Settings!$J$4+IF($L6="",0,$L6)*Settings!$J$5+IF($N6="",0,$N6)*Settings!$J$6)/(IF($O6="",0,Settings!$J$4)+IF($L6="",0,Settings!$J$5)+IF($N6="",0,Settings!$J$6)),0))</f>
        <v>462.5</v>
      </c>
      <c r="Q6" s="12">
        <f t="array" ref="Q6">IF($A6="","",XLOOKUP($E6,Settings!$A$19:$A$22,Settings!$G$19:$G$22,0))</f>
        <v>203</v>
      </c>
      <c r="R6" s="12">
        <f t="shared" si="1"/>
        <v>259.5</v>
      </c>
      <c r="S6" s="12">
        <f>IF($A6="","",IF($R6&lt;=0,1,1+$R6/SUMIF($R$4:$R$923,"&gt;0",$R$4:$R$923)*(Settings!$B$5*(Settings!$B$6-Settings!$B$7))))</f>
        <v>33.04060067</v>
      </c>
      <c r="T6" s="12">
        <f t="array" ref="T6">IF($A6="","",XLOOKUP($F6,Settings!$I$15:$I$20,Settings!$J$15:$J$20,1))</f>
        <v>1.15</v>
      </c>
      <c r="U6" s="12">
        <f>IF($A6="","",1+(($G6-5)/5)*Settings!$J$8)</f>
        <v>1.03</v>
      </c>
      <c r="V6" s="12">
        <f>IF($A6="","",1+(($H6-5)/5)*Settings!$J$9)</f>
        <v>1.06</v>
      </c>
      <c r="W6" s="12">
        <f t="array" ref="W6">IF($A6="","",XLOOKUP($J6,Lists!$C$3:$C$7,Lists!$D$3:$D$7,1))</f>
        <v>1</v>
      </c>
      <c r="X6" s="12">
        <f>IF($A6="","",IF($I6="Yes",Settings!$J$10,1))</f>
        <v>1</v>
      </c>
      <c r="Y6" s="12">
        <f t="shared" si="2"/>
        <v>41</v>
      </c>
      <c r="Z6" s="12">
        <f>IF($A6="","",IFERROR(ROUND(AVERAGEIFS('Historical Drafts'!$G$4:$G$300,'Historical Drafts'!$D$4:$D$300,$E6,'Historical Drafts'!$J$4:$J$300,"&gt;="&amp;$L6*0.85,'Historical Drafts'!$J$4:$J$300,"&lt;="&amp;$L6*1.15),0),$Y6))</f>
        <v>41</v>
      </c>
      <c r="AA6" s="12" t="str">
        <f>IF($A6="","",IF(COUNTIF('Auction Log'!$B$3:$B$300,$A6)&gt;0,"Sold","Available"))</f>
        <v>Available</v>
      </c>
      <c r="AB6" s="12" t="str">
        <f t="array" ref="AB6">IF($A6="","",IFERROR(XLOOKUP($A6,'Auction Log'!$B$3:$B$300,'Auction Log'!$G$3:$G$300,""),""))</f>
        <v/>
      </c>
      <c r="AC6" s="12" t="str">
        <f t="array" ref="AC6">IF($A6="","",IFERROR(XLOOKUP($A6,'Auction Log'!$B$3:$B$300,'Auction Log'!$F$3:$F$300,""),""))</f>
        <v/>
      </c>
      <c r="AD6" s="12">
        <f t="array" ref="AD6">IF($A6="","",ROUND($Y6*XLOOKUP($F6,Settings!$I$15:$I$20,Settings!$K$15:$K$20,0.4),0))</f>
        <v>18</v>
      </c>
      <c r="AE6" s="12">
        <f t="array" ref="AE6">IF($A6="","",ROUND($Y6*XLOOKUP($F6,Settings!$I$15:$I$20,Settings!$L$15:$L$20,0.8),0))</f>
        <v>33</v>
      </c>
      <c r="AF6" s="12">
        <f t="array" ref="AF6">IF($A6="","",ROUND($Y6*XLOOKUP($F6,Settings!$I$15:$I$20,Settings!$M$15:$M$20,1),0))</f>
        <v>41</v>
      </c>
      <c r="AG6" s="12">
        <f t="array" ref="AG6">IF($A6="","",ROUND($Y6*XLOOKUP($F6,Settings!$I$15:$I$20,Settings!$N$15:$N$20,1.1),0))</f>
        <v>45</v>
      </c>
      <c r="AH6" s="12">
        <f t="array" ref="AH6">IF($A6="","",ROUND($Y6*XLOOKUP($F6,Settings!$I$15:$I$20,Settings!$O$15:$O$20,1.1)*Settings!$J$7,0))</f>
        <v>48</v>
      </c>
      <c r="AI6" s="12">
        <f t="array" ref="AI6">IF($A6="","",IF($AA6="Sold","",MIN($AH6,IFERROR(XLOOKUP(Settings!$B$12,Managers!$B$4:$B$15,Managers!$H$4:$H$15),$AH6))))</f>
        <v>48</v>
      </c>
      <c r="AJ6" s="12" t="str">
        <f t="shared" si="3"/>
        <v>Recommended</v>
      </c>
      <c r="AK6" s="12">
        <f t="shared" si="4"/>
        <v>71</v>
      </c>
      <c r="AL6" s="12" t="str">
        <f t="shared" si="5"/>
        <v/>
      </c>
    </row>
    <row r="7">
      <c r="A7" s="10" t="s">
        <v>516</v>
      </c>
      <c r="B7" s="10" t="s">
        <v>517</v>
      </c>
      <c r="C7" s="10" t="s">
        <v>327</v>
      </c>
      <c r="D7" s="10" t="s">
        <v>123</v>
      </c>
      <c r="E7" s="10" t="s">
        <v>123</v>
      </c>
      <c r="F7" s="10" t="s">
        <v>99</v>
      </c>
      <c r="G7" s="11">
        <v>6.0</v>
      </c>
      <c r="H7" s="10">
        <v>7.0</v>
      </c>
      <c r="I7" s="10" t="s">
        <v>2140</v>
      </c>
      <c r="J7" s="10" t="s">
        <v>2136</v>
      </c>
      <c r="K7" s="10"/>
      <c r="L7" s="10">
        <v>452.0</v>
      </c>
      <c r="M7" s="10">
        <v>11.89</v>
      </c>
      <c r="N7" s="10"/>
      <c r="O7" s="10"/>
      <c r="P7" s="12">
        <f>IF($A7="","",IFERROR((IF($O7="",0,$O7)*Settings!$J$4+IF($L7="",0,$L7)*Settings!$J$5+IF($N7="",0,$N7)*Settings!$J$6)/(IF($O7="",0,Settings!$J$4)+IF($L7="",0,Settings!$J$5)+IF($N7="",0,Settings!$J$6)),0))</f>
        <v>452</v>
      </c>
      <c r="Q7" s="12">
        <f t="array" ref="Q7">IF($A7="","",XLOOKUP($E7,Settings!$A$19:$A$22,Settings!$G$19:$G$22,0))</f>
        <v>203</v>
      </c>
      <c r="R7" s="12">
        <f t="shared" si="1"/>
        <v>249</v>
      </c>
      <c r="S7" s="12">
        <f>IF($A7="","",IF($R7&lt;=0,1,1+$R7/SUMIF($R$4:$R$923,"&gt;0",$R$4:$R$923)*(Settings!$B$5*(Settings!$B$6-Settings!$B$7))))</f>
        <v>31.74416018</v>
      </c>
      <c r="T7" s="12">
        <f t="array" ref="T7">IF($A7="","",XLOOKUP($F7,Settings!$I$15:$I$20,Settings!$J$15:$J$20,1))</f>
        <v>1.15</v>
      </c>
      <c r="U7" s="12">
        <f>IF($A7="","",1+(($G7-5)/5)*Settings!$J$8)</f>
        <v>1.03</v>
      </c>
      <c r="V7" s="12">
        <f>IF($A7="","",1+(($H7-5)/5)*Settings!$J$9)</f>
        <v>1.06</v>
      </c>
      <c r="W7" s="12">
        <f t="array" ref="W7">IF($A7="","",XLOOKUP($J7,Lists!$C$3:$C$7,Lists!$D$3:$D$7,1))</f>
        <v>1</v>
      </c>
      <c r="X7" s="12">
        <f>IF($A7="","",IF($I7="Yes",Settings!$J$10,1))</f>
        <v>1</v>
      </c>
      <c r="Y7" s="12">
        <f t="shared" si="2"/>
        <v>40</v>
      </c>
      <c r="Z7" s="12">
        <f>IF($A7="","",IFERROR(ROUND(AVERAGEIFS('Historical Drafts'!$G$4:$G$300,'Historical Drafts'!$D$4:$D$300,$E7,'Historical Drafts'!$J$4:$J$300,"&gt;="&amp;$L7*0.85,'Historical Drafts'!$J$4:$J$300,"&lt;="&amp;$L7*1.15),0),$Y7))</f>
        <v>40</v>
      </c>
      <c r="AA7" s="12" t="str">
        <f>IF($A7="","",IF(COUNTIF('Auction Log'!$B$3:$B$300,$A7)&gt;0,"Sold","Available"))</f>
        <v>Available</v>
      </c>
      <c r="AB7" s="12" t="str">
        <f t="array" ref="AB7">IF($A7="","",IFERROR(XLOOKUP($A7,'Auction Log'!$B$3:$B$300,'Auction Log'!$G$3:$G$300,""),""))</f>
        <v/>
      </c>
      <c r="AC7" s="12" t="str">
        <f t="array" ref="AC7">IF($A7="","",IFERROR(XLOOKUP($A7,'Auction Log'!$B$3:$B$300,'Auction Log'!$F$3:$F$300,""),""))</f>
        <v/>
      </c>
      <c r="AD7" s="12">
        <f t="array" ref="AD7">IF($A7="","",ROUND($Y7*XLOOKUP($F7,Settings!$I$15:$I$20,Settings!$K$15:$K$20,0.4),0))</f>
        <v>18</v>
      </c>
      <c r="AE7" s="12">
        <f t="array" ref="AE7">IF($A7="","",ROUND($Y7*XLOOKUP($F7,Settings!$I$15:$I$20,Settings!$L$15:$L$20,0.8),0))</f>
        <v>32</v>
      </c>
      <c r="AF7" s="12">
        <f t="array" ref="AF7">IF($A7="","",ROUND($Y7*XLOOKUP($F7,Settings!$I$15:$I$20,Settings!$M$15:$M$20,1),0))</f>
        <v>40</v>
      </c>
      <c r="AG7" s="12">
        <f t="array" ref="AG7">IF($A7="","",ROUND($Y7*XLOOKUP($F7,Settings!$I$15:$I$20,Settings!$N$15:$N$20,1.1),0))</f>
        <v>44</v>
      </c>
      <c r="AH7" s="12">
        <f t="array" ref="AH7">IF($A7="","",ROUND($Y7*XLOOKUP($F7,Settings!$I$15:$I$20,Settings!$O$15:$O$20,1.1)*Settings!$J$7,0))</f>
        <v>47</v>
      </c>
      <c r="AI7" s="12">
        <f t="array" ref="AI7">IF($A7="","",IF($AA7="Sold","",MIN($AH7,IFERROR(XLOOKUP(Settings!$B$12,Managers!$B$4:$B$15,Managers!$H$4:$H$15),$AH7))))</f>
        <v>47</v>
      </c>
      <c r="AJ7" s="12" t="str">
        <f t="shared" si="3"/>
        <v>Recommended</v>
      </c>
      <c r="AK7" s="12">
        <f t="shared" si="4"/>
        <v>70</v>
      </c>
      <c r="AL7" s="12" t="str">
        <f t="shared" si="5"/>
        <v/>
      </c>
    </row>
    <row r="8">
      <c r="A8" s="10" t="s">
        <v>189</v>
      </c>
      <c r="B8" s="10" t="s">
        <v>190</v>
      </c>
      <c r="C8" s="10" t="s">
        <v>191</v>
      </c>
      <c r="D8" s="10" t="s">
        <v>121</v>
      </c>
      <c r="E8" s="10" t="s">
        <v>121</v>
      </c>
      <c r="F8" s="10" t="s">
        <v>99</v>
      </c>
      <c r="G8" s="11">
        <v>6.0</v>
      </c>
      <c r="H8" s="10">
        <v>7.0</v>
      </c>
      <c r="I8" s="10" t="s">
        <v>2140</v>
      </c>
      <c r="J8" s="10" t="s">
        <v>2136</v>
      </c>
      <c r="K8" s="10"/>
      <c r="L8" s="10">
        <v>437.5</v>
      </c>
      <c r="M8" s="10">
        <v>14.11</v>
      </c>
      <c r="N8" s="10"/>
      <c r="O8" s="10"/>
      <c r="P8" s="12">
        <f>IF($A8="","",IFERROR((IF($O8="",0,$O8)*Settings!$J$4+IF($L8="",0,$L8)*Settings!$J$5+IF($N8="",0,$N8)*Settings!$J$6)/(IF($O8="",0,Settings!$J$4)+IF($L8="",0,Settings!$J$5)+IF($N8="",0,Settings!$J$6)),0))</f>
        <v>437.5</v>
      </c>
      <c r="Q8" s="12">
        <f t="array" ref="Q8">IF($A8="","",XLOOKUP($E8,Settings!$A$19:$A$22,Settings!$G$19:$G$22,0))</f>
        <v>206</v>
      </c>
      <c r="R8" s="12">
        <f t="shared" si="1"/>
        <v>231.5</v>
      </c>
      <c r="S8" s="12">
        <f>IF($A8="","",IF($R8&lt;=0,1,1+$R8/SUMIF($R$4:$R$923,"&gt;0",$R$4:$R$923)*(Settings!$B$5*(Settings!$B$6-Settings!$B$7))))</f>
        <v>29.58342603</v>
      </c>
      <c r="T8" s="12">
        <f t="array" ref="T8">IF($A8="","",XLOOKUP($F8,Settings!$I$15:$I$20,Settings!$J$15:$J$20,1))</f>
        <v>1.15</v>
      </c>
      <c r="U8" s="12">
        <f>IF($A8="","",1+(($G8-5)/5)*Settings!$J$8)</f>
        <v>1.03</v>
      </c>
      <c r="V8" s="12">
        <f>IF($A8="","",1+(($H8-5)/5)*Settings!$J$9)</f>
        <v>1.06</v>
      </c>
      <c r="W8" s="12">
        <f t="array" ref="W8">IF($A8="","",XLOOKUP($J8,Lists!$C$3:$C$7,Lists!$D$3:$D$7,1))</f>
        <v>1</v>
      </c>
      <c r="X8" s="12">
        <f>IF($A8="","",IF($I8="Yes",Settings!$J$10,1))</f>
        <v>1</v>
      </c>
      <c r="Y8" s="12">
        <f t="shared" si="2"/>
        <v>37</v>
      </c>
      <c r="Z8" s="12">
        <f>IF($A8="","",IFERROR(ROUND(AVERAGEIFS('Historical Drafts'!$G$4:$G$300,'Historical Drafts'!$D$4:$D$300,$E8,'Historical Drafts'!$J$4:$J$300,"&gt;="&amp;$L8*0.85,'Historical Drafts'!$J$4:$J$300,"&lt;="&amp;$L8*1.15),0),$Y8))</f>
        <v>26</v>
      </c>
      <c r="AA8" s="12" t="str">
        <f>IF($A8="","",IF(COUNTIF('Auction Log'!$B$3:$B$300,$A8)&gt;0,"Sold","Available"))</f>
        <v>Available</v>
      </c>
      <c r="AB8" s="12" t="str">
        <f t="array" ref="AB8">IF($A8="","",IFERROR(XLOOKUP($A8,'Auction Log'!$B$3:$B$300,'Auction Log'!$G$3:$G$300,""),""))</f>
        <v/>
      </c>
      <c r="AC8" s="12" t="str">
        <f t="array" ref="AC8">IF($A8="","",IFERROR(XLOOKUP($A8,'Auction Log'!$B$3:$B$300,'Auction Log'!$F$3:$F$300,""),""))</f>
        <v/>
      </c>
      <c r="AD8" s="12">
        <f t="array" ref="AD8">IF($A8="","",ROUND($Y8*XLOOKUP($F8,Settings!$I$15:$I$20,Settings!$K$15:$K$20,0.4),0))</f>
        <v>17</v>
      </c>
      <c r="AE8" s="12">
        <f t="array" ref="AE8">IF($A8="","",ROUND($Y8*XLOOKUP($F8,Settings!$I$15:$I$20,Settings!$L$15:$L$20,0.8),0))</f>
        <v>30</v>
      </c>
      <c r="AF8" s="12">
        <f t="array" ref="AF8">IF($A8="","",ROUND($Y8*XLOOKUP($F8,Settings!$I$15:$I$20,Settings!$M$15:$M$20,1),0))</f>
        <v>37</v>
      </c>
      <c r="AG8" s="12">
        <f t="array" ref="AG8">IF($A8="","",ROUND($Y8*XLOOKUP($F8,Settings!$I$15:$I$20,Settings!$N$15:$N$20,1.1),0))</f>
        <v>41</v>
      </c>
      <c r="AH8" s="12">
        <f t="array" ref="AH8">IF($A8="","",ROUND($Y8*XLOOKUP($F8,Settings!$I$15:$I$20,Settings!$O$15:$O$20,1.1)*Settings!$J$7,0))</f>
        <v>44</v>
      </c>
      <c r="AI8" s="12">
        <f t="array" ref="AI8">IF($A8="","",IF($AA8="Sold","",MIN($AH8,IFERROR(XLOOKUP(Settings!$B$12,Managers!$B$4:$B$15,Managers!$H$4:$H$15),$AH8))))</f>
        <v>44</v>
      </c>
      <c r="AJ8" s="12" t="str">
        <f t="shared" si="3"/>
        <v>Value Target</v>
      </c>
      <c r="AK8" s="12">
        <f t="shared" si="4"/>
        <v>67</v>
      </c>
      <c r="AL8" s="12" t="str">
        <f t="shared" si="5"/>
        <v/>
      </c>
    </row>
    <row r="9">
      <c r="A9" s="10" t="s">
        <v>234</v>
      </c>
      <c r="B9" s="10" t="s">
        <v>235</v>
      </c>
      <c r="C9" s="10" t="s">
        <v>236</v>
      </c>
      <c r="D9" s="10" t="s">
        <v>121</v>
      </c>
      <c r="E9" s="10" t="s">
        <v>121</v>
      </c>
      <c r="F9" s="10" t="s">
        <v>99</v>
      </c>
      <c r="G9" s="11">
        <v>6.0</v>
      </c>
      <c r="H9" s="10">
        <v>7.0</v>
      </c>
      <c r="I9" s="10" t="s">
        <v>2140</v>
      </c>
      <c r="J9" s="10" t="s">
        <v>2136</v>
      </c>
      <c r="K9" s="10"/>
      <c r="L9" s="10">
        <v>435.5</v>
      </c>
      <c r="M9" s="10">
        <v>11.77</v>
      </c>
      <c r="N9" s="10"/>
      <c r="O9" s="10"/>
      <c r="P9" s="12">
        <f>IF($A9="","",IFERROR((IF($O9="",0,$O9)*Settings!$J$4+IF($L9="",0,$L9)*Settings!$J$5+IF($N9="",0,$N9)*Settings!$J$6)/(IF($O9="",0,Settings!$J$4)+IF($L9="",0,Settings!$J$5)+IF($N9="",0,Settings!$J$6)),0))</f>
        <v>435.5</v>
      </c>
      <c r="Q9" s="12">
        <f t="array" ref="Q9">IF($A9="","",XLOOKUP($E9,Settings!$A$19:$A$22,Settings!$G$19:$G$22,0))</f>
        <v>206</v>
      </c>
      <c r="R9" s="12">
        <f t="shared" si="1"/>
        <v>229.5</v>
      </c>
      <c r="S9" s="12">
        <f>IF($A9="","",IF($R9&lt;=0,1,1+$R9/SUMIF($R$4:$R$923,"&gt;0",$R$4:$R$923)*(Settings!$B$5*(Settings!$B$6-Settings!$B$7))))</f>
        <v>29.33648498</v>
      </c>
      <c r="T9" s="12">
        <f t="array" ref="T9">IF($A9="","",XLOOKUP($F9,Settings!$I$15:$I$20,Settings!$J$15:$J$20,1))</f>
        <v>1.15</v>
      </c>
      <c r="U9" s="12">
        <f>IF($A9="","",1+(($G9-5)/5)*Settings!$J$8)</f>
        <v>1.03</v>
      </c>
      <c r="V9" s="12">
        <f>IF($A9="","",1+(($H9-5)/5)*Settings!$J$9)</f>
        <v>1.06</v>
      </c>
      <c r="W9" s="12">
        <f t="array" ref="W9">IF($A9="","",XLOOKUP($J9,Lists!$C$3:$C$7,Lists!$D$3:$D$7,1))</f>
        <v>1</v>
      </c>
      <c r="X9" s="12">
        <f>IF($A9="","",IF($I9="Yes",Settings!$J$10,1))</f>
        <v>1</v>
      </c>
      <c r="Y9" s="12">
        <f t="shared" si="2"/>
        <v>37</v>
      </c>
      <c r="Z9" s="12">
        <f>IF($A9="","",IFERROR(ROUND(AVERAGEIFS('Historical Drafts'!$G$4:$G$300,'Historical Drafts'!$D$4:$D$300,$E9,'Historical Drafts'!$J$4:$J$300,"&gt;="&amp;$L9*0.85,'Historical Drafts'!$J$4:$J$300,"&lt;="&amp;$L9*1.15),0),$Y9))</f>
        <v>26</v>
      </c>
      <c r="AA9" s="12" t="str">
        <f>IF($A9="","",IF(COUNTIF('Auction Log'!$B$3:$B$300,$A9)&gt;0,"Sold","Available"))</f>
        <v>Available</v>
      </c>
      <c r="AB9" s="12" t="str">
        <f t="array" ref="AB9">IF($A9="","",IFERROR(XLOOKUP($A9,'Auction Log'!$B$3:$B$300,'Auction Log'!$G$3:$G$300,""),""))</f>
        <v/>
      </c>
      <c r="AC9" s="12" t="str">
        <f t="array" ref="AC9">IF($A9="","",IFERROR(XLOOKUP($A9,'Auction Log'!$B$3:$B$300,'Auction Log'!$F$3:$F$300,""),""))</f>
        <v/>
      </c>
      <c r="AD9" s="12">
        <f t="array" ref="AD9">IF($A9="","",ROUND($Y9*XLOOKUP($F9,Settings!$I$15:$I$20,Settings!$K$15:$K$20,0.4),0))</f>
        <v>17</v>
      </c>
      <c r="AE9" s="12">
        <f t="array" ref="AE9">IF($A9="","",ROUND($Y9*XLOOKUP($F9,Settings!$I$15:$I$20,Settings!$L$15:$L$20,0.8),0))</f>
        <v>30</v>
      </c>
      <c r="AF9" s="12">
        <f t="array" ref="AF9">IF($A9="","",ROUND($Y9*XLOOKUP($F9,Settings!$I$15:$I$20,Settings!$M$15:$M$20,1),0))</f>
        <v>37</v>
      </c>
      <c r="AG9" s="12">
        <f t="array" ref="AG9">IF($A9="","",ROUND($Y9*XLOOKUP($F9,Settings!$I$15:$I$20,Settings!$N$15:$N$20,1.1),0))</f>
        <v>41</v>
      </c>
      <c r="AH9" s="12">
        <f t="array" ref="AH9">IF($A9="","",ROUND($Y9*XLOOKUP($F9,Settings!$I$15:$I$20,Settings!$O$15:$O$20,1.1)*Settings!$J$7,0))</f>
        <v>44</v>
      </c>
      <c r="AI9" s="12">
        <f t="array" ref="AI9">IF($A9="","",IF($AA9="Sold","",MIN($AH9,IFERROR(XLOOKUP(Settings!$B$12,Managers!$B$4:$B$15,Managers!$H$4:$H$15),$AH9))))</f>
        <v>44</v>
      </c>
      <c r="AJ9" s="12" t="str">
        <f t="shared" si="3"/>
        <v>Value Target</v>
      </c>
      <c r="AK9" s="12">
        <f t="shared" si="4"/>
        <v>67</v>
      </c>
      <c r="AL9" s="12" t="str">
        <f t="shared" si="5"/>
        <v/>
      </c>
    </row>
    <row r="10">
      <c r="A10" s="10" t="s">
        <v>213</v>
      </c>
      <c r="B10" s="10" t="s">
        <v>214</v>
      </c>
      <c r="C10" s="10" t="s">
        <v>215</v>
      </c>
      <c r="D10" s="10" t="s">
        <v>123</v>
      </c>
      <c r="E10" s="10" t="s">
        <v>123</v>
      </c>
      <c r="F10" s="10" t="s">
        <v>99</v>
      </c>
      <c r="G10" s="10">
        <v>5.0</v>
      </c>
      <c r="H10" s="10">
        <v>7.0</v>
      </c>
      <c r="I10" s="10" t="s">
        <v>2140</v>
      </c>
      <c r="J10" s="10" t="s">
        <v>2136</v>
      </c>
      <c r="K10" s="10"/>
      <c r="L10" s="10">
        <v>431.0</v>
      </c>
      <c r="M10" s="10">
        <v>11.34</v>
      </c>
      <c r="N10" s="10"/>
      <c r="O10" s="10"/>
      <c r="P10" s="12">
        <f>IF($A10="","",IFERROR((IF($O10="",0,$O10)*Settings!$J$4+IF($L10="",0,$L10)*Settings!$J$5+IF($N10="",0,$N10)*Settings!$J$6)/(IF($O10="",0,Settings!$J$4)+IF($L10="",0,Settings!$J$5)+IF($N10="",0,Settings!$J$6)),0))</f>
        <v>431</v>
      </c>
      <c r="Q10" s="12">
        <f t="array" ref="Q10">IF($A10="","",XLOOKUP($E10,Settings!$A$19:$A$22,Settings!$G$19:$G$22,0))</f>
        <v>203</v>
      </c>
      <c r="R10" s="12">
        <f t="shared" si="1"/>
        <v>228</v>
      </c>
      <c r="S10" s="12">
        <f>IF($A10="","",IF($R10&lt;=0,1,1+$R10/SUMIF($R$4:$R$923,"&gt;0",$R$4:$R$923)*(Settings!$B$5*(Settings!$B$6-Settings!$B$7))))</f>
        <v>29.1512792</v>
      </c>
      <c r="T10" s="12">
        <f t="array" ref="T10">IF($A10="","",XLOOKUP($F10,Settings!$I$15:$I$20,Settings!$J$15:$J$20,1))</f>
        <v>1.15</v>
      </c>
      <c r="U10" s="12">
        <f>IF($A10="","",1+(($G10-5)/5)*Settings!$J$8)</f>
        <v>1</v>
      </c>
      <c r="V10" s="12">
        <f>IF($A10="","",1+(($H10-5)/5)*Settings!$J$9)</f>
        <v>1.06</v>
      </c>
      <c r="W10" s="12">
        <f t="array" ref="W10">IF($A10="","",XLOOKUP($J10,Lists!$C$3:$C$7,Lists!$D$3:$D$7,1))</f>
        <v>1</v>
      </c>
      <c r="X10" s="12">
        <f>IF($A10="","",IF($I10="Yes",Settings!$J$10,1))</f>
        <v>1</v>
      </c>
      <c r="Y10" s="12">
        <f t="shared" si="2"/>
        <v>36</v>
      </c>
      <c r="Z10" s="12">
        <f>IF($A10="","",IFERROR(ROUND(AVERAGEIFS('Historical Drafts'!$G$4:$G$300,'Historical Drafts'!$D$4:$D$300,$E10,'Historical Drafts'!$J$4:$J$300,"&gt;="&amp;$L10*0.85,'Historical Drafts'!$J$4:$J$300,"&lt;="&amp;$L10*1.15),0),$Y10))</f>
        <v>40</v>
      </c>
      <c r="AA10" s="12" t="str">
        <f>IF($A10="","",IF(COUNTIF('Auction Log'!$B$3:$B$300,$A10)&gt;0,"Sold","Available"))</f>
        <v>Available</v>
      </c>
      <c r="AB10" s="12" t="str">
        <f t="array" ref="AB10">IF($A10="","",IFERROR(XLOOKUP($A10,'Auction Log'!$B$3:$B$300,'Auction Log'!$G$3:$G$300,""),""))</f>
        <v/>
      </c>
      <c r="AC10" s="12" t="str">
        <f t="array" ref="AC10">IF($A10="","",IFERROR(XLOOKUP($A10,'Auction Log'!$B$3:$B$300,'Auction Log'!$F$3:$F$300,""),""))</f>
        <v/>
      </c>
      <c r="AD10" s="12">
        <f t="array" ref="AD10">IF($A10="","",ROUND($Y10*XLOOKUP($F10,Settings!$I$15:$I$20,Settings!$K$15:$K$20,0.4),0))</f>
        <v>16</v>
      </c>
      <c r="AE10" s="12">
        <f t="array" ref="AE10">IF($A10="","",ROUND($Y10*XLOOKUP($F10,Settings!$I$15:$I$20,Settings!$L$15:$L$20,0.8),0))</f>
        <v>29</v>
      </c>
      <c r="AF10" s="12">
        <f t="array" ref="AF10">IF($A10="","",ROUND($Y10*XLOOKUP($F10,Settings!$I$15:$I$20,Settings!$M$15:$M$20,1),0))</f>
        <v>36</v>
      </c>
      <c r="AG10" s="12">
        <f t="array" ref="AG10">IF($A10="","",ROUND($Y10*XLOOKUP($F10,Settings!$I$15:$I$20,Settings!$N$15:$N$20,1.1),0))</f>
        <v>40</v>
      </c>
      <c r="AH10" s="12">
        <f t="array" ref="AH10">IF($A10="","",ROUND($Y10*XLOOKUP($F10,Settings!$I$15:$I$20,Settings!$O$15:$O$20,1.1)*Settings!$J$7,0))</f>
        <v>42</v>
      </c>
      <c r="AI10" s="12">
        <f t="array" ref="AI10">IF($A10="","",IF($AA10="Sold","",MIN($AH10,IFERROR(XLOOKUP(Settings!$B$12,Managers!$B$4:$B$15,Managers!$H$4:$H$15),$AH10))))</f>
        <v>42</v>
      </c>
      <c r="AJ10" s="12" t="str">
        <f t="shared" si="3"/>
        <v>Recommended</v>
      </c>
      <c r="AK10" s="12">
        <f t="shared" si="4"/>
        <v>61</v>
      </c>
      <c r="AL10" s="12" t="str">
        <f t="shared" si="5"/>
        <v/>
      </c>
    </row>
    <row r="11">
      <c r="A11" s="10" t="s">
        <v>253</v>
      </c>
      <c r="B11" s="10" t="s">
        <v>254</v>
      </c>
      <c r="C11" s="10" t="s">
        <v>191</v>
      </c>
      <c r="D11" s="10" t="s">
        <v>121</v>
      </c>
      <c r="E11" s="10" t="s">
        <v>121</v>
      </c>
      <c r="F11" s="10" t="s">
        <v>99</v>
      </c>
      <c r="G11" s="10">
        <v>5.0</v>
      </c>
      <c r="H11" s="10">
        <v>7.0</v>
      </c>
      <c r="I11" s="10" t="s">
        <v>2140</v>
      </c>
      <c r="J11" s="10" t="s">
        <v>2136</v>
      </c>
      <c r="K11" s="10"/>
      <c r="L11" s="10">
        <v>420.0</v>
      </c>
      <c r="M11" s="10">
        <v>11.67</v>
      </c>
      <c r="N11" s="10"/>
      <c r="O11" s="10"/>
      <c r="P11" s="12">
        <f>IF($A11="","",IFERROR((IF($O11="",0,$O11)*Settings!$J$4+IF($L11="",0,$L11)*Settings!$J$5+IF($N11="",0,$N11)*Settings!$J$6)/(IF($O11="",0,Settings!$J$4)+IF($L11="",0,Settings!$J$5)+IF($N11="",0,Settings!$J$6)),0))</f>
        <v>420</v>
      </c>
      <c r="Q11" s="12">
        <f t="array" ref="Q11">IF($A11="","",XLOOKUP($E11,Settings!$A$19:$A$22,Settings!$G$19:$G$22,0))</f>
        <v>206</v>
      </c>
      <c r="R11" s="12">
        <f t="shared" si="1"/>
        <v>214</v>
      </c>
      <c r="S11" s="12">
        <f>IF($A11="","",IF($R11&lt;=0,1,1+$R11/SUMIF($R$4:$R$923,"&gt;0",$R$4:$R$923)*(Settings!$B$5*(Settings!$B$6-Settings!$B$7))))</f>
        <v>27.42269188</v>
      </c>
      <c r="T11" s="12">
        <f t="array" ref="T11">IF($A11="","",XLOOKUP($F11,Settings!$I$15:$I$20,Settings!$J$15:$J$20,1))</f>
        <v>1.15</v>
      </c>
      <c r="U11" s="12">
        <f>IF($A11="","",1+(($G11-5)/5)*Settings!$J$8)</f>
        <v>1</v>
      </c>
      <c r="V11" s="12">
        <f>IF($A11="","",1+(($H11-5)/5)*Settings!$J$9)</f>
        <v>1.06</v>
      </c>
      <c r="W11" s="12">
        <f t="array" ref="W11">IF($A11="","",XLOOKUP($J11,Lists!$C$3:$C$7,Lists!$D$3:$D$7,1))</f>
        <v>1</v>
      </c>
      <c r="X11" s="12">
        <f>IF($A11="","",IF($I11="Yes",Settings!$J$10,1))</f>
        <v>1</v>
      </c>
      <c r="Y11" s="12">
        <f t="shared" si="2"/>
        <v>33</v>
      </c>
      <c r="Z11" s="12">
        <f>IF($A11="","",IFERROR(ROUND(AVERAGEIFS('Historical Drafts'!$G$4:$G$300,'Historical Drafts'!$D$4:$D$300,$E11,'Historical Drafts'!$J$4:$J$300,"&gt;="&amp;$L11*0.85,'Historical Drafts'!$J$4:$J$300,"&lt;="&amp;$L11*1.15),0),$Y11))</f>
        <v>23</v>
      </c>
      <c r="AA11" s="12" t="str">
        <f>IF($A11="","",IF(COUNTIF('Auction Log'!$B$3:$B$300,$A11)&gt;0,"Sold","Available"))</f>
        <v>Available</v>
      </c>
      <c r="AB11" s="12" t="str">
        <f t="array" ref="AB11">IF($A11="","",IFERROR(XLOOKUP($A11,'Auction Log'!$B$3:$B$300,'Auction Log'!$G$3:$G$300,""),""))</f>
        <v/>
      </c>
      <c r="AC11" s="12" t="str">
        <f t="array" ref="AC11">IF($A11="","",IFERROR(XLOOKUP($A11,'Auction Log'!$B$3:$B$300,'Auction Log'!$F$3:$F$300,""),""))</f>
        <v/>
      </c>
      <c r="AD11" s="12">
        <f t="array" ref="AD11">IF($A11="","",ROUND($Y11*XLOOKUP($F11,Settings!$I$15:$I$20,Settings!$K$15:$K$20,0.4),0))</f>
        <v>15</v>
      </c>
      <c r="AE11" s="12">
        <f t="array" ref="AE11">IF($A11="","",ROUND($Y11*XLOOKUP($F11,Settings!$I$15:$I$20,Settings!$L$15:$L$20,0.8),0))</f>
        <v>26</v>
      </c>
      <c r="AF11" s="12">
        <f t="array" ref="AF11">IF($A11="","",ROUND($Y11*XLOOKUP($F11,Settings!$I$15:$I$20,Settings!$M$15:$M$20,1),0))</f>
        <v>33</v>
      </c>
      <c r="AG11" s="12">
        <f t="array" ref="AG11">IF($A11="","",ROUND($Y11*XLOOKUP($F11,Settings!$I$15:$I$20,Settings!$N$15:$N$20,1.1),0))</f>
        <v>36</v>
      </c>
      <c r="AH11" s="12">
        <f t="array" ref="AH11">IF($A11="","",ROUND($Y11*XLOOKUP($F11,Settings!$I$15:$I$20,Settings!$O$15:$O$20,1.1)*Settings!$J$7,0))</f>
        <v>39</v>
      </c>
      <c r="AI11" s="12">
        <f t="array" ref="AI11">IF($A11="","",IF($AA11="Sold","",MIN($AH11,IFERROR(XLOOKUP(Settings!$B$12,Managers!$B$4:$B$15,Managers!$H$4:$H$15),$AH11))))</f>
        <v>39</v>
      </c>
      <c r="AJ11" s="12" t="str">
        <f t="shared" si="3"/>
        <v>Value Target</v>
      </c>
      <c r="AK11" s="12">
        <f t="shared" si="4"/>
        <v>58</v>
      </c>
      <c r="AL11" s="12" t="str">
        <f t="shared" si="5"/>
        <v/>
      </c>
    </row>
    <row r="12">
      <c r="A12" s="10" t="s">
        <v>336</v>
      </c>
      <c r="B12" s="10" t="s">
        <v>337</v>
      </c>
      <c r="C12" s="10" t="s">
        <v>177</v>
      </c>
      <c r="D12" s="10" t="s">
        <v>121</v>
      </c>
      <c r="E12" s="10" t="s">
        <v>121</v>
      </c>
      <c r="F12" s="10" t="s">
        <v>99</v>
      </c>
      <c r="G12" s="10">
        <v>5.0</v>
      </c>
      <c r="H12" s="10">
        <v>7.0</v>
      </c>
      <c r="I12" s="10" t="s">
        <v>2140</v>
      </c>
      <c r="J12" s="10" t="s">
        <v>2136</v>
      </c>
      <c r="K12" s="10"/>
      <c r="L12" s="10">
        <v>415.5</v>
      </c>
      <c r="M12" s="10">
        <v>11.54</v>
      </c>
      <c r="N12" s="10"/>
      <c r="O12" s="10"/>
      <c r="P12" s="12">
        <f>IF($A12="","",IFERROR((IF($O12="",0,$O12)*Settings!$J$4+IF($L12="",0,$L12)*Settings!$J$5+IF($N12="",0,$N12)*Settings!$J$6)/(IF($O12="",0,Settings!$J$4)+IF($L12="",0,Settings!$J$5)+IF($N12="",0,Settings!$J$6)),0))</f>
        <v>415.5</v>
      </c>
      <c r="Q12" s="12">
        <f t="array" ref="Q12">IF($A12="","",XLOOKUP($E12,Settings!$A$19:$A$22,Settings!$G$19:$G$22,0))</f>
        <v>206</v>
      </c>
      <c r="R12" s="12">
        <f t="shared" si="1"/>
        <v>209.5</v>
      </c>
      <c r="S12" s="12">
        <f>IF($A12="","",IF($R12&lt;=0,1,1+$R12/SUMIF($R$4:$R$923,"&gt;0",$R$4:$R$923)*(Settings!$B$5*(Settings!$B$6-Settings!$B$7))))</f>
        <v>26.86707453</v>
      </c>
      <c r="T12" s="12">
        <f t="array" ref="T12">IF($A12="","",XLOOKUP($F12,Settings!$I$15:$I$20,Settings!$J$15:$J$20,1))</f>
        <v>1.15</v>
      </c>
      <c r="U12" s="12">
        <f>IF($A12="","",1+(($G12-5)/5)*Settings!$J$8)</f>
        <v>1</v>
      </c>
      <c r="V12" s="12">
        <f>IF($A12="","",1+(($H12-5)/5)*Settings!$J$9)</f>
        <v>1.06</v>
      </c>
      <c r="W12" s="12">
        <f t="array" ref="W12">IF($A12="","",XLOOKUP($J12,Lists!$C$3:$C$7,Lists!$D$3:$D$7,1))</f>
        <v>1</v>
      </c>
      <c r="X12" s="12">
        <f>IF($A12="","",IF($I12="Yes",Settings!$J$10,1))</f>
        <v>1</v>
      </c>
      <c r="Y12" s="12">
        <f t="shared" si="2"/>
        <v>33</v>
      </c>
      <c r="Z12" s="12">
        <f>IF($A12="","",IFERROR(ROUND(AVERAGEIFS('Historical Drafts'!$G$4:$G$300,'Historical Drafts'!$D$4:$D$300,$E12,'Historical Drafts'!$J$4:$J$300,"&gt;="&amp;$L12*0.85,'Historical Drafts'!$J$4:$J$300,"&lt;="&amp;$L12*1.15),0),$Y12))</f>
        <v>21</v>
      </c>
      <c r="AA12" s="12" t="str">
        <f>IF($A12="","",IF(COUNTIF('Auction Log'!$B$3:$B$300,$A12)&gt;0,"Sold","Available"))</f>
        <v>Available</v>
      </c>
      <c r="AB12" s="12" t="str">
        <f t="array" ref="AB12">IF($A12="","",IFERROR(XLOOKUP($A12,'Auction Log'!$B$3:$B$300,'Auction Log'!$G$3:$G$300,""),""))</f>
        <v/>
      </c>
      <c r="AC12" s="12" t="str">
        <f t="array" ref="AC12">IF($A12="","",IFERROR(XLOOKUP($A12,'Auction Log'!$B$3:$B$300,'Auction Log'!$F$3:$F$300,""),""))</f>
        <v/>
      </c>
      <c r="AD12" s="12">
        <f t="array" ref="AD12">IF($A12="","",ROUND($Y12*XLOOKUP($F12,Settings!$I$15:$I$20,Settings!$K$15:$K$20,0.4),0))</f>
        <v>15</v>
      </c>
      <c r="AE12" s="12">
        <f t="array" ref="AE12">IF($A12="","",ROUND($Y12*XLOOKUP($F12,Settings!$I$15:$I$20,Settings!$L$15:$L$20,0.8),0))</f>
        <v>26</v>
      </c>
      <c r="AF12" s="12">
        <f t="array" ref="AF12">IF($A12="","",ROUND($Y12*XLOOKUP($F12,Settings!$I$15:$I$20,Settings!$M$15:$M$20,1),0))</f>
        <v>33</v>
      </c>
      <c r="AG12" s="12">
        <f t="array" ref="AG12">IF($A12="","",ROUND($Y12*XLOOKUP($F12,Settings!$I$15:$I$20,Settings!$N$15:$N$20,1.1),0))</f>
        <v>36</v>
      </c>
      <c r="AH12" s="12">
        <f t="array" ref="AH12">IF($A12="","",ROUND($Y12*XLOOKUP($F12,Settings!$I$15:$I$20,Settings!$O$15:$O$20,1.1)*Settings!$J$7,0))</f>
        <v>39</v>
      </c>
      <c r="AI12" s="12">
        <f t="array" ref="AI12">IF($A12="","",IF($AA12="Sold","",MIN($AH12,IFERROR(XLOOKUP(Settings!$B$12,Managers!$B$4:$B$15,Managers!$H$4:$H$15),$AH12))))</f>
        <v>39</v>
      </c>
      <c r="AJ12" s="12" t="str">
        <f t="shared" si="3"/>
        <v>Value Target</v>
      </c>
      <c r="AK12" s="12">
        <f t="shared" si="4"/>
        <v>58</v>
      </c>
      <c r="AL12" s="12" t="str">
        <f t="shared" si="5"/>
        <v/>
      </c>
    </row>
    <row r="13">
      <c r="A13" s="10" t="s">
        <v>394</v>
      </c>
      <c r="B13" s="10" t="s">
        <v>395</v>
      </c>
      <c r="C13" s="10" t="s">
        <v>236</v>
      </c>
      <c r="D13" s="10" t="s">
        <v>121</v>
      </c>
      <c r="E13" s="10" t="s">
        <v>121</v>
      </c>
      <c r="F13" s="10" t="s">
        <v>99</v>
      </c>
      <c r="G13" s="10">
        <v>5.0</v>
      </c>
      <c r="H13" s="10">
        <v>7.0</v>
      </c>
      <c r="I13" s="10" t="s">
        <v>2140</v>
      </c>
      <c r="J13" s="10" t="s">
        <v>2136</v>
      </c>
      <c r="K13" s="10"/>
      <c r="L13" s="10">
        <v>405.0</v>
      </c>
      <c r="M13" s="10">
        <v>10.66</v>
      </c>
      <c r="N13" s="10"/>
      <c r="O13" s="10"/>
      <c r="P13" s="12">
        <f>IF($A13="","",IFERROR((IF($O13="",0,$O13)*Settings!$J$4+IF($L13="",0,$L13)*Settings!$J$5+IF($N13="",0,$N13)*Settings!$J$6)/(IF($O13="",0,Settings!$J$4)+IF($L13="",0,Settings!$J$5)+IF($N13="",0,Settings!$J$6)),0))</f>
        <v>405</v>
      </c>
      <c r="Q13" s="12">
        <f t="array" ref="Q13">IF($A13="","",XLOOKUP($E13,Settings!$A$19:$A$22,Settings!$G$19:$G$22,0))</f>
        <v>206</v>
      </c>
      <c r="R13" s="12">
        <f t="shared" si="1"/>
        <v>199</v>
      </c>
      <c r="S13" s="12">
        <f>IF($A13="","",IF($R13&lt;=0,1,1+$R13/SUMIF($R$4:$R$923,"&gt;0",$R$4:$R$923)*(Settings!$B$5*(Settings!$B$6-Settings!$B$7))))</f>
        <v>25.57063404</v>
      </c>
      <c r="T13" s="12">
        <f t="array" ref="T13">IF($A13="","",XLOOKUP($F13,Settings!$I$15:$I$20,Settings!$J$15:$J$20,1))</f>
        <v>1.15</v>
      </c>
      <c r="U13" s="12">
        <f>IF($A13="","",1+(($G13-5)/5)*Settings!$J$8)</f>
        <v>1</v>
      </c>
      <c r="V13" s="12">
        <f>IF($A13="","",1+(($H13-5)/5)*Settings!$J$9)</f>
        <v>1.06</v>
      </c>
      <c r="W13" s="12">
        <f t="array" ref="W13">IF($A13="","",XLOOKUP($J13,Lists!$C$3:$C$7,Lists!$D$3:$D$7,1))</f>
        <v>1</v>
      </c>
      <c r="X13" s="12">
        <f>IF($A13="","",IF($I13="Yes",Settings!$J$10,1))</f>
        <v>1</v>
      </c>
      <c r="Y13" s="12">
        <f t="shared" si="2"/>
        <v>31</v>
      </c>
      <c r="Z13" s="12">
        <f>IF($A13="","",IFERROR(ROUND(AVERAGEIFS('Historical Drafts'!$G$4:$G$300,'Historical Drafts'!$D$4:$D$300,$E13,'Historical Drafts'!$J$4:$J$300,"&gt;="&amp;$L13*0.85,'Historical Drafts'!$J$4:$J$300,"&lt;="&amp;$L13*1.15),0),$Y13))</f>
        <v>20</v>
      </c>
      <c r="AA13" s="12" t="str">
        <f>IF($A13="","",IF(COUNTIF('Auction Log'!$B$3:$B$300,$A13)&gt;0,"Sold","Available"))</f>
        <v>Available</v>
      </c>
      <c r="AB13" s="12" t="str">
        <f t="array" ref="AB13">IF($A13="","",IFERROR(XLOOKUP($A13,'Auction Log'!$B$3:$B$300,'Auction Log'!$G$3:$G$300,""),""))</f>
        <v/>
      </c>
      <c r="AC13" s="12" t="str">
        <f t="array" ref="AC13">IF($A13="","",IFERROR(XLOOKUP($A13,'Auction Log'!$B$3:$B$300,'Auction Log'!$F$3:$F$300,""),""))</f>
        <v/>
      </c>
      <c r="AD13" s="12">
        <f t="array" ref="AD13">IF($A13="","",ROUND($Y13*XLOOKUP($F13,Settings!$I$15:$I$20,Settings!$K$15:$K$20,0.4),0))</f>
        <v>14</v>
      </c>
      <c r="AE13" s="12">
        <f t="array" ref="AE13">IF($A13="","",ROUND($Y13*XLOOKUP($F13,Settings!$I$15:$I$20,Settings!$L$15:$L$20,0.8),0))</f>
        <v>25</v>
      </c>
      <c r="AF13" s="12">
        <f t="array" ref="AF13">IF($A13="","",ROUND($Y13*XLOOKUP($F13,Settings!$I$15:$I$20,Settings!$M$15:$M$20,1),0))</f>
        <v>31</v>
      </c>
      <c r="AG13" s="12">
        <f t="array" ref="AG13">IF($A13="","",ROUND($Y13*XLOOKUP($F13,Settings!$I$15:$I$20,Settings!$N$15:$N$20,1.1),0))</f>
        <v>34</v>
      </c>
      <c r="AH13" s="12">
        <f t="array" ref="AH13">IF($A13="","",ROUND($Y13*XLOOKUP($F13,Settings!$I$15:$I$20,Settings!$O$15:$O$20,1.1)*Settings!$J$7,0))</f>
        <v>37</v>
      </c>
      <c r="AI13" s="12">
        <f t="array" ref="AI13">IF($A13="","",IF($AA13="Sold","",MIN($AH13,IFERROR(XLOOKUP(Settings!$B$12,Managers!$B$4:$B$15,Managers!$H$4:$H$15),$AH13))))</f>
        <v>37</v>
      </c>
      <c r="AJ13" s="12" t="str">
        <f t="shared" si="3"/>
        <v>Value Target</v>
      </c>
      <c r="AK13" s="12">
        <f t="shared" si="4"/>
        <v>56</v>
      </c>
      <c r="AL13" s="12" t="str">
        <f t="shared" si="5"/>
        <v/>
      </c>
    </row>
    <row r="14">
      <c r="A14" s="10" t="s">
        <v>206</v>
      </c>
      <c r="B14" s="10" t="s">
        <v>526</v>
      </c>
      <c r="C14" s="10" t="s">
        <v>188</v>
      </c>
      <c r="D14" s="10" t="s">
        <v>123</v>
      </c>
      <c r="E14" s="10" t="s">
        <v>123</v>
      </c>
      <c r="F14" s="10" t="s">
        <v>99</v>
      </c>
      <c r="G14" s="10">
        <v>5.0</v>
      </c>
      <c r="H14" s="10">
        <v>7.0</v>
      </c>
      <c r="I14" s="10" t="s">
        <v>2140</v>
      </c>
      <c r="J14" s="10" t="s">
        <v>2136</v>
      </c>
      <c r="K14" s="10"/>
      <c r="L14" s="10">
        <v>393.0</v>
      </c>
      <c r="M14" s="10">
        <v>11.23</v>
      </c>
      <c r="N14" s="10"/>
      <c r="O14" s="10"/>
      <c r="P14" s="12">
        <f>IF($A14="","",IFERROR((IF($O14="",0,$O14)*Settings!$J$4+IF($L14="",0,$L14)*Settings!$J$5+IF($N14="",0,$N14)*Settings!$J$6)/(IF($O14="",0,Settings!$J$4)+IF($L14="",0,Settings!$J$5)+IF($N14="",0,Settings!$J$6)),0))</f>
        <v>393</v>
      </c>
      <c r="Q14" s="12">
        <f t="array" ref="Q14">IF($A14="","",XLOOKUP($E14,Settings!$A$19:$A$22,Settings!$G$19:$G$22,0))</f>
        <v>203</v>
      </c>
      <c r="R14" s="12">
        <f t="shared" si="1"/>
        <v>190</v>
      </c>
      <c r="S14" s="12">
        <f>IF($A14="","",IF($R14&lt;=0,1,1+$R14/SUMIF($R$4:$R$923,"&gt;0",$R$4:$R$923)*(Settings!$B$5*(Settings!$B$6-Settings!$B$7))))</f>
        <v>24.45939933</v>
      </c>
      <c r="T14" s="12">
        <f t="array" ref="T14">IF($A14="","",XLOOKUP($F14,Settings!$I$15:$I$20,Settings!$J$15:$J$20,1))</f>
        <v>1.15</v>
      </c>
      <c r="U14" s="12">
        <f>IF($A14="","",1+(($G14-5)/5)*Settings!$J$8)</f>
        <v>1</v>
      </c>
      <c r="V14" s="12">
        <f>IF($A14="","",1+(($H14-5)/5)*Settings!$J$9)</f>
        <v>1.06</v>
      </c>
      <c r="W14" s="12">
        <f t="array" ref="W14">IF($A14="","",XLOOKUP($J14,Lists!$C$3:$C$7,Lists!$D$3:$D$7,1))</f>
        <v>1</v>
      </c>
      <c r="X14" s="12">
        <f>IF($A14="","",IF($I14="Yes",Settings!$J$10,1))</f>
        <v>1</v>
      </c>
      <c r="Y14" s="12">
        <f t="shared" si="2"/>
        <v>30</v>
      </c>
      <c r="Z14" s="12">
        <f>IF($A14="","",IFERROR(ROUND(AVERAGEIFS('Historical Drafts'!$G$4:$G$300,'Historical Drafts'!$D$4:$D$300,$E14,'Historical Drafts'!$J$4:$J$300,"&gt;="&amp;$L14*0.85,'Historical Drafts'!$J$4:$J$300,"&lt;="&amp;$L14*1.15),0),$Y14))</f>
        <v>41</v>
      </c>
      <c r="AA14" s="12" t="str">
        <f>IF($A14="","",IF(COUNTIF('Auction Log'!$B$3:$B$300,$A14)&gt;0,"Sold","Available"))</f>
        <v>Available</v>
      </c>
      <c r="AB14" s="12" t="str">
        <f t="array" ref="AB14">IF($A14="","",IFERROR(XLOOKUP($A14,'Auction Log'!$B$3:$B$300,'Auction Log'!$G$3:$G$300,""),""))</f>
        <v/>
      </c>
      <c r="AC14" s="12" t="str">
        <f t="array" ref="AC14">IF($A14="","",IFERROR(XLOOKUP($A14,'Auction Log'!$B$3:$B$300,'Auction Log'!$F$3:$F$300,""),""))</f>
        <v/>
      </c>
      <c r="AD14" s="12">
        <f t="array" ref="AD14">IF($A14="","",ROUND($Y14*XLOOKUP($F14,Settings!$I$15:$I$20,Settings!$K$15:$K$20,0.4),0))</f>
        <v>14</v>
      </c>
      <c r="AE14" s="12">
        <f t="array" ref="AE14">IF($A14="","",ROUND($Y14*XLOOKUP($F14,Settings!$I$15:$I$20,Settings!$L$15:$L$20,0.8),0))</f>
        <v>24</v>
      </c>
      <c r="AF14" s="12">
        <f t="array" ref="AF14">IF($A14="","",ROUND($Y14*XLOOKUP($F14,Settings!$I$15:$I$20,Settings!$M$15:$M$20,1),0))</f>
        <v>30</v>
      </c>
      <c r="AG14" s="12">
        <f t="array" ref="AG14">IF($A14="","",ROUND($Y14*XLOOKUP($F14,Settings!$I$15:$I$20,Settings!$N$15:$N$20,1.1),0))</f>
        <v>33</v>
      </c>
      <c r="AH14" s="12">
        <f t="array" ref="AH14">IF($A14="","",ROUND($Y14*XLOOKUP($F14,Settings!$I$15:$I$20,Settings!$O$15:$O$20,1.1)*Settings!$J$7,0))</f>
        <v>35</v>
      </c>
      <c r="AI14" s="12">
        <f t="array" ref="AI14">IF($A14="","",IF($AA14="Sold","",MIN($AH14,IFERROR(XLOOKUP(Settings!$B$12,Managers!$B$4:$B$15,Managers!$H$4:$H$15),$AH14))))</f>
        <v>35</v>
      </c>
      <c r="AJ14" s="12" t="str">
        <f t="shared" si="3"/>
        <v>Budget Drainer</v>
      </c>
      <c r="AK14" s="12">
        <f t="shared" si="4"/>
        <v>66</v>
      </c>
      <c r="AL14" s="12" t="str">
        <f t="shared" si="5"/>
        <v/>
      </c>
    </row>
    <row r="15">
      <c r="A15" s="10" t="s">
        <v>529</v>
      </c>
      <c r="B15" s="10" t="s">
        <v>530</v>
      </c>
      <c r="C15" s="10" t="s">
        <v>257</v>
      </c>
      <c r="D15" s="10" t="s">
        <v>121</v>
      </c>
      <c r="E15" s="10" t="s">
        <v>121</v>
      </c>
      <c r="F15" s="10" t="s">
        <v>99</v>
      </c>
      <c r="G15" s="10">
        <v>5.0</v>
      </c>
      <c r="H15" s="10">
        <v>7.0</v>
      </c>
      <c r="I15" s="10" t="s">
        <v>2140</v>
      </c>
      <c r="J15" s="10" t="s">
        <v>2136</v>
      </c>
      <c r="K15" s="10"/>
      <c r="L15" s="10">
        <v>392.5</v>
      </c>
      <c r="M15" s="10">
        <v>10.33</v>
      </c>
      <c r="N15" s="10"/>
      <c r="O15" s="10"/>
      <c r="P15" s="12">
        <f>IF($A15="","",IFERROR((IF($O15="",0,$O15)*Settings!$J$4+IF($L15="",0,$L15)*Settings!$J$5+IF($N15="",0,$N15)*Settings!$J$6)/(IF($O15="",0,Settings!$J$4)+IF($L15="",0,Settings!$J$5)+IF($N15="",0,Settings!$J$6)),0))</f>
        <v>392.5</v>
      </c>
      <c r="Q15" s="12">
        <f t="array" ref="Q15">IF($A15="","",XLOOKUP($E15,Settings!$A$19:$A$22,Settings!$G$19:$G$22,0))</f>
        <v>206</v>
      </c>
      <c r="R15" s="12">
        <f t="shared" si="1"/>
        <v>186.5</v>
      </c>
      <c r="S15" s="12">
        <f>IF($A15="","",IF($R15&lt;=0,1,1+$R15/SUMIF($R$4:$R$923,"&gt;0",$R$4:$R$923)*(Settings!$B$5*(Settings!$B$6-Settings!$B$7))))</f>
        <v>24.0272525</v>
      </c>
      <c r="T15" s="12">
        <f t="array" ref="T15">IF($A15="","",XLOOKUP($F15,Settings!$I$15:$I$20,Settings!$J$15:$J$20,1))</f>
        <v>1.15</v>
      </c>
      <c r="U15" s="12">
        <f>IF($A15="","",1+(($G15-5)/5)*Settings!$J$8)</f>
        <v>1</v>
      </c>
      <c r="V15" s="12">
        <f>IF($A15="","",1+(($H15-5)/5)*Settings!$J$9)</f>
        <v>1.06</v>
      </c>
      <c r="W15" s="12">
        <f t="array" ref="W15">IF($A15="","",XLOOKUP($J15,Lists!$C$3:$C$7,Lists!$D$3:$D$7,1))</f>
        <v>1</v>
      </c>
      <c r="X15" s="12">
        <f>IF($A15="","",IF($I15="Yes",Settings!$J$10,1))</f>
        <v>1</v>
      </c>
      <c r="Y15" s="12">
        <f t="shared" si="2"/>
        <v>29</v>
      </c>
      <c r="Z15" s="12">
        <f>IF($A15="","",IFERROR(ROUND(AVERAGEIFS('Historical Drafts'!$G$4:$G$300,'Historical Drafts'!$D$4:$D$300,$E15,'Historical Drafts'!$J$4:$J$300,"&gt;="&amp;$L15*0.85,'Historical Drafts'!$J$4:$J$300,"&lt;="&amp;$L15*1.15),0),$Y15))</f>
        <v>17</v>
      </c>
      <c r="AA15" s="12" t="str">
        <f>IF($A15="","",IF(COUNTIF('Auction Log'!$B$3:$B$300,$A15)&gt;0,"Sold","Available"))</f>
        <v>Available</v>
      </c>
      <c r="AB15" s="12" t="str">
        <f t="array" ref="AB15">IF($A15="","",IFERROR(XLOOKUP($A15,'Auction Log'!$B$3:$B$300,'Auction Log'!$G$3:$G$300,""),""))</f>
        <v/>
      </c>
      <c r="AC15" s="12" t="str">
        <f t="array" ref="AC15">IF($A15="","",IFERROR(XLOOKUP($A15,'Auction Log'!$B$3:$B$300,'Auction Log'!$F$3:$F$300,""),""))</f>
        <v/>
      </c>
      <c r="AD15" s="12">
        <f t="array" ref="AD15">IF($A15="","",ROUND($Y15*XLOOKUP($F15,Settings!$I$15:$I$20,Settings!$K$15:$K$20,0.4),0))</f>
        <v>13</v>
      </c>
      <c r="AE15" s="12">
        <f t="array" ref="AE15">IF($A15="","",ROUND($Y15*XLOOKUP($F15,Settings!$I$15:$I$20,Settings!$L$15:$L$20,0.8),0))</f>
        <v>23</v>
      </c>
      <c r="AF15" s="12">
        <f t="array" ref="AF15">IF($A15="","",ROUND($Y15*XLOOKUP($F15,Settings!$I$15:$I$20,Settings!$M$15:$M$20,1),0))</f>
        <v>29</v>
      </c>
      <c r="AG15" s="12">
        <f t="array" ref="AG15">IF($A15="","",ROUND($Y15*XLOOKUP($F15,Settings!$I$15:$I$20,Settings!$N$15:$N$20,1.1),0))</f>
        <v>32</v>
      </c>
      <c r="AH15" s="12">
        <f t="array" ref="AH15">IF($A15="","",ROUND($Y15*XLOOKUP($F15,Settings!$I$15:$I$20,Settings!$O$15:$O$20,1.1)*Settings!$J$7,0))</f>
        <v>34</v>
      </c>
      <c r="AI15" s="12">
        <f t="array" ref="AI15">IF($A15="","",IF($AA15="Sold","",MIN($AH15,IFERROR(XLOOKUP(Settings!$B$12,Managers!$B$4:$B$15,Managers!$H$4:$H$15),$AH15))))</f>
        <v>34</v>
      </c>
      <c r="AJ15" s="12" t="str">
        <f t="shared" si="3"/>
        <v>Value Target</v>
      </c>
      <c r="AK15" s="12">
        <f t="shared" si="4"/>
        <v>54</v>
      </c>
      <c r="AL15" s="12" t="str">
        <f t="shared" si="5"/>
        <v/>
      </c>
    </row>
    <row r="16">
      <c r="A16" s="10" t="s">
        <v>353</v>
      </c>
      <c r="B16" s="10" t="s">
        <v>354</v>
      </c>
      <c r="C16" s="10" t="s">
        <v>355</v>
      </c>
      <c r="D16" s="10" t="s">
        <v>118</v>
      </c>
      <c r="E16" s="10" t="s">
        <v>118</v>
      </c>
      <c r="F16" s="10" t="s">
        <v>99</v>
      </c>
      <c r="G16" s="10">
        <v>5.0</v>
      </c>
      <c r="H16" s="10">
        <v>7.0</v>
      </c>
      <c r="I16" s="10" t="s">
        <v>2140</v>
      </c>
      <c r="J16" s="10" t="s">
        <v>2136</v>
      </c>
      <c r="K16" s="10"/>
      <c r="L16" s="10">
        <v>391.75</v>
      </c>
      <c r="M16" s="10">
        <v>11.19</v>
      </c>
      <c r="N16" s="10"/>
      <c r="O16" s="10"/>
      <c r="P16" s="12">
        <f>IF($A16="","",IFERROR((IF($O16="",0,$O16)*Settings!$J$4+IF($L16="",0,$L16)*Settings!$J$5+IF($N16="",0,$N16)*Settings!$J$6)/(IF($O16="",0,Settings!$J$4)+IF($L16="",0,Settings!$J$5)+IF($N16="",0,Settings!$J$6)),0))</f>
        <v>391.75</v>
      </c>
      <c r="Q16" s="12">
        <f t="array" ref="Q16">IF($A16="","",XLOOKUP($E16,Settings!$A$19:$A$22,Settings!$G$19:$G$22,0))</f>
        <v>196.25</v>
      </c>
      <c r="R16" s="12">
        <f t="shared" si="1"/>
        <v>195.5</v>
      </c>
      <c r="S16" s="12">
        <f>IF($A16="","",IF($R16&lt;=0,1,1+$R16/SUMIF($R$4:$R$923,"&gt;0",$R$4:$R$923)*(Settings!$B$5*(Settings!$B$6-Settings!$B$7))))</f>
        <v>25.13848721</v>
      </c>
      <c r="T16" s="12">
        <f t="array" ref="T16">IF($A16="","",XLOOKUP($F16,Settings!$I$15:$I$20,Settings!$J$15:$J$20,1))</f>
        <v>1.15</v>
      </c>
      <c r="U16" s="12">
        <f>IF($A16="","",1+(($G16-5)/5)*Settings!$J$8)</f>
        <v>1</v>
      </c>
      <c r="V16" s="12">
        <f>IF($A16="","",1+(($H16-5)/5)*Settings!$J$9)</f>
        <v>1.06</v>
      </c>
      <c r="W16" s="12">
        <f t="array" ref="W16">IF($A16="","",XLOOKUP($J16,Lists!$C$3:$C$7,Lists!$D$3:$D$7,1))</f>
        <v>1</v>
      </c>
      <c r="X16" s="12">
        <f>IF($A16="","",IF($I16="Yes",Settings!$J$10,1))</f>
        <v>1</v>
      </c>
      <c r="Y16" s="12">
        <f t="shared" si="2"/>
        <v>31</v>
      </c>
      <c r="Z16" s="12">
        <f>IF($A16="","",IFERROR(ROUND(AVERAGEIFS('Historical Drafts'!$G$4:$G$300,'Historical Drafts'!$D$4:$D$300,$E16,'Historical Drafts'!$J$4:$J$300,"&gt;="&amp;$L16*0.85,'Historical Drafts'!$J$4:$J$300,"&lt;="&amp;$L16*1.15),0),$Y16))</f>
        <v>10</v>
      </c>
      <c r="AA16" s="12" t="str">
        <f>IF($A16="","",IF(COUNTIF('Auction Log'!$B$3:$B$300,$A16)&gt;0,"Sold","Available"))</f>
        <v>Available</v>
      </c>
      <c r="AB16" s="12" t="str">
        <f t="array" ref="AB16">IF($A16="","",IFERROR(XLOOKUP($A16,'Auction Log'!$B$3:$B$300,'Auction Log'!$G$3:$G$300,""),""))</f>
        <v/>
      </c>
      <c r="AC16" s="12" t="str">
        <f t="array" ref="AC16">IF($A16="","",IFERROR(XLOOKUP($A16,'Auction Log'!$B$3:$B$300,'Auction Log'!$F$3:$F$300,""),""))</f>
        <v/>
      </c>
      <c r="AD16" s="12">
        <f t="array" ref="AD16">IF($A16="","",ROUND($Y16*XLOOKUP($F16,Settings!$I$15:$I$20,Settings!$K$15:$K$20,0.4),0))</f>
        <v>14</v>
      </c>
      <c r="AE16" s="12">
        <f t="array" ref="AE16">IF($A16="","",ROUND($Y16*XLOOKUP($F16,Settings!$I$15:$I$20,Settings!$L$15:$L$20,0.8),0))</f>
        <v>25</v>
      </c>
      <c r="AF16" s="12">
        <f t="array" ref="AF16">IF($A16="","",ROUND($Y16*XLOOKUP($F16,Settings!$I$15:$I$20,Settings!$M$15:$M$20,1),0))</f>
        <v>31</v>
      </c>
      <c r="AG16" s="12">
        <f t="array" ref="AG16">IF($A16="","",ROUND($Y16*XLOOKUP($F16,Settings!$I$15:$I$20,Settings!$N$15:$N$20,1.1),0))</f>
        <v>34</v>
      </c>
      <c r="AH16" s="12">
        <f t="array" ref="AH16">IF($A16="","",ROUND($Y16*XLOOKUP($F16,Settings!$I$15:$I$20,Settings!$O$15:$O$20,1.1)*Settings!$J$7,0))</f>
        <v>37</v>
      </c>
      <c r="AI16" s="12">
        <f t="array" ref="AI16">IF($A16="","",IF($AA16="Sold","",MIN($AH16,IFERROR(XLOOKUP(Settings!$B$12,Managers!$B$4:$B$15,Managers!$H$4:$H$15),$AH16))))</f>
        <v>37</v>
      </c>
      <c r="AJ16" s="12" t="str">
        <f t="shared" si="3"/>
        <v>Value Target</v>
      </c>
      <c r="AK16" s="12">
        <f t="shared" si="4"/>
        <v>56</v>
      </c>
      <c r="AL16" s="12" t="str">
        <f t="shared" si="5"/>
        <v/>
      </c>
    </row>
    <row r="17">
      <c r="A17" s="10" t="s">
        <v>237</v>
      </c>
      <c r="B17" s="10" t="s">
        <v>238</v>
      </c>
      <c r="C17" s="10" t="s">
        <v>188</v>
      </c>
      <c r="D17" s="10" t="s">
        <v>121</v>
      </c>
      <c r="E17" s="10" t="s">
        <v>121</v>
      </c>
      <c r="F17" s="10" t="s">
        <v>99</v>
      </c>
      <c r="G17" s="10">
        <v>5.0</v>
      </c>
      <c r="H17" s="10">
        <v>7.0</v>
      </c>
      <c r="I17" s="10" t="s">
        <v>2140</v>
      </c>
      <c r="J17" s="10" t="s">
        <v>2136</v>
      </c>
      <c r="K17" s="10"/>
      <c r="L17" s="10">
        <v>391.0</v>
      </c>
      <c r="M17" s="10">
        <v>10.86</v>
      </c>
      <c r="N17" s="10"/>
      <c r="O17" s="10"/>
      <c r="P17" s="12">
        <f>IF($A17="","",IFERROR((IF($O17="",0,$O17)*Settings!$J$4+IF($L17="",0,$L17)*Settings!$J$5+IF($N17="",0,$N17)*Settings!$J$6)/(IF($O17="",0,Settings!$J$4)+IF($L17="",0,Settings!$J$5)+IF($N17="",0,Settings!$J$6)),0))</f>
        <v>391</v>
      </c>
      <c r="Q17" s="12">
        <f t="array" ref="Q17">IF($A17="","",XLOOKUP($E17,Settings!$A$19:$A$22,Settings!$G$19:$G$22,0))</f>
        <v>206</v>
      </c>
      <c r="R17" s="12">
        <f t="shared" si="1"/>
        <v>185</v>
      </c>
      <c r="S17" s="12">
        <f>IF($A17="","",IF($R17&lt;=0,1,1+$R17/SUMIF($R$4:$R$923,"&gt;0",$R$4:$R$923)*(Settings!$B$5*(Settings!$B$6-Settings!$B$7))))</f>
        <v>23.84204672</v>
      </c>
      <c r="T17" s="12">
        <f t="array" ref="T17">IF($A17="","",XLOOKUP($F17,Settings!$I$15:$I$20,Settings!$J$15:$J$20,1))</f>
        <v>1.15</v>
      </c>
      <c r="U17" s="12">
        <f>IF($A17="","",1+(($G17-5)/5)*Settings!$J$8)</f>
        <v>1</v>
      </c>
      <c r="V17" s="12">
        <f>IF($A17="","",1+(($H17-5)/5)*Settings!$J$9)</f>
        <v>1.06</v>
      </c>
      <c r="W17" s="12">
        <f t="array" ref="W17">IF($A17="","",XLOOKUP($J17,Lists!$C$3:$C$7,Lists!$D$3:$D$7,1))</f>
        <v>1</v>
      </c>
      <c r="X17" s="12">
        <f>IF($A17="","",IF($I17="Yes",Settings!$J$10,1))</f>
        <v>1</v>
      </c>
      <c r="Y17" s="12">
        <f t="shared" si="2"/>
        <v>29</v>
      </c>
      <c r="Z17" s="12">
        <f>IF($A17="","",IFERROR(ROUND(AVERAGEIFS('Historical Drafts'!$G$4:$G$300,'Historical Drafts'!$D$4:$D$300,$E17,'Historical Drafts'!$J$4:$J$300,"&gt;="&amp;$L17*0.85,'Historical Drafts'!$J$4:$J$300,"&lt;="&amp;$L17*1.15),0),$Y17))</f>
        <v>17</v>
      </c>
      <c r="AA17" s="12" t="str">
        <f>IF($A17="","",IF(COUNTIF('Auction Log'!$B$3:$B$300,$A17)&gt;0,"Sold","Available"))</f>
        <v>Available</v>
      </c>
      <c r="AB17" s="12" t="str">
        <f t="array" ref="AB17">IF($A17="","",IFERROR(XLOOKUP($A17,'Auction Log'!$B$3:$B$300,'Auction Log'!$G$3:$G$300,""),""))</f>
        <v/>
      </c>
      <c r="AC17" s="12" t="str">
        <f t="array" ref="AC17">IF($A17="","",IFERROR(XLOOKUP($A17,'Auction Log'!$B$3:$B$300,'Auction Log'!$F$3:$F$300,""),""))</f>
        <v/>
      </c>
      <c r="AD17" s="12">
        <f t="array" ref="AD17">IF($A17="","",ROUND($Y17*XLOOKUP($F17,Settings!$I$15:$I$20,Settings!$K$15:$K$20,0.4),0))</f>
        <v>13</v>
      </c>
      <c r="AE17" s="12">
        <f t="array" ref="AE17">IF($A17="","",ROUND($Y17*XLOOKUP($F17,Settings!$I$15:$I$20,Settings!$L$15:$L$20,0.8),0))</f>
        <v>23</v>
      </c>
      <c r="AF17" s="12">
        <f t="array" ref="AF17">IF($A17="","",ROUND($Y17*XLOOKUP($F17,Settings!$I$15:$I$20,Settings!$M$15:$M$20,1),0))</f>
        <v>29</v>
      </c>
      <c r="AG17" s="12">
        <f t="array" ref="AG17">IF($A17="","",ROUND($Y17*XLOOKUP($F17,Settings!$I$15:$I$20,Settings!$N$15:$N$20,1.1),0))</f>
        <v>32</v>
      </c>
      <c r="AH17" s="12">
        <f t="array" ref="AH17">IF($A17="","",ROUND($Y17*XLOOKUP($F17,Settings!$I$15:$I$20,Settings!$O$15:$O$20,1.1)*Settings!$J$7,0))</f>
        <v>34</v>
      </c>
      <c r="AI17" s="12">
        <f t="array" ref="AI17">IF($A17="","",IF($AA17="Sold","",MIN($AH17,IFERROR(XLOOKUP(Settings!$B$12,Managers!$B$4:$B$15,Managers!$H$4:$H$15),$AH17))))</f>
        <v>34</v>
      </c>
      <c r="AJ17" s="12" t="str">
        <f t="shared" si="3"/>
        <v>Value Target</v>
      </c>
      <c r="AK17" s="12">
        <f t="shared" si="4"/>
        <v>54</v>
      </c>
      <c r="AL17" s="12" t="str">
        <f t="shared" si="5"/>
        <v/>
      </c>
    </row>
    <row r="18">
      <c r="A18" s="10" t="s">
        <v>264</v>
      </c>
      <c r="B18" s="10" t="s">
        <v>265</v>
      </c>
      <c r="C18" s="10" t="s">
        <v>177</v>
      </c>
      <c r="D18" s="10" t="s">
        <v>118</v>
      </c>
      <c r="E18" s="10" t="s">
        <v>118</v>
      </c>
      <c r="F18" s="10" t="s">
        <v>99</v>
      </c>
      <c r="G18" s="10">
        <v>5.0</v>
      </c>
      <c r="H18" s="10">
        <v>7.0</v>
      </c>
      <c r="I18" s="10" t="s">
        <v>2140</v>
      </c>
      <c r="J18" s="10" t="s">
        <v>2136</v>
      </c>
      <c r="K18" s="10"/>
      <c r="L18" s="10">
        <v>390.5</v>
      </c>
      <c r="M18" s="10">
        <v>10.28</v>
      </c>
      <c r="N18" s="10"/>
      <c r="O18" s="10"/>
      <c r="P18" s="12">
        <f>IF($A18="","",IFERROR((IF($O18="",0,$O18)*Settings!$J$4+IF($L18="",0,$L18)*Settings!$J$5+IF($N18="",0,$N18)*Settings!$J$6)/(IF($O18="",0,Settings!$J$4)+IF($L18="",0,Settings!$J$5)+IF($N18="",0,Settings!$J$6)),0))</f>
        <v>390.5</v>
      </c>
      <c r="Q18" s="12">
        <f t="array" ref="Q18">IF($A18="","",XLOOKUP($E18,Settings!$A$19:$A$22,Settings!$G$19:$G$22,0))</f>
        <v>196.25</v>
      </c>
      <c r="R18" s="12">
        <f t="shared" si="1"/>
        <v>194.25</v>
      </c>
      <c r="S18" s="12">
        <f>IF($A18="","",IF($R18&lt;=0,1,1+$R18/SUMIF($R$4:$R$923,"&gt;0",$R$4:$R$923)*(Settings!$B$5*(Settings!$B$6-Settings!$B$7))))</f>
        <v>24.98414905</v>
      </c>
      <c r="T18" s="12">
        <f t="array" ref="T18">IF($A18="","",XLOOKUP($F18,Settings!$I$15:$I$20,Settings!$J$15:$J$20,1))</f>
        <v>1.15</v>
      </c>
      <c r="U18" s="12">
        <f>IF($A18="","",1+(($G18-5)/5)*Settings!$J$8)</f>
        <v>1</v>
      </c>
      <c r="V18" s="12">
        <f>IF($A18="","",1+(($H18-5)/5)*Settings!$J$9)</f>
        <v>1.06</v>
      </c>
      <c r="W18" s="12">
        <f t="array" ref="W18">IF($A18="","",XLOOKUP($J18,Lists!$C$3:$C$7,Lists!$D$3:$D$7,1))</f>
        <v>1</v>
      </c>
      <c r="X18" s="12">
        <f>IF($A18="","",IF($I18="Yes",Settings!$J$10,1))</f>
        <v>1</v>
      </c>
      <c r="Y18" s="12">
        <f t="shared" si="2"/>
        <v>30</v>
      </c>
      <c r="Z18" s="12">
        <f>IF($A18="","",IFERROR(ROUND(AVERAGEIFS('Historical Drafts'!$G$4:$G$300,'Historical Drafts'!$D$4:$D$300,$E18,'Historical Drafts'!$J$4:$J$300,"&gt;="&amp;$L18*0.85,'Historical Drafts'!$J$4:$J$300,"&lt;="&amp;$L18*1.15),0),$Y18))</f>
        <v>10</v>
      </c>
      <c r="AA18" s="12" t="str">
        <f>IF($A18="","",IF(COUNTIF('Auction Log'!$B$3:$B$300,$A18)&gt;0,"Sold","Available"))</f>
        <v>Available</v>
      </c>
      <c r="AB18" s="12" t="str">
        <f t="array" ref="AB18">IF($A18="","",IFERROR(XLOOKUP($A18,'Auction Log'!$B$3:$B$300,'Auction Log'!$G$3:$G$300,""),""))</f>
        <v/>
      </c>
      <c r="AC18" s="12" t="str">
        <f t="array" ref="AC18">IF($A18="","",IFERROR(XLOOKUP($A18,'Auction Log'!$B$3:$B$300,'Auction Log'!$F$3:$F$300,""),""))</f>
        <v/>
      </c>
      <c r="AD18" s="12">
        <f t="array" ref="AD18">IF($A18="","",ROUND($Y18*XLOOKUP($F18,Settings!$I$15:$I$20,Settings!$K$15:$K$20,0.4),0))</f>
        <v>14</v>
      </c>
      <c r="AE18" s="12">
        <f t="array" ref="AE18">IF($A18="","",ROUND($Y18*XLOOKUP($F18,Settings!$I$15:$I$20,Settings!$L$15:$L$20,0.8),0))</f>
        <v>24</v>
      </c>
      <c r="AF18" s="12">
        <f t="array" ref="AF18">IF($A18="","",ROUND($Y18*XLOOKUP($F18,Settings!$I$15:$I$20,Settings!$M$15:$M$20,1),0))</f>
        <v>30</v>
      </c>
      <c r="AG18" s="12">
        <f t="array" ref="AG18">IF($A18="","",ROUND($Y18*XLOOKUP($F18,Settings!$I$15:$I$20,Settings!$N$15:$N$20,1.1),0))</f>
        <v>33</v>
      </c>
      <c r="AH18" s="12">
        <f t="array" ref="AH18">IF($A18="","",ROUND($Y18*XLOOKUP($F18,Settings!$I$15:$I$20,Settings!$O$15:$O$20,1.1)*Settings!$J$7,0))</f>
        <v>35</v>
      </c>
      <c r="AI18" s="12">
        <f t="array" ref="AI18">IF($A18="","",IF($AA18="Sold","",MIN($AH18,IFERROR(XLOOKUP(Settings!$B$12,Managers!$B$4:$B$15,Managers!$H$4:$H$15),$AH18))))</f>
        <v>35</v>
      </c>
      <c r="AJ18" s="12" t="str">
        <f t="shared" si="3"/>
        <v>Value Target</v>
      </c>
      <c r="AK18" s="12">
        <f t="shared" si="4"/>
        <v>55</v>
      </c>
      <c r="AL18" s="12" t="str">
        <f t="shared" si="5"/>
        <v/>
      </c>
    </row>
    <row r="19">
      <c r="A19" s="10" t="s">
        <v>246</v>
      </c>
      <c r="B19" s="10" t="s">
        <v>533</v>
      </c>
      <c r="C19" s="10" t="s">
        <v>191</v>
      </c>
      <c r="D19" s="10" t="s">
        <v>118</v>
      </c>
      <c r="E19" s="10" t="s">
        <v>118</v>
      </c>
      <c r="F19" s="10" t="s">
        <v>99</v>
      </c>
      <c r="G19" s="10">
        <v>5.0</v>
      </c>
      <c r="H19" s="10">
        <v>7.0</v>
      </c>
      <c r="I19" s="10" t="s">
        <v>2140</v>
      </c>
      <c r="J19" s="10" t="s">
        <v>2136</v>
      </c>
      <c r="K19" s="10"/>
      <c r="L19" s="10">
        <v>386.25</v>
      </c>
      <c r="M19" s="10">
        <v>12.07</v>
      </c>
      <c r="N19" s="10"/>
      <c r="O19" s="10"/>
      <c r="P19" s="12">
        <f>IF($A19="","",IFERROR((IF($O19="",0,$O19)*Settings!$J$4+IF($L19="",0,$L19)*Settings!$J$5+IF($N19="",0,$N19)*Settings!$J$6)/(IF($O19="",0,Settings!$J$4)+IF($L19="",0,Settings!$J$5)+IF($N19="",0,Settings!$J$6)),0))</f>
        <v>386.25</v>
      </c>
      <c r="Q19" s="12">
        <f t="array" ref="Q19">IF($A19="","",XLOOKUP($E19,Settings!$A$19:$A$22,Settings!$G$19:$G$22,0))</f>
        <v>196.25</v>
      </c>
      <c r="R19" s="12">
        <f t="shared" si="1"/>
        <v>190</v>
      </c>
      <c r="S19" s="12">
        <f>IF($A19="","",IF($R19&lt;=0,1,1+$R19/SUMIF($R$4:$R$923,"&gt;0",$R$4:$R$923)*(Settings!$B$5*(Settings!$B$6-Settings!$B$7))))</f>
        <v>24.45939933</v>
      </c>
      <c r="T19" s="12">
        <f t="array" ref="T19">IF($A19="","",XLOOKUP($F19,Settings!$I$15:$I$20,Settings!$J$15:$J$20,1))</f>
        <v>1.15</v>
      </c>
      <c r="U19" s="12">
        <f>IF($A19="","",1+(($G19-5)/5)*Settings!$J$8)</f>
        <v>1</v>
      </c>
      <c r="V19" s="12">
        <f>IF($A19="","",1+(($H19-5)/5)*Settings!$J$9)</f>
        <v>1.06</v>
      </c>
      <c r="W19" s="12">
        <f t="array" ref="W19">IF($A19="","",XLOOKUP($J19,Lists!$C$3:$C$7,Lists!$D$3:$D$7,1))</f>
        <v>1</v>
      </c>
      <c r="X19" s="12">
        <f>IF($A19="","",IF($I19="Yes",Settings!$J$10,1))</f>
        <v>1</v>
      </c>
      <c r="Y19" s="12">
        <f t="shared" si="2"/>
        <v>30</v>
      </c>
      <c r="Z19" s="12">
        <f>IF($A19="","",IFERROR(ROUND(AVERAGEIFS('Historical Drafts'!$G$4:$G$300,'Historical Drafts'!$D$4:$D$300,$E19,'Historical Drafts'!$J$4:$J$300,"&gt;="&amp;$L19*0.85,'Historical Drafts'!$J$4:$J$300,"&lt;="&amp;$L19*1.15),0),$Y19))</f>
        <v>10</v>
      </c>
      <c r="AA19" s="12" t="str">
        <f>IF($A19="","",IF(COUNTIF('Auction Log'!$B$3:$B$300,$A19)&gt;0,"Sold","Available"))</f>
        <v>Available</v>
      </c>
      <c r="AB19" s="12" t="str">
        <f t="array" ref="AB19">IF($A19="","",IFERROR(XLOOKUP($A19,'Auction Log'!$B$3:$B$300,'Auction Log'!$G$3:$G$300,""),""))</f>
        <v/>
      </c>
      <c r="AC19" s="12" t="str">
        <f t="array" ref="AC19">IF($A19="","",IFERROR(XLOOKUP($A19,'Auction Log'!$B$3:$B$300,'Auction Log'!$F$3:$F$300,""),""))</f>
        <v/>
      </c>
      <c r="AD19" s="12">
        <f t="array" ref="AD19">IF($A19="","",ROUND($Y19*XLOOKUP($F19,Settings!$I$15:$I$20,Settings!$K$15:$K$20,0.4),0))</f>
        <v>14</v>
      </c>
      <c r="AE19" s="12">
        <f t="array" ref="AE19">IF($A19="","",ROUND($Y19*XLOOKUP($F19,Settings!$I$15:$I$20,Settings!$L$15:$L$20,0.8),0))</f>
        <v>24</v>
      </c>
      <c r="AF19" s="12">
        <f t="array" ref="AF19">IF($A19="","",ROUND($Y19*XLOOKUP($F19,Settings!$I$15:$I$20,Settings!$M$15:$M$20,1),0))</f>
        <v>30</v>
      </c>
      <c r="AG19" s="12">
        <f t="array" ref="AG19">IF($A19="","",ROUND($Y19*XLOOKUP($F19,Settings!$I$15:$I$20,Settings!$N$15:$N$20,1.1),0))</f>
        <v>33</v>
      </c>
      <c r="AH19" s="12">
        <f t="array" ref="AH19">IF($A19="","",ROUND($Y19*XLOOKUP($F19,Settings!$I$15:$I$20,Settings!$O$15:$O$20,1.1)*Settings!$J$7,0))</f>
        <v>35</v>
      </c>
      <c r="AI19" s="12">
        <f t="array" ref="AI19">IF($A19="","",IF($AA19="Sold","",MIN($AH19,IFERROR(XLOOKUP(Settings!$B$12,Managers!$B$4:$B$15,Managers!$H$4:$H$15),$AH19))))</f>
        <v>35</v>
      </c>
      <c r="AJ19" s="12" t="str">
        <f t="shared" si="3"/>
        <v>Value Target</v>
      </c>
      <c r="AK19" s="12">
        <f t="shared" si="4"/>
        <v>55</v>
      </c>
      <c r="AL19" s="12" t="str">
        <f t="shared" si="5"/>
        <v/>
      </c>
    </row>
    <row r="20">
      <c r="A20" s="10" t="s">
        <v>222</v>
      </c>
      <c r="B20" s="10" t="s">
        <v>223</v>
      </c>
      <c r="C20" s="10" t="s">
        <v>199</v>
      </c>
      <c r="D20" s="10" t="s">
        <v>121</v>
      </c>
      <c r="E20" s="10" t="s">
        <v>121</v>
      </c>
      <c r="F20" s="10" t="s">
        <v>99</v>
      </c>
      <c r="G20" s="10">
        <v>5.0</v>
      </c>
      <c r="H20" s="10">
        <v>7.0</v>
      </c>
      <c r="I20" s="10" t="s">
        <v>2140</v>
      </c>
      <c r="J20" s="10" t="s">
        <v>2136</v>
      </c>
      <c r="K20" s="10"/>
      <c r="L20" s="10">
        <v>380.5</v>
      </c>
      <c r="M20" s="10">
        <v>10.28</v>
      </c>
      <c r="N20" s="10"/>
      <c r="O20" s="10"/>
      <c r="P20" s="12">
        <f>IF($A20="","",IFERROR((IF($O20="",0,$O20)*Settings!$J$4+IF($L20="",0,$L20)*Settings!$J$5+IF($N20="",0,$N20)*Settings!$J$6)/(IF($O20="",0,Settings!$J$4)+IF($L20="",0,Settings!$J$5)+IF($N20="",0,Settings!$J$6)),0))</f>
        <v>380.5</v>
      </c>
      <c r="Q20" s="12">
        <f t="array" ref="Q20">IF($A20="","",XLOOKUP($E20,Settings!$A$19:$A$22,Settings!$G$19:$G$22,0))</f>
        <v>206</v>
      </c>
      <c r="R20" s="12">
        <f t="shared" si="1"/>
        <v>174.5</v>
      </c>
      <c r="S20" s="12">
        <f>IF($A20="","",IF($R20&lt;=0,1,1+$R20/SUMIF($R$4:$R$923,"&gt;0",$R$4:$R$923)*(Settings!$B$5*(Settings!$B$6-Settings!$B$7))))</f>
        <v>22.54560623</v>
      </c>
      <c r="T20" s="12">
        <f t="array" ref="T20">IF($A20="","",XLOOKUP($F20,Settings!$I$15:$I$20,Settings!$J$15:$J$20,1))</f>
        <v>1.15</v>
      </c>
      <c r="U20" s="12">
        <f>IF($A20="","",1+(($G20-5)/5)*Settings!$J$8)</f>
        <v>1</v>
      </c>
      <c r="V20" s="12">
        <f>IF($A20="","",1+(($H20-5)/5)*Settings!$J$9)</f>
        <v>1.06</v>
      </c>
      <c r="W20" s="12">
        <f t="array" ref="W20">IF($A20="","",XLOOKUP($J20,Lists!$C$3:$C$7,Lists!$D$3:$D$7,1))</f>
        <v>1</v>
      </c>
      <c r="X20" s="12">
        <f>IF($A20="","",IF($I20="Yes",Settings!$J$10,1))</f>
        <v>1</v>
      </c>
      <c r="Y20" s="12">
        <f t="shared" si="2"/>
        <v>27</v>
      </c>
      <c r="Z20" s="12">
        <f>IF($A20="","",IFERROR(ROUND(AVERAGEIFS('Historical Drafts'!$G$4:$G$300,'Historical Drafts'!$D$4:$D$300,$E20,'Historical Drafts'!$J$4:$J$300,"&gt;="&amp;$L20*0.85,'Historical Drafts'!$J$4:$J$300,"&lt;="&amp;$L20*1.15),0),$Y20))</f>
        <v>21</v>
      </c>
      <c r="AA20" s="12" t="str">
        <f>IF($A20="","",IF(COUNTIF('Auction Log'!$B$3:$B$300,$A20)&gt;0,"Sold","Available"))</f>
        <v>Available</v>
      </c>
      <c r="AB20" s="12" t="str">
        <f t="array" ref="AB20">IF($A20="","",IFERROR(XLOOKUP($A20,'Auction Log'!$B$3:$B$300,'Auction Log'!$G$3:$G$300,""),""))</f>
        <v/>
      </c>
      <c r="AC20" s="12" t="str">
        <f t="array" ref="AC20">IF($A20="","",IFERROR(XLOOKUP($A20,'Auction Log'!$B$3:$B$300,'Auction Log'!$F$3:$F$300,""),""))</f>
        <v/>
      </c>
      <c r="AD20" s="12">
        <f t="array" ref="AD20">IF($A20="","",ROUND($Y20*XLOOKUP($F20,Settings!$I$15:$I$20,Settings!$K$15:$K$20,0.4),0))</f>
        <v>12</v>
      </c>
      <c r="AE20" s="12">
        <f t="array" ref="AE20">IF($A20="","",ROUND($Y20*XLOOKUP($F20,Settings!$I$15:$I$20,Settings!$L$15:$L$20,0.8),0))</f>
        <v>22</v>
      </c>
      <c r="AF20" s="12">
        <f t="array" ref="AF20">IF($A20="","",ROUND($Y20*XLOOKUP($F20,Settings!$I$15:$I$20,Settings!$M$15:$M$20,1),0))</f>
        <v>27</v>
      </c>
      <c r="AG20" s="12">
        <f t="array" ref="AG20">IF($A20="","",ROUND($Y20*XLOOKUP($F20,Settings!$I$15:$I$20,Settings!$N$15:$N$20,1.1),0))</f>
        <v>30</v>
      </c>
      <c r="AH20" s="12">
        <f t="array" ref="AH20">IF($A20="","",ROUND($Y20*XLOOKUP($F20,Settings!$I$15:$I$20,Settings!$O$15:$O$20,1.1)*Settings!$J$7,0))</f>
        <v>32</v>
      </c>
      <c r="AI20" s="12">
        <f t="array" ref="AI20">IF($A20="","",IF($AA20="Sold","",MIN($AH20,IFERROR(XLOOKUP(Settings!$B$12,Managers!$B$4:$B$15,Managers!$H$4:$H$15),$AH20))))</f>
        <v>32</v>
      </c>
      <c r="AJ20" s="12" t="str">
        <f t="shared" si="3"/>
        <v>Value Target</v>
      </c>
      <c r="AK20" s="12">
        <f t="shared" si="4"/>
        <v>52</v>
      </c>
      <c r="AL20" s="12" t="str">
        <f t="shared" si="5"/>
        <v/>
      </c>
    </row>
    <row r="21" ht="15.75" customHeight="1">
      <c r="A21" s="10" t="s">
        <v>219</v>
      </c>
      <c r="B21" s="10" t="s">
        <v>220</v>
      </c>
      <c r="C21" s="10" t="s">
        <v>221</v>
      </c>
      <c r="D21" s="10" t="s">
        <v>118</v>
      </c>
      <c r="E21" s="10" t="s">
        <v>118</v>
      </c>
      <c r="F21" s="10" t="s">
        <v>99</v>
      </c>
      <c r="G21" s="10">
        <v>5.0</v>
      </c>
      <c r="H21" s="10">
        <v>7.0</v>
      </c>
      <c r="I21" s="10" t="s">
        <v>2140</v>
      </c>
      <c r="J21" s="10" t="s">
        <v>2136</v>
      </c>
      <c r="K21" s="10"/>
      <c r="L21" s="10">
        <v>380.0</v>
      </c>
      <c r="M21" s="10">
        <v>13.1</v>
      </c>
      <c r="N21" s="10"/>
      <c r="O21" s="10"/>
      <c r="P21" s="12">
        <f>IF($A21="","",IFERROR((IF($O21="",0,$O21)*Settings!$J$4+IF($L21="",0,$L21)*Settings!$J$5+IF($N21="",0,$N21)*Settings!$J$6)/(IF($O21="",0,Settings!$J$4)+IF($L21="",0,Settings!$J$5)+IF($N21="",0,Settings!$J$6)),0))</f>
        <v>380</v>
      </c>
      <c r="Q21" s="12">
        <f t="array" ref="Q21">IF($A21="","",XLOOKUP($E21,Settings!$A$19:$A$22,Settings!$G$19:$G$22,0))</f>
        <v>196.25</v>
      </c>
      <c r="R21" s="12">
        <f t="shared" si="1"/>
        <v>183.75</v>
      </c>
      <c r="S21" s="12">
        <f>IF($A21="","",IF($R21&lt;=0,1,1+$R21/SUMIF($R$4:$R$923,"&gt;0",$R$4:$R$923)*(Settings!$B$5*(Settings!$B$6-Settings!$B$7))))</f>
        <v>23.68770857</v>
      </c>
      <c r="T21" s="12">
        <f t="array" ref="T21">IF($A21="","",XLOOKUP($F21,Settings!$I$15:$I$20,Settings!$J$15:$J$20,1))</f>
        <v>1.15</v>
      </c>
      <c r="U21" s="12">
        <f>IF($A21="","",1+(($G21-5)/5)*Settings!$J$8)</f>
        <v>1</v>
      </c>
      <c r="V21" s="12">
        <f>IF($A21="","",1+(($H21-5)/5)*Settings!$J$9)</f>
        <v>1.06</v>
      </c>
      <c r="W21" s="12">
        <f t="array" ref="W21">IF($A21="","",XLOOKUP($J21,Lists!$C$3:$C$7,Lists!$D$3:$D$7,1))</f>
        <v>1</v>
      </c>
      <c r="X21" s="12">
        <f>IF($A21="","",IF($I21="Yes",Settings!$J$10,1))</f>
        <v>1</v>
      </c>
      <c r="Y21" s="12">
        <f t="shared" si="2"/>
        <v>29</v>
      </c>
      <c r="Z21" s="12">
        <f>IF($A21="","",IFERROR(ROUND(AVERAGEIFS('Historical Drafts'!$G$4:$G$300,'Historical Drafts'!$D$4:$D$300,$E21,'Historical Drafts'!$J$4:$J$300,"&gt;="&amp;$L21*0.85,'Historical Drafts'!$J$4:$J$300,"&lt;="&amp;$L21*1.15),0),$Y21))</f>
        <v>11</v>
      </c>
      <c r="AA21" s="12" t="str">
        <f>IF($A21="","",IF(COUNTIF('Auction Log'!$B$3:$B$300,$A21)&gt;0,"Sold","Available"))</f>
        <v>Available</v>
      </c>
      <c r="AB21" s="12" t="str">
        <f t="array" ref="AB21">IF($A21="","",IFERROR(XLOOKUP($A21,'Auction Log'!$B$3:$B$300,'Auction Log'!$G$3:$G$300,""),""))</f>
        <v/>
      </c>
      <c r="AC21" s="12" t="str">
        <f t="array" ref="AC21">IF($A21="","",IFERROR(XLOOKUP($A21,'Auction Log'!$B$3:$B$300,'Auction Log'!$F$3:$F$300,""),""))</f>
        <v/>
      </c>
      <c r="AD21" s="12">
        <f t="array" ref="AD21">IF($A21="","",ROUND($Y21*XLOOKUP($F21,Settings!$I$15:$I$20,Settings!$K$15:$K$20,0.4),0))</f>
        <v>13</v>
      </c>
      <c r="AE21" s="12">
        <f t="array" ref="AE21">IF($A21="","",ROUND($Y21*XLOOKUP($F21,Settings!$I$15:$I$20,Settings!$L$15:$L$20,0.8),0))</f>
        <v>23</v>
      </c>
      <c r="AF21" s="12">
        <f t="array" ref="AF21">IF($A21="","",ROUND($Y21*XLOOKUP($F21,Settings!$I$15:$I$20,Settings!$M$15:$M$20,1),0))</f>
        <v>29</v>
      </c>
      <c r="AG21" s="12">
        <f t="array" ref="AG21">IF($A21="","",ROUND($Y21*XLOOKUP($F21,Settings!$I$15:$I$20,Settings!$N$15:$N$20,1.1),0))</f>
        <v>32</v>
      </c>
      <c r="AH21" s="12">
        <f t="array" ref="AH21">IF($A21="","",ROUND($Y21*XLOOKUP($F21,Settings!$I$15:$I$20,Settings!$O$15:$O$20,1.1)*Settings!$J$7,0))</f>
        <v>34</v>
      </c>
      <c r="AI21" s="12">
        <f t="array" ref="AI21">IF($A21="","",IF($AA21="Sold","",MIN($AH21,IFERROR(XLOOKUP(Settings!$B$12,Managers!$B$4:$B$15,Managers!$H$4:$H$15),$AH21))))</f>
        <v>34</v>
      </c>
      <c r="AJ21" s="12" t="str">
        <f t="shared" si="3"/>
        <v>Value Target</v>
      </c>
      <c r="AK21" s="12">
        <f t="shared" si="4"/>
        <v>54</v>
      </c>
      <c r="AL21" s="12" t="str">
        <f t="shared" si="5"/>
        <v/>
      </c>
    </row>
    <row r="22" ht="15.75" customHeight="1">
      <c r="A22" s="10" t="s">
        <v>266</v>
      </c>
      <c r="B22" s="10" t="s">
        <v>267</v>
      </c>
      <c r="C22" s="10" t="s">
        <v>180</v>
      </c>
      <c r="D22" s="10" t="s">
        <v>121</v>
      </c>
      <c r="E22" s="10" t="s">
        <v>121</v>
      </c>
      <c r="F22" s="10" t="s">
        <v>99</v>
      </c>
      <c r="G22" s="10">
        <v>5.0</v>
      </c>
      <c r="H22" s="10">
        <v>7.0</v>
      </c>
      <c r="I22" s="10" t="s">
        <v>2140</v>
      </c>
      <c r="J22" s="10" t="s">
        <v>2136</v>
      </c>
      <c r="K22" s="10"/>
      <c r="L22" s="10">
        <v>376.5</v>
      </c>
      <c r="M22" s="10">
        <v>12.55</v>
      </c>
      <c r="N22" s="10"/>
      <c r="O22" s="10"/>
      <c r="P22" s="12">
        <f>IF($A22="","",IFERROR((IF($O22="",0,$O22)*Settings!$J$4+IF($L22="",0,$L22)*Settings!$J$5+IF($N22="",0,$N22)*Settings!$J$6)/(IF($O22="",0,Settings!$J$4)+IF($L22="",0,Settings!$J$5)+IF($N22="",0,Settings!$J$6)),0))</f>
        <v>376.5</v>
      </c>
      <c r="Q22" s="12">
        <f t="array" ref="Q22">IF($A22="","",XLOOKUP($E22,Settings!$A$19:$A$22,Settings!$G$19:$G$22,0))</f>
        <v>206</v>
      </c>
      <c r="R22" s="12">
        <f t="shared" si="1"/>
        <v>170.5</v>
      </c>
      <c r="S22" s="12">
        <f>IF($A22="","",IF($R22&lt;=0,1,1+$R22/SUMIF($R$4:$R$923,"&gt;0",$R$4:$R$923)*(Settings!$B$5*(Settings!$B$6-Settings!$B$7))))</f>
        <v>22.05172414</v>
      </c>
      <c r="T22" s="12">
        <f t="array" ref="T22">IF($A22="","",XLOOKUP($F22,Settings!$I$15:$I$20,Settings!$J$15:$J$20,1))</f>
        <v>1.15</v>
      </c>
      <c r="U22" s="12">
        <f>IF($A22="","",1+(($G22-5)/5)*Settings!$J$8)</f>
        <v>1</v>
      </c>
      <c r="V22" s="12">
        <f>IF($A22="","",1+(($H22-5)/5)*Settings!$J$9)</f>
        <v>1.06</v>
      </c>
      <c r="W22" s="12">
        <f t="array" ref="W22">IF($A22="","",XLOOKUP($J22,Lists!$C$3:$C$7,Lists!$D$3:$D$7,1))</f>
        <v>1</v>
      </c>
      <c r="X22" s="12">
        <f>IF($A22="","",IF($I22="Yes",Settings!$J$10,1))</f>
        <v>1</v>
      </c>
      <c r="Y22" s="12">
        <f t="shared" si="2"/>
        <v>27</v>
      </c>
      <c r="Z22" s="12">
        <f>IF($A22="","",IFERROR(ROUND(AVERAGEIFS('Historical Drafts'!$G$4:$G$300,'Historical Drafts'!$D$4:$D$300,$E22,'Historical Drafts'!$J$4:$J$300,"&gt;="&amp;$L22*0.85,'Historical Drafts'!$J$4:$J$300,"&lt;="&amp;$L22*1.15),0),$Y22))</f>
        <v>16</v>
      </c>
      <c r="AA22" s="12" t="str">
        <f>IF($A22="","",IF(COUNTIF('Auction Log'!$B$3:$B$300,$A22)&gt;0,"Sold","Available"))</f>
        <v>Available</v>
      </c>
      <c r="AB22" s="12" t="str">
        <f t="array" ref="AB22">IF($A22="","",IFERROR(XLOOKUP($A22,'Auction Log'!$B$3:$B$300,'Auction Log'!$G$3:$G$300,""),""))</f>
        <v/>
      </c>
      <c r="AC22" s="12" t="str">
        <f t="array" ref="AC22">IF($A22="","",IFERROR(XLOOKUP($A22,'Auction Log'!$B$3:$B$300,'Auction Log'!$F$3:$F$300,""),""))</f>
        <v/>
      </c>
      <c r="AD22" s="12">
        <f t="array" ref="AD22">IF($A22="","",ROUND($Y22*XLOOKUP($F22,Settings!$I$15:$I$20,Settings!$K$15:$K$20,0.4),0))</f>
        <v>12</v>
      </c>
      <c r="AE22" s="12">
        <f t="array" ref="AE22">IF($A22="","",ROUND($Y22*XLOOKUP($F22,Settings!$I$15:$I$20,Settings!$L$15:$L$20,0.8),0))</f>
        <v>22</v>
      </c>
      <c r="AF22" s="12">
        <f t="array" ref="AF22">IF($A22="","",ROUND($Y22*XLOOKUP($F22,Settings!$I$15:$I$20,Settings!$M$15:$M$20,1),0))</f>
        <v>27</v>
      </c>
      <c r="AG22" s="12">
        <f t="array" ref="AG22">IF($A22="","",ROUND($Y22*XLOOKUP($F22,Settings!$I$15:$I$20,Settings!$N$15:$N$20,1.1),0))</f>
        <v>30</v>
      </c>
      <c r="AH22" s="12">
        <f t="array" ref="AH22">IF($A22="","",ROUND($Y22*XLOOKUP($F22,Settings!$I$15:$I$20,Settings!$O$15:$O$20,1.1)*Settings!$J$7,0))</f>
        <v>32</v>
      </c>
      <c r="AI22" s="12">
        <f t="array" ref="AI22">IF($A22="","",IF($AA22="Sold","",MIN($AH22,IFERROR(XLOOKUP(Settings!$B$12,Managers!$B$4:$B$15,Managers!$H$4:$H$15),$AH22))))</f>
        <v>32</v>
      </c>
      <c r="AJ22" s="12" t="str">
        <f t="shared" si="3"/>
        <v>Value Target</v>
      </c>
      <c r="AK22" s="12">
        <f t="shared" si="4"/>
        <v>52</v>
      </c>
      <c r="AL22" s="12" t="str">
        <f t="shared" si="5"/>
        <v/>
      </c>
    </row>
    <row r="23" ht="15.75" customHeight="1">
      <c r="A23" s="10" t="s">
        <v>409</v>
      </c>
      <c r="B23" s="10" t="s">
        <v>410</v>
      </c>
      <c r="C23" s="10" t="s">
        <v>221</v>
      </c>
      <c r="D23" s="10" t="s">
        <v>118</v>
      </c>
      <c r="E23" s="10" t="s">
        <v>118</v>
      </c>
      <c r="F23" s="10" t="s">
        <v>99</v>
      </c>
      <c r="G23" s="10">
        <v>5.0</v>
      </c>
      <c r="H23" s="10">
        <v>7.0</v>
      </c>
      <c r="I23" s="10" t="s">
        <v>2140</v>
      </c>
      <c r="J23" s="10" t="s">
        <v>2136</v>
      </c>
      <c r="K23" s="10"/>
      <c r="L23" s="10">
        <v>368.25</v>
      </c>
      <c r="M23" s="10">
        <v>9.69</v>
      </c>
      <c r="N23" s="10"/>
      <c r="O23" s="10"/>
      <c r="P23" s="12">
        <f>IF($A23="","",IFERROR((IF($O23="",0,$O23)*Settings!$J$4+IF($L23="",0,$L23)*Settings!$J$5+IF($N23="",0,$N23)*Settings!$J$6)/(IF($O23="",0,Settings!$J$4)+IF($L23="",0,Settings!$J$5)+IF($N23="",0,Settings!$J$6)),0))</f>
        <v>368.25</v>
      </c>
      <c r="Q23" s="12">
        <f t="array" ref="Q23">IF($A23="","",XLOOKUP($E23,Settings!$A$19:$A$22,Settings!$G$19:$G$22,0))</f>
        <v>196.25</v>
      </c>
      <c r="R23" s="12">
        <f t="shared" si="1"/>
        <v>172</v>
      </c>
      <c r="S23" s="12">
        <f>IF($A23="","",IF($R23&lt;=0,1,1+$R23/SUMIF($R$4:$R$923,"&gt;0",$R$4:$R$923)*(Settings!$B$5*(Settings!$B$6-Settings!$B$7))))</f>
        <v>22.23692992</v>
      </c>
      <c r="T23" s="12">
        <f t="array" ref="T23">IF($A23="","",XLOOKUP($F23,Settings!$I$15:$I$20,Settings!$J$15:$J$20,1))</f>
        <v>1.15</v>
      </c>
      <c r="U23" s="12">
        <f>IF($A23="","",1+(($G23-5)/5)*Settings!$J$8)</f>
        <v>1</v>
      </c>
      <c r="V23" s="12">
        <f>IF($A23="","",1+(($H23-5)/5)*Settings!$J$9)</f>
        <v>1.06</v>
      </c>
      <c r="W23" s="12">
        <f t="array" ref="W23">IF($A23="","",XLOOKUP($J23,Lists!$C$3:$C$7,Lists!$D$3:$D$7,1))</f>
        <v>1</v>
      </c>
      <c r="X23" s="12">
        <f>IF($A23="","",IF($I23="Yes",Settings!$J$10,1))</f>
        <v>1</v>
      </c>
      <c r="Y23" s="12">
        <f t="shared" si="2"/>
        <v>27</v>
      </c>
      <c r="Z23" s="12">
        <f>IF($A23="","",IFERROR(ROUND(AVERAGEIFS('Historical Drafts'!$G$4:$G$300,'Historical Drafts'!$D$4:$D$300,$E23,'Historical Drafts'!$J$4:$J$300,"&gt;="&amp;$L23*0.85,'Historical Drafts'!$J$4:$J$300,"&lt;="&amp;$L23*1.15),0),$Y23))</f>
        <v>11</v>
      </c>
      <c r="AA23" s="12" t="str">
        <f>IF($A23="","",IF(COUNTIF('Auction Log'!$B$3:$B$300,$A23)&gt;0,"Sold","Available"))</f>
        <v>Available</v>
      </c>
      <c r="AB23" s="12" t="str">
        <f t="array" ref="AB23">IF($A23="","",IFERROR(XLOOKUP($A23,'Auction Log'!$B$3:$B$300,'Auction Log'!$G$3:$G$300,""),""))</f>
        <v/>
      </c>
      <c r="AC23" s="12" t="str">
        <f t="array" ref="AC23">IF($A23="","",IFERROR(XLOOKUP($A23,'Auction Log'!$B$3:$B$300,'Auction Log'!$F$3:$F$300,""),""))</f>
        <v/>
      </c>
      <c r="AD23" s="12">
        <f t="array" ref="AD23">IF($A23="","",ROUND($Y23*XLOOKUP($F23,Settings!$I$15:$I$20,Settings!$K$15:$K$20,0.4),0))</f>
        <v>12</v>
      </c>
      <c r="AE23" s="12">
        <f t="array" ref="AE23">IF($A23="","",ROUND($Y23*XLOOKUP($F23,Settings!$I$15:$I$20,Settings!$L$15:$L$20,0.8),0))</f>
        <v>22</v>
      </c>
      <c r="AF23" s="12">
        <f t="array" ref="AF23">IF($A23="","",ROUND($Y23*XLOOKUP($F23,Settings!$I$15:$I$20,Settings!$M$15:$M$20,1),0))</f>
        <v>27</v>
      </c>
      <c r="AG23" s="12">
        <f t="array" ref="AG23">IF($A23="","",ROUND($Y23*XLOOKUP($F23,Settings!$I$15:$I$20,Settings!$N$15:$N$20,1.1),0))</f>
        <v>30</v>
      </c>
      <c r="AH23" s="12">
        <f t="array" ref="AH23">IF($A23="","",ROUND($Y23*XLOOKUP($F23,Settings!$I$15:$I$20,Settings!$O$15:$O$20,1.1)*Settings!$J$7,0))</f>
        <v>32</v>
      </c>
      <c r="AI23" s="12">
        <f t="array" ref="AI23">IF($A23="","",IF($AA23="Sold","",MIN($AH23,IFERROR(XLOOKUP(Settings!$B$12,Managers!$B$4:$B$15,Managers!$H$4:$H$15),$AH23))))</f>
        <v>32</v>
      </c>
      <c r="AJ23" s="12" t="str">
        <f t="shared" si="3"/>
        <v>Value Target</v>
      </c>
      <c r="AK23" s="12">
        <f t="shared" si="4"/>
        <v>52</v>
      </c>
      <c r="AL23" s="12" t="str">
        <f t="shared" si="5"/>
        <v/>
      </c>
    </row>
    <row r="24" ht="15.75" customHeight="1">
      <c r="A24" s="10" t="s">
        <v>534</v>
      </c>
      <c r="B24" s="10" t="s">
        <v>535</v>
      </c>
      <c r="C24" s="10" t="s">
        <v>453</v>
      </c>
      <c r="D24" s="10" t="s">
        <v>121</v>
      </c>
      <c r="E24" s="10" t="s">
        <v>121</v>
      </c>
      <c r="F24" s="10" t="s">
        <v>99</v>
      </c>
      <c r="G24" s="10">
        <v>5.0</v>
      </c>
      <c r="H24" s="10">
        <v>7.0</v>
      </c>
      <c r="I24" s="10" t="s">
        <v>2140</v>
      </c>
      <c r="J24" s="10" t="s">
        <v>2136</v>
      </c>
      <c r="K24" s="10"/>
      <c r="L24" s="10">
        <v>367.0</v>
      </c>
      <c r="M24" s="10">
        <v>12.66</v>
      </c>
      <c r="N24" s="10"/>
      <c r="O24" s="10"/>
      <c r="P24" s="12">
        <f>IF($A24="","",IFERROR((IF($O24="",0,$O24)*Settings!$J$4+IF($L24="",0,$L24)*Settings!$J$5+IF($N24="",0,$N24)*Settings!$J$6)/(IF($O24="",0,Settings!$J$4)+IF($L24="",0,Settings!$J$5)+IF($N24="",0,Settings!$J$6)),0))</f>
        <v>367</v>
      </c>
      <c r="Q24" s="12">
        <f t="array" ref="Q24">IF($A24="","",XLOOKUP($E24,Settings!$A$19:$A$22,Settings!$G$19:$G$22,0))</f>
        <v>206</v>
      </c>
      <c r="R24" s="12">
        <f t="shared" si="1"/>
        <v>161</v>
      </c>
      <c r="S24" s="12">
        <f>IF($A24="","",IF($R24&lt;=0,1,1+$R24/SUMIF($R$4:$R$923,"&gt;0",$R$4:$R$923)*(Settings!$B$5*(Settings!$B$6-Settings!$B$7))))</f>
        <v>20.87875417</v>
      </c>
      <c r="T24" s="12">
        <f t="array" ref="T24">IF($A24="","",XLOOKUP($F24,Settings!$I$15:$I$20,Settings!$J$15:$J$20,1))</f>
        <v>1.15</v>
      </c>
      <c r="U24" s="12">
        <f>IF($A24="","",1+(($G24-5)/5)*Settings!$J$8)</f>
        <v>1</v>
      </c>
      <c r="V24" s="12">
        <f>IF($A24="","",1+(($H24-5)/5)*Settings!$J$9)</f>
        <v>1.06</v>
      </c>
      <c r="W24" s="12">
        <f t="array" ref="W24">IF($A24="","",XLOOKUP($J24,Lists!$C$3:$C$7,Lists!$D$3:$D$7,1))</f>
        <v>1</v>
      </c>
      <c r="X24" s="12">
        <f>IF($A24="","",IF($I24="Yes",Settings!$J$10,1))</f>
        <v>1</v>
      </c>
      <c r="Y24" s="12">
        <f t="shared" si="2"/>
        <v>25</v>
      </c>
      <c r="Z24" s="12">
        <f>IF($A24="","",IFERROR(ROUND(AVERAGEIFS('Historical Drafts'!$G$4:$G$300,'Historical Drafts'!$D$4:$D$300,$E24,'Historical Drafts'!$J$4:$J$300,"&gt;="&amp;$L24*0.85,'Historical Drafts'!$J$4:$J$300,"&lt;="&amp;$L24*1.15),0),$Y24))</f>
        <v>16</v>
      </c>
      <c r="AA24" s="12" t="str">
        <f>IF($A24="","",IF(COUNTIF('Auction Log'!$B$3:$B$300,$A24)&gt;0,"Sold","Available"))</f>
        <v>Available</v>
      </c>
      <c r="AB24" s="12" t="str">
        <f t="array" ref="AB24">IF($A24="","",IFERROR(XLOOKUP($A24,'Auction Log'!$B$3:$B$300,'Auction Log'!$G$3:$G$300,""),""))</f>
        <v/>
      </c>
      <c r="AC24" s="12" t="str">
        <f t="array" ref="AC24">IF($A24="","",IFERROR(XLOOKUP($A24,'Auction Log'!$B$3:$B$300,'Auction Log'!$F$3:$F$300,""),""))</f>
        <v/>
      </c>
      <c r="AD24" s="12">
        <f t="array" ref="AD24">IF($A24="","",ROUND($Y24*XLOOKUP($F24,Settings!$I$15:$I$20,Settings!$K$15:$K$20,0.4),0))</f>
        <v>11</v>
      </c>
      <c r="AE24" s="12">
        <f t="array" ref="AE24">IF($A24="","",ROUND($Y24*XLOOKUP($F24,Settings!$I$15:$I$20,Settings!$L$15:$L$20,0.8),0))</f>
        <v>20</v>
      </c>
      <c r="AF24" s="12">
        <f t="array" ref="AF24">IF($A24="","",ROUND($Y24*XLOOKUP($F24,Settings!$I$15:$I$20,Settings!$M$15:$M$20,1),0))</f>
        <v>25</v>
      </c>
      <c r="AG24" s="12">
        <f t="array" ref="AG24">IF($A24="","",ROUND($Y24*XLOOKUP($F24,Settings!$I$15:$I$20,Settings!$N$15:$N$20,1.1),0))</f>
        <v>28</v>
      </c>
      <c r="AH24" s="12">
        <f t="array" ref="AH24">IF($A24="","",ROUND($Y24*XLOOKUP($F24,Settings!$I$15:$I$20,Settings!$O$15:$O$20,1.1)*Settings!$J$7,0))</f>
        <v>30</v>
      </c>
      <c r="AI24" s="12">
        <f t="array" ref="AI24">IF($A24="","",IF($AA24="Sold","",MIN($AH24,IFERROR(XLOOKUP(Settings!$B$12,Managers!$B$4:$B$15,Managers!$H$4:$H$15),$AH24))))</f>
        <v>30</v>
      </c>
      <c r="AJ24" s="12" t="str">
        <f t="shared" si="3"/>
        <v>Value Target</v>
      </c>
      <c r="AK24" s="12">
        <f t="shared" si="4"/>
        <v>50</v>
      </c>
      <c r="AL24" s="12" t="str">
        <f t="shared" si="5"/>
        <v/>
      </c>
    </row>
    <row r="25" ht="15.75" customHeight="1">
      <c r="A25" s="10" t="s">
        <v>375</v>
      </c>
      <c r="B25" s="10" t="s">
        <v>376</v>
      </c>
      <c r="C25" s="10" t="s">
        <v>257</v>
      </c>
      <c r="D25" s="10" t="s">
        <v>118</v>
      </c>
      <c r="E25" s="10" t="s">
        <v>118</v>
      </c>
      <c r="F25" s="10" t="s">
        <v>99</v>
      </c>
      <c r="G25" s="10">
        <v>5.0</v>
      </c>
      <c r="H25" s="10">
        <v>7.0</v>
      </c>
      <c r="I25" s="10" t="s">
        <v>2140</v>
      </c>
      <c r="J25" s="10" t="s">
        <v>2136</v>
      </c>
      <c r="K25" s="10"/>
      <c r="L25" s="10">
        <v>367.0</v>
      </c>
      <c r="M25" s="10">
        <v>9.92</v>
      </c>
      <c r="N25" s="10"/>
      <c r="O25" s="10"/>
      <c r="P25" s="12">
        <f>IF($A25="","",IFERROR((IF($O25="",0,$O25)*Settings!$J$4+IF($L25="",0,$L25)*Settings!$J$5+IF($N25="",0,$N25)*Settings!$J$6)/(IF($O25="",0,Settings!$J$4)+IF($L25="",0,Settings!$J$5)+IF($N25="",0,Settings!$J$6)),0))</f>
        <v>367</v>
      </c>
      <c r="Q25" s="12">
        <f t="array" ref="Q25">IF($A25="","",XLOOKUP($E25,Settings!$A$19:$A$22,Settings!$G$19:$G$22,0))</f>
        <v>196.25</v>
      </c>
      <c r="R25" s="12">
        <f t="shared" si="1"/>
        <v>170.75</v>
      </c>
      <c r="S25" s="12">
        <f>IF($A25="","",IF($R25&lt;=0,1,1+$R25/SUMIF($R$4:$R$923,"&gt;0",$R$4:$R$923)*(Settings!$B$5*(Settings!$B$6-Settings!$B$7))))</f>
        <v>22.08259177</v>
      </c>
      <c r="T25" s="12">
        <f t="array" ref="T25">IF($A25="","",XLOOKUP($F25,Settings!$I$15:$I$20,Settings!$J$15:$J$20,1))</f>
        <v>1.15</v>
      </c>
      <c r="U25" s="12">
        <f>IF($A25="","",1+(($G25-5)/5)*Settings!$J$8)</f>
        <v>1</v>
      </c>
      <c r="V25" s="12">
        <f>IF($A25="","",1+(($H25-5)/5)*Settings!$J$9)</f>
        <v>1.06</v>
      </c>
      <c r="W25" s="12">
        <f t="array" ref="W25">IF($A25="","",XLOOKUP($J25,Lists!$C$3:$C$7,Lists!$D$3:$D$7,1))</f>
        <v>1</v>
      </c>
      <c r="X25" s="12">
        <f>IF($A25="","",IF($I25="Yes",Settings!$J$10,1))</f>
        <v>1</v>
      </c>
      <c r="Y25" s="12">
        <f t="shared" si="2"/>
        <v>27</v>
      </c>
      <c r="Z25" s="12">
        <f>IF($A25="","",IFERROR(ROUND(AVERAGEIFS('Historical Drafts'!$G$4:$G$300,'Historical Drafts'!$D$4:$D$300,$E25,'Historical Drafts'!$J$4:$J$300,"&gt;="&amp;$L25*0.85,'Historical Drafts'!$J$4:$J$300,"&lt;="&amp;$L25*1.15),0),$Y25))</f>
        <v>11</v>
      </c>
      <c r="AA25" s="12" t="str">
        <f>IF($A25="","",IF(COUNTIF('Auction Log'!$B$3:$B$300,$A25)&gt;0,"Sold","Available"))</f>
        <v>Available</v>
      </c>
      <c r="AB25" s="12" t="str">
        <f t="array" ref="AB25">IF($A25="","",IFERROR(XLOOKUP($A25,'Auction Log'!$B$3:$B$300,'Auction Log'!$G$3:$G$300,""),""))</f>
        <v/>
      </c>
      <c r="AC25" s="12" t="str">
        <f t="array" ref="AC25">IF($A25="","",IFERROR(XLOOKUP($A25,'Auction Log'!$B$3:$B$300,'Auction Log'!$F$3:$F$300,""),""))</f>
        <v/>
      </c>
      <c r="AD25" s="12">
        <f t="array" ref="AD25">IF($A25="","",ROUND($Y25*XLOOKUP($F25,Settings!$I$15:$I$20,Settings!$K$15:$K$20,0.4),0))</f>
        <v>12</v>
      </c>
      <c r="AE25" s="12">
        <f t="array" ref="AE25">IF($A25="","",ROUND($Y25*XLOOKUP($F25,Settings!$I$15:$I$20,Settings!$L$15:$L$20,0.8),0))</f>
        <v>22</v>
      </c>
      <c r="AF25" s="12">
        <f t="array" ref="AF25">IF($A25="","",ROUND($Y25*XLOOKUP($F25,Settings!$I$15:$I$20,Settings!$M$15:$M$20,1),0))</f>
        <v>27</v>
      </c>
      <c r="AG25" s="12">
        <f t="array" ref="AG25">IF($A25="","",ROUND($Y25*XLOOKUP($F25,Settings!$I$15:$I$20,Settings!$N$15:$N$20,1.1),0))</f>
        <v>30</v>
      </c>
      <c r="AH25" s="12">
        <f t="array" ref="AH25">IF($A25="","",ROUND($Y25*XLOOKUP($F25,Settings!$I$15:$I$20,Settings!$O$15:$O$20,1.1)*Settings!$J$7,0))</f>
        <v>32</v>
      </c>
      <c r="AI25" s="12">
        <f t="array" ref="AI25">IF($A25="","",IF($AA25="Sold","",MIN($AH25,IFERROR(XLOOKUP(Settings!$B$12,Managers!$B$4:$B$15,Managers!$H$4:$H$15),$AH25))))</f>
        <v>32</v>
      </c>
      <c r="AJ25" s="12" t="str">
        <f t="shared" si="3"/>
        <v>Value Target</v>
      </c>
      <c r="AK25" s="12">
        <f t="shared" si="4"/>
        <v>52</v>
      </c>
      <c r="AL25" s="12" t="str">
        <f t="shared" si="5"/>
        <v/>
      </c>
    </row>
    <row r="26" ht="15.75" customHeight="1">
      <c r="A26" s="10" t="s">
        <v>491</v>
      </c>
      <c r="B26" s="10" t="s">
        <v>492</v>
      </c>
      <c r="C26" s="10" t="s">
        <v>285</v>
      </c>
      <c r="D26" s="10" t="s">
        <v>118</v>
      </c>
      <c r="E26" s="10" t="s">
        <v>118</v>
      </c>
      <c r="F26" s="10" t="s">
        <v>99</v>
      </c>
      <c r="G26" s="10">
        <v>5.0</v>
      </c>
      <c r="H26" s="10">
        <v>7.0</v>
      </c>
      <c r="I26" s="10" t="s">
        <v>2140</v>
      </c>
      <c r="J26" s="10" t="s">
        <v>2136</v>
      </c>
      <c r="K26" s="10"/>
      <c r="L26" s="10">
        <v>363.0</v>
      </c>
      <c r="M26" s="10">
        <v>9.55</v>
      </c>
      <c r="N26" s="10"/>
      <c r="O26" s="10"/>
      <c r="P26" s="12">
        <f>IF($A26="","",IFERROR((IF($O26="",0,$O26)*Settings!$J$4+IF($L26="",0,$L26)*Settings!$J$5+IF($N26="",0,$N26)*Settings!$J$6)/(IF($O26="",0,Settings!$J$4)+IF($L26="",0,Settings!$J$5)+IF($N26="",0,Settings!$J$6)),0))</f>
        <v>363</v>
      </c>
      <c r="Q26" s="12">
        <f t="array" ref="Q26">IF($A26="","",XLOOKUP($E26,Settings!$A$19:$A$22,Settings!$G$19:$G$22,0))</f>
        <v>196.25</v>
      </c>
      <c r="R26" s="12">
        <f t="shared" si="1"/>
        <v>166.75</v>
      </c>
      <c r="S26" s="12">
        <f>IF($A26="","",IF($R26&lt;=0,1,1+$R26/SUMIF($R$4:$R$923,"&gt;0",$R$4:$R$923)*(Settings!$B$5*(Settings!$B$6-Settings!$B$7))))</f>
        <v>21.58870968</v>
      </c>
      <c r="T26" s="12">
        <f t="array" ref="T26">IF($A26="","",XLOOKUP($F26,Settings!$I$15:$I$20,Settings!$J$15:$J$20,1))</f>
        <v>1.15</v>
      </c>
      <c r="U26" s="12">
        <f>IF($A26="","",1+(($G26-5)/5)*Settings!$J$8)</f>
        <v>1</v>
      </c>
      <c r="V26" s="12">
        <f>IF($A26="","",1+(($H26-5)/5)*Settings!$J$9)</f>
        <v>1.06</v>
      </c>
      <c r="W26" s="12">
        <f t="array" ref="W26">IF($A26="","",XLOOKUP($J26,Lists!$C$3:$C$7,Lists!$D$3:$D$7,1))</f>
        <v>1</v>
      </c>
      <c r="X26" s="12">
        <f>IF($A26="","",IF($I26="Yes",Settings!$J$10,1))</f>
        <v>1</v>
      </c>
      <c r="Y26" s="12">
        <f t="shared" si="2"/>
        <v>26</v>
      </c>
      <c r="Z26" s="12">
        <f>IF($A26="","",IFERROR(ROUND(AVERAGEIFS('Historical Drafts'!$G$4:$G$300,'Historical Drafts'!$D$4:$D$300,$E26,'Historical Drafts'!$J$4:$J$300,"&gt;="&amp;$L26*0.85,'Historical Drafts'!$J$4:$J$300,"&lt;="&amp;$L26*1.15),0),$Y26))</f>
        <v>10</v>
      </c>
      <c r="AA26" s="12" t="str">
        <f>IF($A26="","",IF(COUNTIF('Auction Log'!$B$3:$B$300,$A26)&gt;0,"Sold","Available"))</f>
        <v>Available</v>
      </c>
      <c r="AB26" s="12" t="str">
        <f t="array" ref="AB26">IF($A26="","",IFERROR(XLOOKUP($A26,'Auction Log'!$B$3:$B$300,'Auction Log'!$G$3:$G$300,""),""))</f>
        <v/>
      </c>
      <c r="AC26" s="12" t="str">
        <f t="array" ref="AC26">IF($A26="","",IFERROR(XLOOKUP($A26,'Auction Log'!$B$3:$B$300,'Auction Log'!$F$3:$F$300,""),""))</f>
        <v/>
      </c>
      <c r="AD26" s="12">
        <f t="array" ref="AD26">IF($A26="","",ROUND($Y26*XLOOKUP($F26,Settings!$I$15:$I$20,Settings!$K$15:$K$20,0.4),0))</f>
        <v>12</v>
      </c>
      <c r="AE26" s="12">
        <f t="array" ref="AE26">IF($A26="","",ROUND($Y26*XLOOKUP($F26,Settings!$I$15:$I$20,Settings!$L$15:$L$20,0.8),0))</f>
        <v>21</v>
      </c>
      <c r="AF26" s="12">
        <f t="array" ref="AF26">IF($A26="","",ROUND($Y26*XLOOKUP($F26,Settings!$I$15:$I$20,Settings!$M$15:$M$20,1),0))</f>
        <v>26</v>
      </c>
      <c r="AG26" s="12">
        <f t="array" ref="AG26">IF($A26="","",ROUND($Y26*XLOOKUP($F26,Settings!$I$15:$I$20,Settings!$N$15:$N$20,1.1),0))</f>
        <v>29</v>
      </c>
      <c r="AH26" s="12">
        <f t="array" ref="AH26">IF($A26="","",ROUND($Y26*XLOOKUP($F26,Settings!$I$15:$I$20,Settings!$O$15:$O$20,1.1)*Settings!$J$7,0))</f>
        <v>31</v>
      </c>
      <c r="AI26" s="12">
        <f t="array" ref="AI26">IF($A26="","",IF($AA26="Sold","",MIN($AH26,IFERROR(XLOOKUP(Settings!$B$12,Managers!$B$4:$B$15,Managers!$H$4:$H$15),$AH26))))</f>
        <v>31</v>
      </c>
      <c r="AJ26" s="12" t="str">
        <f t="shared" si="3"/>
        <v>Value Target</v>
      </c>
      <c r="AK26" s="12">
        <f t="shared" si="4"/>
        <v>51</v>
      </c>
      <c r="AL26" s="12" t="str">
        <f t="shared" si="5"/>
        <v/>
      </c>
    </row>
    <row r="27" ht="15.75" customHeight="1">
      <c r="A27" s="10" t="s">
        <v>371</v>
      </c>
      <c r="B27" s="10" t="s">
        <v>372</v>
      </c>
      <c r="C27" s="10" t="s">
        <v>231</v>
      </c>
      <c r="D27" s="10" t="s">
        <v>121</v>
      </c>
      <c r="E27" s="10" t="s">
        <v>121</v>
      </c>
      <c r="F27" s="10" t="s">
        <v>99</v>
      </c>
      <c r="G27" s="10">
        <v>5.0</v>
      </c>
      <c r="H27" s="10">
        <v>7.0</v>
      </c>
      <c r="I27" s="10" t="s">
        <v>2140</v>
      </c>
      <c r="J27" s="10" t="s">
        <v>2136</v>
      </c>
      <c r="K27" s="10"/>
      <c r="L27" s="10">
        <v>360.5</v>
      </c>
      <c r="M27" s="10">
        <v>10.6</v>
      </c>
      <c r="N27" s="10"/>
      <c r="O27" s="10"/>
      <c r="P27" s="12">
        <f>IF($A27="","",IFERROR((IF($O27="",0,$O27)*Settings!$J$4+IF($L27="",0,$L27)*Settings!$J$5+IF($N27="",0,$N27)*Settings!$J$6)/(IF($O27="",0,Settings!$J$4)+IF($L27="",0,Settings!$J$5)+IF($N27="",0,Settings!$J$6)),0))</f>
        <v>360.5</v>
      </c>
      <c r="Q27" s="12">
        <f t="array" ref="Q27">IF($A27="","",XLOOKUP($E27,Settings!$A$19:$A$22,Settings!$G$19:$G$22,0))</f>
        <v>206</v>
      </c>
      <c r="R27" s="12">
        <f t="shared" si="1"/>
        <v>154.5</v>
      </c>
      <c r="S27" s="12">
        <f>IF($A27="","",IF($R27&lt;=0,1,1+$R27/SUMIF($R$4:$R$923,"&gt;0",$R$4:$R$923)*(Settings!$B$5*(Settings!$B$6-Settings!$B$7))))</f>
        <v>20.07619577</v>
      </c>
      <c r="T27" s="12">
        <f t="array" ref="T27">IF($A27="","",XLOOKUP($F27,Settings!$I$15:$I$20,Settings!$J$15:$J$20,1))</f>
        <v>1.15</v>
      </c>
      <c r="U27" s="12">
        <f>IF($A27="","",1+(($G27-5)/5)*Settings!$J$8)</f>
        <v>1</v>
      </c>
      <c r="V27" s="12">
        <f>IF($A27="","",1+(($H27-5)/5)*Settings!$J$9)</f>
        <v>1.06</v>
      </c>
      <c r="W27" s="12">
        <f t="array" ref="W27">IF($A27="","",XLOOKUP($J27,Lists!$C$3:$C$7,Lists!$D$3:$D$7,1))</f>
        <v>1</v>
      </c>
      <c r="X27" s="12">
        <f>IF($A27="","",IF($I27="Yes",Settings!$J$10,1))</f>
        <v>1</v>
      </c>
      <c r="Y27" s="12">
        <f t="shared" si="2"/>
        <v>24</v>
      </c>
      <c r="Z27" s="12">
        <f>IF($A27="","",IFERROR(ROUND(AVERAGEIFS('Historical Drafts'!$G$4:$G$300,'Historical Drafts'!$D$4:$D$300,$E27,'Historical Drafts'!$J$4:$J$300,"&gt;="&amp;$L27*0.85,'Historical Drafts'!$J$4:$J$300,"&lt;="&amp;$L27*1.15),0),$Y27))</f>
        <v>16</v>
      </c>
      <c r="AA27" s="12" t="str">
        <f>IF($A27="","",IF(COUNTIF('Auction Log'!$B$3:$B$300,$A27)&gt;0,"Sold","Available"))</f>
        <v>Available</v>
      </c>
      <c r="AB27" s="12" t="str">
        <f t="array" ref="AB27">IF($A27="","",IFERROR(XLOOKUP($A27,'Auction Log'!$B$3:$B$300,'Auction Log'!$G$3:$G$300,""),""))</f>
        <v/>
      </c>
      <c r="AC27" s="12" t="str">
        <f t="array" ref="AC27">IF($A27="","",IFERROR(XLOOKUP($A27,'Auction Log'!$B$3:$B$300,'Auction Log'!$F$3:$F$300,""),""))</f>
        <v/>
      </c>
      <c r="AD27" s="12">
        <f t="array" ref="AD27">IF($A27="","",ROUND($Y27*XLOOKUP($F27,Settings!$I$15:$I$20,Settings!$K$15:$K$20,0.4),0))</f>
        <v>11</v>
      </c>
      <c r="AE27" s="12">
        <f t="array" ref="AE27">IF($A27="","",ROUND($Y27*XLOOKUP($F27,Settings!$I$15:$I$20,Settings!$L$15:$L$20,0.8),0))</f>
        <v>19</v>
      </c>
      <c r="AF27" s="12">
        <f t="array" ref="AF27">IF($A27="","",ROUND($Y27*XLOOKUP($F27,Settings!$I$15:$I$20,Settings!$M$15:$M$20,1),0))</f>
        <v>24</v>
      </c>
      <c r="AG27" s="12">
        <f t="array" ref="AG27">IF($A27="","",ROUND($Y27*XLOOKUP($F27,Settings!$I$15:$I$20,Settings!$N$15:$N$20,1.1),0))</f>
        <v>26</v>
      </c>
      <c r="AH27" s="12">
        <f t="array" ref="AH27">IF($A27="","",ROUND($Y27*XLOOKUP($F27,Settings!$I$15:$I$20,Settings!$O$15:$O$20,1.1)*Settings!$J$7,0))</f>
        <v>28</v>
      </c>
      <c r="AI27" s="12">
        <f t="array" ref="AI27">IF($A27="","",IF($AA27="Sold","",MIN($AH27,IFERROR(XLOOKUP(Settings!$B$12,Managers!$B$4:$B$15,Managers!$H$4:$H$15),$AH27))))</f>
        <v>28</v>
      </c>
      <c r="AJ27" s="12" t="str">
        <f t="shared" si="3"/>
        <v>Value Target</v>
      </c>
      <c r="AK27" s="12">
        <f t="shared" si="4"/>
        <v>49</v>
      </c>
      <c r="AL27" s="12" t="str">
        <f t="shared" si="5"/>
        <v/>
      </c>
    </row>
    <row r="28" ht="15.75" customHeight="1">
      <c r="A28" s="10" t="s">
        <v>262</v>
      </c>
      <c r="B28" s="10" t="s">
        <v>263</v>
      </c>
      <c r="C28" s="10" t="s">
        <v>180</v>
      </c>
      <c r="D28" s="10" t="s">
        <v>121</v>
      </c>
      <c r="E28" s="10" t="s">
        <v>121</v>
      </c>
      <c r="F28" s="10" t="s">
        <v>99</v>
      </c>
      <c r="G28" s="10">
        <v>5.0</v>
      </c>
      <c r="H28" s="10">
        <v>7.0</v>
      </c>
      <c r="I28" s="10" t="s">
        <v>2140</v>
      </c>
      <c r="J28" s="10" t="s">
        <v>2136</v>
      </c>
      <c r="K28" s="10"/>
      <c r="L28" s="10">
        <v>357.5</v>
      </c>
      <c r="M28" s="10">
        <v>10.83</v>
      </c>
      <c r="N28" s="10"/>
      <c r="O28" s="10"/>
      <c r="P28" s="12">
        <f>IF($A28="","",IFERROR((IF($O28="",0,$O28)*Settings!$J$4+IF($L28="",0,$L28)*Settings!$J$5+IF($N28="",0,$N28)*Settings!$J$6)/(IF($O28="",0,Settings!$J$4)+IF($L28="",0,Settings!$J$5)+IF($N28="",0,Settings!$J$6)),0))</f>
        <v>357.5</v>
      </c>
      <c r="Q28" s="12">
        <f t="array" ref="Q28">IF($A28="","",XLOOKUP($E28,Settings!$A$19:$A$22,Settings!$G$19:$G$22,0))</f>
        <v>206</v>
      </c>
      <c r="R28" s="12">
        <f t="shared" si="1"/>
        <v>151.5</v>
      </c>
      <c r="S28" s="12">
        <f>IF($A28="","",IF($R28&lt;=0,1,1+$R28/SUMIF($R$4:$R$923,"&gt;0",$R$4:$R$923)*(Settings!$B$5*(Settings!$B$6-Settings!$B$7))))</f>
        <v>19.7057842</v>
      </c>
      <c r="T28" s="12">
        <f t="array" ref="T28">IF($A28="","",XLOOKUP($F28,Settings!$I$15:$I$20,Settings!$J$15:$J$20,1))</f>
        <v>1.15</v>
      </c>
      <c r="U28" s="12">
        <f>IF($A28="","",1+(($G28-5)/5)*Settings!$J$8)</f>
        <v>1</v>
      </c>
      <c r="V28" s="12">
        <f>IF($A28="","",1+(($H28-5)/5)*Settings!$J$9)</f>
        <v>1.06</v>
      </c>
      <c r="W28" s="12">
        <f t="array" ref="W28">IF($A28="","",XLOOKUP($J28,Lists!$C$3:$C$7,Lists!$D$3:$D$7,1))</f>
        <v>1</v>
      </c>
      <c r="X28" s="12">
        <f>IF($A28="","",IF($I28="Yes",Settings!$J$10,1))</f>
        <v>1</v>
      </c>
      <c r="Y28" s="12">
        <f t="shared" si="2"/>
        <v>24</v>
      </c>
      <c r="Z28" s="12">
        <f>IF($A28="","",IFERROR(ROUND(AVERAGEIFS('Historical Drafts'!$G$4:$G$300,'Historical Drafts'!$D$4:$D$300,$E28,'Historical Drafts'!$J$4:$J$300,"&gt;="&amp;$L28*0.85,'Historical Drafts'!$J$4:$J$300,"&lt;="&amp;$L28*1.15),0),$Y28))</f>
        <v>16</v>
      </c>
      <c r="AA28" s="12" t="str">
        <f>IF($A28="","",IF(COUNTIF('Auction Log'!$B$3:$B$300,$A28)&gt;0,"Sold","Available"))</f>
        <v>Available</v>
      </c>
      <c r="AB28" s="12" t="str">
        <f t="array" ref="AB28">IF($A28="","",IFERROR(XLOOKUP($A28,'Auction Log'!$B$3:$B$300,'Auction Log'!$G$3:$G$300,""),""))</f>
        <v/>
      </c>
      <c r="AC28" s="12" t="str">
        <f t="array" ref="AC28">IF($A28="","",IFERROR(XLOOKUP($A28,'Auction Log'!$B$3:$B$300,'Auction Log'!$F$3:$F$300,""),""))</f>
        <v/>
      </c>
      <c r="AD28" s="12">
        <f t="array" ref="AD28">IF($A28="","",ROUND($Y28*XLOOKUP($F28,Settings!$I$15:$I$20,Settings!$K$15:$K$20,0.4),0))</f>
        <v>11</v>
      </c>
      <c r="AE28" s="12">
        <f t="array" ref="AE28">IF($A28="","",ROUND($Y28*XLOOKUP($F28,Settings!$I$15:$I$20,Settings!$L$15:$L$20,0.8),0))</f>
        <v>19</v>
      </c>
      <c r="AF28" s="12">
        <f t="array" ref="AF28">IF($A28="","",ROUND($Y28*XLOOKUP($F28,Settings!$I$15:$I$20,Settings!$M$15:$M$20,1),0))</f>
        <v>24</v>
      </c>
      <c r="AG28" s="12">
        <f t="array" ref="AG28">IF($A28="","",ROUND($Y28*XLOOKUP($F28,Settings!$I$15:$I$20,Settings!$N$15:$N$20,1.1),0))</f>
        <v>26</v>
      </c>
      <c r="AH28" s="12">
        <f t="array" ref="AH28">IF($A28="","",ROUND($Y28*XLOOKUP($F28,Settings!$I$15:$I$20,Settings!$O$15:$O$20,1.1)*Settings!$J$7,0))</f>
        <v>28</v>
      </c>
      <c r="AI28" s="12">
        <f t="array" ref="AI28">IF($A28="","",IF($AA28="Sold","",MIN($AH28,IFERROR(XLOOKUP(Settings!$B$12,Managers!$B$4:$B$15,Managers!$H$4:$H$15),$AH28))))</f>
        <v>28</v>
      </c>
      <c r="AJ28" s="12" t="str">
        <f t="shared" si="3"/>
        <v>Value Target</v>
      </c>
      <c r="AK28" s="12">
        <f t="shared" si="4"/>
        <v>49</v>
      </c>
      <c r="AL28" s="12" t="str">
        <f t="shared" si="5"/>
        <v/>
      </c>
    </row>
    <row r="29" ht="15.75" customHeight="1">
      <c r="A29" s="10" t="s">
        <v>362</v>
      </c>
      <c r="B29" s="10" t="s">
        <v>536</v>
      </c>
      <c r="C29" s="10" t="s">
        <v>180</v>
      </c>
      <c r="D29" s="10" t="s">
        <v>118</v>
      </c>
      <c r="E29" s="10" t="s">
        <v>118</v>
      </c>
      <c r="F29" s="10" t="s">
        <v>102</v>
      </c>
      <c r="G29" s="10">
        <v>5.0</v>
      </c>
      <c r="H29" s="10">
        <v>7.0</v>
      </c>
      <c r="I29" s="10" t="s">
        <v>2140</v>
      </c>
      <c r="J29" s="10" t="s">
        <v>2136</v>
      </c>
      <c r="K29" s="10"/>
      <c r="L29" s="10">
        <v>353.75</v>
      </c>
      <c r="M29" s="10">
        <v>10.4</v>
      </c>
      <c r="N29" s="10"/>
      <c r="O29" s="10"/>
      <c r="P29" s="12">
        <f>IF($A29="","",IFERROR((IF($O29="",0,$O29)*Settings!$J$4+IF($L29="",0,$L29)*Settings!$J$5+IF($N29="",0,$N29)*Settings!$J$6)/(IF($O29="",0,Settings!$J$4)+IF($L29="",0,Settings!$J$5)+IF($N29="",0,Settings!$J$6)),0))</f>
        <v>353.75</v>
      </c>
      <c r="Q29" s="12">
        <f t="array" ref="Q29">IF($A29="","",XLOOKUP($E29,Settings!$A$19:$A$22,Settings!$G$19:$G$22,0))</f>
        <v>196.25</v>
      </c>
      <c r="R29" s="12">
        <f t="shared" si="1"/>
        <v>157.5</v>
      </c>
      <c r="S29" s="12">
        <f>IF($A29="","",IF($R29&lt;=0,1,1+$R29/SUMIF($R$4:$R$923,"&gt;0",$R$4:$R$923)*(Settings!$B$5*(Settings!$B$6-Settings!$B$7))))</f>
        <v>20.44660734</v>
      </c>
      <c r="T29" s="12">
        <f t="array" ref="T29">IF($A29="","",XLOOKUP($F29,Settings!$I$15:$I$20,Settings!$J$15:$J$20,1))</f>
        <v>1.05</v>
      </c>
      <c r="U29" s="12">
        <f>IF($A29="","",1+(($G29-5)/5)*Settings!$J$8)</f>
        <v>1</v>
      </c>
      <c r="V29" s="12">
        <f>IF($A29="","",1+(($H29-5)/5)*Settings!$J$9)</f>
        <v>1.06</v>
      </c>
      <c r="W29" s="12">
        <f t="array" ref="W29">IF($A29="","",XLOOKUP($J29,Lists!$C$3:$C$7,Lists!$D$3:$D$7,1))</f>
        <v>1</v>
      </c>
      <c r="X29" s="12">
        <f>IF($A29="","",IF($I29="Yes",Settings!$J$10,1))</f>
        <v>1</v>
      </c>
      <c r="Y29" s="12">
        <f t="shared" si="2"/>
        <v>23</v>
      </c>
      <c r="Z29" s="12">
        <f>IF($A29="","",IFERROR(ROUND(AVERAGEIFS('Historical Drafts'!$G$4:$G$300,'Historical Drafts'!$D$4:$D$300,$E29,'Historical Drafts'!$J$4:$J$300,"&gt;="&amp;$L29*0.85,'Historical Drafts'!$J$4:$J$300,"&lt;="&amp;$L29*1.15),0),$Y29))</f>
        <v>10</v>
      </c>
      <c r="AA29" s="12" t="str">
        <f>IF($A29="","",IF(COUNTIF('Auction Log'!$B$3:$B$300,$A29)&gt;0,"Sold","Available"))</f>
        <v>Available</v>
      </c>
      <c r="AB29" s="12" t="str">
        <f t="array" ref="AB29">IF($A29="","",IFERROR(XLOOKUP($A29,'Auction Log'!$B$3:$B$300,'Auction Log'!$G$3:$G$300,""),""))</f>
        <v/>
      </c>
      <c r="AC29" s="12" t="str">
        <f t="array" ref="AC29">IF($A29="","",IFERROR(XLOOKUP($A29,'Auction Log'!$B$3:$B$300,'Auction Log'!$F$3:$F$300,""),""))</f>
        <v/>
      </c>
      <c r="AD29" s="12">
        <f t="array" ref="AD29">IF($A29="","",ROUND($Y29*XLOOKUP($F29,Settings!$I$15:$I$20,Settings!$K$15:$K$20,0.4),0))</f>
        <v>9</v>
      </c>
      <c r="AE29" s="12">
        <f t="array" ref="AE29">IF($A29="","",ROUND($Y29*XLOOKUP($F29,Settings!$I$15:$I$20,Settings!$L$15:$L$20,0.8),0))</f>
        <v>18</v>
      </c>
      <c r="AF29" s="12">
        <f t="array" ref="AF29">IF($A29="","",ROUND($Y29*XLOOKUP($F29,Settings!$I$15:$I$20,Settings!$M$15:$M$20,1),0))</f>
        <v>23</v>
      </c>
      <c r="AG29" s="12">
        <f t="array" ref="AG29">IF($A29="","",ROUND($Y29*XLOOKUP($F29,Settings!$I$15:$I$20,Settings!$N$15:$N$20,1.1),0))</f>
        <v>24</v>
      </c>
      <c r="AH29" s="12">
        <f t="array" ref="AH29">IF($A29="","",ROUND($Y29*XLOOKUP($F29,Settings!$I$15:$I$20,Settings!$O$15:$O$20,1.1)*Settings!$J$7,0))</f>
        <v>26</v>
      </c>
      <c r="AI29" s="12">
        <f t="array" ref="AI29">IF($A29="","",IF($AA29="Sold","",MIN($AH29,IFERROR(XLOOKUP(Settings!$B$12,Managers!$B$4:$B$15,Managers!$H$4:$H$15),$AH29))))</f>
        <v>26</v>
      </c>
      <c r="AJ29" s="12" t="str">
        <f t="shared" si="3"/>
        <v>Value Target</v>
      </c>
      <c r="AK29" s="12">
        <f t="shared" si="4"/>
        <v>48</v>
      </c>
      <c r="AL29" s="12" t="str">
        <f t="shared" si="5"/>
        <v/>
      </c>
    </row>
    <row r="30" ht="15.75" customHeight="1">
      <c r="A30" s="10" t="s">
        <v>197</v>
      </c>
      <c r="B30" s="10" t="s">
        <v>198</v>
      </c>
      <c r="C30" s="10" t="s">
        <v>199</v>
      </c>
      <c r="D30" s="10" t="s">
        <v>123</v>
      </c>
      <c r="E30" s="10" t="s">
        <v>123</v>
      </c>
      <c r="F30" s="10" t="s">
        <v>102</v>
      </c>
      <c r="G30" s="10">
        <v>5.0</v>
      </c>
      <c r="H30" s="10">
        <v>7.0</v>
      </c>
      <c r="I30" s="10" t="s">
        <v>2140</v>
      </c>
      <c r="J30" s="10" t="s">
        <v>2136</v>
      </c>
      <c r="K30" s="10"/>
      <c r="L30" s="10">
        <v>353.5</v>
      </c>
      <c r="M30" s="10">
        <v>9.55</v>
      </c>
      <c r="N30" s="10"/>
      <c r="O30" s="10"/>
      <c r="P30" s="12">
        <f>IF($A30="","",IFERROR((IF($O30="",0,$O30)*Settings!$J$4+IF($L30="",0,$L30)*Settings!$J$5+IF($N30="",0,$N30)*Settings!$J$6)/(IF($O30="",0,Settings!$J$4)+IF($L30="",0,Settings!$J$5)+IF($N30="",0,Settings!$J$6)),0))</f>
        <v>353.5</v>
      </c>
      <c r="Q30" s="12">
        <f t="array" ref="Q30">IF($A30="","",XLOOKUP($E30,Settings!$A$19:$A$22,Settings!$G$19:$G$22,0))</f>
        <v>203</v>
      </c>
      <c r="R30" s="12">
        <f t="shared" si="1"/>
        <v>150.5</v>
      </c>
      <c r="S30" s="12">
        <f>IF($A30="","",IF($R30&lt;=0,1,1+$R30/SUMIF($R$4:$R$923,"&gt;0",$R$4:$R$923)*(Settings!$B$5*(Settings!$B$6-Settings!$B$7))))</f>
        <v>19.58231368</v>
      </c>
      <c r="T30" s="12">
        <f t="array" ref="T30">IF($A30="","",XLOOKUP($F30,Settings!$I$15:$I$20,Settings!$J$15:$J$20,1))</f>
        <v>1.05</v>
      </c>
      <c r="U30" s="12">
        <f>IF($A30="","",1+(($G30-5)/5)*Settings!$J$8)</f>
        <v>1</v>
      </c>
      <c r="V30" s="12">
        <f>IF($A30="","",1+(($H30-5)/5)*Settings!$J$9)</f>
        <v>1.06</v>
      </c>
      <c r="W30" s="12">
        <f t="array" ref="W30">IF($A30="","",XLOOKUP($J30,Lists!$C$3:$C$7,Lists!$D$3:$D$7,1))</f>
        <v>1</v>
      </c>
      <c r="X30" s="12">
        <f>IF($A30="","",IF($I30="Yes",Settings!$J$10,1))</f>
        <v>1</v>
      </c>
      <c r="Y30" s="12">
        <f t="shared" si="2"/>
        <v>22</v>
      </c>
      <c r="Z30" s="12">
        <f>IF($A30="","",IFERROR(ROUND(AVERAGEIFS('Historical Drafts'!$G$4:$G$300,'Historical Drafts'!$D$4:$D$300,$E30,'Historical Drafts'!$J$4:$J$300,"&gt;="&amp;$L30*0.85,'Historical Drafts'!$J$4:$J$300,"&lt;="&amp;$L30*1.15),0),$Y30))</f>
        <v>36</v>
      </c>
      <c r="AA30" s="12" t="str">
        <f>IF($A30="","",IF(COUNTIF('Auction Log'!$B$3:$B$300,$A30)&gt;0,"Sold","Available"))</f>
        <v>Available</v>
      </c>
      <c r="AB30" s="12" t="str">
        <f t="array" ref="AB30">IF($A30="","",IFERROR(XLOOKUP($A30,'Auction Log'!$B$3:$B$300,'Auction Log'!$G$3:$G$300,""),""))</f>
        <v/>
      </c>
      <c r="AC30" s="12" t="str">
        <f t="array" ref="AC30">IF($A30="","",IFERROR(XLOOKUP($A30,'Auction Log'!$B$3:$B$300,'Auction Log'!$F$3:$F$300,""),""))</f>
        <v/>
      </c>
      <c r="AD30" s="12">
        <f t="array" ref="AD30">IF($A30="","",ROUND($Y30*XLOOKUP($F30,Settings!$I$15:$I$20,Settings!$K$15:$K$20,0.4),0))</f>
        <v>9</v>
      </c>
      <c r="AE30" s="12">
        <f t="array" ref="AE30">IF($A30="","",ROUND($Y30*XLOOKUP($F30,Settings!$I$15:$I$20,Settings!$L$15:$L$20,0.8),0))</f>
        <v>17</v>
      </c>
      <c r="AF30" s="12">
        <f t="array" ref="AF30">IF($A30="","",ROUND($Y30*XLOOKUP($F30,Settings!$I$15:$I$20,Settings!$M$15:$M$20,1),0))</f>
        <v>22</v>
      </c>
      <c r="AG30" s="12">
        <f t="array" ref="AG30">IF($A30="","",ROUND($Y30*XLOOKUP($F30,Settings!$I$15:$I$20,Settings!$N$15:$N$20,1.1),0))</f>
        <v>23</v>
      </c>
      <c r="AH30" s="12">
        <f t="array" ref="AH30">IF($A30="","",ROUND($Y30*XLOOKUP($F30,Settings!$I$15:$I$20,Settings!$O$15:$O$20,1.1)*Settings!$J$7,0))</f>
        <v>25</v>
      </c>
      <c r="AI30" s="12">
        <f t="array" ref="AI30">IF($A30="","",IF($AA30="Sold","",MIN($AH30,IFERROR(XLOOKUP(Settings!$B$12,Managers!$B$4:$B$15,Managers!$H$4:$H$15),$AH30))))</f>
        <v>25</v>
      </c>
      <c r="AJ30" s="12" t="str">
        <f t="shared" si="3"/>
        <v>Budget Drainer</v>
      </c>
      <c r="AK30" s="12">
        <f t="shared" si="4"/>
        <v>61</v>
      </c>
      <c r="AL30" s="12" t="str">
        <f t="shared" si="5"/>
        <v/>
      </c>
    </row>
    <row r="31" ht="15.75" customHeight="1">
      <c r="A31" s="10" t="s">
        <v>364</v>
      </c>
      <c r="B31" s="10" t="s">
        <v>365</v>
      </c>
      <c r="C31" s="10" t="s">
        <v>305</v>
      </c>
      <c r="D31" s="10" t="s">
        <v>121</v>
      </c>
      <c r="E31" s="10" t="s">
        <v>121</v>
      </c>
      <c r="F31" s="10" t="s">
        <v>102</v>
      </c>
      <c r="G31" s="10">
        <v>5.0</v>
      </c>
      <c r="H31" s="10">
        <v>7.0</v>
      </c>
      <c r="I31" s="10" t="s">
        <v>2140</v>
      </c>
      <c r="J31" s="10" t="s">
        <v>2136</v>
      </c>
      <c r="K31" s="10"/>
      <c r="L31" s="10">
        <v>353.5</v>
      </c>
      <c r="M31" s="10">
        <v>9.82</v>
      </c>
      <c r="N31" s="10"/>
      <c r="O31" s="10"/>
      <c r="P31" s="12">
        <f>IF($A31="","",IFERROR((IF($O31="",0,$O31)*Settings!$J$4+IF($L31="",0,$L31)*Settings!$J$5+IF($N31="",0,$N31)*Settings!$J$6)/(IF($O31="",0,Settings!$J$4)+IF($L31="",0,Settings!$J$5)+IF($N31="",0,Settings!$J$6)),0))</f>
        <v>353.5</v>
      </c>
      <c r="Q31" s="12">
        <f t="array" ref="Q31">IF($A31="","",XLOOKUP($E31,Settings!$A$19:$A$22,Settings!$G$19:$G$22,0))</f>
        <v>206</v>
      </c>
      <c r="R31" s="12">
        <f t="shared" si="1"/>
        <v>147.5</v>
      </c>
      <c r="S31" s="12">
        <f>IF($A31="","",IF($R31&lt;=0,1,1+$R31/SUMIF($R$4:$R$923,"&gt;0",$R$4:$R$923)*(Settings!$B$5*(Settings!$B$6-Settings!$B$7))))</f>
        <v>19.21190211</v>
      </c>
      <c r="T31" s="12">
        <f t="array" ref="T31">IF($A31="","",XLOOKUP($F31,Settings!$I$15:$I$20,Settings!$J$15:$J$20,1))</f>
        <v>1.05</v>
      </c>
      <c r="U31" s="12">
        <f>IF($A31="","",1+(($G31-5)/5)*Settings!$J$8)</f>
        <v>1</v>
      </c>
      <c r="V31" s="12">
        <f>IF($A31="","",1+(($H31-5)/5)*Settings!$J$9)</f>
        <v>1.06</v>
      </c>
      <c r="W31" s="12">
        <f t="array" ref="W31">IF($A31="","",XLOOKUP($J31,Lists!$C$3:$C$7,Lists!$D$3:$D$7,1))</f>
        <v>1</v>
      </c>
      <c r="X31" s="12">
        <f>IF($A31="","",IF($I31="Yes",Settings!$J$10,1))</f>
        <v>1</v>
      </c>
      <c r="Y31" s="12">
        <f t="shared" si="2"/>
        <v>21</v>
      </c>
      <c r="Z31" s="12">
        <f>IF($A31="","",IFERROR(ROUND(AVERAGEIFS('Historical Drafts'!$G$4:$G$300,'Historical Drafts'!$D$4:$D$300,$E31,'Historical Drafts'!$J$4:$J$300,"&gt;="&amp;$L31*0.85,'Historical Drafts'!$J$4:$J$300,"&lt;="&amp;$L31*1.15),0),$Y31))</f>
        <v>16</v>
      </c>
      <c r="AA31" s="12" t="str">
        <f>IF($A31="","",IF(COUNTIF('Auction Log'!$B$3:$B$300,$A31)&gt;0,"Sold","Available"))</f>
        <v>Available</v>
      </c>
      <c r="AB31" s="12" t="str">
        <f t="array" ref="AB31">IF($A31="","",IFERROR(XLOOKUP($A31,'Auction Log'!$B$3:$B$300,'Auction Log'!$G$3:$G$300,""),""))</f>
        <v/>
      </c>
      <c r="AC31" s="12" t="str">
        <f t="array" ref="AC31">IF($A31="","",IFERROR(XLOOKUP($A31,'Auction Log'!$B$3:$B$300,'Auction Log'!$F$3:$F$300,""),""))</f>
        <v/>
      </c>
      <c r="AD31" s="12">
        <f t="array" ref="AD31">IF($A31="","",ROUND($Y31*XLOOKUP($F31,Settings!$I$15:$I$20,Settings!$K$15:$K$20,0.4),0))</f>
        <v>8</v>
      </c>
      <c r="AE31" s="12">
        <f t="array" ref="AE31">IF($A31="","",ROUND($Y31*XLOOKUP($F31,Settings!$I$15:$I$20,Settings!$L$15:$L$20,0.8),0))</f>
        <v>16</v>
      </c>
      <c r="AF31" s="12">
        <f t="array" ref="AF31">IF($A31="","",ROUND($Y31*XLOOKUP($F31,Settings!$I$15:$I$20,Settings!$M$15:$M$20,1),0))</f>
        <v>21</v>
      </c>
      <c r="AG31" s="12">
        <f t="array" ref="AG31">IF($A31="","",ROUND($Y31*XLOOKUP($F31,Settings!$I$15:$I$20,Settings!$N$15:$N$20,1.1),0))</f>
        <v>22</v>
      </c>
      <c r="AH31" s="12">
        <f t="array" ref="AH31">IF($A31="","",ROUND($Y31*XLOOKUP($F31,Settings!$I$15:$I$20,Settings!$O$15:$O$20,1.1)*Settings!$J$7,0))</f>
        <v>24</v>
      </c>
      <c r="AI31" s="12">
        <f t="array" ref="AI31">IF($A31="","",IF($AA31="Sold","",MIN($AH31,IFERROR(XLOOKUP(Settings!$B$12,Managers!$B$4:$B$15,Managers!$H$4:$H$15),$AH31))))</f>
        <v>24</v>
      </c>
      <c r="AJ31" s="12" t="str">
        <f t="shared" si="3"/>
        <v>Value Target</v>
      </c>
      <c r="AK31" s="12">
        <f t="shared" si="4"/>
        <v>46</v>
      </c>
      <c r="AL31" s="12" t="str">
        <f t="shared" si="5"/>
        <v/>
      </c>
    </row>
    <row r="32" ht="15.75" customHeight="1">
      <c r="A32" s="10" t="s">
        <v>192</v>
      </c>
      <c r="B32" s="10" t="s">
        <v>540</v>
      </c>
      <c r="C32" s="10" t="s">
        <v>185</v>
      </c>
      <c r="D32" s="10" t="s">
        <v>123</v>
      </c>
      <c r="E32" s="10" t="s">
        <v>123</v>
      </c>
      <c r="F32" s="10" t="s">
        <v>102</v>
      </c>
      <c r="G32" s="10">
        <v>5.0</v>
      </c>
      <c r="H32" s="10">
        <v>7.0</v>
      </c>
      <c r="I32" s="10" t="s">
        <v>2140</v>
      </c>
      <c r="J32" s="10" t="s">
        <v>2136</v>
      </c>
      <c r="K32" s="10"/>
      <c r="L32" s="10">
        <v>352.0</v>
      </c>
      <c r="M32" s="10">
        <v>10.67</v>
      </c>
      <c r="N32" s="10"/>
      <c r="O32" s="10"/>
      <c r="P32" s="12">
        <f>IF($A32="","",IFERROR((IF($O32="",0,$O32)*Settings!$J$4+IF($L32="",0,$L32)*Settings!$J$5+IF($N32="",0,$N32)*Settings!$J$6)/(IF($O32="",0,Settings!$J$4)+IF($L32="",0,Settings!$J$5)+IF($N32="",0,Settings!$J$6)),0))</f>
        <v>352</v>
      </c>
      <c r="Q32" s="12">
        <f t="array" ref="Q32">IF($A32="","",XLOOKUP($E32,Settings!$A$19:$A$22,Settings!$G$19:$G$22,0))</f>
        <v>203</v>
      </c>
      <c r="R32" s="12">
        <f t="shared" si="1"/>
        <v>149</v>
      </c>
      <c r="S32" s="12">
        <f>IF($A32="","",IF($R32&lt;=0,1,1+$R32/SUMIF($R$4:$R$923,"&gt;0",$R$4:$R$923)*(Settings!$B$5*(Settings!$B$6-Settings!$B$7))))</f>
        <v>19.3971079</v>
      </c>
      <c r="T32" s="12">
        <f t="array" ref="T32">IF($A32="","",XLOOKUP($F32,Settings!$I$15:$I$20,Settings!$J$15:$J$20,1))</f>
        <v>1.05</v>
      </c>
      <c r="U32" s="12">
        <f>IF($A32="","",1+(($G32-5)/5)*Settings!$J$8)</f>
        <v>1</v>
      </c>
      <c r="V32" s="12">
        <f>IF($A32="","",1+(($H32-5)/5)*Settings!$J$9)</f>
        <v>1.06</v>
      </c>
      <c r="W32" s="12">
        <f t="array" ref="W32">IF($A32="","",XLOOKUP($J32,Lists!$C$3:$C$7,Lists!$D$3:$D$7,1))</f>
        <v>1</v>
      </c>
      <c r="X32" s="12">
        <f>IF($A32="","",IF($I32="Yes",Settings!$J$10,1))</f>
        <v>1</v>
      </c>
      <c r="Y32" s="12">
        <f t="shared" si="2"/>
        <v>22</v>
      </c>
      <c r="Z32" s="12">
        <f>IF($A32="","",IFERROR(ROUND(AVERAGEIFS('Historical Drafts'!$G$4:$G$300,'Historical Drafts'!$D$4:$D$300,$E32,'Historical Drafts'!$J$4:$J$300,"&gt;="&amp;$L32*0.85,'Historical Drafts'!$J$4:$J$300,"&lt;="&amp;$L32*1.15),0),$Y32))</f>
        <v>36</v>
      </c>
      <c r="AA32" s="12" t="str">
        <f>IF($A32="","",IF(COUNTIF('Auction Log'!$B$3:$B$300,$A32)&gt;0,"Sold","Available"))</f>
        <v>Available</v>
      </c>
      <c r="AB32" s="12" t="str">
        <f t="array" ref="AB32">IF($A32="","",IFERROR(XLOOKUP($A32,'Auction Log'!$B$3:$B$300,'Auction Log'!$G$3:$G$300,""),""))</f>
        <v/>
      </c>
      <c r="AC32" s="12" t="str">
        <f t="array" ref="AC32">IF($A32="","",IFERROR(XLOOKUP($A32,'Auction Log'!$B$3:$B$300,'Auction Log'!$F$3:$F$300,""),""))</f>
        <v/>
      </c>
      <c r="AD32" s="12">
        <f t="array" ref="AD32">IF($A32="","",ROUND($Y32*XLOOKUP($F32,Settings!$I$15:$I$20,Settings!$K$15:$K$20,0.4),0))</f>
        <v>9</v>
      </c>
      <c r="AE32" s="12">
        <f t="array" ref="AE32">IF($A32="","",ROUND($Y32*XLOOKUP($F32,Settings!$I$15:$I$20,Settings!$L$15:$L$20,0.8),0))</f>
        <v>17</v>
      </c>
      <c r="AF32" s="12">
        <f t="array" ref="AF32">IF($A32="","",ROUND($Y32*XLOOKUP($F32,Settings!$I$15:$I$20,Settings!$M$15:$M$20,1),0))</f>
        <v>22</v>
      </c>
      <c r="AG32" s="12">
        <f t="array" ref="AG32">IF($A32="","",ROUND($Y32*XLOOKUP($F32,Settings!$I$15:$I$20,Settings!$N$15:$N$20,1.1),0))</f>
        <v>23</v>
      </c>
      <c r="AH32" s="12">
        <f t="array" ref="AH32">IF($A32="","",ROUND($Y32*XLOOKUP($F32,Settings!$I$15:$I$20,Settings!$O$15:$O$20,1.1)*Settings!$J$7,0))</f>
        <v>25</v>
      </c>
      <c r="AI32" s="12">
        <f t="array" ref="AI32">IF($A32="","",IF($AA32="Sold","",MIN($AH32,IFERROR(XLOOKUP(Settings!$B$12,Managers!$B$4:$B$15,Managers!$H$4:$H$15),$AH32))))</f>
        <v>25</v>
      </c>
      <c r="AJ32" s="12" t="str">
        <f t="shared" si="3"/>
        <v>Budget Drainer</v>
      </c>
      <c r="AK32" s="12">
        <f t="shared" si="4"/>
        <v>61</v>
      </c>
      <c r="AL32" s="12" t="str">
        <f t="shared" si="5"/>
        <v/>
      </c>
    </row>
    <row r="33" ht="15.75" customHeight="1">
      <c r="A33" s="10" t="s">
        <v>405</v>
      </c>
      <c r="B33" s="10" t="s">
        <v>406</v>
      </c>
      <c r="C33" s="10" t="s">
        <v>285</v>
      </c>
      <c r="D33" s="10" t="s">
        <v>121</v>
      </c>
      <c r="E33" s="10" t="s">
        <v>121</v>
      </c>
      <c r="F33" s="10" t="s">
        <v>102</v>
      </c>
      <c r="G33" s="10">
        <v>5.0</v>
      </c>
      <c r="H33" s="10">
        <v>7.0</v>
      </c>
      <c r="I33" s="10" t="s">
        <v>2140</v>
      </c>
      <c r="J33" s="10" t="s">
        <v>2136</v>
      </c>
      <c r="K33" s="10"/>
      <c r="L33" s="10">
        <v>350.0</v>
      </c>
      <c r="M33" s="10">
        <v>10.29</v>
      </c>
      <c r="N33" s="10"/>
      <c r="O33" s="10"/>
      <c r="P33" s="12">
        <f>IF($A33="","",IFERROR((IF($O33="",0,$O33)*Settings!$J$4+IF($L33="",0,$L33)*Settings!$J$5+IF($N33="",0,$N33)*Settings!$J$6)/(IF($O33="",0,Settings!$J$4)+IF($L33="",0,Settings!$J$5)+IF($N33="",0,Settings!$J$6)),0))</f>
        <v>350</v>
      </c>
      <c r="Q33" s="12">
        <f t="array" ref="Q33">IF($A33="","",XLOOKUP($E33,Settings!$A$19:$A$22,Settings!$G$19:$G$22,0))</f>
        <v>206</v>
      </c>
      <c r="R33" s="12">
        <f t="shared" si="1"/>
        <v>144</v>
      </c>
      <c r="S33" s="12">
        <f>IF($A33="","",IF($R33&lt;=0,1,1+$R33/SUMIF($R$4:$R$923,"&gt;0",$R$4:$R$923)*(Settings!$B$5*(Settings!$B$6-Settings!$B$7))))</f>
        <v>18.77975528</v>
      </c>
      <c r="T33" s="12">
        <f t="array" ref="T33">IF($A33="","",XLOOKUP($F33,Settings!$I$15:$I$20,Settings!$J$15:$J$20,1))</f>
        <v>1.05</v>
      </c>
      <c r="U33" s="12">
        <f>IF($A33="","",1+(($G33-5)/5)*Settings!$J$8)</f>
        <v>1</v>
      </c>
      <c r="V33" s="12">
        <f>IF($A33="","",1+(($H33-5)/5)*Settings!$J$9)</f>
        <v>1.06</v>
      </c>
      <c r="W33" s="12">
        <f t="array" ref="W33">IF($A33="","",XLOOKUP($J33,Lists!$C$3:$C$7,Lists!$D$3:$D$7,1))</f>
        <v>1</v>
      </c>
      <c r="X33" s="12">
        <f>IF($A33="","",IF($I33="Yes",Settings!$J$10,1))</f>
        <v>1</v>
      </c>
      <c r="Y33" s="12">
        <f t="shared" si="2"/>
        <v>21</v>
      </c>
      <c r="Z33" s="12">
        <f>IF($A33="","",IFERROR(ROUND(AVERAGEIFS('Historical Drafts'!$G$4:$G$300,'Historical Drafts'!$D$4:$D$300,$E33,'Historical Drafts'!$J$4:$J$300,"&gt;="&amp;$L33*0.85,'Historical Drafts'!$J$4:$J$300,"&lt;="&amp;$L33*1.15),0),$Y33))</f>
        <v>17</v>
      </c>
      <c r="AA33" s="12" t="str">
        <f>IF($A33="","",IF(COUNTIF('Auction Log'!$B$3:$B$300,$A33)&gt;0,"Sold","Available"))</f>
        <v>Available</v>
      </c>
      <c r="AB33" s="12" t="str">
        <f t="array" ref="AB33">IF($A33="","",IFERROR(XLOOKUP($A33,'Auction Log'!$B$3:$B$300,'Auction Log'!$G$3:$G$300,""),""))</f>
        <v/>
      </c>
      <c r="AC33" s="12" t="str">
        <f t="array" ref="AC33">IF($A33="","",IFERROR(XLOOKUP($A33,'Auction Log'!$B$3:$B$300,'Auction Log'!$F$3:$F$300,""),""))</f>
        <v/>
      </c>
      <c r="AD33" s="12">
        <f t="array" ref="AD33">IF($A33="","",ROUND($Y33*XLOOKUP($F33,Settings!$I$15:$I$20,Settings!$K$15:$K$20,0.4),0))</f>
        <v>8</v>
      </c>
      <c r="AE33" s="12">
        <f t="array" ref="AE33">IF($A33="","",ROUND($Y33*XLOOKUP($F33,Settings!$I$15:$I$20,Settings!$L$15:$L$20,0.8),0))</f>
        <v>16</v>
      </c>
      <c r="AF33" s="12">
        <f t="array" ref="AF33">IF($A33="","",ROUND($Y33*XLOOKUP($F33,Settings!$I$15:$I$20,Settings!$M$15:$M$20,1),0))</f>
        <v>21</v>
      </c>
      <c r="AG33" s="12">
        <f t="array" ref="AG33">IF($A33="","",ROUND($Y33*XLOOKUP($F33,Settings!$I$15:$I$20,Settings!$N$15:$N$20,1.1),0))</f>
        <v>22</v>
      </c>
      <c r="AH33" s="12">
        <f t="array" ref="AH33">IF($A33="","",ROUND($Y33*XLOOKUP($F33,Settings!$I$15:$I$20,Settings!$O$15:$O$20,1.1)*Settings!$J$7,0))</f>
        <v>24</v>
      </c>
      <c r="AI33" s="12">
        <f t="array" ref="AI33">IF($A33="","",IF($AA33="Sold","",MIN($AH33,IFERROR(XLOOKUP(Settings!$B$12,Managers!$B$4:$B$15,Managers!$H$4:$H$15),$AH33))))</f>
        <v>24</v>
      </c>
      <c r="AJ33" s="12" t="str">
        <f t="shared" si="3"/>
        <v>Value Target</v>
      </c>
      <c r="AK33" s="12">
        <f t="shared" si="4"/>
        <v>46</v>
      </c>
      <c r="AL33" s="12" t="str">
        <f t="shared" si="5"/>
        <v/>
      </c>
    </row>
    <row r="34" ht="15.75" customHeight="1">
      <c r="A34" s="10" t="s">
        <v>358</v>
      </c>
      <c r="B34" s="10" t="s">
        <v>359</v>
      </c>
      <c r="C34" s="10" t="s">
        <v>236</v>
      </c>
      <c r="D34" s="10" t="s">
        <v>118</v>
      </c>
      <c r="E34" s="10" t="s">
        <v>118</v>
      </c>
      <c r="F34" s="10" t="s">
        <v>102</v>
      </c>
      <c r="G34" s="10">
        <v>5.0</v>
      </c>
      <c r="H34" s="10">
        <v>7.0</v>
      </c>
      <c r="I34" s="10" t="s">
        <v>2140</v>
      </c>
      <c r="J34" s="10" t="s">
        <v>2136</v>
      </c>
      <c r="K34" s="10"/>
      <c r="L34" s="10">
        <v>349.75</v>
      </c>
      <c r="M34" s="10">
        <v>9.45</v>
      </c>
      <c r="N34" s="10"/>
      <c r="O34" s="10"/>
      <c r="P34" s="12">
        <f>IF($A34="","",IFERROR((IF($O34="",0,$O34)*Settings!$J$4+IF($L34="",0,$L34)*Settings!$J$5+IF($N34="",0,$N34)*Settings!$J$6)/(IF($O34="",0,Settings!$J$4)+IF($L34="",0,Settings!$J$5)+IF($N34="",0,Settings!$J$6)),0))</f>
        <v>349.75</v>
      </c>
      <c r="Q34" s="12">
        <f t="array" ref="Q34">IF($A34="","",XLOOKUP($E34,Settings!$A$19:$A$22,Settings!$G$19:$G$22,0))</f>
        <v>196.25</v>
      </c>
      <c r="R34" s="12">
        <f t="shared" si="1"/>
        <v>153.5</v>
      </c>
      <c r="S34" s="12">
        <f>IF($A34="","",IF($R34&lt;=0,1,1+$R34/SUMIF($R$4:$R$923,"&gt;0",$R$4:$R$923)*(Settings!$B$5*(Settings!$B$6-Settings!$B$7))))</f>
        <v>19.95272525</v>
      </c>
      <c r="T34" s="12">
        <f t="array" ref="T34">IF($A34="","",XLOOKUP($F34,Settings!$I$15:$I$20,Settings!$J$15:$J$20,1))</f>
        <v>1.05</v>
      </c>
      <c r="U34" s="12">
        <f>IF($A34="","",1+(($G34-5)/5)*Settings!$J$8)</f>
        <v>1</v>
      </c>
      <c r="V34" s="12">
        <f>IF($A34="","",1+(($H34-5)/5)*Settings!$J$9)</f>
        <v>1.06</v>
      </c>
      <c r="W34" s="12">
        <f t="array" ref="W34">IF($A34="","",XLOOKUP($J34,Lists!$C$3:$C$7,Lists!$D$3:$D$7,1))</f>
        <v>1</v>
      </c>
      <c r="X34" s="12">
        <f>IF($A34="","",IF($I34="Yes",Settings!$J$10,1))</f>
        <v>1</v>
      </c>
      <c r="Y34" s="12">
        <f t="shared" si="2"/>
        <v>22</v>
      </c>
      <c r="Z34" s="12">
        <f>IF($A34="","",IFERROR(ROUND(AVERAGEIFS('Historical Drafts'!$G$4:$G$300,'Historical Drafts'!$D$4:$D$300,$E34,'Historical Drafts'!$J$4:$J$300,"&gt;="&amp;$L34*0.85,'Historical Drafts'!$J$4:$J$300,"&lt;="&amp;$L34*1.15),0),$Y34))</f>
        <v>10</v>
      </c>
      <c r="AA34" s="12" t="str">
        <f>IF($A34="","",IF(COUNTIF('Auction Log'!$B$3:$B$300,$A34)&gt;0,"Sold","Available"))</f>
        <v>Available</v>
      </c>
      <c r="AB34" s="12" t="str">
        <f t="array" ref="AB34">IF($A34="","",IFERROR(XLOOKUP($A34,'Auction Log'!$B$3:$B$300,'Auction Log'!$G$3:$G$300,""),""))</f>
        <v/>
      </c>
      <c r="AC34" s="12" t="str">
        <f t="array" ref="AC34">IF($A34="","",IFERROR(XLOOKUP($A34,'Auction Log'!$B$3:$B$300,'Auction Log'!$F$3:$F$300,""),""))</f>
        <v/>
      </c>
      <c r="AD34" s="12">
        <f t="array" ref="AD34">IF($A34="","",ROUND($Y34*XLOOKUP($F34,Settings!$I$15:$I$20,Settings!$K$15:$K$20,0.4),0))</f>
        <v>9</v>
      </c>
      <c r="AE34" s="12">
        <f t="array" ref="AE34">IF($A34="","",ROUND($Y34*XLOOKUP($F34,Settings!$I$15:$I$20,Settings!$L$15:$L$20,0.8),0))</f>
        <v>17</v>
      </c>
      <c r="AF34" s="12">
        <f t="array" ref="AF34">IF($A34="","",ROUND($Y34*XLOOKUP($F34,Settings!$I$15:$I$20,Settings!$M$15:$M$20,1),0))</f>
        <v>22</v>
      </c>
      <c r="AG34" s="12">
        <f t="array" ref="AG34">IF($A34="","",ROUND($Y34*XLOOKUP($F34,Settings!$I$15:$I$20,Settings!$N$15:$N$20,1.1),0))</f>
        <v>23</v>
      </c>
      <c r="AH34" s="12">
        <f t="array" ref="AH34">IF($A34="","",ROUND($Y34*XLOOKUP($F34,Settings!$I$15:$I$20,Settings!$O$15:$O$20,1.1)*Settings!$J$7,0))</f>
        <v>25</v>
      </c>
      <c r="AI34" s="12">
        <f t="array" ref="AI34">IF($A34="","",IF($AA34="Sold","",MIN($AH34,IFERROR(XLOOKUP(Settings!$B$12,Managers!$B$4:$B$15,Managers!$H$4:$H$15),$AH34))))</f>
        <v>25</v>
      </c>
      <c r="AJ34" s="12" t="str">
        <f t="shared" si="3"/>
        <v>Value Target</v>
      </c>
      <c r="AK34" s="12">
        <f t="shared" si="4"/>
        <v>47</v>
      </c>
      <c r="AL34" s="12" t="str">
        <f t="shared" si="5"/>
        <v/>
      </c>
    </row>
    <row r="35" ht="15.75" customHeight="1">
      <c r="A35" s="10" t="s">
        <v>286</v>
      </c>
      <c r="B35" s="10" t="s">
        <v>287</v>
      </c>
      <c r="C35" s="10" t="s">
        <v>177</v>
      </c>
      <c r="D35" s="10" t="s">
        <v>123</v>
      </c>
      <c r="E35" s="10" t="s">
        <v>123</v>
      </c>
      <c r="F35" s="10" t="s">
        <v>102</v>
      </c>
      <c r="G35" s="10">
        <v>5.0</v>
      </c>
      <c r="H35" s="10">
        <v>7.0</v>
      </c>
      <c r="I35" s="10" t="s">
        <v>2140</v>
      </c>
      <c r="J35" s="10" t="s">
        <v>2136</v>
      </c>
      <c r="K35" s="10"/>
      <c r="L35" s="10">
        <v>346.5</v>
      </c>
      <c r="M35" s="10">
        <v>9.62</v>
      </c>
      <c r="N35" s="10"/>
      <c r="O35" s="10"/>
      <c r="P35" s="12">
        <f>IF($A35="","",IFERROR((IF($O35="",0,$O35)*Settings!$J$4+IF($L35="",0,$L35)*Settings!$J$5+IF($N35="",0,$N35)*Settings!$J$6)/(IF($O35="",0,Settings!$J$4)+IF($L35="",0,Settings!$J$5)+IF($N35="",0,Settings!$J$6)),0))</f>
        <v>346.5</v>
      </c>
      <c r="Q35" s="12">
        <f t="array" ref="Q35">IF($A35="","",XLOOKUP($E35,Settings!$A$19:$A$22,Settings!$G$19:$G$22,0))</f>
        <v>203</v>
      </c>
      <c r="R35" s="12">
        <f t="shared" si="1"/>
        <v>143.5</v>
      </c>
      <c r="S35" s="12">
        <f>IF($A35="","",IF($R35&lt;=0,1,1+$R35/SUMIF($R$4:$R$923,"&gt;0",$R$4:$R$923)*(Settings!$B$5*(Settings!$B$6-Settings!$B$7))))</f>
        <v>18.71802002</v>
      </c>
      <c r="T35" s="12">
        <f t="array" ref="T35">IF($A35="","",XLOOKUP($F35,Settings!$I$15:$I$20,Settings!$J$15:$J$20,1))</f>
        <v>1.05</v>
      </c>
      <c r="U35" s="12">
        <f>IF($A35="","",1+(($G35-5)/5)*Settings!$J$8)</f>
        <v>1</v>
      </c>
      <c r="V35" s="12">
        <f>IF($A35="","",1+(($H35-5)/5)*Settings!$J$9)</f>
        <v>1.06</v>
      </c>
      <c r="W35" s="12">
        <f t="array" ref="W35">IF($A35="","",XLOOKUP($J35,Lists!$C$3:$C$7,Lists!$D$3:$D$7,1))</f>
        <v>1</v>
      </c>
      <c r="X35" s="12">
        <f>IF($A35="","",IF($I35="Yes",Settings!$J$10,1))</f>
        <v>1</v>
      </c>
      <c r="Y35" s="12">
        <f t="shared" si="2"/>
        <v>21</v>
      </c>
      <c r="Z35" s="12">
        <f>IF($A35="","",IFERROR(ROUND(AVERAGEIFS('Historical Drafts'!$G$4:$G$300,'Historical Drafts'!$D$4:$D$300,$E35,'Historical Drafts'!$J$4:$J$300,"&gt;="&amp;$L35*0.85,'Historical Drafts'!$J$4:$J$300,"&lt;="&amp;$L35*1.15),0),$Y35))</f>
        <v>31</v>
      </c>
      <c r="AA35" s="12" t="str">
        <f>IF($A35="","",IF(COUNTIF('Auction Log'!$B$3:$B$300,$A35)&gt;0,"Sold","Available"))</f>
        <v>Available</v>
      </c>
      <c r="AB35" s="12" t="str">
        <f t="array" ref="AB35">IF($A35="","",IFERROR(XLOOKUP($A35,'Auction Log'!$B$3:$B$300,'Auction Log'!$G$3:$G$300,""),""))</f>
        <v/>
      </c>
      <c r="AC35" s="12" t="str">
        <f t="array" ref="AC35">IF($A35="","",IFERROR(XLOOKUP($A35,'Auction Log'!$B$3:$B$300,'Auction Log'!$F$3:$F$300,""),""))</f>
        <v/>
      </c>
      <c r="AD35" s="12">
        <f t="array" ref="AD35">IF($A35="","",ROUND($Y35*XLOOKUP($F35,Settings!$I$15:$I$20,Settings!$K$15:$K$20,0.4),0))</f>
        <v>8</v>
      </c>
      <c r="AE35" s="12">
        <f t="array" ref="AE35">IF($A35="","",ROUND($Y35*XLOOKUP($F35,Settings!$I$15:$I$20,Settings!$L$15:$L$20,0.8),0))</f>
        <v>16</v>
      </c>
      <c r="AF35" s="12">
        <f t="array" ref="AF35">IF($A35="","",ROUND($Y35*XLOOKUP($F35,Settings!$I$15:$I$20,Settings!$M$15:$M$20,1),0))</f>
        <v>21</v>
      </c>
      <c r="AG35" s="12">
        <f t="array" ref="AG35">IF($A35="","",ROUND($Y35*XLOOKUP($F35,Settings!$I$15:$I$20,Settings!$N$15:$N$20,1.1),0))</f>
        <v>22</v>
      </c>
      <c r="AH35" s="12">
        <f t="array" ref="AH35">IF($A35="","",ROUND($Y35*XLOOKUP($F35,Settings!$I$15:$I$20,Settings!$O$15:$O$20,1.1)*Settings!$J$7,0))</f>
        <v>24</v>
      </c>
      <c r="AI35" s="12">
        <f t="array" ref="AI35">IF($A35="","",IF($AA35="Sold","",MIN($AH35,IFERROR(XLOOKUP(Settings!$B$12,Managers!$B$4:$B$15,Managers!$H$4:$H$15),$AH35))))</f>
        <v>24</v>
      </c>
      <c r="AJ35" s="12" t="str">
        <f t="shared" si="3"/>
        <v>Budget Drainer</v>
      </c>
      <c r="AK35" s="12">
        <f t="shared" si="4"/>
        <v>56</v>
      </c>
      <c r="AL35" s="12" t="str">
        <f t="shared" si="5"/>
        <v/>
      </c>
    </row>
    <row r="36" ht="15.75" customHeight="1">
      <c r="A36" s="10" t="s">
        <v>456</v>
      </c>
      <c r="B36" s="10" t="s">
        <v>541</v>
      </c>
      <c r="C36" s="10" t="s">
        <v>314</v>
      </c>
      <c r="D36" s="10" t="s">
        <v>121</v>
      </c>
      <c r="E36" s="10" t="s">
        <v>121</v>
      </c>
      <c r="F36" s="10" t="s">
        <v>102</v>
      </c>
      <c r="G36" s="10">
        <v>5.0</v>
      </c>
      <c r="H36" s="10">
        <v>7.0</v>
      </c>
      <c r="I36" s="10" t="s">
        <v>2140</v>
      </c>
      <c r="J36" s="10" t="s">
        <v>2136</v>
      </c>
      <c r="K36" s="10"/>
      <c r="L36" s="10">
        <v>343.0</v>
      </c>
      <c r="M36" s="10">
        <v>9.53</v>
      </c>
      <c r="N36" s="10"/>
      <c r="O36" s="10"/>
      <c r="P36" s="12">
        <f>IF($A36="","",IFERROR((IF($O36="",0,$O36)*Settings!$J$4+IF($L36="",0,$L36)*Settings!$J$5+IF($N36="",0,$N36)*Settings!$J$6)/(IF($O36="",0,Settings!$J$4)+IF($L36="",0,Settings!$J$5)+IF($N36="",0,Settings!$J$6)),0))</f>
        <v>343</v>
      </c>
      <c r="Q36" s="12">
        <f t="array" ref="Q36">IF($A36="","",XLOOKUP($E36,Settings!$A$19:$A$22,Settings!$G$19:$G$22,0))</f>
        <v>206</v>
      </c>
      <c r="R36" s="12">
        <f t="shared" si="1"/>
        <v>137</v>
      </c>
      <c r="S36" s="12">
        <f>IF($A36="","",IF($R36&lt;=0,1,1+$R36/SUMIF($R$4:$R$923,"&gt;0",$R$4:$R$923)*(Settings!$B$5*(Settings!$B$6-Settings!$B$7))))</f>
        <v>17.91546162</v>
      </c>
      <c r="T36" s="12">
        <f t="array" ref="T36">IF($A36="","",XLOOKUP($F36,Settings!$I$15:$I$20,Settings!$J$15:$J$20,1))</f>
        <v>1.05</v>
      </c>
      <c r="U36" s="12">
        <f>IF($A36="","",1+(($G36-5)/5)*Settings!$J$8)</f>
        <v>1</v>
      </c>
      <c r="V36" s="12">
        <f>IF($A36="","",1+(($H36-5)/5)*Settings!$J$9)</f>
        <v>1.06</v>
      </c>
      <c r="W36" s="12">
        <f t="array" ref="W36">IF($A36="","",XLOOKUP($J36,Lists!$C$3:$C$7,Lists!$D$3:$D$7,1))</f>
        <v>1</v>
      </c>
      <c r="X36" s="12">
        <f>IF($A36="","",IF($I36="Yes",Settings!$J$10,1))</f>
        <v>1</v>
      </c>
      <c r="Y36" s="12">
        <f t="shared" si="2"/>
        <v>20</v>
      </c>
      <c r="Z36" s="12">
        <f>IF($A36="","",IFERROR(ROUND(AVERAGEIFS('Historical Drafts'!$G$4:$G$300,'Historical Drafts'!$D$4:$D$300,$E36,'Historical Drafts'!$J$4:$J$300,"&gt;="&amp;$L36*0.85,'Historical Drafts'!$J$4:$J$300,"&lt;="&amp;$L36*1.15),0),$Y36))</f>
        <v>17</v>
      </c>
      <c r="AA36" s="12" t="str">
        <f>IF($A36="","",IF(COUNTIF('Auction Log'!$B$3:$B$300,$A36)&gt;0,"Sold","Available"))</f>
        <v>Available</v>
      </c>
      <c r="AB36" s="12" t="str">
        <f t="array" ref="AB36">IF($A36="","",IFERROR(XLOOKUP($A36,'Auction Log'!$B$3:$B$300,'Auction Log'!$G$3:$G$300,""),""))</f>
        <v/>
      </c>
      <c r="AC36" s="12" t="str">
        <f t="array" ref="AC36">IF($A36="","",IFERROR(XLOOKUP($A36,'Auction Log'!$B$3:$B$300,'Auction Log'!$F$3:$F$300,""),""))</f>
        <v/>
      </c>
      <c r="AD36" s="12">
        <f t="array" ref="AD36">IF($A36="","",ROUND($Y36*XLOOKUP($F36,Settings!$I$15:$I$20,Settings!$K$15:$K$20,0.4),0))</f>
        <v>8</v>
      </c>
      <c r="AE36" s="12">
        <f t="array" ref="AE36">IF($A36="","",ROUND($Y36*XLOOKUP($F36,Settings!$I$15:$I$20,Settings!$L$15:$L$20,0.8),0))</f>
        <v>16</v>
      </c>
      <c r="AF36" s="12">
        <f t="array" ref="AF36">IF($A36="","",ROUND($Y36*XLOOKUP($F36,Settings!$I$15:$I$20,Settings!$M$15:$M$20,1),0))</f>
        <v>20</v>
      </c>
      <c r="AG36" s="12">
        <f t="array" ref="AG36">IF($A36="","",ROUND($Y36*XLOOKUP($F36,Settings!$I$15:$I$20,Settings!$N$15:$N$20,1.1),0))</f>
        <v>21</v>
      </c>
      <c r="AH36" s="12">
        <f t="array" ref="AH36">IF($A36="","",ROUND($Y36*XLOOKUP($F36,Settings!$I$15:$I$20,Settings!$O$15:$O$20,1.1)*Settings!$J$7,0))</f>
        <v>22</v>
      </c>
      <c r="AI36" s="12">
        <f t="array" ref="AI36">IF($A36="","",IF($AA36="Sold","",MIN($AH36,IFERROR(XLOOKUP(Settings!$B$12,Managers!$B$4:$B$15,Managers!$H$4:$H$15),$AH36))))</f>
        <v>22</v>
      </c>
      <c r="AJ36" s="12" t="str">
        <f t="shared" si="3"/>
        <v>Value Target</v>
      </c>
      <c r="AK36" s="12">
        <f t="shared" si="4"/>
        <v>45</v>
      </c>
      <c r="AL36" s="12" t="str">
        <f t="shared" si="5"/>
        <v/>
      </c>
    </row>
    <row r="37" ht="15.75" customHeight="1">
      <c r="A37" s="10" t="s">
        <v>310</v>
      </c>
      <c r="B37" s="10" t="s">
        <v>542</v>
      </c>
      <c r="C37" s="10" t="s">
        <v>226</v>
      </c>
      <c r="D37" s="10" t="s">
        <v>121</v>
      </c>
      <c r="E37" s="10" t="s">
        <v>121</v>
      </c>
      <c r="F37" s="10" t="s">
        <v>102</v>
      </c>
      <c r="G37" s="10">
        <v>5.0</v>
      </c>
      <c r="H37" s="10">
        <v>7.0</v>
      </c>
      <c r="I37" s="10" t="s">
        <v>2140</v>
      </c>
      <c r="J37" s="10" t="s">
        <v>2136</v>
      </c>
      <c r="K37" s="10"/>
      <c r="L37" s="10">
        <v>342.5</v>
      </c>
      <c r="M37" s="10">
        <v>11.81</v>
      </c>
      <c r="N37" s="10"/>
      <c r="O37" s="10"/>
      <c r="P37" s="12">
        <f>IF($A37="","",IFERROR((IF($O37="",0,$O37)*Settings!$J$4+IF($L37="",0,$L37)*Settings!$J$5+IF($N37="",0,$N37)*Settings!$J$6)/(IF($O37="",0,Settings!$J$4)+IF($L37="",0,Settings!$J$5)+IF($N37="",0,Settings!$J$6)),0))</f>
        <v>342.5</v>
      </c>
      <c r="Q37" s="12">
        <f t="array" ref="Q37">IF($A37="","",XLOOKUP($E37,Settings!$A$19:$A$22,Settings!$G$19:$G$22,0))</f>
        <v>206</v>
      </c>
      <c r="R37" s="12">
        <f t="shared" si="1"/>
        <v>136.5</v>
      </c>
      <c r="S37" s="12">
        <f>IF($A37="","",IF($R37&lt;=0,1,1+$R37/SUMIF($R$4:$R$923,"&gt;0",$R$4:$R$923)*(Settings!$B$5*(Settings!$B$6-Settings!$B$7))))</f>
        <v>17.85372636</v>
      </c>
      <c r="T37" s="12">
        <f t="array" ref="T37">IF($A37="","",XLOOKUP($F37,Settings!$I$15:$I$20,Settings!$J$15:$J$20,1))</f>
        <v>1.05</v>
      </c>
      <c r="U37" s="12">
        <f>IF($A37="","",1+(($G37-5)/5)*Settings!$J$8)</f>
        <v>1</v>
      </c>
      <c r="V37" s="12">
        <f>IF($A37="","",1+(($H37-5)/5)*Settings!$J$9)</f>
        <v>1.06</v>
      </c>
      <c r="W37" s="12">
        <f t="array" ref="W37">IF($A37="","",XLOOKUP($J37,Lists!$C$3:$C$7,Lists!$D$3:$D$7,1))</f>
        <v>1</v>
      </c>
      <c r="X37" s="12">
        <f>IF($A37="","",IF($I37="Yes",Settings!$J$10,1))</f>
        <v>1</v>
      </c>
      <c r="Y37" s="12">
        <f t="shared" si="2"/>
        <v>20</v>
      </c>
      <c r="Z37" s="12">
        <f>IF($A37="","",IFERROR(ROUND(AVERAGEIFS('Historical Drafts'!$G$4:$G$300,'Historical Drafts'!$D$4:$D$300,$E37,'Historical Drafts'!$J$4:$J$300,"&gt;="&amp;$L37*0.85,'Historical Drafts'!$J$4:$J$300,"&lt;="&amp;$L37*1.15),0),$Y37))</f>
        <v>17</v>
      </c>
      <c r="AA37" s="12" t="str">
        <f>IF($A37="","",IF(COUNTIF('Auction Log'!$B$3:$B$300,$A37)&gt;0,"Sold","Available"))</f>
        <v>Available</v>
      </c>
      <c r="AB37" s="12" t="str">
        <f t="array" ref="AB37">IF($A37="","",IFERROR(XLOOKUP($A37,'Auction Log'!$B$3:$B$300,'Auction Log'!$G$3:$G$300,""),""))</f>
        <v/>
      </c>
      <c r="AC37" s="12" t="str">
        <f t="array" ref="AC37">IF($A37="","",IFERROR(XLOOKUP($A37,'Auction Log'!$B$3:$B$300,'Auction Log'!$F$3:$F$300,""),""))</f>
        <v/>
      </c>
      <c r="AD37" s="12">
        <f t="array" ref="AD37">IF($A37="","",ROUND($Y37*XLOOKUP($F37,Settings!$I$15:$I$20,Settings!$K$15:$K$20,0.4),0))</f>
        <v>8</v>
      </c>
      <c r="AE37" s="12">
        <f t="array" ref="AE37">IF($A37="","",ROUND($Y37*XLOOKUP($F37,Settings!$I$15:$I$20,Settings!$L$15:$L$20,0.8),0))</f>
        <v>16</v>
      </c>
      <c r="AF37" s="12">
        <f t="array" ref="AF37">IF($A37="","",ROUND($Y37*XLOOKUP($F37,Settings!$I$15:$I$20,Settings!$M$15:$M$20,1),0))</f>
        <v>20</v>
      </c>
      <c r="AG37" s="12">
        <f t="array" ref="AG37">IF($A37="","",ROUND($Y37*XLOOKUP($F37,Settings!$I$15:$I$20,Settings!$N$15:$N$20,1.1),0))</f>
        <v>21</v>
      </c>
      <c r="AH37" s="12">
        <f t="array" ref="AH37">IF($A37="","",ROUND($Y37*XLOOKUP($F37,Settings!$I$15:$I$20,Settings!$O$15:$O$20,1.1)*Settings!$J$7,0))</f>
        <v>22</v>
      </c>
      <c r="AI37" s="12">
        <f t="array" ref="AI37">IF($A37="","",IF($AA37="Sold","",MIN($AH37,IFERROR(XLOOKUP(Settings!$B$12,Managers!$B$4:$B$15,Managers!$H$4:$H$15),$AH37))))</f>
        <v>22</v>
      </c>
      <c r="AJ37" s="12" t="str">
        <f t="shared" si="3"/>
        <v>Value Target</v>
      </c>
      <c r="AK37" s="12">
        <f t="shared" si="4"/>
        <v>45</v>
      </c>
      <c r="AL37" s="12" t="str">
        <f t="shared" si="5"/>
        <v/>
      </c>
    </row>
    <row r="38" ht="15.75" customHeight="1">
      <c r="A38" s="10" t="s">
        <v>543</v>
      </c>
      <c r="B38" s="10" t="s">
        <v>544</v>
      </c>
      <c r="C38" s="10" t="s">
        <v>453</v>
      </c>
      <c r="D38" s="10" t="s">
        <v>118</v>
      </c>
      <c r="E38" s="10" t="s">
        <v>118</v>
      </c>
      <c r="F38" s="10" t="s">
        <v>102</v>
      </c>
      <c r="G38" s="10">
        <v>5.0</v>
      </c>
      <c r="H38" s="10">
        <v>7.0</v>
      </c>
      <c r="I38" s="10" t="s">
        <v>2140</v>
      </c>
      <c r="J38" s="10" t="s">
        <v>2136</v>
      </c>
      <c r="K38" s="10"/>
      <c r="L38" s="10">
        <v>340.75</v>
      </c>
      <c r="M38" s="10">
        <v>9.74</v>
      </c>
      <c r="N38" s="10"/>
      <c r="O38" s="10"/>
      <c r="P38" s="12">
        <f>IF($A38="","",IFERROR((IF($O38="",0,$O38)*Settings!$J$4+IF($L38="",0,$L38)*Settings!$J$5+IF($N38="",0,$N38)*Settings!$J$6)/(IF($O38="",0,Settings!$J$4)+IF($L38="",0,Settings!$J$5)+IF($N38="",0,Settings!$J$6)),0))</f>
        <v>340.75</v>
      </c>
      <c r="Q38" s="12">
        <f t="array" ref="Q38">IF($A38="","",XLOOKUP($E38,Settings!$A$19:$A$22,Settings!$G$19:$G$22,0))</f>
        <v>196.25</v>
      </c>
      <c r="R38" s="12">
        <f t="shared" si="1"/>
        <v>144.5</v>
      </c>
      <c r="S38" s="12">
        <f>IF($A38="","",IF($R38&lt;=0,1,1+$R38/SUMIF($R$4:$R$923,"&gt;0",$R$4:$R$923)*(Settings!$B$5*(Settings!$B$6-Settings!$B$7))))</f>
        <v>18.84149055</v>
      </c>
      <c r="T38" s="12">
        <f t="array" ref="T38">IF($A38="","",XLOOKUP($F38,Settings!$I$15:$I$20,Settings!$J$15:$J$20,1))</f>
        <v>1.05</v>
      </c>
      <c r="U38" s="12">
        <f>IF($A38="","",1+(($G38-5)/5)*Settings!$J$8)</f>
        <v>1</v>
      </c>
      <c r="V38" s="12">
        <f>IF($A38="","",1+(($H38-5)/5)*Settings!$J$9)</f>
        <v>1.06</v>
      </c>
      <c r="W38" s="12">
        <f t="array" ref="W38">IF($A38="","",XLOOKUP($J38,Lists!$C$3:$C$7,Lists!$D$3:$D$7,1))</f>
        <v>1</v>
      </c>
      <c r="X38" s="12">
        <f>IF($A38="","",IF($I38="Yes",Settings!$J$10,1))</f>
        <v>1</v>
      </c>
      <c r="Y38" s="12">
        <f t="shared" si="2"/>
        <v>21</v>
      </c>
      <c r="Z38" s="12">
        <f>IF($A38="","",IFERROR(ROUND(AVERAGEIFS('Historical Drafts'!$G$4:$G$300,'Historical Drafts'!$D$4:$D$300,$E38,'Historical Drafts'!$J$4:$J$300,"&gt;="&amp;$L38*0.85,'Historical Drafts'!$J$4:$J$300,"&lt;="&amp;$L38*1.15),0),$Y38))</f>
        <v>9</v>
      </c>
      <c r="AA38" s="12" t="str">
        <f>IF($A38="","",IF(COUNTIF('Auction Log'!$B$3:$B$300,$A38)&gt;0,"Sold","Available"))</f>
        <v>Available</v>
      </c>
      <c r="AB38" s="12" t="str">
        <f t="array" ref="AB38">IF($A38="","",IFERROR(XLOOKUP($A38,'Auction Log'!$B$3:$B$300,'Auction Log'!$G$3:$G$300,""),""))</f>
        <v/>
      </c>
      <c r="AC38" s="12" t="str">
        <f t="array" ref="AC38">IF($A38="","",IFERROR(XLOOKUP($A38,'Auction Log'!$B$3:$B$300,'Auction Log'!$F$3:$F$300,""),""))</f>
        <v/>
      </c>
      <c r="AD38" s="12">
        <f t="array" ref="AD38">IF($A38="","",ROUND($Y38*XLOOKUP($F38,Settings!$I$15:$I$20,Settings!$K$15:$K$20,0.4),0))</f>
        <v>8</v>
      </c>
      <c r="AE38" s="12">
        <f t="array" ref="AE38">IF($A38="","",ROUND($Y38*XLOOKUP($F38,Settings!$I$15:$I$20,Settings!$L$15:$L$20,0.8),0))</f>
        <v>16</v>
      </c>
      <c r="AF38" s="12">
        <f t="array" ref="AF38">IF($A38="","",ROUND($Y38*XLOOKUP($F38,Settings!$I$15:$I$20,Settings!$M$15:$M$20,1),0))</f>
        <v>21</v>
      </c>
      <c r="AG38" s="12">
        <f t="array" ref="AG38">IF($A38="","",ROUND($Y38*XLOOKUP($F38,Settings!$I$15:$I$20,Settings!$N$15:$N$20,1.1),0))</f>
        <v>22</v>
      </c>
      <c r="AH38" s="12">
        <f t="array" ref="AH38">IF($A38="","",ROUND($Y38*XLOOKUP($F38,Settings!$I$15:$I$20,Settings!$O$15:$O$20,1.1)*Settings!$J$7,0))</f>
        <v>24</v>
      </c>
      <c r="AI38" s="12">
        <f t="array" ref="AI38">IF($A38="","",IF($AA38="Sold","",MIN($AH38,IFERROR(XLOOKUP(Settings!$B$12,Managers!$B$4:$B$15,Managers!$H$4:$H$15),$AH38))))</f>
        <v>24</v>
      </c>
      <c r="AJ38" s="12" t="str">
        <f t="shared" si="3"/>
        <v>Value Target</v>
      </c>
      <c r="AK38" s="12">
        <f t="shared" si="4"/>
        <v>46</v>
      </c>
      <c r="AL38" s="12" t="str">
        <f t="shared" si="5"/>
        <v/>
      </c>
    </row>
    <row r="39" ht="15.75" customHeight="1">
      <c r="A39" s="10" t="s">
        <v>545</v>
      </c>
      <c r="B39" s="10" t="s">
        <v>546</v>
      </c>
      <c r="C39" s="10" t="s">
        <v>314</v>
      </c>
      <c r="D39" s="10" t="s">
        <v>118</v>
      </c>
      <c r="E39" s="10" t="s">
        <v>118</v>
      </c>
      <c r="F39" s="10" t="s">
        <v>102</v>
      </c>
      <c r="G39" s="10">
        <v>5.0</v>
      </c>
      <c r="H39" s="10">
        <v>7.0</v>
      </c>
      <c r="I39" s="10" t="s">
        <v>2140</v>
      </c>
      <c r="J39" s="10" t="s">
        <v>2136</v>
      </c>
      <c r="K39" s="10"/>
      <c r="L39" s="10">
        <v>337.25</v>
      </c>
      <c r="M39" s="10">
        <v>10.54</v>
      </c>
      <c r="N39" s="10"/>
      <c r="O39" s="10"/>
      <c r="P39" s="12">
        <f>IF($A39="","",IFERROR((IF($O39="",0,$O39)*Settings!$J$4+IF($L39="",0,$L39)*Settings!$J$5+IF($N39="",0,$N39)*Settings!$J$6)/(IF($O39="",0,Settings!$J$4)+IF($L39="",0,Settings!$J$5)+IF($N39="",0,Settings!$J$6)),0))</f>
        <v>337.25</v>
      </c>
      <c r="Q39" s="12">
        <f t="array" ref="Q39">IF($A39="","",XLOOKUP($E39,Settings!$A$19:$A$22,Settings!$G$19:$G$22,0))</f>
        <v>196.25</v>
      </c>
      <c r="R39" s="12">
        <f t="shared" si="1"/>
        <v>141</v>
      </c>
      <c r="S39" s="12">
        <f>IF($A39="","",IF($R39&lt;=0,1,1+$R39/SUMIF($R$4:$R$923,"&gt;0",$R$4:$R$923)*(Settings!$B$5*(Settings!$B$6-Settings!$B$7))))</f>
        <v>18.40934372</v>
      </c>
      <c r="T39" s="12">
        <f t="array" ref="T39">IF($A39="","",XLOOKUP($F39,Settings!$I$15:$I$20,Settings!$J$15:$J$20,1))</f>
        <v>1.05</v>
      </c>
      <c r="U39" s="12">
        <f>IF($A39="","",1+(($G39-5)/5)*Settings!$J$8)</f>
        <v>1</v>
      </c>
      <c r="V39" s="12">
        <f>IF($A39="","",1+(($H39-5)/5)*Settings!$J$9)</f>
        <v>1.06</v>
      </c>
      <c r="W39" s="12">
        <f t="array" ref="W39">IF($A39="","",XLOOKUP($J39,Lists!$C$3:$C$7,Lists!$D$3:$D$7,1))</f>
        <v>1</v>
      </c>
      <c r="X39" s="12">
        <f>IF($A39="","",IF($I39="Yes",Settings!$J$10,1))</f>
        <v>1</v>
      </c>
      <c r="Y39" s="12">
        <f t="shared" si="2"/>
        <v>20</v>
      </c>
      <c r="Z39" s="12">
        <f>IF($A39="","",IFERROR(ROUND(AVERAGEIFS('Historical Drafts'!$G$4:$G$300,'Historical Drafts'!$D$4:$D$300,$E39,'Historical Drafts'!$J$4:$J$300,"&gt;="&amp;$L39*0.85,'Historical Drafts'!$J$4:$J$300,"&lt;="&amp;$L39*1.15),0),$Y39))</f>
        <v>9</v>
      </c>
      <c r="AA39" s="12" t="str">
        <f>IF($A39="","",IF(COUNTIF('Auction Log'!$B$3:$B$300,$A39)&gt;0,"Sold","Available"))</f>
        <v>Available</v>
      </c>
      <c r="AB39" s="12" t="str">
        <f t="array" ref="AB39">IF($A39="","",IFERROR(XLOOKUP($A39,'Auction Log'!$B$3:$B$300,'Auction Log'!$G$3:$G$300,""),""))</f>
        <v/>
      </c>
      <c r="AC39" s="12" t="str">
        <f t="array" ref="AC39">IF($A39="","",IFERROR(XLOOKUP($A39,'Auction Log'!$B$3:$B$300,'Auction Log'!$F$3:$F$300,""),""))</f>
        <v/>
      </c>
      <c r="AD39" s="12">
        <f t="array" ref="AD39">IF($A39="","",ROUND($Y39*XLOOKUP($F39,Settings!$I$15:$I$20,Settings!$K$15:$K$20,0.4),0))</f>
        <v>8</v>
      </c>
      <c r="AE39" s="12">
        <f t="array" ref="AE39">IF($A39="","",ROUND($Y39*XLOOKUP($F39,Settings!$I$15:$I$20,Settings!$L$15:$L$20,0.8),0))</f>
        <v>16</v>
      </c>
      <c r="AF39" s="12">
        <f t="array" ref="AF39">IF($A39="","",ROUND($Y39*XLOOKUP($F39,Settings!$I$15:$I$20,Settings!$M$15:$M$20,1),0))</f>
        <v>20</v>
      </c>
      <c r="AG39" s="12">
        <f t="array" ref="AG39">IF($A39="","",ROUND($Y39*XLOOKUP($F39,Settings!$I$15:$I$20,Settings!$N$15:$N$20,1.1),0))</f>
        <v>21</v>
      </c>
      <c r="AH39" s="12">
        <f t="array" ref="AH39">IF($A39="","",ROUND($Y39*XLOOKUP($F39,Settings!$I$15:$I$20,Settings!$O$15:$O$20,1.1)*Settings!$J$7,0))</f>
        <v>22</v>
      </c>
      <c r="AI39" s="12">
        <f t="array" ref="AI39">IF($A39="","",IF($AA39="Sold","",MIN($AH39,IFERROR(XLOOKUP(Settings!$B$12,Managers!$B$4:$B$15,Managers!$H$4:$H$15),$AH39))))</f>
        <v>22</v>
      </c>
      <c r="AJ39" s="12" t="str">
        <f t="shared" si="3"/>
        <v>Value Target</v>
      </c>
      <c r="AK39" s="12">
        <f t="shared" si="4"/>
        <v>45</v>
      </c>
      <c r="AL39" s="12" t="str">
        <f t="shared" si="5"/>
        <v/>
      </c>
    </row>
    <row r="40" ht="15.75" customHeight="1">
      <c r="A40" s="10" t="s">
        <v>547</v>
      </c>
      <c r="B40" s="10" t="s">
        <v>548</v>
      </c>
      <c r="C40" s="10" t="s">
        <v>285</v>
      </c>
      <c r="D40" s="10" t="s">
        <v>118</v>
      </c>
      <c r="E40" s="10" t="s">
        <v>118</v>
      </c>
      <c r="F40" s="10" t="s">
        <v>102</v>
      </c>
      <c r="G40" s="10">
        <v>5.0</v>
      </c>
      <c r="H40" s="10">
        <v>7.0</v>
      </c>
      <c r="I40" s="10" t="s">
        <v>2140</v>
      </c>
      <c r="J40" s="10" t="s">
        <v>2136</v>
      </c>
      <c r="K40" s="10"/>
      <c r="L40" s="10">
        <v>336.75</v>
      </c>
      <c r="M40" s="10">
        <v>9.1</v>
      </c>
      <c r="N40" s="10"/>
      <c r="O40" s="10"/>
      <c r="P40" s="12">
        <f>IF($A40="","",IFERROR((IF($O40="",0,$O40)*Settings!$J$4+IF($L40="",0,$L40)*Settings!$J$5+IF($N40="",0,$N40)*Settings!$J$6)/(IF($O40="",0,Settings!$J$4)+IF($L40="",0,Settings!$J$5)+IF($N40="",0,Settings!$J$6)),0))</f>
        <v>336.75</v>
      </c>
      <c r="Q40" s="12">
        <f t="array" ref="Q40">IF($A40="","",XLOOKUP($E40,Settings!$A$19:$A$22,Settings!$G$19:$G$22,0))</f>
        <v>196.25</v>
      </c>
      <c r="R40" s="12">
        <f t="shared" si="1"/>
        <v>140.5</v>
      </c>
      <c r="S40" s="12">
        <f>IF($A40="","",IF($R40&lt;=0,1,1+$R40/SUMIF($R$4:$R$923,"&gt;0",$R$4:$R$923)*(Settings!$B$5*(Settings!$B$6-Settings!$B$7))))</f>
        <v>18.34760845</v>
      </c>
      <c r="T40" s="12">
        <f t="array" ref="T40">IF($A40="","",XLOOKUP($F40,Settings!$I$15:$I$20,Settings!$J$15:$J$20,1))</f>
        <v>1.05</v>
      </c>
      <c r="U40" s="12">
        <f>IF($A40="","",1+(($G40-5)/5)*Settings!$J$8)</f>
        <v>1</v>
      </c>
      <c r="V40" s="12">
        <f>IF($A40="","",1+(($H40-5)/5)*Settings!$J$9)</f>
        <v>1.06</v>
      </c>
      <c r="W40" s="12">
        <f t="array" ref="W40">IF($A40="","",XLOOKUP($J40,Lists!$C$3:$C$7,Lists!$D$3:$D$7,1))</f>
        <v>1</v>
      </c>
      <c r="X40" s="12">
        <f>IF($A40="","",IF($I40="Yes",Settings!$J$10,1))</f>
        <v>1</v>
      </c>
      <c r="Y40" s="12">
        <f t="shared" si="2"/>
        <v>20</v>
      </c>
      <c r="Z40" s="12">
        <f>IF($A40="","",IFERROR(ROUND(AVERAGEIFS('Historical Drafts'!$G$4:$G$300,'Historical Drafts'!$D$4:$D$300,$E40,'Historical Drafts'!$J$4:$J$300,"&gt;="&amp;$L40*0.85,'Historical Drafts'!$J$4:$J$300,"&lt;="&amp;$L40*1.15),0),$Y40))</f>
        <v>9</v>
      </c>
      <c r="AA40" s="12" t="str">
        <f>IF($A40="","",IF(COUNTIF('Auction Log'!$B$3:$B$300,$A40)&gt;0,"Sold","Available"))</f>
        <v>Available</v>
      </c>
      <c r="AB40" s="12" t="str">
        <f t="array" ref="AB40">IF($A40="","",IFERROR(XLOOKUP($A40,'Auction Log'!$B$3:$B$300,'Auction Log'!$G$3:$G$300,""),""))</f>
        <v/>
      </c>
      <c r="AC40" s="12" t="str">
        <f t="array" ref="AC40">IF($A40="","",IFERROR(XLOOKUP($A40,'Auction Log'!$B$3:$B$300,'Auction Log'!$F$3:$F$300,""),""))</f>
        <v/>
      </c>
      <c r="AD40" s="12">
        <f t="array" ref="AD40">IF($A40="","",ROUND($Y40*XLOOKUP($F40,Settings!$I$15:$I$20,Settings!$K$15:$K$20,0.4),0))</f>
        <v>8</v>
      </c>
      <c r="AE40" s="12">
        <f t="array" ref="AE40">IF($A40="","",ROUND($Y40*XLOOKUP($F40,Settings!$I$15:$I$20,Settings!$L$15:$L$20,0.8),0))</f>
        <v>16</v>
      </c>
      <c r="AF40" s="12">
        <f t="array" ref="AF40">IF($A40="","",ROUND($Y40*XLOOKUP($F40,Settings!$I$15:$I$20,Settings!$M$15:$M$20,1),0))</f>
        <v>20</v>
      </c>
      <c r="AG40" s="12">
        <f t="array" ref="AG40">IF($A40="","",ROUND($Y40*XLOOKUP($F40,Settings!$I$15:$I$20,Settings!$N$15:$N$20,1.1),0))</f>
        <v>21</v>
      </c>
      <c r="AH40" s="12">
        <f t="array" ref="AH40">IF($A40="","",ROUND($Y40*XLOOKUP($F40,Settings!$I$15:$I$20,Settings!$O$15:$O$20,1.1)*Settings!$J$7,0))</f>
        <v>22</v>
      </c>
      <c r="AI40" s="12">
        <f t="array" ref="AI40">IF($A40="","",IF($AA40="Sold","",MIN($AH40,IFERROR(XLOOKUP(Settings!$B$12,Managers!$B$4:$B$15,Managers!$H$4:$H$15),$AH40))))</f>
        <v>22</v>
      </c>
      <c r="AJ40" s="12" t="str">
        <f t="shared" si="3"/>
        <v>Value Target</v>
      </c>
      <c r="AK40" s="12">
        <f t="shared" si="4"/>
        <v>45</v>
      </c>
      <c r="AL40" s="12" t="str">
        <f t="shared" si="5"/>
        <v/>
      </c>
    </row>
    <row r="41" ht="15.75" customHeight="1">
      <c r="A41" s="10" t="s">
        <v>200</v>
      </c>
      <c r="B41" s="10" t="s">
        <v>201</v>
      </c>
      <c r="C41" s="10" t="s">
        <v>185</v>
      </c>
      <c r="D41" s="10" t="s">
        <v>123</v>
      </c>
      <c r="E41" s="10" t="s">
        <v>123</v>
      </c>
      <c r="F41" s="10" t="s">
        <v>102</v>
      </c>
      <c r="G41" s="10">
        <v>5.0</v>
      </c>
      <c r="H41" s="10">
        <v>7.0</v>
      </c>
      <c r="I41" s="10" t="s">
        <v>2140</v>
      </c>
      <c r="J41" s="10" t="s">
        <v>2136</v>
      </c>
      <c r="K41" s="10"/>
      <c r="L41" s="10">
        <v>336.0</v>
      </c>
      <c r="M41" s="10">
        <v>10.18</v>
      </c>
      <c r="N41" s="10"/>
      <c r="O41" s="10"/>
      <c r="P41" s="12">
        <f>IF($A41="","",IFERROR((IF($O41="",0,$O41)*Settings!$J$4+IF($L41="",0,$L41)*Settings!$J$5+IF($N41="",0,$N41)*Settings!$J$6)/(IF($O41="",0,Settings!$J$4)+IF($L41="",0,Settings!$J$5)+IF($N41="",0,Settings!$J$6)),0))</f>
        <v>336</v>
      </c>
      <c r="Q41" s="12">
        <f t="array" ref="Q41">IF($A41="","",XLOOKUP($E41,Settings!$A$19:$A$22,Settings!$G$19:$G$22,0))</f>
        <v>203</v>
      </c>
      <c r="R41" s="12">
        <f t="shared" si="1"/>
        <v>133</v>
      </c>
      <c r="S41" s="12">
        <f>IF($A41="","",IF($R41&lt;=0,1,1+$R41/SUMIF($R$4:$R$923,"&gt;0",$R$4:$R$923)*(Settings!$B$5*(Settings!$B$6-Settings!$B$7))))</f>
        <v>17.42157953</v>
      </c>
      <c r="T41" s="12">
        <f t="array" ref="T41">IF($A41="","",XLOOKUP($F41,Settings!$I$15:$I$20,Settings!$J$15:$J$20,1))</f>
        <v>1.05</v>
      </c>
      <c r="U41" s="12">
        <f>IF($A41="","",1+(($G41-5)/5)*Settings!$J$8)</f>
        <v>1</v>
      </c>
      <c r="V41" s="12">
        <f>IF($A41="","",1+(($H41-5)/5)*Settings!$J$9)</f>
        <v>1.06</v>
      </c>
      <c r="W41" s="12">
        <f t="array" ref="W41">IF($A41="","",XLOOKUP($J41,Lists!$C$3:$C$7,Lists!$D$3:$D$7,1))</f>
        <v>1</v>
      </c>
      <c r="X41" s="12">
        <f>IF($A41="","",IF($I41="Yes",Settings!$J$10,1))</f>
        <v>1</v>
      </c>
      <c r="Y41" s="12">
        <f t="shared" si="2"/>
        <v>19</v>
      </c>
      <c r="Z41" s="12">
        <f>IF($A41="","",IFERROR(ROUND(AVERAGEIFS('Historical Drafts'!$G$4:$G$300,'Historical Drafts'!$D$4:$D$300,$E41,'Historical Drafts'!$J$4:$J$300,"&gt;="&amp;$L41*0.85,'Historical Drafts'!$J$4:$J$300,"&lt;="&amp;$L41*1.15),0),$Y41))</f>
        <v>30</v>
      </c>
      <c r="AA41" s="12" t="str">
        <f>IF($A41="","",IF(COUNTIF('Auction Log'!$B$3:$B$300,$A41)&gt;0,"Sold","Available"))</f>
        <v>Available</v>
      </c>
      <c r="AB41" s="12" t="str">
        <f t="array" ref="AB41">IF($A41="","",IFERROR(XLOOKUP($A41,'Auction Log'!$B$3:$B$300,'Auction Log'!$G$3:$G$300,""),""))</f>
        <v/>
      </c>
      <c r="AC41" s="12" t="str">
        <f t="array" ref="AC41">IF($A41="","",IFERROR(XLOOKUP($A41,'Auction Log'!$B$3:$B$300,'Auction Log'!$F$3:$F$300,""),""))</f>
        <v/>
      </c>
      <c r="AD41" s="12">
        <f t="array" ref="AD41">IF($A41="","",ROUND($Y41*XLOOKUP($F41,Settings!$I$15:$I$20,Settings!$K$15:$K$20,0.4),0))</f>
        <v>8</v>
      </c>
      <c r="AE41" s="12">
        <f t="array" ref="AE41">IF($A41="","",ROUND($Y41*XLOOKUP($F41,Settings!$I$15:$I$20,Settings!$L$15:$L$20,0.8),0))</f>
        <v>15</v>
      </c>
      <c r="AF41" s="12">
        <f t="array" ref="AF41">IF($A41="","",ROUND($Y41*XLOOKUP($F41,Settings!$I$15:$I$20,Settings!$M$15:$M$20,1),0))</f>
        <v>19</v>
      </c>
      <c r="AG41" s="12">
        <f t="array" ref="AG41">IF($A41="","",ROUND($Y41*XLOOKUP($F41,Settings!$I$15:$I$20,Settings!$N$15:$N$20,1.1),0))</f>
        <v>20</v>
      </c>
      <c r="AH41" s="12">
        <f t="array" ref="AH41">IF($A41="","",ROUND($Y41*XLOOKUP($F41,Settings!$I$15:$I$20,Settings!$O$15:$O$20,1.1)*Settings!$J$7,0))</f>
        <v>21</v>
      </c>
      <c r="AI41" s="12">
        <f t="array" ref="AI41">IF($A41="","",IF($AA41="Sold","",MIN($AH41,IFERROR(XLOOKUP(Settings!$B$12,Managers!$B$4:$B$15,Managers!$H$4:$H$15),$AH41))))</f>
        <v>21</v>
      </c>
      <c r="AJ41" s="12" t="str">
        <f t="shared" si="3"/>
        <v>Budget Drainer</v>
      </c>
      <c r="AK41" s="12">
        <f t="shared" si="4"/>
        <v>55</v>
      </c>
      <c r="AL41" s="12" t="str">
        <f t="shared" si="5"/>
        <v/>
      </c>
    </row>
    <row r="42" ht="15.75" customHeight="1">
      <c r="A42" s="10" t="s">
        <v>549</v>
      </c>
      <c r="B42" s="10" t="s">
        <v>550</v>
      </c>
      <c r="C42" s="10" t="s">
        <v>185</v>
      </c>
      <c r="D42" s="10" t="s">
        <v>121</v>
      </c>
      <c r="E42" s="10" t="s">
        <v>121</v>
      </c>
      <c r="F42" s="10" t="s">
        <v>102</v>
      </c>
      <c r="G42" s="10">
        <v>5.0</v>
      </c>
      <c r="H42" s="10">
        <v>7.0</v>
      </c>
      <c r="I42" s="10" t="s">
        <v>2140</v>
      </c>
      <c r="J42" s="10" t="s">
        <v>2136</v>
      </c>
      <c r="K42" s="10"/>
      <c r="L42" s="10">
        <v>331.0</v>
      </c>
      <c r="M42" s="10">
        <v>9.74</v>
      </c>
      <c r="N42" s="10"/>
      <c r="O42" s="10"/>
      <c r="P42" s="12">
        <f>IF($A42="","",IFERROR((IF($O42="",0,$O42)*Settings!$J$4+IF($L42="",0,$L42)*Settings!$J$5+IF($N42="",0,$N42)*Settings!$J$6)/(IF($O42="",0,Settings!$J$4)+IF($L42="",0,Settings!$J$5)+IF($N42="",0,Settings!$J$6)),0))</f>
        <v>331</v>
      </c>
      <c r="Q42" s="12">
        <f t="array" ref="Q42">IF($A42="","",XLOOKUP($E42,Settings!$A$19:$A$22,Settings!$G$19:$G$22,0))</f>
        <v>206</v>
      </c>
      <c r="R42" s="12">
        <f t="shared" si="1"/>
        <v>125</v>
      </c>
      <c r="S42" s="12">
        <f>IF($A42="","",IF($R42&lt;=0,1,1+$R42/SUMIF($R$4:$R$923,"&gt;0",$R$4:$R$923)*(Settings!$B$5*(Settings!$B$6-Settings!$B$7))))</f>
        <v>16.43381535</v>
      </c>
      <c r="T42" s="12">
        <f t="array" ref="T42">IF($A42="","",XLOOKUP($F42,Settings!$I$15:$I$20,Settings!$J$15:$J$20,1))</f>
        <v>1.05</v>
      </c>
      <c r="U42" s="12">
        <f>IF($A42="","",1+(($G42-5)/5)*Settings!$J$8)</f>
        <v>1</v>
      </c>
      <c r="V42" s="12">
        <f>IF($A42="","",1+(($H42-5)/5)*Settings!$J$9)</f>
        <v>1.06</v>
      </c>
      <c r="W42" s="12">
        <f t="array" ref="W42">IF($A42="","",XLOOKUP($J42,Lists!$C$3:$C$7,Lists!$D$3:$D$7,1))</f>
        <v>1</v>
      </c>
      <c r="X42" s="12">
        <f>IF($A42="","",IF($I42="Yes",Settings!$J$10,1))</f>
        <v>1</v>
      </c>
      <c r="Y42" s="12">
        <f t="shared" si="2"/>
        <v>18</v>
      </c>
      <c r="Z42" s="12">
        <f>IF($A42="","",IFERROR(ROUND(AVERAGEIFS('Historical Drafts'!$G$4:$G$300,'Historical Drafts'!$D$4:$D$300,$E42,'Historical Drafts'!$J$4:$J$300,"&gt;="&amp;$L42*0.85,'Historical Drafts'!$J$4:$J$300,"&lt;="&amp;$L42*1.15),0),$Y42))</f>
        <v>17</v>
      </c>
      <c r="AA42" s="12" t="str">
        <f>IF($A42="","",IF(COUNTIF('Auction Log'!$B$3:$B$300,$A42)&gt;0,"Sold","Available"))</f>
        <v>Available</v>
      </c>
      <c r="AB42" s="12" t="str">
        <f t="array" ref="AB42">IF($A42="","",IFERROR(XLOOKUP($A42,'Auction Log'!$B$3:$B$300,'Auction Log'!$G$3:$G$300,""),""))</f>
        <v/>
      </c>
      <c r="AC42" s="12" t="str">
        <f t="array" ref="AC42">IF($A42="","",IFERROR(XLOOKUP($A42,'Auction Log'!$B$3:$B$300,'Auction Log'!$F$3:$F$300,""),""))</f>
        <v/>
      </c>
      <c r="AD42" s="12">
        <f t="array" ref="AD42">IF($A42="","",ROUND($Y42*XLOOKUP($F42,Settings!$I$15:$I$20,Settings!$K$15:$K$20,0.4),0))</f>
        <v>7</v>
      </c>
      <c r="AE42" s="12">
        <f t="array" ref="AE42">IF($A42="","",ROUND($Y42*XLOOKUP($F42,Settings!$I$15:$I$20,Settings!$L$15:$L$20,0.8),0))</f>
        <v>14</v>
      </c>
      <c r="AF42" s="12">
        <f t="array" ref="AF42">IF($A42="","",ROUND($Y42*XLOOKUP($F42,Settings!$I$15:$I$20,Settings!$M$15:$M$20,1),0))</f>
        <v>18</v>
      </c>
      <c r="AG42" s="12">
        <f t="array" ref="AG42">IF($A42="","",ROUND($Y42*XLOOKUP($F42,Settings!$I$15:$I$20,Settings!$N$15:$N$20,1.1),0))</f>
        <v>19</v>
      </c>
      <c r="AH42" s="12">
        <f t="array" ref="AH42">IF($A42="","",ROUND($Y42*XLOOKUP($F42,Settings!$I$15:$I$20,Settings!$O$15:$O$20,1.1)*Settings!$J$7,0))</f>
        <v>20</v>
      </c>
      <c r="AI42" s="12">
        <f t="array" ref="AI42">IF($A42="","",IF($AA42="Sold","",MIN($AH42,IFERROR(XLOOKUP(Settings!$B$12,Managers!$B$4:$B$15,Managers!$H$4:$H$15),$AH42))))</f>
        <v>20</v>
      </c>
      <c r="AJ42" s="12" t="str">
        <f t="shared" si="3"/>
        <v>Recommended</v>
      </c>
      <c r="AK42" s="12">
        <f t="shared" si="4"/>
        <v>43</v>
      </c>
      <c r="AL42" s="12" t="str">
        <f t="shared" si="5"/>
        <v/>
      </c>
    </row>
    <row r="43" ht="15.75" customHeight="1">
      <c r="A43" s="10" t="s">
        <v>338</v>
      </c>
      <c r="B43" s="10" t="s">
        <v>339</v>
      </c>
      <c r="C43" s="10" t="s">
        <v>191</v>
      </c>
      <c r="D43" s="10" t="s">
        <v>118</v>
      </c>
      <c r="E43" s="10" t="s">
        <v>118</v>
      </c>
      <c r="F43" s="10" t="s">
        <v>102</v>
      </c>
      <c r="G43" s="10">
        <v>5.0</v>
      </c>
      <c r="H43" s="10">
        <v>7.0</v>
      </c>
      <c r="I43" s="10" t="s">
        <v>2140</v>
      </c>
      <c r="J43" s="10" t="s">
        <v>2136</v>
      </c>
      <c r="K43" s="10"/>
      <c r="L43" s="10">
        <v>331.0</v>
      </c>
      <c r="M43" s="10">
        <v>11.03</v>
      </c>
      <c r="N43" s="10"/>
      <c r="O43" s="10"/>
      <c r="P43" s="12">
        <f>IF($A43="","",IFERROR((IF($O43="",0,$O43)*Settings!$J$4+IF($L43="",0,$L43)*Settings!$J$5+IF($N43="",0,$N43)*Settings!$J$6)/(IF($O43="",0,Settings!$J$4)+IF($L43="",0,Settings!$J$5)+IF($N43="",0,Settings!$J$6)),0))</f>
        <v>331</v>
      </c>
      <c r="Q43" s="12">
        <f t="array" ref="Q43">IF($A43="","",XLOOKUP($E43,Settings!$A$19:$A$22,Settings!$G$19:$G$22,0))</f>
        <v>196.25</v>
      </c>
      <c r="R43" s="12">
        <f t="shared" si="1"/>
        <v>134.75</v>
      </c>
      <c r="S43" s="12">
        <f>IF($A43="","",IF($R43&lt;=0,1,1+$R43/SUMIF($R$4:$R$923,"&gt;0",$R$4:$R$923)*(Settings!$B$5*(Settings!$B$6-Settings!$B$7))))</f>
        <v>17.63765295</v>
      </c>
      <c r="T43" s="12">
        <f t="array" ref="T43">IF($A43="","",XLOOKUP($F43,Settings!$I$15:$I$20,Settings!$J$15:$J$20,1))</f>
        <v>1.05</v>
      </c>
      <c r="U43" s="12">
        <f>IF($A43="","",1+(($G43-5)/5)*Settings!$J$8)</f>
        <v>1</v>
      </c>
      <c r="V43" s="12">
        <f>IF($A43="","",1+(($H43-5)/5)*Settings!$J$9)</f>
        <v>1.06</v>
      </c>
      <c r="W43" s="12">
        <f t="array" ref="W43">IF($A43="","",XLOOKUP($J43,Lists!$C$3:$C$7,Lists!$D$3:$D$7,1))</f>
        <v>1</v>
      </c>
      <c r="X43" s="12">
        <f>IF($A43="","",IF($I43="Yes",Settings!$J$10,1))</f>
        <v>1</v>
      </c>
      <c r="Y43" s="12">
        <f t="shared" si="2"/>
        <v>20</v>
      </c>
      <c r="Z43" s="12">
        <f>IF($A43="","",IFERROR(ROUND(AVERAGEIFS('Historical Drafts'!$G$4:$G$300,'Historical Drafts'!$D$4:$D$300,$E43,'Historical Drafts'!$J$4:$J$300,"&gt;="&amp;$L43*0.85,'Historical Drafts'!$J$4:$J$300,"&lt;="&amp;$L43*1.15),0),$Y43))</f>
        <v>8</v>
      </c>
      <c r="AA43" s="12" t="str">
        <f>IF($A43="","",IF(COUNTIF('Auction Log'!$B$3:$B$300,$A43)&gt;0,"Sold","Available"))</f>
        <v>Available</v>
      </c>
      <c r="AB43" s="12" t="str">
        <f t="array" ref="AB43">IF($A43="","",IFERROR(XLOOKUP($A43,'Auction Log'!$B$3:$B$300,'Auction Log'!$G$3:$G$300,""),""))</f>
        <v/>
      </c>
      <c r="AC43" s="12" t="str">
        <f t="array" ref="AC43">IF($A43="","",IFERROR(XLOOKUP($A43,'Auction Log'!$B$3:$B$300,'Auction Log'!$F$3:$F$300,""),""))</f>
        <v/>
      </c>
      <c r="AD43" s="12">
        <f t="array" ref="AD43">IF($A43="","",ROUND($Y43*XLOOKUP($F43,Settings!$I$15:$I$20,Settings!$K$15:$K$20,0.4),0))</f>
        <v>8</v>
      </c>
      <c r="AE43" s="12">
        <f t="array" ref="AE43">IF($A43="","",ROUND($Y43*XLOOKUP($F43,Settings!$I$15:$I$20,Settings!$L$15:$L$20,0.8),0))</f>
        <v>16</v>
      </c>
      <c r="AF43" s="12">
        <f t="array" ref="AF43">IF($A43="","",ROUND($Y43*XLOOKUP($F43,Settings!$I$15:$I$20,Settings!$M$15:$M$20,1),0))</f>
        <v>20</v>
      </c>
      <c r="AG43" s="12">
        <f t="array" ref="AG43">IF($A43="","",ROUND($Y43*XLOOKUP($F43,Settings!$I$15:$I$20,Settings!$N$15:$N$20,1.1),0))</f>
        <v>21</v>
      </c>
      <c r="AH43" s="12">
        <f t="array" ref="AH43">IF($A43="","",ROUND($Y43*XLOOKUP($F43,Settings!$I$15:$I$20,Settings!$O$15:$O$20,1.1)*Settings!$J$7,0))</f>
        <v>22</v>
      </c>
      <c r="AI43" s="12">
        <f t="array" ref="AI43">IF($A43="","",IF($AA43="Sold","",MIN($AH43,IFERROR(XLOOKUP(Settings!$B$12,Managers!$B$4:$B$15,Managers!$H$4:$H$15),$AH43))))</f>
        <v>22</v>
      </c>
      <c r="AJ43" s="12" t="str">
        <f t="shared" si="3"/>
        <v>Value Target</v>
      </c>
      <c r="AK43" s="12">
        <f t="shared" si="4"/>
        <v>45</v>
      </c>
      <c r="AL43" s="12" t="str">
        <f t="shared" si="5"/>
        <v/>
      </c>
    </row>
    <row r="44" ht="15.75" customHeight="1">
      <c r="A44" s="10" t="s">
        <v>551</v>
      </c>
      <c r="B44" s="10" t="s">
        <v>552</v>
      </c>
      <c r="C44" s="10" t="s">
        <v>453</v>
      </c>
      <c r="D44" s="10" t="s">
        <v>123</v>
      </c>
      <c r="E44" s="10" t="s">
        <v>123</v>
      </c>
      <c r="F44" s="10" t="s">
        <v>102</v>
      </c>
      <c r="G44" s="10">
        <v>5.0</v>
      </c>
      <c r="H44" s="10">
        <v>7.0</v>
      </c>
      <c r="I44" s="10" t="s">
        <v>2140</v>
      </c>
      <c r="J44" s="10" t="s">
        <v>2136</v>
      </c>
      <c r="K44" s="10"/>
      <c r="L44" s="10">
        <v>329.5</v>
      </c>
      <c r="M44" s="10">
        <v>9.41</v>
      </c>
      <c r="N44" s="10"/>
      <c r="O44" s="10"/>
      <c r="P44" s="12">
        <f>IF($A44="","",IFERROR((IF($O44="",0,$O44)*Settings!$J$4+IF($L44="",0,$L44)*Settings!$J$5+IF($N44="",0,$N44)*Settings!$J$6)/(IF($O44="",0,Settings!$J$4)+IF($L44="",0,Settings!$J$5)+IF($N44="",0,Settings!$J$6)),0))</f>
        <v>329.5</v>
      </c>
      <c r="Q44" s="12">
        <f t="array" ref="Q44">IF($A44="","",XLOOKUP($E44,Settings!$A$19:$A$22,Settings!$G$19:$G$22,0))</f>
        <v>203</v>
      </c>
      <c r="R44" s="12">
        <f t="shared" si="1"/>
        <v>126.5</v>
      </c>
      <c r="S44" s="12">
        <f>IF($A44="","",IF($R44&lt;=0,1,1+$R44/SUMIF($R$4:$R$923,"&gt;0",$R$4:$R$923)*(Settings!$B$5*(Settings!$B$6-Settings!$B$7))))</f>
        <v>16.61902113</v>
      </c>
      <c r="T44" s="12">
        <f t="array" ref="T44">IF($A44="","",XLOOKUP($F44,Settings!$I$15:$I$20,Settings!$J$15:$J$20,1))</f>
        <v>1.05</v>
      </c>
      <c r="U44" s="12">
        <f>IF($A44="","",1+(($G44-5)/5)*Settings!$J$8)</f>
        <v>1</v>
      </c>
      <c r="V44" s="12">
        <f>IF($A44="","",1+(($H44-5)/5)*Settings!$J$9)</f>
        <v>1.06</v>
      </c>
      <c r="W44" s="12">
        <f t="array" ref="W44">IF($A44="","",XLOOKUP($J44,Lists!$C$3:$C$7,Lists!$D$3:$D$7,1))</f>
        <v>1</v>
      </c>
      <c r="X44" s="12">
        <f>IF($A44="","",IF($I44="Yes",Settings!$J$10,1))</f>
        <v>1</v>
      </c>
      <c r="Y44" s="12">
        <f t="shared" si="2"/>
        <v>18</v>
      </c>
      <c r="Z44" s="12">
        <f>IF($A44="","",IFERROR(ROUND(AVERAGEIFS('Historical Drafts'!$G$4:$G$300,'Historical Drafts'!$D$4:$D$300,$E44,'Historical Drafts'!$J$4:$J$300,"&gt;="&amp;$L44*0.85,'Historical Drafts'!$J$4:$J$300,"&lt;="&amp;$L44*1.15),0),$Y44))</f>
        <v>31</v>
      </c>
      <c r="AA44" s="12" t="str">
        <f>IF($A44="","",IF(COUNTIF('Auction Log'!$B$3:$B$300,$A44)&gt;0,"Sold","Available"))</f>
        <v>Available</v>
      </c>
      <c r="AB44" s="12" t="str">
        <f t="array" ref="AB44">IF($A44="","",IFERROR(XLOOKUP($A44,'Auction Log'!$B$3:$B$300,'Auction Log'!$G$3:$G$300,""),""))</f>
        <v/>
      </c>
      <c r="AC44" s="12" t="str">
        <f t="array" ref="AC44">IF($A44="","",IFERROR(XLOOKUP($A44,'Auction Log'!$B$3:$B$300,'Auction Log'!$F$3:$F$300,""),""))</f>
        <v/>
      </c>
      <c r="AD44" s="12">
        <f t="array" ref="AD44">IF($A44="","",ROUND($Y44*XLOOKUP($F44,Settings!$I$15:$I$20,Settings!$K$15:$K$20,0.4),0))</f>
        <v>7</v>
      </c>
      <c r="AE44" s="12">
        <f t="array" ref="AE44">IF($A44="","",ROUND($Y44*XLOOKUP($F44,Settings!$I$15:$I$20,Settings!$L$15:$L$20,0.8),0))</f>
        <v>14</v>
      </c>
      <c r="AF44" s="12">
        <f t="array" ref="AF44">IF($A44="","",ROUND($Y44*XLOOKUP($F44,Settings!$I$15:$I$20,Settings!$M$15:$M$20,1),0))</f>
        <v>18</v>
      </c>
      <c r="AG44" s="12">
        <f t="array" ref="AG44">IF($A44="","",ROUND($Y44*XLOOKUP($F44,Settings!$I$15:$I$20,Settings!$N$15:$N$20,1.1),0))</f>
        <v>19</v>
      </c>
      <c r="AH44" s="12">
        <f t="array" ref="AH44">IF($A44="","",ROUND($Y44*XLOOKUP($F44,Settings!$I$15:$I$20,Settings!$O$15:$O$20,1.1)*Settings!$J$7,0))</f>
        <v>20</v>
      </c>
      <c r="AI44" s="12">
        <f t="array" ref="AI44">IF($A44="","",IF($AA44="Sold","",MIN($AH44,IFERROR(XLOOKUP(Settings!$B$12,Managers!$B$4:$B$15,Managers!$H$4:$H$15),$AH44))))</f>
        <v>20</v>
      </c>
      <c r="AJ44" s="12" t="str">
        <f t="shared" si="3"/>
        <v>Budget Drainer</v>
      </c>
      <c r="AK44" s="12">
        <f t="shared" si="4"/>
        <v>56</v>
      </c>
      <c r="AL44" s="12" t="str">
        <f t="shared" si="5"/>
        <v/>
      </c>
    </row>
    <row r="45" ht="15.75" customHeight="1">
      <c r="A45" s="10" t="s">
        <v>471</v>
      </c>
      <c r="B45" s="10" t="s">
        <v>472</v>
      </c>
      <c r="C45" s="10" t="s">
        <v>221</v>
      </c>
      <c r="D45" s="10" t="s">
        <v>118</v>
      </c>
      <c r="E45" s="10" t="s">
        <v>118</v>
      </c>
      <c r="F45" s="10" t="s">
        <v>102</v>
      </c>
      <c r="G45" s="10">
        <v>5.0</v>
      </c>
      <c r="H45" s="10">
        <v>7.0</v>
      </c>
      <c r="I45" s="10" t="s">
        <v>2140</v>
      </c>
      <c r="J45" s="10" t="s">
        <v>2136</v>
      </c>
      <c r="K45" s="10"/>
      <c r="L45" s="10">
        <v>326.25</v>
      </c>
      <c r="M45" s="10">
        <v>9.32</v>
      </c>
      <c r="N45" s="10"/>
      <c r="O45" s="10"/>
      <c r="P45" s="12">
        <f>IF($A45="","",IFERROR((IF($O45="",0,$O45)*Settings!$J$4+IF($L45="",0,$L45)*Settings!$J$5+IF($N45="",0,$N45)*Settings!$J$6)/(IF($O45="",0,Settings!$J$4)+IF($L45="",0,Settings!$J$5)+IF($N45="",0,Settings!$J$6)),0))</f>
        <v>326.25</v>
      </c>
      <c r="Q45" s="12">
        <f t="array" ref="Q45">IF($A45="","",XLOOKUP($E45,Settings!$A$19:$A$22,Settings!$G$19:$G$22,0))</f>
        <v>196.25</v>
      </c>
      <c r="R45" s="12">
        <f t="shared" si="1"/>
        <v>130</v>
      </c>
      <c r="S45" s="12">
        <f>IF($A45="","",IF($R45&lt;=0,1,1+$R45/SUMIF($R$4:$R$923,"&gt;0",$R$4:$R$923)*(Settings!$B$5*(Settings!$B$6-Settings!$B$7))))</f>
        <v>17.05116796</v>
      </c>
      <c r="T45" s="12">
        <f t="array" ref="T45">IF($A45="","",XLOOKUP($F45,Settings!$I$15:$I$20,Settings!$J$15:$J$20,1))</f>
        <v>1.05</v>
      </c>
      <c r="U45" s="12">
        <f>IF($A45="","",1+(($G45-5)/5)*Settings!$J$8)</f>
        <v>1</v>
      </c>
      <c r="V45" s="12">
        <f>IF($A45="","",1+(($H45-5)/5)*Settings!$J$9)</f>
        <v>1.06</v>
      </c>
      <c r="W45" s="12">
        <f t="array" ref="W45">IF($A45="","",XLOOKUP($J45,Lists!$C$3:$C$7,Lists!$D$3:$D$7,1))</f>
        <v>1</v>
      </c>
      <c r="X45" s="12">
        <f>IF($A45="","",IF($I45="Yes",Settings!$J$10,1))</f>
        <v>1</v>
      </c>
      <c r="Y45" s="12">
        <f t="shared" si="2"/>
        <v>19</v>
      </c>
      <c r="Z45" s="12">
        <f>IF($A45="","",IFERROR(ROUND(AVERAGEIFS('Historical Drafts'!$G$4:$G$300,'Historical Drafts'!$D$4:$D$300,$E45,'Historical Drafts'!$J$4:$J$300,"&gt;="&amp;$L45*0.85,'Historical Drafts'!$J$4:$J$300,"&lt;="&amp;$L45*1.15),0),$Y45))</f>
        <v>5</v>
      </c>
      <c r="AA45" s="12" t="str">
        <f>IF($A45="","",IF(COUNTIF('Auction Log'!$B$3:$B$300,$A45)&gt;0,"Sold","Available"))</f>
        <v>Available</v>
      </c>
      <c r="AB45" s="12" t="str">
        <f t="array" ref="AB45">IF($A45="","",IFERROR(XLOOKUP($A45,'Auction Log'!$B$3:$B$300,'Auction Log'!$G$3:$G$300,""),""))</f>
        <v/>
      </c>
      <c r="AC45" s="12" t="str">
        <f t="array" ref="AC45">IF($A45="","",IFERROR(XLOOKUP($A45,'Auction Log'!$B$3:$B$300,'Auction Log'!$F$3:$F$300,""),""))</f>
        <v/>
      </c>
      <c r="AD45" s="12">
        <f t="array" ref="AD45">IF($A45="","",ROUND($Y45*XLOOKUP($F45,Settings!$I$15:$I$20,Settings!$K$15:$K$20,0.4),0))</f>
        <v>8</v>
      </c>
      <c r="AE45" s="12">
        <f t="array" ref="AE45">IF($A45="","",ROUND($Y45*XLOOKUP($F45,Settings!$I$15:$I$20,Settings!$L$15:$L$20,0.8),0))</f>
        <v>15</v>
      </c>
      <c r="AF45" s="12">
        <f t="array" ref="AF45">IF($A45="","",ROUND($Y45*XLOOKUP($F45,Settings!$I$15:$I$20,Settings!$M$15:$M$20,1),0))</f>
        <v>19</v>
      </c>
      <c r="AG45" s="12">
        <f t="array" ref="AG45">IF($A45="","",ROUND($Y45*XLOOKUP($F45,Settings!$I$15:$I$20,Settings!$N$15:$N$20,1.1),0))</f>
        <v>20</v>
      </c>
      <c r="AH45" s="12">
        <f t="array" ref="AH45">IF($A45="","",ROUND($Y45*XLOOKUP($F45,Settings!$I$15:$I$20,Settings!$O$15:$O$20,1.1)*Settings!$J$7,0))</f>
        <v>21</v>
      </c>
      <c r="AI45" s="12">
        <f t="array" ref="AI45">IF($A45="","",IF($AA45="Sold","",MIN($AH45,IFERROR(XLOOKUP(Settings!$B$12,Managers!$B$4:$B$15,Managers!$H$4:$H$15),$AH45))))</f>
        <v>21</v>
      </c>
      <c r="AJ45" s="12" t="str">
        <f t="shared" si="3"/>
        <v>Value Target</v>
      </c>
      <c r="AK45" s="12">
        <f t="shared" si="4"/>
        <v>44</v>
      </c>
      <c r="AL45" s="12" t="str">
        <f t="shared" si="5"/>
        <v/>
      </c>
    </row>
    <row r="46" ht="15.75" customHeight="1">
      <c r="A46" s="10" t="s">
        <v>553</v>
      </c>
      <c r="B46" s="10" t="s">
        <v>554</v>
      </c>
      <c r="C46" s="10" t="s">
        <v>231</v>
      </c>
      <c r="D46" s="10" t="s">
        <v>118</v>
      </c>
      <c r="E46" s="10" t="s">
        <v>118</v>
      </c>
      <c r="F46" s="10" t="s">
        <v>102</v>
      </c>
      <c r="G46" s="10">
        <v>5.0</v>
      </c>
      <c r="H46" s="10">
        <v>7.0</v>
      </c>
      <c r="I46" s="10" t="s">
        <v>2140</v>
      </c>
      <c r="J46" s="10" t="s">
        <v>2136</v>
      </c>
      <c r="K46" s="10"/>
      <c r="L46" s="10">
        <v>326.25</v>
      </c>
      <c r="M46" s="10">
        <v>9.06</v>
      </c>
      <c r="N46" s="10"/>
      <c r="O46" s="10"/>
      <c r="P46" s="12">
        <f>IF($A46="","",IFERROR((IF($O46="",0,$O46)*Settings!$J$4+IF($L46="",0,$L46)*Settings!$J$5+IF($N46="",0,$N46)*Settings!$J$6)/(IF($O46="",0,Settings!$J$4)+IF($L46="",0,Settings!$J$5)+IF($N46="",0,Settings!$J$6)),0))</f>
        <v>326.25</v>
      </c>
      <c r="Q46" s="12">
        <f t="array" ref="Q46">IF($A46="","",XLOOKUP($E46,Settings!$A$19:$A$22,Settings!$G$19:$G$22,0))</f>
        <v>196.25</v>
      </c>
      <c r="R46" s="12">
        <f t="shared" si="1"/>
        <v>130</v>
      </c>
      <c r="S46" s="12">
        <f>IF($A46="","",IF($R46&lt;=0,1,1+$R46/SUMIF($R$4:$R$923,"&gt;0",$R$4:$R$923)*(Settings!$B$5*(Settings!$B$6-Settings!$B$7))))</f>
        <v>17.05116796</v>
      </c>
      <c r="T46" s="12">
        <f t="array" ref="T46">IF($A46="","",XLOOKUP($F46,Settings!$I$15:$I$20,Settings!$J$15:$J$20,1))</f>
        <v>1.05</v>
      </c>
      <c r="U46" s="12">
        <f>IF($A46="","",1+(($G46-5)/5)*Settings!$J$8)</f>
        <v>1</v>
      </c>
      <c r="V46" s="12">
        <f>IF($A46="","",1+(($H46-5)/5)*Settings!$J$9)</f>
        <v>1.06</v>
      </c>
      <c r="W46" s="12">
        <f t="array" ref="W46">IF($A46="","",XLOOKUP($J46,Lists!$C$3:$C$7,Lists!$D$3:$D$7,1))</f>
        <v>1</v>
      </c>
      <c r="X46" s="12">
        <f>IF($A46="","",IF($I46="Yes",Settings!$J$10,1))</f>
        <v>1</v>
      </c>
      <c r="Y46" s="12">
        <f t="shared" si="2"/>
        <v>19</v>
      </c>
      <c r="Z46" s="12">
        <f>IF($A46="","",IFERROR(ROUND(AVERAGEIFS('Historical Drafts'!$G$4:$G$300,'Historical Drafts'!$D$4:$D$300,$E46,'Historical Drafts'!$J$4:$J$300,"&gt;="&amp;$L46*0.85,'Historical Drafts'!$J$4:$J$300,"&lt;="&amp;$L46*1.15),0),$Y46))</f>
        <v>5</v>
      </c>
      <c r="AA46" s="12" t="str">
        <f>IF($A46="","",IF(COUNTIF('Auction Log'!$B$3:$B$300,$A46)&gt;0,"Sold","Available"))</f>
        <v>Available</v>
      </c>
      <c r="AB46" s="12" t="str">
        <f t="array" ref="AB46">IF($A46="","",IFERROR(XLOOKUP($A46,'Auction Log'!$B$3:$B$300,'Auction Log'!$G$3:$G$300,""),""))</f>
        <v/>
      </c>
      <c r="AC46" s="12" t="str">
        <f t="array" ref="AC46">IF($A46="","",IFERROR(XLOOKUP($A46,'Auction Log'!$B$3:$B$300,'Auction Log'!$F$3:$F$300,""),""))</f>
        <v/>
      </c>
      <c r="AD46" s="12">
        <f t="array" ref="AD46">IF($A46="","",ROUND($Y46*XLOOKUP($F46,Settings!$I$15:$I$20,Settings!$K$15:$K$20,0.4),0))</f>
        <v>8</v>
      </c>
      <c r="AE46" s="12">
        <f t="array" ref="AE46">IF($A46="","",ROUND($Y46*XLOOKUP($F46,Settings!$I$15:$I$20,Settings!$L$15:$L$20,0.8),0))</f>
        <v>15</v>
      </c>
      <c r="AF46" s="12">
        <f t="array" ref="AF46">IF($A46="","",ROUND($Y46*XLOOKUP($F46,Settings!$I$15:$I$20,Settings!$M$15:$M$20,1),0))</f>
        <v>19</v>
      </c>
      <c r="AG46" s="12">
        <f t="array" ref="AG46">IF($A46="","",ROUND($Y46*XLOOKUP($F46,Settings!$I$15:$I$20,Settings!$N$15:$N$20,1.1),0))</f>
        <v>20</v>
      </c>
      <c r="AH46" s="12">
        <f t="array" ref="AH46">IF($A46="","",ROUND($Y46*XLOOKUP($F46,Settings!$I$15:$I$20,Settings!$O$15:$O$20,1.1)*Settings!$J$7,0))</f>
        <v>21</v>
      </c>
      <c r="AI46" s="12">
        <f t="array" ref="AI46">IF($A46="","",IF($AA46="Sold","",MIN($AH46,IFERROR(XLOOKUP(Settings!$B$12,Managers!$B$4:$B$15,Managers!$H$4:$H$15),$AH46))))</f>
        <v>21</v>
      </c>
      <c r="AJ46" s="12" t="str">
        <f t="shared" si="3"/>
        <v>Value Target</v>
      </c>
      <c r="AK46" s="12">
        <f t="shared" si="4"/>
        <v>44</v>
      </c>
      <c r="AL46" s="12" t="str">
        <f t="shared" si="5"/>
        <v/>
      </c>
    </row>
    <row r="47" ht="15.75" customHeight="1">
      <c r="A47" s="10" t="s">
        <v>255</v>
      </c>
      <c r="B47" s="10" t="s">
        <v>256</v>
      </c>
      <c r="C47" s="10" t="s">
        <v>257</v>
      </c>
      <c r="D47" s="10" t="s">
        <v>121</v>
      </c>
      <c r="E47" s="10" t="s">
        <v>121</v>
      </c>
      <c r="F47" s="10" t="s">
        <v>102</v>
      </c>
      <c r="G47" s="10">
        <v>5.0</v>
      </c>
      <c r="H47" s="10">
        <v>7.0</v>
      </c>
      <c r="I47" s="10" t="s">
        <v>2140</v>
      </c>
      <c r="J47" s="10" t="s">
        <v>2136</v>
      </c>
      <c r="K47" s="10"/>
      <c r="L47" s="10">
        <v>325.5</v>
      </c>
      <c r="M47" s="10">
        <v>10.17</v>
      </c>
      <c r="N47" s="10"/>
      <c r="O47" s="10"/>
      <c r="P47" s="12">
        <f>IF($A47="","",IFERROR((IF($O47="",0,$O47)*Settings!$J$4+IF($L47="",0,$L47)*Settings!$J$5+IF($N47="",0,$N47)*Settings!$J$6)/(IF($O47="",0,Settings!$J$4)+IF($L47="",0,Settings!$J$5)+IF($N47="",0,Settings!$J$6)),0))</f>
        <v>325.5</v>
      </c>
      <c r="Q47" s="12">
        <f t="array" ref="Q47">IF($A47="","",XLOOKUP($E47,Settings!$A$19:$A$22,Settings!$G$19:$G$22,0))</f>
        <v>206</v>
      </c>
      <c r="R47" s="12">
        <f t="shared" si="1"/>
        <v>119.5</v>
      </c>
      <c r="S47" s="12">
        <f>IF($A47="","",IF($R47&lt;=0,1,1+$R47/SUMIF($R$4:$R$923,"&gt;0",$R$4:$R$923)*(Settings!$B$5*(Settings!$B$6-Settings!$B$7))))</f>
        <v>15.75472747</v>
      </c>
      <c r="T47" s="12">
        <f t="array" ref="T47">IF($A47="","",XLOOKUP($F47,Settings!$I$15:$I$20,Settings!$J$15:$J$20,1))</f>
        <v>1.05</v>
      </c>
      <c r="U47" s="12">
        <f>IF($A47="","",1+(($G47-5)/5)*Settings!$J$8)</f>
        <v>1</v>
      </c>
      <c r="V47" s="12">
        <f>IF($A47="","",1+(($H47-5)/5)*Settings!$J$9)</f>
        <v>1.06</v>
      </c>
      <c r="W47" s="12">
        <f t="array" ref="W47">IF($A47="","",XLOOKUP($J47,Lists!$C$3:$C$7,Lists!$D$3:$D$7,1))</f>
        <v>1</v>
      </c>
      <c r="X47" s="12">
        <f>IF($A47="","",IF($I47="Yes",Settings!$J$10,1))</f>
        <v>1</v>
      </c>
      <c r="Y47" s="12">
        <f t="shared" si="2"/>
        <v>18</v>
      </c>
      <c r="Z47" s="12">
        <f>IF($A47="","",IFERROR(ROUND(AVERAGEIFS('Historical Drafts'!$G$4:$G$300,'Historical Drafts'!$D$4:$D$300,$E47,'Historical Drafts'!$J$4:$J$300,"&gt;="&amp;$L47*0.85,'Historical Drafts'!$J$4:$J$300,"&lt;="&amp;$L47*1.15),0),$Y47))</f>
        <v>15</v>
      </c>
      <c r="AA47" s="12" t="str">
        <f>IF($A47="","",IF(COUNTIF('Auction Log'!$B$3:$B$300,$A47)&gt;0,"Sold","Available"))</f>
        <v>Available</v>
      </c>
      <c r="AB47" s="12" t="str">
        <f t="array" ref="AB47">IF($A47="","",IFERROR(XLOOKUP($A47,'Auction Log'!$B$3:$B$300,'Auction Log'!$G$3:$G$300,""),""))</f>
        <v/>
      </c>
      <c r="AC47" s="12" t="str">
        <f t="array" ref="AC47">IF($A47="","",IFERROR(XLOOKUP($A47,'Auction Log'!$B$3:$B$300,'Auction Log'!$F$3:$F$300,""),""))</f>
        <v/>
      </c>
      <c r="AD47" s="12">
        <f t="array" ref="AD47">IF($A47="","",ROUND($Y47*XLOOKUP($F47,Settings!$I$15:$I$20,Settings!$K$15:$K$20,0.4),0))</f>
        <v>7</v>
      </c>
      <c r="AE47" s="12">
        <f t="array" ref="AE47">IF($A47="","",ROUND($Y47*XLOOKUP($F47,Settings!$I$15:$I$20,Settings!$L$15:$L$20,0.8),0))</f>
        <v>14</v>
      </c>
      <c r="AF47" s="12">
        <f t="array" ref="AF47">IF($A47="","",ROUND($Y47*XLOOKUP($F47,Settings!$I$15:$I$20,Settings!$M$15:$M$20,1),0))</f>
        <v>18</v>
      </c>
      <c r="AG47" s="12">
        <f t="array" ref="AG47">IF($A47="","",ROUND($Y47*XLOOKUP($F47,Settings!$I$15:$I$20,Settings!$N$15:$N$20,1.1),0))</f>
        <v>19</v>
      </c>
      <c r="AH47" s="12">
        <f t="array" ref="AH47">IF($A47="","",ROUND($Y47*XLOOKUP($F47,Settings!$I$15:$I$20,Settings!$O$15:$O$20,1.1)*Settings!$J$7,0))</f>
        <v>20</v>
      </c>
      <c r="AI47" s="12">
        <f t="array" ref="AI47">IF($A47="","",IF($AA47="Sold","",MIN($AH47,IFERROR(XLOOKUP(Settings!$B$12,Managers!$B$4:$B$15,Managers!$H$4:$H$15),$AH47))))</f>
        <v>20</v>
      </c>
      <c r="AJ47" s="12" t="str">
        <f t="shared" si="3"/>
        <v>Value Target</v>
      </c>
      <c r="AK47" s="12">
        <f t="shared" si="4"/>
        <v>43</v>
      </c>
      <c r="AL47" s="12" t="str">
        <f t="shared" si="5"/>
        <v/>
      </c>
    </row>
    <row r="48" ht="15.75" customHeight="1">
      <c r="A48" s="10" t="s">
        <v>181</v>
      </c>
      <c r="B48" s="10" t="s">
        <v>182</v>
      </c>
      <c r="C48" s="10" t="s">
        <v>177</v>
      </c>
      <c r="D48" s="10" t="s">
        <v>121</v>
      </c>
      <c r="E48" s="10" t="s">
        <v>121</v>
      </c>
      <c r="F48" s="10" t="s">
        <v>102</v>
      </c>
      <c r="G48" s="10">
        <v>5.0</v>
      </c>
      <c r="H48" s="10">
        <v>7.0</v>
      </c>
      <c r="I48" s="10" t="s">
        <v>2140</v>
      </c>
      <c r="J48" s="10" t="s">
        <v>2136</v>
      </c>
      <c r="K48" s="10"/>
      <c r="L48" s="10">
        <v>325.5</v>
      </c>
      <c r="M48" s="10">
        <v>9.86</v>
      </c>
      <c r="N48" s="10"/>
      <c r="O48" s="10"/>
      <c r="P48" s="12">
        <f>IF($A48="","",IFERROR((IF($O48="",0,$O48)*Settings!$J$4+IF($L48="",0,$L48)*Settings!$J$5+IF($N48="",0,$N48)*Settings!$J$6)/(IF($O48="",0,Settings!$J$4)+IF($L48="",0,Settings!$J$5)+IF($N48="",0,Settings!$J$6)),0))</f>
        <v>325.5</v>
      </c>
      <c r="Q48" s="12">
        <f t="array" ref="Q48">IF($A48="","",XLOOKUP($E48,Settings!$A$19:$A$22,Settings!$G$19:$G$22,0))</f>
        <v>206</v>
      </c>
      <c r="R48" s="12">
        <f t="shared" si="1"/>
        <v>119.5</v>
      </c>
      <c r="S48" s="12">
        <f>IF($A48="","",IF($R48&lt;=0,1,1+$R48/SUMIF($R$4:$R$923,"&gt;0",$R$4:$R$923)*(Settings!$B$5*(Settings!$B$6-Settings!$B$7))))</f>
        <v>15.75472747</v>
      </c>
      <c r="T48" s="12">
        <f t="array" ref="T48">IF($A48="","",XLOOKUP($F48,Settings!$I$15:$I$20,Settings!$J$15:$J$20,1))</f>
        <v>1.05</v>
      </c>
      <c r="U48" s="12">
        <f>IF($A48="","",1+(($G48-5)/5)*Settings!$J$8)</f>
        <v>1</v>
      </c>
      <c r="V48" s="12">
        <f>IF($A48="","",1+(($H48-5)/5)*Settings!$J$9)</f>
        <v>1.06</v>
      </c>
      <c r="W48" s="12">
        <f t="array" ref="W48">IF($A48="","",XLOOKUP($J48,Lists!$C$3:$C$7,Lists!$D$3:$D$7,1))</f>
        <v>1</v>
      </c>
      <c r="X48" s="12">
        <f>IF($A48="","",IF($I48="Yes",Settings!$J$10,1))</f>
        <v>1</v>
      </c>
      <c r="Y48" s="12">
        <f t="shared" si="2"/>
        <v>18</v>
      </c>
      <c r="Z48" s="12">
        <f>IF($A48="","",IFERROR(ROUND(AVERAGEIFS('Historical Drafts'!$G$4:$G$300,'Historical Drafts'!$D$4:$D$300,$E48,'Historical Drafts'!$J$4:$J$300,"&gt;="&amp;$L48*0.85,'Historical Drafts'!$J$4:$J$300,"&lt;="&amp;$L48*1.15),0),$Y48))</f>
        <v>15</v>
      </c>
      <c r="AA48" s="12" t="str">
        <f>IF($A48="","",IF(COUNTIF('Auction Log'!$B$3:$B$300,$A48)&gt;0,"Sold","Available"))</f>
        <v>Available</v>
      </c>
      <c r="AB48" s="12" t="str">
        <f t="array" ref="AB48">IF($A48="","",IFERROR(XLOOKUP($A48,'Auction Log'!$B$3:$B$300,'Auction Log'!$G$3:$G$300,""),""))</f>
        <v/>
      </c>
      <c r="AC48" s="12" t="str">
        <f t="array" ref="AC48">IF($A48="","",IFERROR(XLOOKUP($A48,'Auction Log'!$B$3:$B$300,'Auction Log'!$F$3:$F$300,""),""))</f>
        <v/>
      </c>
      <c r="AD48" s="12">
        <f t="array" ref="AD48">IF($A48="","",ROUND($Y48*XLOOKUP($F48,Settings!$I$15:$I$20,Settings!$K$15:$K$20,0.4),0))</f>
        <v>7</v>
      </c>
      <c r="AE48" s="12">
        <f t="array" ref="AE48">IF($A48="","",ROUND($Y48*XLOOKUP($F48,Settings!$I$15:$I$20,Settings!$L$15:$L$20,0.8),0))</f>
        <v>14</v>
      </c>
      <c r="AF48" s="12">
        <f t="array" ref="AF48">IF($A48="","",ROUND($Y48*XLOOKUP($F48,Settings!$I$15:$I$20,Settings!$M$15:$M$20,1),0))</f>
        <v>18</v>
      </c>
      <c r="AG48" s="12">
        <f t="array" ref="AG48">IF($A48="","",ROUND($Y48*XLOOKUP($F48,Settings!$I$15:$I$20,Settings!$N$15:$N$20,1.1),0))</f>
        <v>19</v>
      </c>
      <c r="AH48" s="12">
        <f t="array" ref="AH48">IF($A48="","",ROUND($Y48*XLOOKUP($F48,Settings!$I$15:$I$20,Settings!$O$15:$O$20,1.1)*Settings!$J$7,0))</f>
        <v>20</v>
      </c>
      <c r="AI48" s="12">
        <f t="array" ref="AI48">IF($A48="","",IF($AA48="Sold","",MIN($AH48,IFERROR(XLOOKUP(Settings!$B$12,Managers!$B$4:$B$15,Managers!$H$4:$H$15),$AH48))))</f>
        <v>20</v>
      </c>
      <c r="AJ48" s="12" t="str">
        <f t="shared" si="3"/>
        <v>Value Target</v>
      </c>
      <c r="AK48" s="12">
        <f t="shared" si="4"/>
        <v>43</v>
      </c>
      <c r="AL48" s="12" t="str">
        <f t="shared" si="5"/>
        <v/>
      </c>
    </row>
    <row r="49" ht="15.75" customHeight="1">
      <c r="A49" s="10" t="s">
        <v>251</v>
      </c>
      <c r="B49" s="10" t="s">
        <v>252</v>
      </c>
      <c r="C49" s="10" t="s">
        <v>243</v>
      </c>
      <c r="D49" s="10" t="s">
        <v>118</v>
      </c>
      <c r="E49" s="10" t="s">
        <v>118</v>
      </c>
      <c r="F49" s="10" t="s">
        <v>102</v>
      </c>
      <c r="G49" s="10">
        <v>5.0</v>
      </c>
      <c r="H49" s="10">
        <v>7.0</v>
      </c>
      <c r="I49" s="10" t="s">
        <v>2140</v>
      </c>
      <c r="J49" s="10" t="s">
        <v>2136</v>
      </c>
      <c r="K49" s="10"/>
      <c r="L49" s="10">
        <v>325.0</v>
      </c>
      <c r="M49" s="10">
        <v>9.56</v>
      </c>
      <c r="N49" s="10"/>
      <c r="O49" s="10"/>
      <c r="P49" s="12">
        <f>IF($A49="","",IFERROR((IF($O49="",0,$O49)*Settings!$J$4+IF($L49="",0,$L49)*Settings!$J$5+IF($N49="",0,$N49)*Settings!$J$6)/(IF($O49="",0,Settings!$J$4)+IF($L49="",0,Settings!$J$5)+IF($N49="",0,Settings!$J$6)),0))</f>
        <v>325</v>
      </c>
      <c r="Q49" s="12">
        <f t="array" ref="Q49">IF($A49="","",XLOOKUP($E49,Settings!$A$19:$A$22,Settings!$G$19:$G$22,0))</f>
        <v>196.25</v>
      </c>
      <c r="R49" s="12">
        <f t="shared" si="1"/>
        <v>128.75</v>
      </c>
      <c r="S49" s="12">
        <f>IF($A49="","",IF($R49&lt;=0,1,1+$R49/SUMIF($R$4:$R$923,"&gt;0",$R$4:$R$923)*(Settings!$B$5*(Settings!$B$6-Settings!$B$7))))</f>
        <v>16.89682981</v>
      </c>
      <c r="T49" s="12">
        <f t="array" ref="T49">IF($A49="","",XLOOKUP($F49,Settings!$I$15:$I$20,Settings!$J$15:$J$20,1))</f>
        <v>1.05</v>
      </c>
      <c r="U49" s="12">
        <f>IF($A49="","",1+(($G49-5)/5)*Settings!$J$8)</f>
        <v>1</v>
      </c>
      <c r="V49" s="12">
        <f>IF($A49="","",1+(($H49-5)/5)*Settings!$J$9)</f>
        <v>1.06</v>
      </c>
      <c r="W49" s="12">
        <f t="array" ref="W49">IF($A49="","",XLOOKUP($J49,Lists!$C$3:$C$7,Lists!$D$3:$D$7,1))</f>
        <v>1</v>
      </c>
      <c r="X49" s="12">
        <f>IF($A49="","",IF($I49="Yes",Settings!$J$10,1))</f>
        <v>1</v>
      </c>
      <c r="Y49" s="12">
        <f t="shared" si="2"/>
        <v>19</v>
      </c>
      <c r="Z49" s="12">
        <f>IF($A49="","",IFERROR(ROUND(AVERAGEIFS('Historical Drafts'!$G$4:$G$300,'Historical Drafts'!$D$4:$D$300,$E49,'Historical Drafts'!$J$4:$J$300,"&gt;="&amp;$L49*0.85,'Historical Drafts'!$J$4:$J$300,"&lt;="&amp;$L49*1.15),0),$Y49))</f>
        <v>5</v>
      </c>
      <c r="AA49" s="12" t="str">
        <f>IF($A49="","",IF(COUNTIF('Auction Log'!$B$3:$B$300,$A49)&gt;0,"Sold","Available"))</f>
        <v>Available</v>
      </c>
      <c r="AB49" s="12" t="str">
        <f t="array" ref="AB49">IF($A49="","",IFERROR(XLOOKUP($A49,'Auction Log'!$B$3:$B$300,'Auction Log'!$G$3:$G$300,""),""))</f>
        <v/>
      </c>
      <c r="AC49" s="12" t="str">
        <f t="array" ref="AC49">IF($A49="","",IFERROR(XLOOKUP($A49,'Auction Log'!$B$3:$B$300,'Auction Log'!$F$3:$F$300,""),""))</f>
        <v/>
      </c>
      <c r="AD49" s="12">
        <f t="array" ref="AD49">IF($A49="","",ROUND($Y49*XLOOKUP($F49,Settings!$I$15:$I$20,Settings!$K$15:$K$20,0.4),0))</f>
        <v>8</v>
      </c>
      <c r="AE49" s="12">
        <f t="array" ref="AE49">IF($A49="","",ROUND($Y49*XLOOKUP($F49,Settings!$I$15:$I$20,Settings!$L$15:$L$20,0.8),0))</f>
        <v>15</v>
      </c>
      <c r="AF49" s="12">
        <f t="array" ref="AF49">IF($A49="","",ROUND($Y49*XLOOKUP($F49,Settings!$I$15:$I$20,Settings!$M$15:$M$20,1),0))</f>
        <v>19</v>
      </c>
      <c r="AG49" s="12">
        <f t="array" ref="AG49">IF($A49="","",ROUND($Y49*XLOOKUP($F49,Settings!$I$15:$I$20,Settings!$N$15:$N$20,1.1),0))</f>
        <v>20</v>
      </c>
      <c r="AH49" s="12">
        <f t="array" ref="AH49">IF($A49="","",ROUND($Y49*XLOOKUP($F49,Settings!$I$15:$I$20,Settings!$O$15:$O$20,1.1)*Settings!$J$7,0))</f>
        <v>21</v>
      </c>
      <c r="AI49" s="12">
        <f t="array" ref="AI49">IF($A49="","",IF($AA49="Sold","",MIN($AH49,IFERROR(XLOOKUP(Settings!$B$12,Managers!$B$4:$B$15,Managers!$H$4:$H$15),$AH49))))</f>
        <v>21</v>
      </c>
      <c r="AJ49" s="12" t="str">
        <f t="shared" si="3"/>
        <v>Value Target</v>
      </c>
      <c r="AK49" s="12">
        <f t="shared" si="4"/>
        <v>44</v>
      </c>
      <c r="AL49" s="12" t="str">
        <f t="shared" si="5"/>
        <v/>
      </c>
    </row>
    <row r="50" ht="15.75" customHeight="1">
      <c r="A50" s="10" t="s">
        <v>299</v>
      </c>
      <c r="B50" s="10" t="s">
        <v>555</v>
      </c>
      <c r="C50" s="10" t="s">
        <v>188</v>
      </c>
      <c r="D50" s="10" t="s">
        <v>123</v>
      </c>
      <c r="E50" s="10" t="s">
        <v>123</v>
      </c>
      <c r="F50" s="10" t="s">
        <v>102</v>
      </c>
      <c r="G50" s="10">
        <v>5.0</v>
      </c>
      <c r="H50" s="10">
        <v>7.0</v>
      </c>
      <c r="I50" s="10" t="s">
        <v>2140</v>
      </c>
      <c r="J50" s="10" t="s">
        <v>2136</v>
      </c>
      <c r="K50" s="10"/>
      <c r="L50" s="10">
        <v>318.5</v>
      </c>
      <c r="M50" s="10">
        <v>9.37</v>
      </c>
      <c r="N50" s="10"/>
      <c r="O50" s="10"/>
      <c r="P50" s="12">
        <f>IF($A50="","",IFERROR((IF($O50="",0,$O50)*Settings!$J$4+IF($L50="",0,$L50)*Settings!$J$5+IF($N50="",0,$N50)*Settings!$J$6)/(IF($O50="",0,Settings!$J$4)+IF($L50="",0,Settings!$J$5)+IF($N50="",0,Settings!$J$6)),0))</f>
        <v>318.5</v>
      </c>
      <c r="Q50" s="12">
        <f t="array" ref="Q50">IF($A50="","",XLOOKUP($E50,Settings!$A$19:$A$22,Settings!$G$19:$G$22,0))</f>
        <v>203</v>
      </c>
      <c r="R50" s="12">
        <f t="shared" si="1"/>
        <v>115.5</v>
      </c>
      <c r="S50" s="12">
        <f>IF($A50="","",IF($R50&lt;=0,1,1+$R50/SUMIF($R$4:$R$923,"&gt;0",$R$4:$R$923)*(Settings!$B$5*(Settings!$B$6-Settings!$B$7))))</f>
        <v>15.26084538</v>
      </c>
      <c r="T50" s="12">
        <f t="array" ref="T50">IF($A50="","",XLOOKUP($F50,Settings!$I$15:$I$20,Settings!$J$15:$J$20,1))</f>
        <v>1.05</v>
      </c>
      <c r="U50" s="12">
        <f>IF($A50="","",1+(($G50-5)/5)*Settings!$J$8)</f>
        <v>1</v>
      </c>
      <c r="V50" s="12">
        <f>IF($A50="","",1+(($H50-5)/5)*Settings!$J$9)</f>
        <v>1.06</v>
      </c>
      <c r="W50" s="12">
        <f t="array" ref="W50">IF($A50="","",XLOOKUP($J50,Lists!$C$3:$C$7,Lists!$D$3:$D$7,1))</f>
        <v>1</v>
      </c>
      <c r="X50" s="12">
        <f>IF($A50="","",IF($I50="Yes",Settings!$J$10,1))</f>
        <v>1</v>
      </c>
      <c r="Y50" s="12">
        <f t="shared" si="2"/>
        <v>17</v>
      </c>
      <c r="Z50" s="12">
        <f>IF($A50="","",IFERROR(ROUND(AVERAGEIFS('Historical Drafts'!$G$4:$G$300,'Historical Drafts'!$D$4:$D$300,$E50,'Historical Drafts'!$J$4:$J$300,"&gt;="&amp;$L50*0.85,'Historical Drafts'!$J$4:$J$300,"&lt;="&amp;$L50*1.15),0),$Y50))</f>
        <v>32</v>
      </c>
      <c r="AA50" s="12" t="str">
        <f>IF($A50="","",IF(COUNTIF('Auction Log'!$B$3:$B$300,$A50)&gt;0,"Sold","Available"))</f>
        <v>Available</v>
      </c>
      <c r="AB50" s="12" t="str">
        <f t="array" ref="AB50">IF($A50="","",IFERROR(XLOOKUP($A50,'Auction Log'!$B$3:$B$300,'Auction Log'!$G$3:$G$300,""),""))</f>
        <v/>
      </c>
      <c r="AC50" s="12" t="str">
        <f t="array" ref="AC50">IF($A50="","",IFERROR(XLOOKUP($A50,'Auction Log'!$B$3:$B$300,'Auction Log'!$F$3:$F$300,""),""))</f>
        <v/>
      </c>
      <c r="AD50" s="12">
        <f t="array" ref="AD50">IF($A50="","",ROUND($Y50*XLOOKUP($F50,Settings!$I$15:$I$20,Settings!$K$15:$K$20,0.4),0))</f>
        <v>7</v>
      </c>
      <c r="AE50" s="12">
        <f t="array" ref="AE50">IF($A50="","",ROUND($Y50*XLOOKUP($F50,Settings!$I$15:$I$20,Settings!$L$15:$L$20,0.8),0))</f>
        <v>13</v>
      </c>
      <c r="AF50" s="12">
        <f t="array" ref="AF50">IF($A50="","",ROUND($Y50*XLOOKUP($F50,Settings!$I$15:$I$20,Settings!$M$15:$M$20,1),0))</f>
        <v>17</v>
      </c>
      <c r="AG50" s="12">
        <f t="array" ref="AG50">IF($A50="","",ROUND($Y50*XLOOKUP($F50,Settings!$I$15:$I$20,Settings!$N$15:$N$20,1.1),0))</f>
        <v>18</v>
      </c>
      <c r="AH50" s="12">
        <f t="array" ref="AH50">IF($A50="","",ROUND($Y50*XLOOKUP($F50,Settings!$I$15:$I$20,Settings!$O$15:$O$20,1.1)*Settings!$J$7,0))</f>
        <v>19</v>
      </c>
      <c r="AI50" s="12">
        <f t="array" ref="AI50">IF($A50="","",IF($AA50="Sold","",MIN($AH50,IFERROR(XLOOKUP(Settings!$B$12,Managers!$B$4:$B$15,Managers!$H$4:$H$15),$AH50))))</f>
        <v>19</v>
      </c>
      <c r="AJ50" s="12" t="str">
        <f t="shared" si="3"/>
        <v>Budget Drainer</v>
      </c>
      <c r="AK50" s="12">
        <f t="shared" si="4"/>
        <v>57</v>
      </c>
      <c r="AL50" s="12" t="str">
        <f t="shared" si="5"/>
        <v/>
      </c>
    </row>
    <row r="51" ht="15.75" customHeight="1">
      <c r="A51" s="10" t="s">
        <v>556</v>
      </c>
      <c r="B51" s="10" t="s">
        <v>557</v>
      </c>
      <c r="C51" s="10" t="s">
        <v>327</v>
      </c>
      <c r="D51" s="10" t="s">
        <v>115</v>
      </c>
      <c r="E51" s="10" t="s">
        <v>115</v>
      </c>
      <c r="F51" s="10" t="s">
        <v>102</v>
      </c>
      <c r="G51" s="10">
        <v>5.0</v>
      </c>
      <c r="H51" s="10">
        <v>7.0</v>
      </c>
      <c r="I51" s="10" t="s">
        <v>2140</v>
      </c>
      <c r="J51" s="10" t="s">
        <v>2136</v>
      </c>
      <c r="K51" s="10"/>
      <c r="L51" s="10">
        <v>316.75</v>
      </c>
      <c r="M51" s="10">
        <v>8.56</v>
      </c>
      <c r="N51" s="10"/>
      <c r="O51" s="10"/>
      <c r="P51" s="12">
        <f>IF($A51="","",IFERROR((IF($O51="",0,$O51)*Settings!$J$4+IF($L51="",0,$L51)*Settings!$J$5+IF($N51="",0,$N51)*Settings!$J$6)/(IF($O51="",0,Settings!$J$4)+IF($L51="",0,Settings!$J$5)+IF($N51="",0,Settings!$J$6)),0))</f>
        <v>316.75</v>
      </c>
      <c r="Q51" s="12">
        <f t="array" ref="Q51">IF($A51="","",XLOOKUP($E51,Settings!$A$19:$A$22,Settings!$G$19:$G$22,0))</f>
        <v>249.25</v>
      </c>
      <c r="R51" s="12">
        <f t="shared" si="1"/>
        <v>67.5</v>
      </c>
      <c r="S51" s="12">
        <f>IF($A51="","",IF($R51&lt;=0,1,1+$R51/SUMIF($R$4:$R$923,"&gt;0",$R$4:$R$923)*(Settings!$B$5*(Settings!$B$6-Settings!$B$7))))</f>
        <v>9.334260289</v>
      </c>
      <c r="T51" s="12">
        <f t="array" ref="T51">IF($A51="","",XLOOKUP($F51,Settings!$I$15:$I$20,Settings!$J$15:$J$20,1))</f>
        <v>1.05</v>
      </c>
      <c r="U51" s="12">
        <f>IF($A51="","",1+(($G51-5)/5)*Settings!$J$8)</f>
        <v>1</v>
      </c>
      <c r="V51" s="12">
        <f>IF($A51="","",1+(($H51-5)/5)*Settings!$J$9)</f>
        <v>1.06</v>
      </c>
      <c r="W51" s="12">
        <f t="array" ref="W51">IF($A51="","",XLOOKUP($J51,Lists!$C$3:$C$7,Lists!$D$3:$D$7,1))</f>
        <v>1</v>
      </c>
      <c r="X51" s="12">
        <f>IF($A51="","",IF($I51="Yes",Settings!$J$10,1))</f>
        <v>1</v>
      </c>
      <c r="Y51" s="12">
        <f t="shared" si="2"/>
        <v>10</v>
      </c>
      <c r="Z51" s="12">
        <f>IF($A51="","",IFERROR(ROUND(AVERAGEIFS('Historical Drafts'!$G$4:$G$300,'Historical Drafts'!$D$4:$D$300,$E51,'Historical Drafts'!$J$4:$J$300,"&gt;="&amp;$L51*0.85,'Historical Drafts'!$J$4:$J$300,"&lt;="&amp;$L51*1.15),0),$Y51))</f>
        <v>1</v>
      </c>
      <c r="AA51" s="12" t="str">
        <f>IF($A51="","",IF(COUNTIF('Auction Log'!$B$3:$B$300,$A51)&gt;0,"Sold","Available"))</f>
        <v>Available</v>
      </c>
      <c r="AB51" s="12" t="str">
        <f t="array" ref="AB51">IF($A51="","",IFERROR(XLOOKUP($A51,'Auction Log'!$B$3:$B$300,'Auction Log'!$G$3:$G$300,""),""))</f>
        <v/>
      </c>
      <c r="AC51" s="12" t="str">
        <f t="array" ref="AC51">IF($A51="","",IFERROR(XLOOKUP($A51,'Auction Log'!$B$3:$B$300,'Auction Log'!$F$3:$F$300,""),""))</f>
        <v/>
      </c>
      <c r="AD51" s="12">
        <f t="array" ref="AD51">IF($A51="","",ROUND($Y51*XLOOKUP($F51,Settings!$I$15:$I$20,Settings!$K$15:$K$20,0.4),0))</f>
        <v>4</v>
      </c>
      <c r="AE51" s="12">
        <f t="array" ref="AE51">IF($A51="","",ROUND($Y51*XLOOKUP($F51,Settings!$I$15:$I$20,Settings!$L$15:$L$20,0.8),0))</f>
        <v>8</v>
      </c>
      <c r="AF51" s="12">
        <f t="array" ref="AF51">IF($A51="","",ROUND($Y51*XLOOKUP($F51,Settings!$I$15:$I$20,Settings!$M$15:$M$20,1),0))</f>
        <v>10</v>
      </c>
      <c r="AG51" s="12">
        <f t="array" ref="AG51">IF($A51="","",ROUND($Y51*XLOOKUP($F51,Settings!$I$15:$I$20,Settings!$N$15:$N$20,1.1),0))</f>
        <v>11</v>
      </c>
      <c r="AH51" s="12">
        <f t="array" ref="AH51">IF($A51="","",ROUND($Y51*XLOOKUP($F51,Settings!$I$15:$I$20,Settings!$O$15:$O$20,1.1)*Settings!$J$7,0))</f>
        <v>11</v>
      </c>
      <c r="AI51" s="12">
        <f t="array" ref="AI51">IF($A51="","",IF($AA51="Sold","",MIN($AH51,IFERROR(XLOOKUP(Settings!$B$12,Managers!$B$4:$B$15,Managers!$H$4:$H$15),$AH51))))</f>
        <v>11</v>
      </c>
      <c r="AJ51" s="12" t="str">
        <f t="shared" si="3"/>
        <v>Value Target</v>
      </c>
      <c r="AK51" s="12">
        <f t="shared" si="4"/>
        <v>35</v>
      </c>
      <c r="AL51" s="12" t="str">
        <f t="shared" si="5"/>
        <v/>
      </c>
    </row>
    <row r="52" ht="15.75" customHeight="1">
      <c r="A52" s="10" t="s">
        <v>558</v>
      </c>
      <c r="B52" s="10" t="s">
        <v>559</v>
      </c>
      <c r="C52" s="10" t="s">
        <v>314</v>
      </c>
      <c r="D52" s="10" t="s">
        <v>115</v>
      </c>
      <c r="E52" s="10" t="s">
        <v>115</v>
      </c>
      <c r="F52" s="10" t="s">
        <v>102</v>
      </c>
      <c r="G52" s="10">
        <v>5.0</v>
      </c>
      <c r="H52" s="10">
        <v>7.0</v>
      </c>
      <c r="I52" s="10" t="s">
        <v>2140</v>
      </c>
      <c r="J52" s="10" t="s">
        <v>2136</v>
      </c>
      <c r="K52" s="10"/>
      <c r="L52" s="10">
        <v>315.25</v>
      </c>
      <c r="M52" s="10">
        <v>9.01</v>
      </c>
      <c r="N52" s="10"/>
      <c r="O52" s="10"/>
      <c r="P52" s="12">
        <f>IF($A52="","",IFERROR((IF($O52="",0,$O52)*Settings!$J$4+IF($L52="",0,$L52)*Settings!$J$5+IF($N52="",0,$N52)*Settings!$J$6)/(IF($O52="",0,Settings!$J$4)+IF($L52="",0,Settings!$J$5)+IF($N52="",0,Settings!$J$6)),0))</f>
        <v>315.25</v>
      </c>
      <c r="Q52" s="12">
        <f t="array" ref="Q52">IF($A52="","",XLOOKUP($E52,Settings!$A$19:$A$22,Settings!$G$19:$G$22,0))</f>
        <v>249.25</v>
      </c>
      <c r="R52" s="12">
        <f t="shared" si="1"/>
        <v>66</v>
      </c>
      <c r="S52" s="12">
        <f>IF($A52="","",IF($R52&lt;=0,1,1+$R52/SUMIF($R$4:$R$923,"&gt;0",$R$4:$R$923)*(Settings!$B$5*(Settings!$B$6-Settings!$B$7))))</f>
        <v>9.149054505</v>
      </c>
      <c r="T52" s="12">
        <f t="array" ref="T52">IF($A52="","",XLOOKUP($F52,Settings!$I$15:$I$20,Settings!$J$15:$J$20,1))</f>
        <v>1.05</v>
      </c>
      <c r="U52" s="12">
        <f>IF($A52="","",1+(($G52-5)/5)*Settings!$J$8)</f>
        <v>1</v>
      </c>
      <c r="V52" s="12">
        <f>IF($A52="","",1+(($H52-5)/5)*Settings!$J$9)</f>
        <v>1.06</v>
      </c>
      <c r="W52" s="12">
        <f t="array" ref="W52">IF($A52="","",XLOOKUP($J52,Lists!$C$3:$C$7,Lists!$D$3:$D$7,1))</f>
        <v>1</v>
      </c>
      <c r="X52" s="12">
        <f>IF($A52="","",IF($I52="Yes",Settings!$J$10,1))</f>
        <v>1</v>
      </c>
      <c r="Y52" s="12">
        <f t="shared" si="2"/>
        <v>10</v>
      </c>
      <c r="Z52" s="12">
        <f>IF($A52="","",IFERROR(ROUND(AVERAGEIFS('Historical Drafts'!$G$4:$G$300,'Historical Drafts'!$D$4:$D$300,$E52,'Historical Drafts'!$J$4:$J$300,"&gt;="&amp;$L52*0.85,'Historical Drafts'!$J$4:$J$300,"&lt;="&amp;$L52*1.15),0),$Y52))</f>
        <v>1</v>
      </c>
      <c r="AA52" s="12" t="str">
        <f>IF($A52="","",IF(COUNTIF('Auction Log'!$B$3:$B$300,$A52)&gt;0,"Sold","Available"))</f>
        <v>Available</v>
      </c>
      <c r="AB52" s="12" t="str">
        <f t="array" ref="AB52">IF($A52="","",IFERROR(XLOOKUP($A52,'Auction Log'!$B$3:$B$300,'Auction Log'!$G$3:$G$300,""),""))</f>
        <v/>
      </c>
      <c r="AC52" s="12" t="str">
        <f t="array" ref="AC52">IF($A52="","",IFERROR(XLOOKUP($A52,'Auction Log'!$B$3:$B$300,'Auction Log'!$F$3:$F$300,""),""))</f>
        <v/>
      </c>
      <c r="AD52" s="12">
        <f t="array" ref="AD52">IF($A52="","",ROUND($Y52*XLOOKUP($F52,Settings!$I$15:$I$20,Settings!$K$15:$K$20,0.4),0))</f>
        <v>4</v>
      </c>
      <c r="AE52" s="12">
        <f t="array" ref="AE52">IF($A52="","",ROUND($Y52*XLOOKUP($F52,Settings!$I$15:$I$20,Settings!$L$15:$L$20,0.8),0))</f>
        <v>8</v>
      </c>
      <c r="AF52" s="12">
        <f t="array" ref="AF52">IF($A52="","",ROUND($Y52*XLOOKUP($F52,Settings!$I$15:$I$20,Settings!$M$15:$M$20,1),0))</f>
        <v>10</v>
      </c>
      <c r="AG52" s="12">
        <f t="array" ref="AG52">IF($A52="","",ROUND($Y52*XLOOKUP($F52,Settings!$I$15:$I$20,Settings!$N$15:$N$20,1.1),0))</f>
        <v>11</v>
      </c>
      <c r="AH52" s="12">
        <f t="array" ref="AH52">IF($A52="","",ROUND($Y52*XLOOKUP($F52,Settings!$I$15:$I$20,Settings!$O$15:$O$20,1.1)*Settings!$J$7,0))</f>
        <v>11</v>
      </c>
      <c r="AI52" s="12">
        <f t="array" ref="AI52">IF($A52="","",IF($AA52="Sold","",MIN($AH52,IFERROR(XLOOKUP(Settings!$B$12,Managers!$B$4:$B$15,Managers!$H$4:$H$15),$AH52))))</f>
        <v>11</v>
      </c>
      <c r="AJ52" s="12" t="str">
        <f t="shared" si="3"/>
        <v>Value Target</v>
      </c>
      <c r="AK52" s="12">
        <f t="shared" si="4"/>
        <v>35</v>
      </c>
      <c r="AL52" s="12" t="str">
        <f t="shared" si="5"/>
        <v/>
      </c>
    </row>
    <row r="53" ht="15.75" customHeight="1">
      <c r="A53" s="10" t="s">
        <v>560</v>
      </c>
      <c r="B53" s="10" t="s">
        <v>561</v>
      </c>
      <c r="C53" s="10" t="s">
        <v>387</v>
      </c>
      <c r="D53" s="10" t="s">
        <v>118</v>
      </c>
      <c r="E53" s="10" t="s">
        <v>118</v>
      </c>
      <c r="F53" s="10" t="s">
        <v>102</v>
      </c>
      <c r="G53" s="10">
        <v>5.0</v>
      </c>
      <c r="H53" s="10">
        <v>7.0</v>
      </c>
      <c r="I53" s="10" t="s">
        <v>2140</v>
      </c>
      <c r="J53" s="10" t="s">
        <v>2136</v>
      </c>
      <c r="K53" s="10"/>
      <c r="L53" s="10">
        <v>311.75</v>
      </c>
      <c r="M53" s="10">
        <v>8.91</v>
      </c>
      <c r="N53" s="10"/>
      <c r="O53" s="10"/>
      <c r="P53" s="12">
        <f>IF($A53="","",IFERROR((IF($O53="",0,$O53)*Settings!$J$4+IF($L53="",0,$L53)*Settings!$J$5+IF($N53="",0,$N53)*Settings!$J$6)/(IF($O53="",0,Settings!$J$4)+IF($L53="",0,Settings!$J$5)+IF($N53="",0,Settings!$J$6)),0))</f>
        <v>311.75</v>
      </c>
      <c r="Q53" s="12">
        <f t="array" ref="Q53">IF($A53="","",XLOOKUP($E53,Settings!$A$19:$A$22,Settings!$G$19:$G$22,0))</f>
        <v>196.25</v>
      </c>
      <c r="R53" s="12">
        <f t="shared" si="1"/>
        <v>115.5</v>
      </c>
      <c r="S53" s="12">
        <f>IF($A53="","",IF($R53&lt;=0,1,1+$R53/SUMIF($R$4:$R$923,"&gt;0",$R$4:$R$923)*(Settings!$B$5*(Settings!$B$6-Settings!$B$7))))</f>
        <v>15.26084538</v>
      </c>
      <c r="T53" s="12">
        <f t="array" ref="T53">IF($A53="","",XLOOKUP($F53,Settings!$I$15:$I$20,Settings!$J$15:$J$20,1))</f>
        <v>1.05</v>
      </c>
      <c r="U53" s="12">
        <f>IF($A53="","",1+(($G53-5)/5)*Settings!$J$8)</f>
        <v>1</v>
      </c>
      <c r="V53" s="12">
        <f>IF($A53="","",1+(($H53-5)/5)*Settings!$J$9)</f>
        <v>1.06</v>
      </c>
      <c r="W53" s="12">
        <f t="array" ref="W53">IF($A53="","",XLOOKUP($J53,Lists!$C$3:$C$7,Lists!$D$3:$D$7,1))</f>
        <v>1</v>
      </c>
      <c r="X53" s="12">
        <f>IF($A53="","",IF($I53="Yes",Settings!$J$10,1))</f>
        <v>1</v>
      </c>
      <c r="Y53" s="12">
        <f t="shared" si="2"/>
        <v>17</v>
      </c>
      <c r="Z53" s="12">
        <f>IF($A53="","",IFERROR(ROUND(AVERAGEIFS('Historical Drafts'!$G$4:$G$300,'Historical Drafts'!$D$4:$D$300,$E53,'Historical Drafts'!$J$4:$J$300,"&gt;="&amp;$L53*0.85,'Historical Drafts'!$J$4:$J$300,"&lt;="&amp;$L53*1.15),0),$Y53))</f>
        <v>6</v>
      </c>
      <c r="AA53" s="12" t="str">
        <f>IF($A53="","",IF(COUNTIF('Auction Log'!$B$3:$B$300,$A53)&gt;0,"Sold","Available"))</f>
        <v>Available</v>
      </c>
      <c r="AB53" s="12" t="str">
        <f t="array" ref="AB53">IF($A53="","",IFERROR(XLOOKUP($A53,'Auction Log'!$B$3:$B$300,'Auction Log'!$G$3:$G$300,""),""))</f>
        <v/>
      </c>
      <c r="AC53" s="12" t="str">
        <f t="array" ref="AC53">IF($A53="","",IFERROR(XLOOKUP($A53,'Auction Log'!$B$3:$B$300,'Auction Log'!$F$3:$F$300,""),""))</f>
        <v/>
      </c>
      <c r="AD53" s="12">
        <f t="array" ref="AD53">IF($A53="","",ROUND($Y53*XLOOKUP($F53,Settings!$I$15:$I$20,Settings!$K$15:$K$20,0.4),0))</f>
        <v>7</v>
      </c>
      <c r="AE53" s="12">
        <f t="array" ref="AE53">IF($A53="","",ROUND($Y53*XLOOKUP($F53,Settings!$I$15:$I$20,Settings!$L$15:$L$20,0.8),0))</f>
        <v>13</v>
      </c>
      <c r="AF53" s="12">
        <f t="array" ref="AF53">IF($A53="","",ROUND($Y53*XLOOKUP($F53,Settings!$I$15:$I$20,Settings!$M$15:$M$20,1),0))</f>
        <v>17</v>
      </c>
      <c r="AG53" s="12">
        <f t="array" ref="AG53">IF($A53="","",ROUND($Y53*XLOOKUP($F53,Settings!$I$15:$I$20,Settings!$N$15:$N$20,1.1),0))</f>
        <v>18</v>
      </c>
      <c r="AH53" s="12">
        <f t="array" ref="AH53">IF($A53="","",ROUND($Y53*XLOOKUP($F53,Settings!$I$15:$I$20,Settings!$O$15:$O$20,1.1)*Settings!$J$7,0))</f>
        <v>19</v>
      </c>
      <c r="AI53" s="12">
        <f t="array" ref="AI53">IF($A53="","",IF($AA53="Sold","",MIN($AH53,IFERROR(XLOOKUP(Settings!$B$12,Managers!$B$4:$B$15,Managers!$H$4:$H$15),$AH53))))</f>
        <v>19</v>
      </c>
      <c r="AJ53" s="12" t="str">
        <f t="shared" si="3"/>
        <v>Value Target</v>
      </c>
      <c r="AK53" s="12">
        <f t="shared" si="4"/>
        <v>42</v>
      </c>
      <c r="AL53" s="12" t="str">
        <f t="shared" si="5"/>
        <v/>
      </c>
    </row>
    <row r="54" ht="15.75" customHeight="1">
      <c r="A54" s="10" t="s">
        <v>425</v>
      </c>
      <c r="B54" s="10" t="s">
        <v>563</v>
      </c>
      <c r="C54" s="10" t="s">
        <v>185</v>
      </c>
      <c r="D54" s="10" t="s">
        <v>118</v>
      </c>
      <c r="E54" s="10" t="s">
        <v>118</v>
      </c>
      <c r="F54" s="10" t="s">
        <v>102</v>
      </c>
      <c r="G54" s="10">
        <v>5.0</v>
      </c>
      <c r="H54" s="10">
        <v>7.0</v>
      </c>
      <c r="I54" s="10" t="s">
        <v>2140</v>
      </c>
      <c r="J54" s="10" t="s">
        <v>2136</v>
      </c>
      <c r="K54" s="10"/>
      <c r="L54" s="10">
        <v>309.5</v>
      </c>
      <c r="M54" s="10">
        <v>9.1</v>
      </c>
      <c r="N54" s="10"/>
      <c r="O54" s="10"/>
      <c r="P54" s="12">
        <f>IF($A54="","",IFERROR((IF($O54="",0,$O54)*Settings!$J$4+IF($L54="",0,$L54)*Settings!$J$5+IF($N54="",0,$N54)*Settings!$J$6)/(IF($O54="",0,Settings!$J$4)+IF($L54="",0,Settings!$J$5)+IF($N54="",0,Settings!$J$6)),0))</f>
        <v>309.5</v>
      </c>
      <c r="Q54" s="12">
        <f t="array" ref="Q54">IF($A54="","",XLOOKUP($E54,Settings!$A$19:$A$22,Settings!$G$19:$G$22,0))</f>
        <v>196.25</v>
      </c>
      <c r="R54" s="12">
        <f t="shared" si="1"/>
        <v>113.25</v>
      </c>
      <c r="S54" s="12">
        <f>IF($A54="","",IF($R54&lt;=0,1,1+$R54/SUMIF($R$4:$R$923,"&gt;0",$R$4:$R$923)*(Settings!$B$5*(Settings!$B$6-Settings!$B$7))))</f>
        <v>14.98303671</v>
      </c>
      <c r="T54" s="12">
        <f t="array" ref="T54">IF($A54="","",XLOOKUP($F54,Settings!$I$15:$I$20,Settings!$J$15:$J$20,1))</f>
        <v>1.05</v>
      </c>
      <c r="U54" s="12">
        <f>IF($A54="","",1+(($G54-5)/5)*Settings!$J$8)</f>
        <v>1</v>
      </c>
      <c r="V54" s="12">
        <f>IF($A54="","",1+(($H54-5)/5)*Settings!$J$9)</f>
        <v>1.06</v>
      </c>
      <c r="W54" s="12">
        <f t="array" ref="W54">IF($A54="","",XLOOKUP($J54,Lists!$C$3:$C$7,Lists!$D$3:$D$7,1))</f>
        <v>1</v>
      </c>
      <c r="X54" s="12">
        <f>IF($A54="","",IF($I54="Yes",Settings!$J$10,1))</f>
        <v>1</v>
      </c>
      <c r="Y54" s="12">
        <f t="shared" si="2"/>
        <v>17</v>
      </c>
      <c r="Z54" s="12">
        <f>IF($A54="","",IFERROR(ROUND(AVERAGEIFS('Historical Drafts'!$G$4:$G$300,'Historical Drafts'!$D$4:$D$300,$E54,'Historical Drafts'!$J$4:$J$300,"&gt;="&amp;$L54*0.85,'Historical Drafts'!$J$4:$J$300,"&lt;="&amp;$L54*1.15),0),$Y54))</f>
        <v>5</v>
      </c>
      <c r="AA54" s="12" t="str">
        <f>IF($A54="","",IF(COUNTIF('Auction Log'!$B$3:$B$300,$A54)&gt;0,"Sold","Available"))</f>
        <v>Available</v>
      </c>
      <c r="AB54" s="12" t="str">
        <f t="array" ref="AB54">IF($A54="","",IFERROR(XLOOKUP($A54,'Auction Log'!$B$3:$B$300,'Auction Log'!$G$3:$G$300,""),""))</f>
        <v/>
      </c>
      <c r="AC54" s="12" t="str">
        <f t="array" ref="AC54">IF($A54="","",IFERROR(XLOOKUP($A54,'Auction Log'!$B$3:$B$300,'Auction Log'!$F$3:$F$300,""),""))</f>
        <v/>
      </c>
      <c r="AD54" s="12">
        <f t="array" ref="AD54">IF($A54="","",ROUND($Y54*XLOOKUP($F54,Settings!$I$15:$I$20,Settings!$K$15:$K$20,0.4),0))</f>
        <v>7</v>
      </c>
      <c r="AE54" s="12">
        <f t="array" ref="AE54">IF($A54="","",ROUND($Y54*XLOOKUP($F54,Settings!$I$15:$I$20,Settings!$L$15:$L$20,0.8),0))</f>
        <v>13</v>
      </c>
      <c r="AF54" s="12">
        <f t="array" ref="AF54">IF($A54="","",ROUND($Y54*XLOOKUP($F54,Settings!$I$15:$I$20,Settings!$M$15:$M$20,1),0))</f>
        <v>17</v>
      </c>
      <c r="AG54" s="12">
        <f t="array" ref="AG54">IF($A54="","",ROUND($Y54*XLOOKUP($F54,Settings!$I$15:$I$20,Settings!$N$15:$N$20,1.1),0))</f>
        <v>18</v>
      </c>
      <c r="AH54" s="12">
        <f t="array" ref="AH54">IF($A54="","",ROUND($Y54*XLOOKUP($F54,Settings!$I$15:$I$20,Settings!$O$15:$O$20,1.1)*Settings!$J$7,0))</f>
        <v>19</v>
      </c>
      <c r="AI54" s="12">
        <f t="array" ref="AI54">IF($A54="","",IF($AA54="Sold","",MIN($AH54,IFERROR(XLOOKUP(Settings!$B$12,Managers!$B$4:$B$15,Managers!$H$4:$H$15),$AH54))))</f>
        <v>19</v>
      </c>
      <c r="AJ54" s="12" t="str">
        <f t="shared" si="3"/>
        <v>Value Target</v>
      </c>
      <c r="AK54" s="12">
        <f t="shared" si="4"/>
        <v>42</v>
      </c>
      <c r="AL54" s="12" t="str">
        <f t="shared" si="5"/>
        <v/>
      </c>
    </row>
    <row r="55" ht="15.75" customHeight="1">
      <c r="A55" s="10" t="s">
        <v>227</v>
      </c>
      <c r="B55" s="10" t="s">
        <v>228</v>
      </c>
      <c r="C55" s="10" t="s">
        <v>180</v>
      </c>
      <c r="D55" s="10" t="s">
        <v>121</v>
      </c>
      <c r="E55" s="10" t="s">
        <v>121</v>
      </c>
      <c r="F55" s="10" t="s">
        <v>102</v>
      </c>
      <c r="G55" s="10">
        <v>5.0</v>
      </c>
      <c r="H55" s="10">
        <v>7.0</v>
      </c>
      <c r="I55" s="10" t="s">
        <v>2140</v>
      </c>
      <c r="J55" s="10" t="s">
        <v>2136</v>
      </c>
      <c r="K55" s="10"/>
      <c r="L55" s="10">
        <v>309.5</v>
      </c>
      <c r="M55" s="10">
        <v>9.38</v>
      </c>
      <c r="N55" s="10"/>
      <c r="O55" s="10"/>
      <c r="P55" s="12">
        <f>IF($A55="","",IFERROR((IF($O55="",0,$O55)*Settings!$J$4+IF($L55="",0,$L55)*Settings!$J$5+IF($N55="",0,$N55)*Settings!$J$6)/(IF($O55="",0,Settings!$J$4)+IF($L55="",0,Settings!$J$5)+IF($N55="",0,Settings!$J$6)),0))</f>
        <v>309.5</v>
      </c>
      <c r="Q55" s="12">
        <f t="array" ref="Q55">IF($A55="","",XLOOKUP($E55,Settings!$A$19:$A$22,Settings!$G$19:$G$22,0))</f>
        <v>206</v>
      </c>
      <c r="R55" s="12">
        <f t="shared" si="1"/>
        <v>103.5</v>
      </c>
      <c r="S55" s="12">
        <f>IF($A55="","",IF($R55&lt;=0,1,1+$R55/SUMIF($R$4:$R$923,"&gt;0",$R$4:$R$923)*(Settings!$B$5*(Settings!$B$6-Settings!$B$7))))</f>
        <v>13.77919911</v>
      </c>
      <c r="T55" s="12">
        <f t="array" ref="T55">IF($A55="","",XLOOKUP($F55,Settings!$I$15:$I$20,Settings!$J$15:$J$20,1))</f>
        <v>1.05</v>
      </c>
      <c r="U55" s="12">
        <f>IF($A55="","",1+(($G55-5)/5)*Settings!$J$8)</f>
        <v>1</v>
      </c>
      <c r="V55" s="12">
        <f>IF($A55="","",1+(($H55-5)/5)*Settings!$J$9)</f>
        <v>1.06</v>
      </c>
      <c r="W55" s="12">
        <f t="array" ref="W55">IF($A55="","",XLOOKUP($J55,Lists!$C$3:$C$7,Lists!$D$3:$D$7,1))</f>
        <v>1</v>
      </c>
      <c r="X55" s="12">
        <f>IF($A55="","",IF($I55="Yes",Settings!$J$10,1))</f>
        <v>1</v>
      </c>
      <c r="Y55" s="12">
        <f t="shared" si="2"/>
        <v>15</v>
      </c>
      <c r="Z55" s="12">
        <f>IF($A55="","",IFERROR(ROUND(AVERAGEIFS('Historical Drafts'!$G$4:$G$300,'Historical Drafts'!$D$4:$D$300,$E55,'Historical Drafts'!$J$4:$J$300,"&gt;="&amp;$L55*0.85,'Historical Drafts'!$J$4:$J$300,"&lt;="&amp;$L55*1.15),0),$Y55))</f>
        <v>13</v>
      </c>
      <c r="AA55" s="12" t="str">
        <f>IF($A55="","",IF(COUNTIF('Auction Log'!$B$3:$B$300,$A55)&gt;0,"Sold","Available"))</f>
        <v>Available</v>
      </c>
      <c r="AB55" s="12" t="str">
        <f t="array" ref="AB55">IF($A55="","",IFERROR(XLOOKUP($A55,'Auction Log'!$B$3:$B$300,'Auction Log'!$G$3:$G$300,""),""))</f>
        <v/>
      </c>
      <c r="AC55" s="12" t="str">
        <f t="array" ref="AC55">IF($A55="","",IFERROR(XLOOKUP($A55,'Auction Log'!$B$3:$B$300,'Auction Log'!$F$3:$F$300,""),""))</f>
        <v/>
      </c>
      <c r="AD55" s="12">
        <f t="array" ref="AD55">IF($A55="","",ROUND($Y55*XLOOKUP($F55,Settings!$I$15:$I$20,Settings!$K$15:$K$20,0.4),0))</f>
        <v>6</v>
      </c>
      <c r="AE55" s="12">
        <f t="array" ref="AE55">IF($A55="","",ROUND($Y55*XLOOKUP($F55,Settings!$I$15:$I$20,Settings!$L$15:$L$20,0.8),0))</f>
        <v>12</v>
      </c>
      <c r="AF55" s="12">
        <f t="array" ref="AF55">IF($A55="","",ROUND($Y55*XLOOKUP($F55,Settings!$I$15:$I$20,Settings!$M$15:$M$20,1),0))</f>
        <v>15</v>
      </c>
      <c r="AG55" s="12">
        <f t="array" ref="AG55">IF($A55="","",ROUND($Y55*XLOOKUP($F55,Settings!$I$15:$I$20,Settings!$N$15:$N$20,1.1),0))</f>
        <v>16</v>
      </c>
      <c r="AH55" s="12">
        <f t="array" ref="AH55">IF($A55="","",ROUND($Y55*XLOOKUP($F55,Settings!$I$15:$I$20,Settings!$O$15:$O$20,1.1)*Settings!$J$7,0))</f>
        <v>17</v>
      </c>
      <c r="AI55" s="12">
        <f t="array" ref="AI55">IF($A55="","",IF($AA55="Sold","",MIN($AH55,IFERROR(XLOOKUP(Settings!$B$12,Managers!$B$4:$B$15,Managers!$H$4:$H$15),$AH55))))</f>
        <v>17</v>
      </c>
      <c r="AJ55" s="12" t="str">
        <f t="shared" si="3"/>
        <v>Value Target</v>
      </c>
      <c r="AK55" s="12">
        <f t="shared" si="4"/>
        <v>40</v>
      </c>
      <c r="AL55" s="12" t="str">
        <f t="shared" si="5"/>
        <v/>
      </c>
    </row>
    <row r="56" ht="15.75" customHeight="1">
      <c r="A56" s="10" t="s">
        <v>396</v>
      </c>
      <c r="B56" s="10" t="s">
        <v>397</v>
      </c>
      <c r="C56" s="10" t="s">
        <v>398</v>
      </c>
      <c r="D56" s="10" t="s">
        <v>121</v>
      </c>
      <c r="E56" s="10" t="s">
        <v>121</v>
      </c>
      <c r="F56" s="10" t="s">
        <v>102</v>
      </c>
      <c r="G56" s="10">
        <v>5.0</v>
      </c>
      <c r="H56" s="10">
        <v>7.0</v>
      </c>
      <c r="I56" s="10" t="s">
        <v>2140</v>
      </c>
      <c r="J56" s="10" t="s">
        <v>2136</v>
      </c>
      <c r="K56" s="10"/>
      <c r="L56" s="10">
        <v>306.5</v>
      </c>
      <c r="M56" s="10">
        <v>9.58</v>
      </c>
      <c r="N56" s="10"/>
      <c r="O56" s="10"/>
      <c r="P56" s="12">
        <f>IF($A56="","",IFERROR((IF($O56="",0,$O56)*Settings!$J$4+IF($L56="",0,$L56)*Settings!$J$5+IF($N56="",0,$N56)*Settings!$J$6)/(IF($O56="",0,Settings!$J$4)+IF($L56="",0,Settings!$J$5)+IF($N56="",0,Settings!$J$6)),0))</f>
        <v>306.5</v>
      </c>
      <c r="Q56" s="12">
        <f t="array" ref="Q56">IF($A56="","",XLOOKUP($E56,Settings!$A$19:$A$22,Settings!$G$19:$G$22,0))</f>
        <v>206</v>
      </c>
      <c r="R56" s="12">
        <f t="shared" si="1"/>
        <v>100.5</v>
      </c>
      <c r="S56" s="12">
        <f>IF($A56="","",IF($R56&lt;=0,1,1+$R56/SUMIF($R$4:$R$923,"&gt;0",$R$4:$R$923)*(Settings!$B$5*(Settings!$B$6-Settings!$B$7))))</f>
        <v>13.40878754</v>
      </c>
      <c r="T56" s="12">
        <f t="array" ref="T56">IF($A56="","",XLOOKUP($F56,Settings!$I$15:$I$20,Settings!$J$15:$J$20,1))</f>
        <v>1.05</v>
      </c>
      <c r="U56" s="12">
        <f>IF($A56="","",1+(($G56-5)/5)*Settings!$J$8)</f>
        <v>1</v>
      </c>
      <c r="V56" s="12">
        <f>IF($A56="","",1+(($H56-5)/5)*Settings!$J$9)</f>
        <v>1.06</v>
      </c>
      <c r="W56" s="12">
        <f t="array" ref="W56">IF($A56="","",XLOOKUP($J56,Lists!$C$3:$C$7,Lists!$D$3:$D$7,1))</f>
        <v>1</v>
      </c>
      <c r="X56" s="12">
        <f>IF($A56="","",IF($I56="Yes",Settings!$J$10,1))</f>
        <v>1</v>
      </c>
      <c r="Y56" s="12">
        <f t="shared" si="2"/>
        <v>15</v>
      </c>
      <c r="Z56" s="12">
        <f>IF($A56="","",IFERROR(ROUND(AVERAGEIFS('Historical Drafts'!$G$4:$G$300,'Historical Drafts'!$D$4:$D$300,$E56,'Historical Drafts'!$J$4:$J$300,"&gt;="&amp;$L56*0.85,'Historical Drafts'!$J$4:$J$300,"&lt;="&amp;$L56*1.15),0),$Y56))</f>
        <v>14</v>
      </c>
      <c r="AA56" s="12" t="str">
        <f>IF($A56="","",IF(COUNTIF('Auction Log'!$B$3:$B$300,$A56)&gt;0,"Sold","Available"))</f>
        <v>Available</v>
      </c>
      <c r="AB56" s="12" t="str">
        <f t="array" ref="AB56">IF($A56="","",IFERROR(XLOOKUP($A56,'Auction Log'!$B$3:$B$300,'Auction Log'!$G$3:$G$300,""),""))</f>
        <v/>
      </c>
      <c r="AC56" s="12" t="str">
        <f t="array" ref="AC56">IF($A56="","",IFERROR(XLOOKUP($A56,'Auction Log'!$B$3:$B$300,'Auction Log'!$F$3:$F$300,""),""))</f>
        <v/>
      </c>
      <c r="AD56" s="12">
        <f t="array" ref="AD56">IF($A56="","",ROUND($Y56*XLOOKUP($F56,Settings!$I$15:$I$20,Settings!$K$15:$K$20,0.4),0))</f>
        <v>6</v>
      </c>
      <c r="AE56" s="12">
        <f t="array" ref="AE56">IF($A56="","",ROUND($Y56*XLOOKUP($F56,Settings!$I$15:$I$20,Settings!$L$15:$L$20,0.8),0))</f>
        <v>12</v>
      </c>
      <c r="AF56" s="12">
        <f t="array" ref="AF56">IF($A56="","",ROUND($Y56*XLOOKUP($F56,Settings!$I$15:$I$20,Settings!$M$15:$M$20,1),0))</f>
        <v>15</v>
      </c>
      <c r="AG56" s="12">
        <f t="array" ref="AG56">IF($A56="","",ROUND($Y56*XLOOKUP($F56,Settings!$I$15:$I$20,Settings!$N$15:$N$20,1.1),0))</f>
        <v>16</v>
      </c>
      <c r="AH56" s="12">
        <f t="array" ref="AH56">IF($A56="","",ROUND($Y56*XLOOKUP($F56,Settings!$I$15:$I$20,Settings!$O$15:$O$20,1.1)*Settings!$J$7,0))</f>
        <v>17</v>
      </c>
      <c r="AI56" s="12">
        <f t="array" ref="AI56">IF($A56="","",IF($AA56="Sold","",MIN($AH56,IFERROR(XLOOKUP(Settings!$B$12,Managers!$B$4:$B$15,Managers!$H$4:$H$15),$AH56))))</f>
        <v>17</v>
      </c>
      <c r="AJ56" s="12" t="str">
        <f t="shared" si="3"/>
        <v>Recommended</v>
      </c>
      <c r="AK56" s="12">
        <f t="shared" si="4"/>
        <v>40</v>
      </c>
      <c r="AL56" s="12" t="str">
        <f t="shared" si="5"/>
        <v/>
      </c>
    </row>
    <row r="57" ht="15.75" customHeight="1">
      <c r="A57" s="10" t="s">
        <v>433</v>
      </c>
      <c r="B57" s="10" t="s">
        <v>434</v>
      </c>
      <c r="C57" s="10" t="s">
        <v>257</v>
      </c>
      <c r="D57" s="10" t="s">
        <v>121</v>
      </c>
      <c r="E57" s="10" t="s">
        <v>121</v>
      </c>
      <c r="F57" s="10" t="s">
        <v>102</v>
      </c>
      <c r="G57" s="10">
        <v>5.0</v>
      </c>
      <c r="H57" s="10">
        <v>7.0</v>
      </c>
      <c r="I57" s="10" t="s">
        <v>2140</v>
      </c>
      <c r="J57" s="10" t="s">
        <v>2136</v>
      </c>
      <c r="K57" s="10"/>
      <c r="L57" s="10">
        <v>305.5</v>
      </c>
      <c r="M57" s="10">
        <v>9.85</v>
      </c>
      <c r="N57" s="10"/>
      <c r="O57" s="10"/>
      <c r="P57" s="12">
        <f>IF($A57="","",IFERROR((IF($O57="",0,$O57)*Settings!$J$4+IF($L57="",0,$L57)*Settings!$J$5+IF($N57="",0,$N57)*Settings!$J$6)/(IF($O57="",0,Settings!$J$4)+IF($L57="",0,Settings!$J$5)+IF($N57="",0,Settings!$J$6)),0))</f>
        <v>305.5</v>
      </c>
      <c r="Q57" s="12">
        <f t="array" ref="Q57">IF($A57="","",XLOOKUP($E57,Settings!$A$19:$A$22,Settings!$G$19:$G$22,0))</f>
        <v>206</v>
      </c>
      <c r="R57" s="12">
        <f t="shared" si="1"/>
        <v>99.5</v>
      </c>
      <c r="S57" s="12">
        <f>IF($A57="","",IF($R57&lt;=0,1,1+$R57/SUMIF($R$4:$R$923,"&gt;0",$R$4:$R$923)*(Settings!$B$5*(Settings!$B$6-Settings!$B$7))))</f>
        <v>13.28531702</v>
      </c>
      <c r="T57" s="12">
        <f t="array" ref="T57">IF($A57="","",XLOOKUP($F57,Settings!$I$15:$I$20,Settings!$J$15:$J$20,1))</f>
        <v>1.05</v>
      </c>
      <c r="U57" s="12">
        <f>IF($A57="","",1+(($G57-5)/5)*Settings!$J$8)</f>
        <v>1</v>
      </c>
      <c r="V57" s="12">
        <f>IF($A57="","",1+(($H57-5)/5)*Settings!$J$9)</f>
        <v>1.06</v>
      </c>
      <c r="W57" s="12">
        <f t="array" ref="W57">IF($A57="","",XLOOKUP($J57,Lists!$C$3:$C$7,Lists!$D$3:$D$7,1))</f>
        <v>1</v>
      </c>
      <c r="X57" s="12">
        <f>IF($A57="","",IF($I57="Yes",Settings!$J$10,1))</f>
        <v>1</v>
      </c>
      <c r="Y57" s="12">
        <f t="shared" si="2"/>
        <v>15</v>
      </c>
      <c r="Z57" s="12">
        <f>IF($A57="","",IFERROR(ROUND(AVERAGEIFS('Historical Drafts'!$G$4:$G$300,'Historical Drafts'!$D$4:$D$300,$E57,'Historical Drafts'!$J$4:$J$300,"&gt;="&amp;$L57*0.85,'Historical Drafts'!$J$4:$J$300,"&lt;="&amp;$L57*1.15),0),$Y57))</f>
        <v>14</v>
      </c>
      <c r="AA57" s="12" t="str">
        <f>IF($A57="","",IF(COUNTIF('Auction Log'!$B$3:$B$300,$A57)&gt;0,"Sold","Available"))</f>
        <v>Available</v>
      </c>
      <c r="AB57" s="12" t="str">
        <f t="array" ref="AB57">IF($A57="","",IFERROR(XLOOKUP($A57,'Auction Log'!$B$3:$B$300,'Auction Log'!$G$3:$G$300,""),""))</f>
        <v/>
      </c>
      <c r="AC57" s="12" t="str">
        <f t="array" ref="AC57">IF($A57="","",IFERROR(XLOOKUP($A57,'Auction Log'!$B$3:$B$300,'Auction Log'!$F$3:$F$300,""),""))</f>
        <v/>
      </c>
      <c r="AD57" s="12">
        <f t="array" ref="AD57">IF($A57="","",ROUND($Y57*XLOOKUP($F57,Settings!$I$15:$I$20,Settings!$K$15:$K$20,0.4),0))</f>
        <v>6</v>
      </c>
      <c r="AE57" s="12">
        <f t="array" ref="AE57">IF($A57="","",ROUND($Y57*XLOOKUP($F57,Settings!$I$15:$I$20,Settings!$L$15:$L$20,0.8),0))</f>
        <v>12</v>
      </c>
      <c r="AF57" s="12">
        <f t="array" ref="AF57">IF($A57="","",ROUND($Y57*XLOOKUP($F57,Settings!$I$15:$I$20,Settings!$M$15:$M$20,1),0))</f>
        <v>15</v>
      </c>
      <c r="AG57" s="12">
        <f t="array" ref="AG57">IF($A57="","",ROUND($Y57*XLOOKUP($F57,Settings!$I$15:$I$20,Settings!$N$15:$N$20,1.1),0))</f>
        <v>16</v>
      </c>
      <c r="AH57" s="12">
        <f t="array" ref="AH57">IF($A57="","",ROUND($Y57*XLOOKUP($F57,Settings!$I$15:$I$20,Settings!$O$15:$O$20,1.1)*Settings!$J$7,0))</f>
        <v>17</v>
      </c>
      <c r="AI57" s="12">
        <f t="array" ref="AI57">IF($A57="","",IF($AA57="Sold","",MIN($AH57,IFERROR(XLOOKUP(Settings!$B$12,Managers!$B$4:$B$15,Managers!$H$4:$H$15),$AH57))))</f>
        <v>17</v>
      </c>
      <c r="AJ57" s="12" t="str">
        <f t="shared" si="3"/>
        <v>Recommended</v>
      </c>
      <c r="AK57" s="12">
        <f t="shared" si="4"/>
        <v>40</v>
      </c>
      <c r="AL57" s="12" t="str">
        <f t="shared" si="5"/>
        <v/>
      </c>
    </row>
    <row r="58" ht="15.75" customHeight="1">
      <c r="A58" s="10" t="s">
        <v>564</v>
      </c>
      <c r="B58" s="10" t="s">
        <v>565</v>
      </c>
      <c r="C58" s="10" t="s">
        <v>566</v>
      </c>
      <c r="D58" s="10" t="s">
        <v>123</v>
      </c>
      <c r="E58" s="10" t="s">
        <v>123</v>
      </c>
      <c r="F58" s="10" t="s">
        <v>102</v>
      </c>
      <c r="G58" s="10">
        <v>5.0</v>
      </c>
      <c r="H58" s="10">
        <v>7.0</v>
      </c>
      <c r="I58" s="10" t="s">
        <v>2140</v>
      </c>
      <c r="J58" s="10" t="s">
        <v>2136</v>
      </c>
      <c r="K58" s="10"/>
      <c r="L58" s="10">
        <v>304.0</v>
      </c>
      <c r="M58" s="10">
        <v>8.22</v>
      </c>
      <c r="N58" s="10"/>
      <c r="O58" s="10"/>
      <c r="P58" s="12">
        <f>IF($A58="","",IFERROR((IF($O58="",0,$O58)*Settings!$J$4+IF($L58="",0,$L58)*Settings!$J$5+IF($N58="",0,$N58)*Settings!$J$6)/(IF($O58="",0,Settings!$J$4)+IF($L58="",0,Settings!$J$5)+IF($N58="",0,Settings!$J$6)),0))</f>
        <v>304</v>
      </c>
      <c r="Q58" s="12">
        <f t="array" ref="Q58">IF($A58="","",XLOOKUP($E58,Settings!$A$19:$A$22,Settings!$G$19:$G$22,0))</f>
        <v>203</v>
      </c>
      <c r="R58" s="12">
        <f t="shared" si="1"/>
        <v>101</v>
      </c>
      <c r="S58" s="12">
        <f>IF($A58="","",IF($R58&lt;=0,1,1+$R58/SUMIF($R$4:$R$923,"&gt;0",$R$4:$R$923)*(Settings!$B$5*(Settings!$B$6-Settings!$B$7))))</f>
        <v>13.4705228</v>
      </c>
      <c r="T58" s="12">
        <f t="array" ref="T58">IF($A58="","",XLOOKUP($F58,Settings!$I$15:$I$20,Settings!$J$15:$J$20,1))</f>
        <v>1.05</v>
      </c>
      <c r="U58" s="12">
        <f>IF($A58="","",1+(($G58-5)/5)*Settings!$J$8)</f>
        <v>1</v>
      </c>
      <c r="V58" s="12">
        <f>IF($A58="","",1+(($H58-5)/5)*Settings!$J$9)</f>
        <v>1.06</v>
      </c>
      <c r="W58" s="12">
        <f t="array" ref="W58">IF($A58="","",XLOOKUP($J58,Lists!$C$3:$C$7,Lists!$D$3:$D$7,1))</f>
        <v>1</v>
      </c>
      <c r="X58" s="12">
        <f>IF($A58="","",IF($I58="Yes",Settings!$J$10,1))</f>
        <v>1</v>
      </c>
      <c r="Y58" s="12">
        <f t="shared" si="2"/>
        <v>15</v>
      </c>
      <c r="Z58" s="12">
        <f>IF($A58="","",IFERROR(ROUND(AVERAGEIFS('Historical Drafts'!$G$4:$G$300,'Historical Drafts'!$D$4:$D$300,$E58,'Historical Drafts'!$J$4:$J$300,"&gt;="&amp;$L58*0.85,'Historical Drafts'!$J$4:$J$300,"&lt;="&amp;$L58*1.15),0),$Y58))</f>
        <v>25</v>
      </c>
      <c r="AA58" s="12" t="str">
        <f>IF($A58="","",IF(COUNTIF('Auction Log'!$B$3:$B$300,$A58)&gt;0,"Sold","Available"))</f>
        <v>Available</v>
      </c>
      <c r="AB58" s="12" t="str">
        <f t="array" ref="AB58">IF($A58="","",IFERROR(XLOOKUP($A58,'Auction Log'!$B$3:$B$300,'Auction Log'!$G$3:$G$300,""),""))</f>
        <v/>
      </c>
      <c r="AC58" s="12" t="str">
        <f t="array" ref="AC58">IF($A58="","",IFERROR(XLOOKUP($A58,'Auction Log'!$B$3:$B$300,'Auction Log'!$F$3:$F$300,""),""))</f>
        <v/>
      </c>
      <c r="AD58" s="12">
        <f t="array" ref="AD58">IF($A58="","",ROUND($Y58*XLOOKUP($F58,Settings!$I$15:$I$20,Settings!$K$15:$K$20,0.4),0))</f>
        <v>6</v>
      </c>
      <c r="AE58" s="12">
        <f t="array" ref="AE58">IF($A58="","",ROUND($Y58*XLOOKUP($F58,Settings!$I$15:$I$20,Settings!$L$15:$L$20,0.8),0))</f>
        <v>12</v>
      </c>
      <c r="AF58" s="12">
        <f t="array" ref="AF58">IF($A58="","",ROUND($Y58*XLOOKUP($F58,Settings!$I$15:$I$20,Settings!$M$15:$M$20,1),0))</f>
        <v>15</v>
      </c>
      <c r="AG58" s="12">
        <f t="array" ref="AG58">IF($A58="","",ROUND($Y58*XLOOKUP($F58,Settings!$I$15:$I$20,Settings!$N$15:$N$20,1.1),0))</f>
        <v>16</v>
      </c>
      <c r="AH58" s="12">
        <f t="array" ref="AH58">IF($A58="","",ROUND($Y58*XLOOKUP($F58,Settings!$I$15:$I$20,Settings!$O$15:$O$20,1.1)*Settings!$J$7,0))</f>
        <v>17</v>
      </c>
      <c r="AI58" s="12">
        <f t="array" ref="AI58">IF($A58="","",IF($AA58="Sold","",MIN($AH58,IFERROR(XLOOKUP(Settings!$B$12,Managers!$B$4:$B$15,Managers!$H$4:$H$15),$AH58))))</f>
        <v>17</v>
      </c>
      <c r="AJ58" s="12" t="str">
        <f t="shared" si="3"/>
        <v>Budget Drainer</v>
      </c>
      <c r="AK58" s="12">
        <f t="shared" si="4"/>
        <v>50</v>
      </c>
      <c r="AL58" s="12" t="str">
        <f t="shared" si="5"/>
        <v/>
      </c>
    </row>
    <row r="59" ht="15.75" customHeight="1">
      <c r="A59" s="10" t="s">
        <v>567</v>
      </c>
      <c r="B59" s="10" t="s">
        <v>568</v>
      </c>
      <c r="C59" s="10" t="s">
        <v>177</v>
      </c>
      <c r="D59" s="10" t="s">
        <v>121</v>
      </c>
      <c r="E59" s="10" t="s">
        <v>121</v>
      </c>
      <c r="F59" s="10" t="s">
        <v>102</v>
      </c>
      <c r="G59" s="10">
        <v>5.0</v>
      </c>
      <c r="H59" s="10">
        <v>7.0</v>
      </c>
      <c r="I59" s="10" t="s">
        <v>2140</v>
      </c>
      <c r="J59" s="10" t="s">
        <v>2136</v>
      </c>
      <c r="K59" s="10"/>
      <c r="L59" s="10">
        <v>304.0</v>
      </c>
      <c r="M59" s="10">
        <v>8.44</v>
      </c>
      <c r="N59" s="10"/>
      <c r="O59" s="10"/>
      <c r="P59" s="12">
        <f>IF($A59="","",IFERROR((IF($O59="",0,$O59)*Settings!$J$4+IF($L59="",0,$L59)*Settings!$J$5+IF($N59="",0,$N59)*Settings!$J$6)/(IF($O59="",0,Settings!$J$4)+IF($L59="",0,Settings!$J$5)+IF($N59="",0,Settings!$J$6)),0))</f>
        <v>304</v>
      </c>
      <c r="Q59" s="12">
        <f t="array" ref="Q59">IF($A59="","",XLOOKUP($E59,Settings!$A$19:$A$22,Settings!$G$19:$G$22,0))</f>
        <v>206</v>
      </c>
      <c r="R59" s="12">
        <f t="shared" si="1"/>
        <v>98</v>
      </c>
      <c r="S59" s="12">
        <f>IF($A59="","",IF($R59&lt;=0,1,1+$R59/SUMIF($R$4:$R$923,"&gt;0",$R$4:$R$923)*(Settings!$B$5*(Settings!$B$6-Settings!$B$7))))</f>
        <v>13.10011123</v>
      </c>
      <c r="T59" s="12">
        <f t="array" ref="T59">IF($A59="","",XLOOKUP($F59,Settings!$I$15:$I$20,Settings!$J$15:$J$20,1))</f>
        <v>1.05</v>
      </c>
      <c r="U59" s="12">
        <f>IF($A59="","",1+(($G59-5)/5)*Settings!$J$8)</f>
        <v>1</v>
      </c>
      <c r="V59" s="12">
        <f>IF($A59="","",1+(($H59-5)/5)*Settings!$J$9)</f>
        <v>1.06</v>
      </c>
      <c r="W59" s="12">
        <f t="array" ref="W59">IF($A59="","",XLOOKUP($J59,Lists!$C$3:$C$7,Lists!$D$3:$D$7,1))</f>
        <v>1</v>
      </c>
      <c r="X59" s="12">
        <f>IF($A59="","",IF($I59="Yes",Settings!$J$10,1))</f>
        <v>1</v>
      </c>
      <c r="Y59" s="12">
        <f t="shared" si="2"/>
        <v>15</v>
      </c>
      <c r="Z59" s="12">
        <f>IF($A59="","",IFERROR(ROUND(AVERAGEIFS('Historical Drafts'!$G$4:$G$300,'Historical Drafts'!$D$4:$D$300,$E59,'Historical Drafts'!$J$4:$J$300,"&gt;="&amp;$L59*0.85,'Historical Drafts'!$J$4:$J$300,"&lt;="&amp;$L59*1.15),0),$Y59))</f>
        <v>14</v>
      </c>
      <c r="AA59" s="12" t="str">
        <f>IF($A59="","",IF(COUNTIF('Auction Log'!$B$3:$B$300,$A59)&gt;0,"Sold","Available"))</f>
        <v>Available</v>
      </c>
      <c r="AB59" s="12" t="str">
        <f t="array" ref="AB59">IF($A59="","",IFERROR(XLOOKUP($A59,'Auction Log'!$B$3:$B$300,'Auction Log'!$G$3:$G$300,""),""))</f>
        <v/>
      </c>
      <c r="AC59" s="12" t="str">
        <f t="array" ref="AC59">IF($A59="","",IFERROR(XLOOKUP($A59,'Auction Log'!$B$3:$B$300,'Auction Log'!$F$3:$F$300,""),""))</f>
        <v/>
      </c>
      <c r="AD59" s="12">
        <f t="array" ref="AD59">IF($A59="","",ROUND($Y59*XLOOKUP($F59,Settings!$I$15:$I$20,Settings!$K$15:$K$20,0.4),0))</f>
        <v>6</v>
      </c>
      <c r="AE59" s="12">
        <f t="array" ref="AE59">IF($A59="","",ROUND($Y59*XLOOKUP($F59,Settings!$I$15:$I$20,Settings!$L$15:$L$20,0.8),0))</f>
        <v>12</v>
      </c>
      <c r="AF59" s="12">
        <f t="array" ref="AF59">IF($A59="","",ROUND($Y59*XLOOKUP($F59,Settings!$I$15:$I$20,Settings!$M$15:$M$20,1),0))</f>
        <v>15</v>
      </c>
      <c r="AG59" s="12">
        <f t="array" ref="AG59">IF($A59="","",ROUND($Y59*XLOOKUP($F59,Settings!$I$15:$I$20,Settings!$N$15:$N$20,1.1),0))</f>
        <v>16</v>
      </c>
      <c r="AH59" s="12">
        <f t="array" ref="AH59">IF($A59="","",ROUND($Y59*XLOOKUP($F59,Settings!$I$15:$I$20,Settings!$O$15:$O$20,1.1)*Settings!$J$7,0))</f>
        <v>17</v>
      </c>
      <c r="AI59" s="12">
        <f t="array" ref="AI59">IF($A59="","",IF($AA59="Sold","",MIN($AH59,IFERROR(XLOOKUP(Settings!$B$12,Managers!$B$4:$B$15,Managers!$H$4:$H$15),$AH59))))</f>
        <v>17</v>
      </c>
      <c r="AJ59" s="12" t="str">
        <f t="shared" si="3"/>
        <v>Recommended</v>
      </c>
      <c r="AK59" s="12">
        <f t="shared" si="4"/>
        <v>40</v>
      </c>
      <c r="AL59" s="12" t="str">
        <f t="shared" si="5"/>
        <v/>
      </c>
    </row>
    <row r="60" ht="15.75" customHeight="1">
      <c r="A60" s="10" t="s">
        <v>569</v>
      </c>
      <c r="B60" s="10" t="s">
        <v>570</v>
      </c>
      <c r="C60" s="10" t="s">
        <v>571</v>
      </c>
      <c r="D60" s="10" t="s">
        <v>121</v>
      </c>
      <c r="E60" s="10" t="s">
        <v>121</v>
      </c>
      <c r="F60" s="10" t="s">
        <v>102</v>
      </c>
      <c r="G60" s="10">
        <v>5.0</v>
      </c>
      <c r="H60" s="10">
        <v>7.0</v>
      </c>
      <c r="I60" s="10" t="s">
        <v>2140</v>
      </c>
      <c r="J60" s="10" t="s">
        <v>2136</v>
      </c>
      <c r="K60" s="10"/>
      <c r="L60" s="10">
        <v>297.5</v>
      </c>
      <c r="M60" s="10">
        <v>8.26</v>
      </c>
      <c r="N60" s="10"/>
      <c r="O60" s="10"/>
      <c r="P60" s="12">
        <f>IF($A60="","",IFERROR((IF($O60="",0,$O60)*Settings!$J$4+IF($L60="",0,$L60)*Settings!$J$5+IF($N60="",0,$N60)*Settings!$J$6)/(IF($O60="",0,Settings!$J$4)+IF($L60="",0,Settings!$J$5)+IF($N60="",0,Settings!$J$6)),0))</f>
        <v>297.5</v>
      </c>
      <c r="Q60" s="12">
        <f t="array" ref="Q60">IF($A60="","",XLOOKUP($E60,Settings!$A$19:$A$22,Settings!$G$19:$G$22,0))</f>
        <v>206</v>
      </c>
      <c r="R60" s="12">
        <f t="shared" si="1"/>
        <v>91.5</v>
      </c>
      <c r="S60" s="12">
        <f>IF($A60="","",IF($R60&lt;=0,1,1+$R60/SUMIF($R$4:$R$923,"&gt;0",$R$4:$R$923)*(Settings!$B$5*(Settings!$B$6-Settings!$B$7))))</f>
        <v>12.29755284</v>
      </c>
      <c r="T60" s="12">
        <f t="array" ref="T60">IF($A60="","",XLOOKUP($F60,Settings!$I$15:$I$20,Settings!$J$15:$J$20,1))</f>
        <v>1.05</v>
      </c>
      <c r="U60" s="12">
        <f>IF($A60="","",1+(($G60-5)/5)*Settings!$J$8)</f>
        <v>1</v>
      </c>
      <c r="V60" s="12">
        <f>IF($A60="","",1+(($H60-5)/5)*Settings!$J$9)</f>
        <v>1.06</v>
      </c>
      <c r="W60" s="12">
        <f t="array" ref="W60">IF($A60="","",XLOOKUP($J60,Lists!$C$3:$C$7,Lists!$D$3:$D$7,1))</f>
        <v>1</v>
      </c>
      <c r="X60" s="12">
        <f>IF($A60="","",IF($I60="Yes",Settings!$J$10,1))</f>
        <v>1</v>
      </c>
      <c r="Y60" s="12">
        <f t="shared" si="2"/>
        <v>14</v>
      </c>
      <c r="Z60" s="12">
        <f>IF($A60="","",IFERROR(ROUND(AVERAGEIFS('Historical Drafts'!$G$4:$G$300,'Historical Drafts'!$D$4:$D$300,$E60,'Historical Drafts'!$J$4:$J$300,"&gt;="&amp;$L60*0.85,'Historical Drafts'!$J$4:$J$300,"&lt;="&amp;$L60*1.15),0),$Y60))</f>
        <v>16</v>
      </c>
      <c r="AA60" s="12" t="str">
        <f>IF($A60="","",IF(COUNTIF('Auction Log'!$B$3:$B$300,$A60)&gt;0,"Sold","Available"))</f>
        <v>Available</v>
      </c>
      <c r="AB60" s="12" t="str">
        <f t="array" ref="AB60">IF($A60="","",IFERROR(XLOOKUP($A60,'Auction Log'!$B$3:$B$300,'Auction Log'!$G$3:$G$300,""),""))</f>
        <v/>
      </c>
      <c r="AC60" s="12" t="str">
        <f t="array" ref="AC60">IF($A60="","",IFERROR(XLOOKUP($A60,'Auction Log'!$B$3:$B$300,'Auction Log'!$F$3:$F$300,""),""))</f>
        <v/>
      </c>
      <c r="AD60" s="12">
        <f t="array" ref="AD60">IF($A60="","",ROUND($Y60*XLOOKUP($F60,Settings!$I$15:$I$20,Settings!$K$15:$K$20,0.4),0))</f>
        <v>6</v>
      </c>
      <c r="AE60" s="12">
        <f t="array" ref="AE60">IF($A60="","",ROUND($Y60*XLOOKUP($F60,Settings!$I$15:$I$20,Settings!$L$15:$L$20,0.8),0))</f>
        <v>11</v>
      </c>
      <c r="AF60" s="12">
        <f t="array" ref="AF60">IF($A60="","",ROUND($Y60*XLOOKUP($F60,Settings!$I$15:$I$20,Settings!$M$15:$M$20,1),0))</f>
        <v>14</v>
      </c>
      <c r="AG60" s="12">
        <f t="array" ref="AG60">IF($A60="","",ROUND($Y60*XLOOKUP($F60,Settings!$I$15:$I$20,Settings!$N$15:$N$20,1.1),0))</f>
        <v>15</v>
      </c>
      <c r="AH60" s="12">
        <f t="array" ref="AH60">IF($A60="","",ROUND($Y60*XLOOKUP($F60,Settings!$I$15:$I$20,Settings!$O$15:$O$20,1.1)*Settings!$J$7,0))</f>
        <v>16</v>
      </c>
      <c r="AI60" s="12">
        <f t="array" ref="AI60">IF($A60="","",IF($AA60="Sold","",MIN($AH60,IFERROR(XLOOKUP(Settings!$B$12,Managers!$B$4:$B$15,Managers!$H$4:$H$15),$AH60))))</f>
        <v>16</v>
      </c>
      <c r="AJ60" s="12" t="str">
        <f t="shared" si="3"/>
        <v>Recommended</v>
      </c>
      <c r="AK60" s="12">
        <f t="shared" si="4"/>
        <v>39</v>
      </c>
      <c r="AL60" s="12" t="str">
        <f t="shared" si="5"/>
        <v/>
      </c>
    </row>
    <row r="61" ht="15.75" customHeight="1">
      <c r="A61" s="10" t="s">
        <v>572</v>
      </c>
      <c r="B61" s="10" t="s">
        <v>573</v>
      </c>
      <c r="C61" s="10" t="s">
        <v>221</v>
      </c>
      <c r="D61" s="10" t="s">
        <v>115</v>
      </c>
      <c r="E61" s="10" t="s">
        <v>115</v>
      </c>
      <c r="F61" s="10" t="s">
        <v>102</v>
      </c>
      <c r="G61" s="10">
        <v>5.0</v>
      </c>
      <c r="H61" s="10">
        <v>7.0</v>
      </c>
      <c r="I61" s="10" t="s">
        <v>2140</v>
      </c>
      <c r="J61" s="10" t="s">
        <v>2136</v>
      </c>
      <c r="K61" s="10"/>
      <c r="L61" s="10">
        <v>296.0</v>
      </c>
      <c r="M61" s="10">
        <v>8.0</v>
      </c>
      <c r="N61" s="10"/>
      <c r="O61" s="10"/>
      <c r="P61" s="12">
        <f>IF($A61="","",IFERROR((IF($O61="",0,$O61)*Settings!$J$4+IF($L61="",0,$L61)*Settings!$J$5+IF($N61="",0,$N61)*Settings!$J$6)/(IF($O61="",0,Settings!$J$4)+IF($L61="",0,Settings!$J$5)+IF($N61="",0,Settings!$J$6)),0))</f>
        <v>296</v>
      </c>
      <c r="Q61" s="12">
        <f t="array" ref="Q61">IF($A61="","",XLOOKUP($E61,Settings!$A$19:$A$22,Settings!$G$19:$G$22,0))</f>
        <v>249.25</v>
      </c>
      <c r="R61" s="12">
        <f t="shared" si="1"/>
        <v>46.75</v>
      </c>
      <c r="S61" s="12">
        <f>IF($A61="","",IF($R61&lt;=0,1,1+$R61/SUMIF($R$4:$R$923,"&gt;0",$R$4:$R$923)*(Settings!$B$5*(Settings!$B$6-Settings!$B$7))))</f>
        <v>6.772246941</v>
      </c>
      <c r="T61" s="12">
        <f t="array" ref="T61">IF($A61="","",XLOOKUP($F61,Settings!$I$15:$I$20,Settings!$J$15:$J$20,1))</f>
        <v>1.05</v>
      </c>
      <c r="U61" s="12">
        <f>IF($A61="","",1+(($G61-5)/5)*Settings!$J$8)</f>
        <v>1</v>
      </c>
      <c r="V61" s="12">
        <f>IF($A61="","",1+(($H61-5)/5)*Settings!$J$9)</f>
        <v>1.06</v>
      </c>
      <c r="W61" s="12">
        <f t="array" ref="W61">IF($A61="","",XLOOKUP($J61,Lists!$C$3:$C$7,Lists!$D$3:$D$7,1))</f>
        <v>1</v>
      </c>
      <c r="X61" s="12">
        <f>IF($A61="","",IF($I61="Yes",Settings!$J$10,1))</f>
        <v>1</v>
      </c>
      <c r="Y61" s="12">
        <f t="shared" si="2"/>
        <v>8</v>
      </c>
      <c r="Z61" s="12">
        <f>IF($A61="","",IFERROR(ROUND(AVERAGEIFS('Historical Drafts'!$G$4:$G$300,'Historical Drafts'!$D$4:$D$300,$E61,'Historical Drafts'!$J$4:$J$300,"&gt;="&amp;$L61*0.85,'Historical Drafts'!$J$4:$J$300,"&lt;="&amp;$L61*1.15),0),$Y61))</f>
        <v>1</v>
      </c>
      <c r="AA61" s="12" t="str">
        <f>IF($A61="","",IF(COUNTIF('Auction Log'!$B$3:$B$300,$A61)&gt;0,"Sold","Available"))</f>
        <v>Available</v>
      </c>
      <c r="AB61" s="12" t="str">
        <f t="array" ref="AB61">IF($A61="","",IFERROR(XLOOKUP($A61,'Auction Log'!$B$3:$B$300,'Auction Log'!$G$3:$G$300,""),""))</f>
        <v/>
      </c>
      <c r="AC61" s="12" t="str">
        <f t="array" ref="AC61">IF($A61="","",IFERROR(XLOOKUP($A61,'Auction Log'!$B$3:$B$300,'Auction Log'!$F$3:$F$300,""),""))</f>
        <v/>
      </c>
      <c r="AD61" s="12">
        <f t="array" ref="AD61">IF($A61="","",ROUND($Y61*XLOOKUP($F61,Settings!$I$15:$I$20,Settings!$K$15:$K$20,0.4),0))</f>
        <v>3</v>
      </c>
      <c r="AE61" s="12">
        <f t="array" ref="AE61">IF($A61="","",ROUND($Y61*XLOOKUP($F61,Settings!$I$15:$I$20,Settings!$L$15:$L$20,0.8),0))</f>
        <v>6</v>
      </c>
      <c r="AF61" s="12">
        <f t="array" ref="AF61">IF($A61="","",ROUND($Y61*XLOOKUP($F61,Settings!$I$15:$I$20,Settings!$M$15:$M$20,1),0))</f>
        <v>8</v>
      </c>
      <c r="AG61" s="12">
        <f t="array" ref="AG61">IF($A61="","",ROUND($Y61*XLOOKUP($F61,Settings!$I$15:$I$20,Settings!$N$15:$N$20,1.1),0))</f>
        <v>8</v>
      </c>
      <c r="AH61" s="12">
        <f t="array" ref="AH61">IF($A61="","",ROUND($Y61*XLOOKUP($F61,Settings!$I$15:$I$20,Settings!$O$15:$O$20,1.1)*Settings!$J$7,0))</f>
        <v>9</v>
      </c>
      <c r="AI61" s="12">
        <f t="array" ref="AI61">IF($A61="","",IF($AA61="Sold","",MIN($AH61,IFERROR(XLOOKUP(Settings!$B$12,Managers!$B$4:$B$15,Managers!$H$4:$H$15),$AH61))))</f>
        <v>9</v>
      </c>
      <c r="AJ61" s="12" t="str">
        <f t="shared" si="3"/>
        <v>Value Target</v>
      </c>
      <c r="AK61" s="12">
        <f t="shared" si="4"/>
        <v>33</v>
      </c>
      <c r="AL61" s="12" t="str">
        <f t="shared" si="5"/>
        <v/>
      </c>
    </row>
    <row r="62" ht="15.75" customHeight="1">
      <c r="A62" s="10" t="s">
        <v>473</v>
      </c>
      <c r="B62" s="10" t="s">
        <v>474</v>
      </c>
      <c r="C62" s="10" t="s">
        <v>191</v>
      </c>
      <c r="D62" s="10" t="s">
        <v>115</v>
      </c>
      <c r="E62" s="10" t="s">
        <v>115</v>
      </c>
      <c r="F62" s="10" t="s">
        <v>102</v>
      </c>
      <c r="G62" s="10">
        <v>5.0</v>
      </c>
      <c r="H62" s="10">
        <v>7.0</v>
      </c>
      <c r="I62" s="10" t="s">
        <v>2140</v>
      </c>
      <c r="J62" s="10" t="s">
        <v>2136</v>
      </c>
      <c r="K62" s="10"/>
      <c r="L62" s="10">
        <v>296.0</v>
      </c>
      <c r="M62" s="10">
        <v>8.0</v>
      </c>
      <c r="N62" s="10"/>
      <c r="O62" s="10"/>
      <c r="P62" s="12">
        <f>IF($A62="","",IFERROR((IF($O62="",0,$O62)*Settings!$J$4+IF($L62="",0,$L62)*Settings!$J$5+IF($N62="",0,$N62)*Settings!$J$6)/(IF($O62="",0,Settings!$J$4)+IF($L62="",0,Settings!$J$5)+IF($N62="",0,Settings!$J$6)),0))</f>
        <v>296</v>
      </c>
      <c r="Q62" s="12">
        <f t="array" ref="Q62">IF($A62="","",XLOOKUP($E62,Settings!$A$19:$A$22,Settings!$G$19:$G$22,0))</f>
        <v>249.25</v>
      </c>
      <c r="R62" s="12">
        <f t="shared" si="1"/>
        <v>46.75</v>
      </c>
      <c r="S62" s="12">
        <f>IF($A62="","",IF($R62&lt;=0,1,1+$R62/SUMIF($R$4:$R$923,"&gt;0",$R$4:$R$923)*(Settings!$B$5*(Settings!$B$6-Settings!$B$7))))</f>
        <v>6.772246941</v>
      </c>
      <c r="T62" s="12">
        <f t="array" ref="T62">IF($A62="","",XLOOKUP($F62,Settings!$I$15:$I$20,Settings!$J$15:$J$20,1))</f>
        <v>1.05</v>
      </c>
      <c r="U62" s="12">
        <f>IF($A62="","",1+(($G62-5)/5)*Settings!$J$8)</f>
        <v>1</v>
      </c>
      <c r="V62" s="12">
        <f>IF($A62="","",1+(($H62-5)/5)*Settings!$J$9)</f>
        <v>1.06</v>
      </c>
      <c r="W62" s="12">
        <f t="array" ref="W62">IF($A62="","",XLOOKUP($J62,Lists!$C$3:$C$7,Lists!$D$3:$D$7,1))</f>
        <v>1</v>
      </c>
      <c r="X62" s="12">
        <f>IF($A62="","",IF($I62="Yes",Settings!$J$10,1))</f>
        <v>1</v>
      </c>
      <c r="Y62" s="12">
        <f t="shared" si="2"/>
        <v>8</v>
      </c>
      <c r="Z62" s="12">
        <f>IF($A62="","",IFERROR(ROUND(AVERAGEIFS('Historical Drafts'!$G$4:$G$300,'Historical Drafts'!$D$4:$D$300,$E62,'Historical Drafts'!$J$4:$J$300,"&gt;="&amp;$L62*0.85,'Historical Drafts'!$J$4:$J$300,"&lt;="&amp;$L62*1.15),0),$Y62))</f>
        <v>1</v>
      </c>
      <c r="AA62" s="12" t="str">
        <f>IF($A62="","",IF(COUNTIF('Auction Log'!$B$3:$B$300,$A62)&gt;0,"Sold","Available"))</f>
        <v>Available</v>
      </c>
      <c r="AB62" s="12" t="str">
        <f t="array" ref="AB62">IF($A62="","",IFERROR(XLOOKUP($A62,'Auction Log'!$B$3:$B$300,'Auction Log'!$G$3:$G$300,""),""))</f>
        <v/>
      </c>
      <c r="AC62" s="12" t="str">
        <f t="array" ref="AC62">IF($A62="","",IFERROR(XLOOKUP($A62,'Auction Log'!$B$3:$B$300,'Auction Log'!$F$3:$F$300,""),""))</f>
        <v/>
      </c>
      <c r="AD62" s="12">
        <f t="array" ref="AD62">IF($A62="","",ROUND($Y62*XLOOKUP($F62,Settings!$I$15:$I$20,Settings!$K$15:$K$20,0.4),0))</f>
        <v>3</v>
      </c>
      <c r="AE62" s="12">
        <f t="array" ref="AE62">IF($A62="","",ROUND($Y62*XLOOKUP($F62,Settings!$I$15:$I$20,Settings!$L$15:$L$20,0.8),0))</f>
        <v>6</v>
      </c>
      <c r="AF62" s="12">
        <f t="array" ref="AF62">IF($A62="","",ROUND($Y62*XLOOKUP($F62,Settings!$I$15:$I$20,Settings!$M$15:$M$20,1),0))</f>
        <v>8</v>
      </c>
      <c r="AG62" s="12">
        <f t="array" ref="AG62">IF($A62="","",ROUND($Y62*XLOOKUP($F62,Settings!$I$15:$I$20,Settings!$N$15:$N$20,1.1),0))</f>
        <v>8</v>
      </c>
      <c r="AH62" s="12">
        <f t="array" ref="AH62">IF($A62="","",ROUND($Y62*XLOOKUP($F62,Settings!$I$15:$I$20,Settings!$O$15:$O$20,1.1)*Settings!$J$7,0))</f>
        <v>9</v>
      </c>
      <c r="AI62" s="12">
        <f t="array" ref="AI62">IF($A62="","",IF($AA62="Sold","",MIN($AH62,IFERROR(XLOOKUP(Settings!$B$12,Managers!$B$4:$B$15,Managers!$H$4:$H$15),$AH62))))</f>
        <v>9</v>
      </c>
      <c r="AJ62" s="12" t="str">
        <f t="shared" si="3"/>
        <v>Value Target</v>
      </c>
      <c r="AK62" s="12">
        <f t="shared" si="4"/>
        <v>33</v>
      </c>
      <c r="AL62" s="12" t="str">
        <f t="shared" si="5"/>
        <v/>
      </c>
    </row>
    <row r="63" ht="15.75" customHeight="1">
      <c r="A63" s="10" t="s">
        <v>346</v>
      </c>
      <c r="B63" s="10" t="s">
        <v>347</v>
      </c>
      <c r="C63" s="10" t="s">
        <v>188</v>
      </c>
      <c r="D63" s="10" t="s">
        <v>118</v>
      </c>
      <c r="E63" s="10" t="s">
        <v>118</v>
      </c>
      <c r="F63" s="10" t="s">
        <v>102</v>
      </c>
      <c r="G63" s="10">
        <v>5.0</v>
      </c>
      <c r="H63" s="10">
        <v>7.0</v>
      </c>
      <c r="I63" s="10" t="s">
        <v>2140</v>
      </c>
      <c r="J63" s="10" t="s">
        <v>2136</v>
      </c>
      <c r="K63" s="10"/>
      <c r="L63" s="10">
        <v>295.75</v>
      </c>
      <c r="M63" s="10">
        <v>10.2</v>
      </c>
      <c r="N63" s="10"/>
      <c r="O63" s="10"/>
      <c r="P63" s="12">
        <f>IF($A63="","",IFERROR((IF($O63="",0,$O63)*Settings!$J$4+IF($L63="",0,$L63)*Settings!$J$5+IF($N63="",0,$N63)*Settings!$J$6)/(IF($O63="",0,Settings!$J$4)+IF($L63="",0,Settings!$J$5)+IF($N63="",0,Settings!$J$6)),0))</f>
        <v>295.75</v>
      </c>
      <c r="Q63" s="12">
        <f t="array" ref="Q63">IF($A63="","",XLOOKUP($E63,Settings!$A$19:$A$22,Settings!$G$19:$G$22,0))</f>
        <v>196.25</v>
      </c>
      <c r="R63" s="12">
        <f t="shared" si="1"/>
        <v>99.5</v>
      </c>
      <c r="S63" s="12">
        <f>IF($A63="","",IF($R63&lt;=0,1,1+$R63/SUMIF($R$4:$R$923,"&gt;0",$R$4:$R$923)*(Settings!$B$5*(Settings!$B$6-Settings!$B$7))))</f>
        <v>13.28531702</v>
      </c>
      <c r="T63" s="12">
        <f t="array" ref="T63">IF($A63="","",XLOOKUP($F63,Settings!$I$15:$I$20,Settings!$J$15:$J$20,1))</f>
        <v>1.05</v>
      </c>
      <c r="U63" s="12">
        <f>IF($A63="","",1+(($G63-5)/5)*Settings!$J$8)</f>
        <v>1</v>
      </c>
      <c r="V63" s="12">
        <f>IF($A63="","",1+(($H63-5)/5)*Settings!$J$9)</f>
        <v>1.06</v>
      </c>
      <c r="W63" s="12">
        <f t="array" ref="W63">IF($A63="","",XLOOKUP($J63,Lists!$C$3:$C$7,Lists!$D$3:$D$7,1))</f>
        <v>1</v>
      </c>
      <c r="X63" s="12">
        <f>IF($A63="","",IF($I63="Yes",Settings!$J$10,1))</f>
        <v>1</v>
      </c>
      <c r="Y63" s="12">
        <f t="shared" si="2"/>
        <v>15</v>
      </c>
      <c r="Z63" s="12">
        <f>IF($A63="","",IFERROR(ROUND(AVERAGEIFS('Historical Drafts'!$G$4:$G$300,'Historical Drafts'!$D$4:$D$300,$E63,'Historical Drafts'!$J$4:$J$300,"&gt;="&amp;$L63*0.85,'Historical Drafts'!$J$4:$J$300,"&lt;="&amp;$L63*1.15),0),$Y63))</f>
        <v>5</v>
      </c>
      <c r="AA63" s="12" t="str">
        <f>IF($A63="","",IF(COUNTIF('Auction Log'!$B$3:$B$300,$A63)&gt;0,"Sold","Available"))</f>
        <v>Available</v>
      </c>
      <c r="AB63" s="12" t="str">
        <f t="array" ref="AB63">IF($A63="","",IFERROR(XLOOKUP($A63,'Auction Log'!$B$3:$B$300,'Auction Log'!$G$3:$G$300,""),""))</f>
        <v/>
      </c>
      <c r="AC63" s="12" t="str">
        <f t="array" ref="AC63">IF($A63="","",IFERROR(XLOOKUP($A63,'Auction Log'!$B$3:$B$300,'Auction Log'!$F$3:$F$300,""),""))</f>
        <v/>
      </c>
      <c r="AD63" s="12">
        <f t="array" ref="AD63">IF($A63="","",ROUND($Y63*XLOOKUP($F63,Settings!$I$15:$I$20,Settings!$K$15:$K$20,0.4),0))</f>
        <v>6</v>
      </c>
      <c r="AE63" s="12">
        <f t="array" ref="AE63">IF($A63="","",ROUND($Y63*XLOOKUP($F63,Settings!$I$15:$I$20,Settings!$L$15:$L$20,0.8),0))</f>
        <v>12</v>
      </c>
      <c r="AF63" s="12">
        <f t="array" ref="AF63">IF($A63="","",ROUND($Y63*XLOOKUP($F63,Settings!$I$15:$I$20,Settings!$M$15:$M$20,1),0))</f>
        <v>15</v>
      </c>
      <c r="AG63" s="12">
        <f t="array" ref="AG63">IF($A63="","",ROUND($Y63*XLOOKUP($F63,Settings!$I$15:$I$20,Settings!$N$15:$N$20,1.1),0))</f>
        <v>16</v>
      </c>
      <c r="AH63" s="12">
        <f t="array" ref="AH63">IF($A63="","",ROUND($Y63*XLOOKUP($F63,Settings!$I$15:$I$20,Settings!$O$15:$O$20,1.1)*Settings!$J$7,0))</f>
        <v>17</v>
      </c>
      <c r="AI63" s="12">
        <f t="array" ref="AI63">IF($A63="","",IF($AA63="Sold","",MIN($AH63,IFERROR(XLOOKUP(Settings!$B$12,Managers!$B$4:$B$15,Managers!$H$4:$H$15),$AH63))))</f>
        <v>17</v>
      </c>
      <c r="AJ63" s="12" t="str">
        <f t="shared" si="3"/>
        <v>Value Target</v>
      </c>
      <c r="AK63" s="12">
        <f t="shared" si="4"/>
        <v>40</v>
      </c>
      <c r="AL63" s="12" t="str">
        <f t="shared" si="5"/>
        <v/>
      </c>
    </row>
    <row r="64" ht="15.75" customHeight="1">
      <c r="A64" s="10" t="s">
        <v>411</v>
      </c>
      <c r="B64" s="10" t="s">
        <v>412</v>
      </c>
      <c r="C64" s="10" t="s">
        <v>327</v>
      </c>
      <c r="D64" s="10" t="s">
        <v>123</v>
      </c>
      <c r="E64" s="10" t="s">
        <v>123</v>
      </c>
      <c r="F64" s="10" t="s">
        <v>102</v>
      </c>
      <c r="G64" s="10">
        <v>5.0</v>
      </c>
      <c r="H64" s="10">
        <v>7.0</v>
      </c>
      <c r="I64" s="10" t="s">
        <v>2140</v>
      </c>
      <c r="J64" s="10" t="s">
        <v>2136</v>
      </c>
      <c r="K64" s="10"/>
      <c r="L64" s="10">
        <v>295.5</v>
      </c>
      <c r="M64" s="10">
        <v>8.44</v>
      </c>
      <c r="N64" s="10"/>
      <c r="O64" s="10"/>
      <c r="P64" s="12">
        <f>IF($A64="","",IFERROR((IF($O64="",0,$O64)*Settings!$J$4+IF($L64="",0,$L64)*Settings!$J$5+IF($N64="",0,$N64)*Settings!$J$6)/(IF($O64="",0,Settings!$J$4)+IF($L64="",0,Settings!$J$5)+IF($N64="",0,Settings!$J$6)),0))</f>
        <v>295.5</v>
      </c>
      <c r="Q64" s="12">
        <f t="array" ref="Q64">IF($A64="","",XLOOKUP($E64,Settings!$A$19:$A$22,Settings!$G$19:$G$22,0))</f>
        <v>203</v>
      </c>
      <c r="R64" s="12">
        <f t="shared" si="1"/>
        <v>92.5</v>
      </c>
      <c r="S64" s="12">
        <f>IF($A64="","",IF($R64&lt;=0,1,1+$R64/SUMIF($R$4:$R$923,"&gt;0",$R$4:$R$923)*(Settings!$B$5*(Settings!$B$6-Settings!$B$7))))</f>
        <v>12.42102336</v>
      </c>
      <c r="T64" s="12">
        <f t="array" ref="T64">IF($A64="","",XLOOKUP($F64,Settings!$I$15:$I$20,Settings!$J$15:$J$20,1))</f>
        <v>1.05</v>
      </c>
      <c r="U64" s="12">
        <f>IF($A64="","",1+(($G64-5)/5)*Settings!$J$8)</f>
        <v>1</v>
      </c>
      <c r="V64" s="12">
        <f>IF($A64="","",1+(($H64-5)/5)*Settings!$J$9)</f>
        <v>1.06</v>
      </c>
      <c r="W64" s="12">
        <f t="array" ref="W64">IF($A64="","",XLOOKUP($J64,Lists!$C$3:$C$7,Lists!$D$3:$D$7,1))</f>
        <v>1</v>
      </c>
      <c r="X64" s="12">
        <f>IF($A64="","",IF($I64="Yes",Settings!$J$10,1))</f>
        <v>1</v>
      </c>
      <c r="Y64" s="12">
        <f t="shared" si="2"/>
        <v>14</v>
      </c>
      <c r="Z64" s="12">
        <f>IF($A64="","",IFERROR(ROUND(AVERAGEIFS('Historical Drafts'!$G$4:$G$300,'Historical Drafts'!$D$4:$D$300,$E64,'Historical Drafts'!$J$4:$J$300,"&gt;="&amp;$L64*0.85,'Historical Drafts'!$J$4:$J$300,"&lt;="&amp;$L64*1.15),0),$Y64))</f>
        <v>23</v>
      </c>
      <c r="AA64" s="12" t="str">
        <f>IF($A64="","",IF(COUNTIF('Auction Log'!$B$3:$B$300,$A64)&gt;0,"Sold","Available"))</f>
        <v>Available</v>
      </c>
      <c r="AB64" s="12" t="str">
        <f t="array" ref="AB64">IF($A64="","",IFERROR(XLOOKUP($A64,'Auction Log'!$B$3:$B$300,'Auction Log'!$G$3:$G$300,""),""))</f>
        <v/>
      </c>
      <c r="AC64" s="12" t="str">
        <f t="array" ref="AC64">IF($A64="","",IFERROR(XLOOKUP($A64,'Auction Log'!$B$3:$B$300,'Auction Log'!$F$3:$F$300,""),""))</f>
        <v/>
      </c>
      <c r="AD64" s="12">
        <f t="array" ref="AD64">IF($A64="","",ROUND($Y64*XLOOKUP($F64,Settings!$I$15:$I$20,Settings!$K$15:$K$20,0.4),0))</f>
        <v>6</v>
      </c>
      <c r="AE64" s="12">
        <f t="array" ref="AE64">IF($A64="","",ROUND($Y64*XLOOKUP($F64,Settings!$I$15:$I$20,Settings!$L$15:$L$20,0.8),0))</f>
        <v>11</v>
      </c>
      <c r="AF64" s="12">
        <f t="array" ref="AF64">IF($A64="","",ROUND($Y64*XLOOKUP($F64,Settings!$I$15:$I$20,Settings!$M$15:$M$20,1),0))</f>
        <v>14</v>
      </c>
      <c r="AG64" s="12">
        <f t="array" ref="AG64">IF($A64="","",ROUND($Y64*XLOOKUP($F64,Settings!$I$15:$I$20,Settings!$N$15:$N$20,1.1),0))</f>
        <v>15</v>
      </c>
      <c r="AH64" s="12">
        <f t="array" ref="AH64">IF($A64="","",ROUND($Y64*XLOOKUP($F64,Settings!$I$15:$I$20,Settings!$O$15:$O$20,1.1)*Settings!$J$7,0))</f>
        <v>16</v>
      </c>
      <c r="AI64" s="12">
        <f t="array" ref="AI64">IF($A64="","",IF($AA64="Sold","",MIN($AH64,IFERROR(XLOOKUP(Settings!$B$12,Managers!$B$4:$B$15,Managers!$H$4:$H$15),$AH64))))</f>
        <v>16</v>
      </c>
      <c r="AJ64" s="12" t="str">
        <f t="shared" si="3"/>
        <v>Budget Drainer</v>
      </c>
      <c r="AK64" s="12">
        <f t="shared" si="4"/>
        <v>48</v>
      </c>
      <c r="AL64" s="12" t="str">
        <f t="shared" si="5"/>
        <v/>
      </c>
    </row>
    <row r="65" ht="15.75" customHeight="1">
      <c r="A65" s="10" t="s">
        <v>574</v>
      </c>
      <c r="B65" s="10" t="s">
        <v>575</v>
      </c>
      <c r="C65" s="10" t="s">
        <v>180</v>
      </c>
      <c r="D65" s="10" t="s">
        <v>115</v>
      </c>
      <c r="E65" s="10" t="s">
        <v>115</v>
      </c>
      <c r="F65" s="10" t="s">
        <v>102</v>
      </c>
      <c r="G65" s="10">
        <v>5.0</v>
      </c>
      <c r="H65" s="10">
        <v>7.0</v>
      </c>
      <c r="I65" s="10" t="s">
        <v>2140</v>
      </c>
      <c r="J65" s="10" t="s">
        <v>2136</v>
      </c>
      <c r="K65" s="10"/>
      <c r="L65" s="10">
        <v>295.0</v>
      </c>
      <c r="M65" s="10">
        <v>8.68</v>
      </c>
      <c r="N65" s="10"/>
      <c r="O65" s="10"/>
      <c r="P65" s="12">
        <f>IF($A65="","",IFERROR((IF($O65="",0,$O65)*Settings!$J$4+IF($L65="",0,$L65)*Settings!$J$5+IF($N65="",0,$N65)*Settings!$J$6)/(IF($O65="",0,Settings!$J$4)+IF($L65="",0,Settings!$J$5)+IF($N65="",0,Settings!$J$6)),0))</f>
        <v>295</v>
      </c>
      <c r="Q65" s="12">
        <f t="array" ref="Q65">IF($A65="","",XLOOKUP($E65,Settings!$A$19:$A$22,Settings!$G$19:$G$22,0))</f>
        <v>249.25</v>
      </c>
      <c r="R65" s="12">
        <f t="shared" si="1"/>
        <v>45.75</v>
      </c>
      <c r="S65" s="12">
        <f>IF($A65="","",IF($R65&lt;=0,1,1+$R65/SUMIF($R$4:$R$923,"&gt;0",$R$4:$R$923)*(Settings!$B$5*(Settings!$B$6-Settings!$B$7))))</f>
        <v>6.648776418</v>
      </c>
      <c r="T65" s="12">
        <f t="array" ref="T65">IF($A65="","",XLOOKUP($F65,Settings!$I$15:$I$20,Settings!$J$15:$J$20,1))</f>
        <v>1.05</v>
      </c>
      <c r="U65" s="12">
        <f>IF($A65="","",1+(($G65-5)/5)*Settings!$J$8)</f>
        <v>1</v>
      </c>
      <c r="V65" s="12">
        <f>IF($A65="","",1+(($H65-5)/5)*Settings!$J$9)</f>
        <v>1.06</v>
      </c>
      <c r="W65" s="12">
        <f t="array" ref="W65">IF($A65="","",XLOOKUP($J65,Lists!$C$3:$C$7,Lists!$D$3:$D$7,1))</f>
        <v>1</v>
      </c>
      <c r="X65" s="12">
        <f>IF($A65="","",IF($I65="Yes",Settings!$J$10,1))</f>
        <v>1</v>
      </c>
      <c r="Y65" s="12">
        <f t="shared" si="2"/>
        <v>7</v>
      </c>
      <c r="Z65" s="12">
        <f>IF($A65="","",IFERROR(ROUND(AVERAGEIFS('Historical Drafts'!$G$4:$G$300,'Historical Drafts'!$D$4:$D$300,$E65,'Historical Drafts'!$J$4:$J$300,"&gt;="&amp;$L65*0.85,'Historical Drafts'!$J$4:$J$300,"&lt;="&amp;$L65*1.15),0),$Y65))</f>
        <v>1</v>
      </c>
      <c r="AA65" s="12" t="str">
        <f>IF($A65="","",IF(COUNTIF('Auction Log'!$B$3:$B$300,$A65)&gt;0,"Sold","Available"))</f>
        <v>Available</v>
      </c>
      <c r="AB65" s="12" t="str">
        <f t="array" ref="AB65">IF($A65="","",IFERROR(XLOOKUP($A65,'Auction Log'!$B$3:$B$300,'Auction Log'!$G$3:$G$300,""),""))</f>
        <v/>
      </c>
      <c r="AC65" s="12" t="str">
        <f t="array" ref="AC65">IF($A65="","",IFERROR(XLOOKUP($A65,'Auction Log'!$B$3:$B$300,'Auction Log'!$F$3:$F$300,""),""))</f>
        <v/>
      </c>
      <c r="AD65" s="12">
        <f t="array" ref="AD65">IF($A65="","",ROUND($Y65*XLOOKUP($F65,Settings!$I$15:$I$20,Settings!$K$15:$K$20,0.4),0))</f>
        <v>3</v>
      </c>
      <c r="AE65" s="12">
        <f t="array" ref="AE65">IF($A65="","",ROUND($Y65*XLOOKUP($F65,Settings!$I$15:$I$20,Settings!$L$15:$L$20,0.8),0))</f>
        <v>5</v>
      </c>
      <c r="AF65" s="12">
        <f t="array" ref="AF65">IF($A65="","",ROUND($Y65*XLOOKUP($F65,Settings!$I$15:$I$20,Settings!$M$15:$M$20,1),0))</f>
        <v>7</v>
      </c>
      <c r="AG65" s="12">
        <f t="array" ref="AG65">IF($A65="","",ROUND($Y65*XLOOKUP($F65,Settings!$I$15:$I$20,Settings!$N$15:$N$20,1.1),0))</f>
        <v>7</v>
      </c>
      <c r="AH65" s="12">
        <f t="array" ref="AH65">IF($A65="","",ROUND($Y65*XLOOKUP($F65,Settings!$I$15:$I$20,Settings!$O$15:$O$20,1.1)*Settings!$J$7,0))</f>
        <v>8</v>
      </c>
      <c r="AI65" s="12">
        <f t="array" ref="AI65">IF($A65="","",IF($AA65="Sold","",MIN($AH65,IFERROR(XLOOKUP(Settings!$B$12,Managers!$B$4:$B$15,Managers!$H$4:$H$15),$AH65))))</f>
        <v>8</v>
      </c>
      <c r="AJ65" s="12" t="str">
        <f t="shared" si="3"/>
        <v>Value Target</v>
      </c>
      <c r="AK65" s="12">
        <f t="shared" si="4"/>
        <v>32</v>
      </c>
      <c r="AL65" s="12" t="str">
        <f t="shared" si="5"/>
        <v/>
      </c>
    </row>
    <row r="66" ht="15.75" customHeight="1">
      <c r="A66" s="10" t="s">
        <v>342</v>
      </c>
      <c r="B66" s="10" t="s">
        <v>343</v>
      </c>
      <c r="C66" s="10" t="s">
        <v>215</v>
      </c>
      <c r="D66" s="10" t="s">
        <v>576</v>
      </c>
      <c r="E66" s="10" t="s">
        <v>576</v>
      </c>
      <c r="F66" s="10" t="s">
        <v>102</v>
      </c>
      <c r="G66" s="10">
        <v>5.0</v>
      </c>
      <c r="H66" s="10">
        <v>7.0</v>
      </c>
      <c r="I66" s="10" t="s">
        <v>2140</v>
      </c>
      <c r="J66" s="10" t="s">
        <v>2136</v>
      </c>
      <c r="K66" s="10"/>
      <c r="L66" s="10">
        <v>294.5</v>
      </c>
      <c r="M66" s="10">
        <v>9.2</v>
      </c>
      <c r="N66" s="10"/>
      <c r="O66" s="10"/>
      <c r="P66" s="12">
        <f>IF($A66="","",IFERROR((IF($O66="",0,$O66)*Settings!$J$4+IF($L66="",0,$L66)*Settings!$J$5+IF($N66="",0,$N66)*Settings!$J$6)/(IF($O66="",0,Settings!$J$4)+IF($L66="",0,Settings!$J$5)+IF($N66="",0,Settings!$J$6)),0))</f>
        <v>294.5</v>
      </c>
      <c r="Q66" s="12">
        <f t="array" ref="Q66">IF($A66="","",XLOOKUP($E66,Settings!$A$19:$A$22,Settings!$G$19:$G$22,0))</f>
        <v>0</v>
      </c>
      <c r="R66" s="12">
        <f t="shared" si="1"/>
        <v>294.5</v>
      </c>
      <c r="S66" s="12">
        <f>IF($A66="","",IF($R66&lt;=0,1,1+$R66/SUMIF($R$4:$R$923,"&gt;0",$R$4:$R$923)*(Settings!$B$5*(Settings!$B$6-Settings!$B$7))))</f>
        <v>37.36206897</v>
      </c>
      <c r="T66" s="12">
        <f t="array" ref="T66">IF($A66="","",XLOOKUP($F66,Settings!$I$15:$I$20,Settings!$J$15:$J$20,1))</f>
        <v>1.05</v>
      </c>
      <c r="U66" s="12">
        <f>IF($A66="","",1+(($G66-5)/5)*Settings!$J$8)</f>
        <v>1</v>
      </c>
      <c r="V66" s="12">
        <f>IF($A66="","",1+(($H66-5)/5)*Settings!$J$9)</f>
        <v>1.06</v>
      </c>
      <c r="W66" s="12">
        <f t="array" ref="W66">IF($A66="","",XLOOKUP($J66,Lists!$C$3:$C$7,Lists!$D$3:$D$7,1))</f>
        <v>1</v>
      </c>
      <c r="X66" s="12">
        <f>IF($A66="","",IF($I66="Yes",Settings!$J$10,1))</f>
        <v>1</v>
      </c>
      <c r="Y66" s="12">
        <f t="shared" si="2"/>
        <v>42</v>
      </c>
      <c r="Z66" s="12">
        <f>IF($A66="","",IFERROR(ROUND(AVERAGEIFS('Historical Drafts'!$G$4:$G$300,'Historical Drafts'!$D$4:$D$300,$E66,'Historical Drafts'!$J$4:$J$300,"&gt;="&amp;$L66*0.85,'Historical Drafts'!$J$4:$J$300,"&lt;="&amp;$L66*1.15),0),$Y66))</f>
        <v>42</v>
      </c>
      <c r="AA66" s="12" t="str">
        <f>IF($A66="","",IF(COUNTIF('Auction Log'!$B$3:$B$300,$A66)&gt;0,"Sold","Available"))</f>
        <v>Available</v>
      </c>
      <c r="AB66" s="12" t="str">
        <f t="array" ref="AB66">IF($A66="","",IFERROR(XLOOKUP($A66,'Auction Log'!$B$3:$B$300,'Auction Log'!$G$3:$G$300,""),""))</f>
        <v/>
      </c>
      <c r="AC66" s="12" t="str">
        <f t="array" ref="AC66">IF($A66="","",IFERROR(XLOOKUP($A66,'Auction Log'!$B$3:$B$300,'Auction Log'!$F$3:$F$300,""),""))</f>
        <v/>
      </c>
      <c r="AD66" s="12">
        <f t="array" ref="AD66">IF($A66="","",ROUND($Y66*XLOOKUP($F66,Settings!$I$15:$I$20,Settings!$K$15:$K$20,0.4),0))</f>
        <v>17</v>
      </c>
      <c r="AE66" s="12">
        <f t="array" ref="AE66">IF($A66="","",ROUND($Y66*XLOOKUP($F66,Settings!$I$15:$I$20,Settings!$L$15:$L$20,0.8),0))</f>
        <v>33</v>
      </c>
      <c r="AF66" s="12">
        <f t="array" ref="AF66">IF($A66="","",ROUND($Y66*XLOOKUP($F66,Settings!$I$15:$I$20,Settings!$M$15:$M$20,1),0))</f>
        <v>42</v>
      </c>
      <c r="AG66" s="12">
        <f t="array" ref="AG66">IF($A66="","",ROUND($Y66*XLOOKUP($F66,Settings!$I$15:$I$20,Settings!$N$15:$N$20,1.1),0))</f>
        <v>45</v>
      </c>
      <c r="AH66" s="12">
        <f t="array" ref="AH66">IF($A66="","",ROUND($Y66*XLOOKUP($F66,Settings!$I$15:$I$20,Settings!$O$15:$O$20,1.1)*Settings!$J$7,0))</f>
        <v>47</v>
      </c>
      <c r="AI66" s="12">
        <f t="array" ref="AI66">IF($A66="","",IF($AA66="Sold","",MIN($AH66,IFERROR(XLOOKUP(Settings!$B$12,Managers!$B$4:$B$15,Managers!$H$4:$H$15),$AH66))))</f>
        <v>47</v>
      </c>
      <c r="AJ66" s="12" t="str">
        <f t="shared" si="3"/>
        <v>Recommended</v>
      </c>
      <c r="AK66" s="12">
        <f t="shared" si="4"/>
        <v>67</v>
      </c>
      <c r="AL66" s="12" t="str">
        <f t="shared" si="5"/>
        <v/>
      </c>
    </row>
    <row r="67" ht="15.75" customHeight="1">
      <c r="A67" s="10" t="s">
        <v>577</v>
      </c>
      <c r="B67" s="10" t="s">
        <v>578</v>
      </c>
      <c r="C67" s="10" t="s">
        <v>285</v>
      </c>
      <c r="D67" s="10" t="s">
        <v>115</v>
      </c>
      <c r="E67" s="10" t="s">
        <v>115</v>
      </c>
      <c r="F67" s="10" t="s">
        <v>102</v>
      </c>
      <c r="G67" s="10">
        <v>5.0</v>
      </c>
      <c r="H67" s="10">
        <v>7.0</v>
      </c>
      <c r="I67" s="10" t="s">
        <v>2140</v>
      </c>
      <c r="J67" s="10" t="s">
        <v>2136</v>
      </c>
      <c r="K67" s="10"/>
      <c r="L67" s="10">
        <v>287.5</v>
      </c>
      <c r="M67" s="10">
        <v>7.57</v>
      </c>
      <c r="N67" s="10"/>
      <c r="O67" s="10"/>
      <c r="P67" s="12">
        <f>IF($A67="","",IFERROR((IF($O67="",0,$O67)*Settings!$J$4+IF($L67="",0,$L67)*Settings!$J$5+IF($N67="",0,$N67)*Settings!$J$6)/(IF($O67="",0,Settings!$J$4)+IF($L67="",0,Settings!$J$5)+IF($N67="",0,Settings!$J$6)),0))</f>
        <v>287.5</v>
      </c>
      <c r="Q67" s="12">
        <f t="array" ref="Q67">IF($A67="","",XLOOKUP($E67,Settings!$A$19:$A$22,Settings!$G$19:$G$22,0))</f>
        <v>249.25</v>
      </c>
      <c r="R67" s="12">
        <f t="shared" si="1"/>
        <v>38.25</v>
      </c>
      <c r="S67" s="12">
        <f>IF($A67="","",IF($R67&lt;=0,1,1+$R67/SUMIF($R$4:$R$923,"&gt;0",$R$4:$R$923)*(Settings!$B$5*(Settings!$B$6-Settings!$B$7))))</f>
        <v>5.722747497</v>
      </c>
      <c r="T67" s="12">
        <f t="array" ref="T67">IF($A67="","",XLOOKUP($F67,Settings!$I$15:$I$20,Settings!$J$15:$J$20,1))</f>
        <v>1.05</v>
      </c>
      <c r="U67" s="12">
        <f>IF($A67="","",1+(($G67-5)/5)*Settings!$J$8)</f>
        <v>1</v>
      </c>
      <c r="V67" s="12">
        <f>IF($A67="","",1+(($H67-5)/5)*Settings!$J$9)</f>
        <v>1.06</v>
      </c>
      <c r="W67" s="12">
        <f t="array" ref="W67">IF($A67="","",XLOOKUP($J67,Lists!$C$3:$C$7,Lists!$D$3:$D$7,1))</f>
        <v>1</v>
      </c>
      <c r="X67" s="12">
        <f>IF($A67="","",IF($I67="Yes",Settings!$J$10,1))</f>
        <v>1</v>
      </c>
      <c r="Y67" s="12">
        <f t="shared" si="2"/>
        <v>6</v>
      </c>
      <c r="Z67" s="12">
        <f>IF($A67="","",IFERROR(ROUND(AVERAGEIFS('Historical Drafts'!$G$4:$G$300,'Historical Drafts'!$D$4:$D$300,$E67,'Historical Drafts'!$J$4:$J$300,"&gt;="&amp;$L67*0.85,'Historical Drafts'!$J$4:$J$300,"&lt;="&amp;$L67*1.15),0),$Y67))</f>
        <v>1</v>
      </c>
      <c r="AA67" s="12" t="str">
        <f>IF($A67="","",IF(COUNTIF('Auction Log'!$B$3:$B$300,$A67)&gt;0,"Sold","Available"))</f>
        <v>Available</v>
      </c>
      <c r="AB67" s="12" t="str">
        <f t="array" ref="AB67">IF($A67="","",IFERROR(XLOOKUP($A67,'Auction Log'!$B$3:$B$300,'Auction Log'!$G$3:$G$300,""),""))</f>
        <v/>
      </c>
      <c r="AC67" s="12" t="str">
        <f t="array" ref="AC67">IF($A67="","",IFERROR(XLOOKUP($A67,'Auction Log'!$B$3:$B$300,'Auction Log'!$F$3:$F$300,""),""))</f>
        <v/>
      </c>
      <c r="AD67" s="12">
        <f t="array" ref="AD67">IF($A67="","",ROUND($Y67*XLOOKUP($F67,Settings!$I$15:$I$20,Settings!$K$15:$K$20,0.4),0))</f>
        <v>2</v>
      </c>
      <c r="AE67" s="12">
        <f t="array" ref="AE67">IF($A67="","",ROUND($Y67*XLOOKUP($F67,Settings!$I$15:$I$20,Settings!$L$15:$L$20,0.8),0))</f>
        <v>5</v>
      </c>
      <c r="AF67" s="12">
        <f t="array" ref="AF67">IF($A67="","",ROUND($Y67*XLOOKUP($F67,Settings!$I$15:$I$20,Settings!$M$15:$M$20,1),0))</f>
        <v>6</v>
      </c>
      <c r="AG67" s="12">
        <f t="array" ref="AG67">IF($A67="","",ROUND($Y67*XLOOKUP($F67,Settings!$I$15:$I$20,Settings!$N$15:$N$20,1.1),0))</f>
        <v>6</v>
      </c>
      <c r="AH67" s="12">
        <f t="array" ref="AH67">IF($A67="","",ROUND($Y67*XLOOKUP($F67,Settings!$I$15:$I$20,Settings!$O$15:$O$20,1.1)*Settings!$J$7,0))</f>
        <v>7</v>
      </c>
      <c r="AI67" s="12">
        <f t="array" ref="AI67">IF($A67="","",IF($AA67="Sold","",MIN($AH67,IFERROR(XLOOKUP(Settings!$B$12,Managers!$B$4:$B$15,Managers!$H$4:$H$15),$AH67))))</f>
        <v>7</v>
      </c>
      <c r="AJ67" s="12" t="str">
        <f t="shared" si="3"/>
        <v>Value Target</v>
      </c>
      <c r="AK67" s="12">
        <f t="shared" si="4"/>
        <v>31</v>
      </c>
      <c r="AL67" s="12" t="str">
        <f t="shared" si="5"/>
        <v/>
      </c>
    </row>
    <row r="68" ht="15.75" customHeight="1">
      <c r="A68" s="10" t="s">
        <v>217</v>
      </c>
      <c r="B68" s="10" t="s">
        <v>218</v>
      </c>
      <c r="C68" s="10" t="s">
        <v>185</v>
      </c>
      <c r="D68" s="10" t="s">
        <v>121</v>
      </c>
      <c r="E68" s="10" t="s">
        <v>121</v>
      </c>
      <c r="F68" s="10" t="s">
        <v>102</v>
      </c>
      <c r="G68" s="10">
        <v>5.0</v>
      </c>
      <c r="H68" s="10">
        <v>7.0</v>
      </c>
      <c r="I68" s="10" t="s">
        <v>2140</v>
      </c>
      <c r="J68" s="10" t="s">
        <v>2136</v>
      </c>
      <c r="K68" s="10"/>
      <c r="L68" s="10">
        <v>286.5</v>
      </c>
      <c r="M68" s="10">
        <v>8.95</v>
      </c>
      <c r="N68" s="10"/>
      <c r="O68" s="10"/>
      <c r="P68" s="12">
        <f>IF($A68="","",IFERROR((IF($O68="",0,$O68)*Settings!$J$4+IF($L68="",0,$L68)*Settings!$J$5+IF($N68="",0,$N68)*Settings!$J$6)/(IF($O68="",0,Settings!$J$4)+IF($L68="",0,Settings!$J$5)+IF($N68="",0,Settings!$J$6)),0))</f>
        <v>286.5</v>
      </c>
      <c r="Q68" s="12">
        <f t="array" ref="Q68">IF($A68="","",XLOOKUP($E68,Settings!$A$19:$A$22,Settings!$G$19:$G$22,0))</f>
        <v>206</v>
      </c>
      <c r="R68" s="12">
        <f t="shared" si="1"/>
        <v>80.5</v>
      </c>
      <c r="S68" s="12">
        <f>IF($A68="","",IF($R68&lt;=0,1,1+$R68/SUMIF($R$4:$R$923,"&gt;0",$R$4:$R$923)*(Settings!$B$5*(Settings!$B$6-Settings!$B$7))))</f>
        <v>10.93937709</v>
      </c>
      <c r="T68" s="12">
        <f t="array" ref="T68">IF($A68="","",XLOOKUP($F68,Settings!$I$15:$I$20,Settings!$J$15:$J$20,1))</f>
        <v>1.05</v>
      </c>
      <c r="U68" s="12">
        <f>IF($A68="","",1+(($G68-5)/5)*Settings!$J$8)</f>
        <v>1</v>
      </c>
      <c r="V68" s="12">
        <f>IF($A68="","",1+(($H68-5)/5)*Settings!$J$9)</f>
        <v>1.06</v>
      </c>
      <c r="W68" s="12">
        <f t="array" ref="W68">IF($A68="","",XLOOKUP($J68,Lists!$C$3:$C$7,Lists!$D$3:$D$7,1))</f>
        <v>1</v>
      </c>
      <c r="X68" s="12">
        <f>IF($A68="","",IF($I68="Yes",Settings!$J$10,1))</f>
        <v>1</v>
      </c>
      <c r="Y68" s="12">
        <f t="shared" si="2"/>
        <v>12</v>
      </c>
      <c r="Z68" s="12">
        <f>IF($A68="","",IFERROR(ROUND(AVERAGEIFS('Historical Drafts'!$G$4:$G$300,'Historical Drafts'!$D$4:$D$300,$E68,'Historical Drafts'!$J$4:$J$300,"&gt;="&amp;$L68*0.85,'Historical Drafts'!$J$4:$J$300,"&lt;="&amp;$L68*1.15),0),$Y68))</f>
        <v>20</v>
      </c>
      <c r="AA68" s="12" t="str">
        <f>IF($A68="","",IF(COUNTIF('Auction Log'!$B$3:$B$300,$A68)&gt;0,"Sold","Available"))</f>
        <v>Available</v>
      </c>
      <c r="AB68" s="12" t="str">
        <f t="array" ref="AB68">IF($A68="","",IFERROR(XLOOKUP($A68,'Auction Log'!$B$3:$B$300,'Auction Log'!$G$3:$G$300,""),""))</f>
        <v/>
      </c>
      <c r="AC68" s="12" t="str">
        <f t="array" ref="AC68">IF($A68="","",IFERROR(XLOOKUP($A68,'Auction Log'!$B$3:$B$300,'Auction Log'!$F$3:$F$300,""),""))</f>
        <v/>
      </c>
      <c r="AD68" s="12">
        <f t="array" ref="AD68">IF($A68="","",ROUND($Y68*XLOOKUP($F68,Settings!$I$15:$I$20,Settings!$K$15:$K$20,0.4),0))</f>
        <v>5</v>
      </c>
      <c r="AE68" s="12">
        <f t="array" ref="AE68">IF($A68="","",ROUND($Y68*XLOOKUP($F68,Settings!$I$15:$I$20,Settings!$L$15:$L$20,0.8),0))</f>
        <v>9</v>
      </c>
      <c r="AF68" s="12">
        <f t="array" ref="AF68">IF($A68="","",ROUND($Y68*XLOOKUP($F68,Settings!$I$15:$I$20,Settings!$M$15:$M$20,1),0))</f>
        <v>12</v>
      </c>
      <c r="AG68" s="12">
        <f t="array" ref="AG68">IF($A68="","",ROUND($Y68*XLOOKUP($F68,Settings!$I$15:$I$20,Settings!$N$15:$N$20,1.1),0))</f>
        <v>13</v>
      </c>
      <c r="AH68" s="12">
        <f t="array" ref="AH68">IF($A68="","",ROUND($Y68*XLOOKUP($F68,Settings!$I$15:$I$20,Settings!$O$15:$O$20,1.1)*Settings!$J$7,0))</f>
        <v>13</v>
      </c>
      <c r="AI68" s="12">
        <f t="array" ref="AI68">IF($A68="","",IF($AA68="Sold","",MIN($AH68,IFERROR(XLOOKUP(Settings!$B$12,Managers!$B$4:$B$15,Managers!$H$4:$H$15),$AH68))))</f>
        <v>13</v>
      </c>
      <c r="AJ68" s="12" t="str">
        <f t="shared" si="3"/>
        <v>Budget Drainer</v>
      </c>
      <c r="AK68" s="12">
        <f t="shared" si="4"/>
        <v>45</v>
      </c>
      <c r="AL68" s="12" t="str">
        <f t="shared" si="5"/>
        <v/>
      </c>
    </row>
    <row r="69" ht="15.75" customHeight="1">
      <c r="A69" s="10" t="s">
        <v>175</v>
      </c>
      <c r="B69" s="10" t="s">
        <v>579</v>
      </c>
      <c r="C69" s="10" t="s">
        <v>177</v>
      </c>
      <c r="D69" s="10" t="s">
        <v>123</v>
      </c>
      <c r="E69" s="10" t="s">
        <v>123</v>
      </c>
      <c r="F69" s="10" t="s">
        <v>102</v>
      </c>
      <c r="G69" s="10">
        <v>5.0</v>
      </c>
      <c r="H69" s="10">
        <v>7.0</v>
      </c>
      <c r="I69" s="10" t="s">
        <v>2140</v>
      </c>
      <c r="J69" s="10" t="s">
        <v>2136</v>
      </c>
      <c r="K69" s="10"/>
      <c r="L69" s="10">
        <v>285.0</v>
      </c>
      <c r="M69" s="10">
        <v>10.56</v>
      </c>
      <c r="N69" s="10"/>
      <c r="O69" s="10"/>
      <c r="P69" s="12">
        <f>IF($A69="","",IFERROR((IF($O69="",0,$O69)*Settings!$J$4+IF($L69="",0,$L69)*Settings!$J$5+IF($N69="",0,$N69)*Settings!$J$6)/(IF($O69="",0,Settings!$J$4)+IF($L69="",0,Settings!$J$5)+IF($N69="",0,Settings!$J$6)),0))</f>
        <v>285</v>
      </c>
      <c r="Q69" s="12">
        <f t="array" ref="Q69">IF($A69="","",XLOOKUP($E69,Settings!$A$19:$A$22,Settings!$G$19:$G$22,0))</f>
        <v>203</v>
      </c>
      <c r="R69" s="12">
        <f t="shared" si="1"/>
        <v>82</v>
      </c>
      <c r="S69" s="12">
        <f>IF($A69="","",IF($R69&lt;=0,1,1+$R69/SUMIF($R$4:$R$923,"&gt;0",$R$4:$R$923)*(Settings!$B$5*(Settings!$B$6-Settings!$B$7))))</f>
        <v>11.12458287</v>
      </c>
      <c r="T69" s="12">
        <f t="array" ref="T69">IF($A69="","",XLOOKUP($F69,Settings!$I$15:$I$20,Settings!$J$15:$J$20,1))</f>
        <v>1.05</v>
      </c>
      <c r="U69" s="12">
        <f>IF($A69="","",1+(($G69-5)/5)*Settings!$J$8)</f>
        <v>1</v>
      </c>
      <c r="V69" s="12">
        <f>IF($A69="","",1+(($H69-5)/5)*Settings!$J$9)</f>
        <v>1.06</v>
      </c>
      <c r="W69" s="12">
        <f t="array" ref="W69">IF($A69="","",XLOOKUP($J69,Lists!$C$3:$C$7,Lists!$D$3:$D$7,1))</f>
        <v>1</v>
      </c>
      <c r="X69" s="12">
        <f>IF($A69="","",IF($I69="Yes",Settings!$J$10,1))</f>
        <v>1</v>
      </c>
      <c r="Y69" s="12">
        <f t="shared" si="2"/>
        <v>12</v>
      </c>
      <c r="Z69" s="12">
        <f>IF($A69="","",IFERROR(ROUND(AVERAGEIFS('Historical Drafts'!$G$4:$G$300,'Historical Drafts'!$D$4:$D$300,$E69,'Historical Drafts'!$J$4:$J$300,"&gt;="&amp;$L69*0.85,'Historical Drafts'!$J$4:$J$300,"&lt;="&amp;$L69*1.15),0),$Y69))</f>
        <v>23</v>
      </c>
      <c r="AA69" s="12" t="str">
        <f>IF($A69="","",IF(COUNTIF('Auction Log'!$B$3:$B$300,$A69)&gt;0,"Sold","Available"))</f>
        <v>Available</v>
      </c>
      <c r="AB69" s="12" t="str">
        <f t="array" ref="AB69">IF($A69="","",IFERROR(XLOOKUP($A69,'Auction Log'!$B$3:$B$300,'Auction Log'!$G$3:$G$300,""),""))</f>
        <v/>
      </c>
      <c r="AC69" s="12" t="str">
        <f t="array" ref="AC69">IF($A69="","",IFERROR(XLOOKUP($A69,'Auction Log'!$B$3:$B$300,'Auction Log'!$F$3:$F$300,""),""))</f>
        <v/>
      </c>
      <c r="AD69" s="12">
        <f t="array" ref="AD69">IF($A69="","",ROUND($Y69*XLOOKUP($F69,Settings!$I$15:$I$20,Settings!$K$15:$K$20,0.4),0))</f>
        <v>5</v>
      </c>
      <c r="AE69" s="12">
        <f t="array" ref="AE69">IF($A69="","",ROUND($Y69*XLOOKUP($F69,Settings!$I$15:$I$20,Settings!$L$15:$L$20,0.8),0))</f>
        <v>9</v>
      </c>
      <c r="AF69" s="12">
        <f t="array" ref="AF69">IF($A69="","",ROUND($Y69*XLOOKUP($F69,Settings!$I$15:$I$20,Settings!$M$15:$M$20,1),0))</f>
        <v>12</v>
      </c>
      <c r="AG69" s="12">
        <f t="array" ref="AG69">IF($A69="","",ROUND($Y69*XLOOKUP($F69,Settings!$I$15:$I$20,Settings!$N$15:$N$20,1.1),0))</f>
        <v>13</v>
      </c>
      <c r="AH69" s="12">
        <f t="array" ref="AH69">IF($A69="","",ROUND($Y69*XLOOKUP($F69,Settings!$I$15:$I$20,Settings!$O$15:$O$20,1.1)*Settings!$J$7,0))</f>
        <v>13</v>
      </c>
      <c r="AI69" s="12">
        <f t="array" ref="AI69">IF($A69="","",IF($AA69="Sold","",MIN($AH69,IFERROR(XLOOKUP(Settings!$B$12,Managers!$B$4:$B$15,Managers!$H$4:$H$15),$AH69))))</f>
        <v>13</v>
      </c>
      <c r="AJ69" s="12" t="str">
        <f t="shared" si="3"/>
        <v>Budget Drainer</v>
      </c>
      <c r="AK69" s="12">
        <f t="shared" si="4"/>
        <v>48</v>
      </c>
      <c r="AL69" s="12" t="str">
        <f t="shared" si="5"/>
        <v/>
      </c>
    </row>
    <row r="70" ht="15.75" customHeight="1">
      <c r="A70" s="10" t="s">
        <v>325</v>
      </c>
      <c r="B70" s="10" t="s">
        <v>326</v>
      </c>
      <c r="C70" s="10" t="s">
        <v>327</v>
      </c>
      <c r="D70" s="10" t="s">
        <v>121</v>
      </c>
      <c r="E70" s="10" t="s">
        <v>121</v>
      </c>
      <c r="F70" s="10" t="s">
        <v>102</v>
      </c>
      <c r="G70" s="10">
        <v>5.0</v>
      </c>
      <c r="H70" s="10">
        <v>7.0</v>
      </c>
      <c r="I70" s="10" t="s">
        <v>2140</v>
      </c>
      <c r="J70" s="10" t="s">
        <v>2136</v>
      </c>
      <c r="K70" s="10"/>
      <c r="L70" s="10">
        <v>284.0</v>
      </c>
      <c r="M70" s="10">
        <v>8.61</v>
      </c>
      <c r="N70" s="10"/>
      <c r="O70" s="10"/>
      <c r="P70" s="12">
        <f>IF($A70="","",IFERROR((IF($O70="",0,$O70)*Settings!$J$4+IF($L70="",0,$L70)*Settings!$J$5+IF($N70="",0,$N70)*Settings!$J$6)/(IF($O70="",0,Settings!$J$4)+IF($L70="",0,Settings!$J$5)+IF($N70="",0,Settings!$J$6)),0))</f>
        <v>284</v>
      </c>
      <c r="Q70" s="12">
        <f t="array" ref="Q70">IF($A70="","",XLOOKUP($E70,Settings!$A$19:$A$22,Settings!$G$19:$G$22,0))</f>
        <v>206</v>
      </c>
      <c r="R70" s="12">
        <f t="shared" si="1"/>
        <v>78</v>
      </c>
      <c r="S70" s="12">
        <f>IF($A70="","",IF($R70&lt;=0,1,1+$R70/SUMIF($R$4:$R$923,"&gt;0",$R$4:$R$923)*(Settings!$B$5*(Settings!$B$6-Settings!$B$7))))</f>
        <v>10.63070078</v>
      </c>
      <c r="T70" s="12">
        <f t="array" ref="T70">IF($A70="","",XLOOKUP($F70,Settings!$I$15:$I$20,Settings!$J$15:$J$20,1))</f>
        <v>1.05</v>
      </c>
      <c r="U70" s="12">
        <f>IF($A70="","",1+(($G70-5)/5)*Settings!$J$8)</f>
        <v>1</v>
      </c>
      <c r="V70" s="12">
        <f>IF($A70="","",1+(($H70-5)/5)*Settings!$J$9)</f>
        <v>1.06</v>
      </c>
      <c r="W70" s="12">
        <f t="array" ref="W70">IF($A70="","",XLOOKUP($J70,Lists!$C$3:$C$7,Lists!$D$3:$D$7,1))</f>
        <v>1</v>
      </c>
      <c r="X70" s="12">
        <f>IF($A70="","",IF($I70="Yes",Settings!$J$10,1))</f>
        <v>1</v>
      </c>
      <c r="Y70" s="12">
        <f t="shared" si="2"/>
        <v>12</v>
      </c>
      <c r="Z70" s="12">
        <f>IF($A70="","",IFERROR(ROUND(AVERAGEIFS('Historical Drafts'!$G$4:$G$300,'Historical Drafts'!$D$4:$D$300,$E70,'Historical Drafts'!$J$4:$J$300,"&gt;="&amp;$L70*0.85,'Historical Drafts'!$J$4:$J$300,"&lt;="&amp;$L70*1.15),0),$Y70))</f>
        <v>21</v>
      </c>
      <c r="AA70" s="12" t="str">
        <f>IF($A70="","",IF(COUNTIF('Auction Log'!$B$3:$B$300,$A70)&gt;0,"Sold","Available"))</f>
        <v>Available</v>
      </c>
      <c r="AB70" s="12" t="str">
        <f t="array" ref="AB70">IF($A70="","",IFERROR(XLOOKUP($A70,'Auction Log'!$B$3:$B$300,'Auction Log'!$G$3:$G$300,""),""))</f>
        <v/>
      </c>
      <c r="AC70" s="12" t="str">
        <f t="array" ref="AC70">IF($A70="","",IFERROR(XLOOKUP($A70,'Auction Log'!$B$3:$B$300,'Auction Log'!$F$3:$F$300,""),""))</f>
        <v/>
      </c>
      <c r="AD70" s="12">
        <f t="array" ref="AD70">IF($A70="","",ROUND($Y70*XLOOKUP($F70,Settings!$I$15:$I$20,Settings!$K$15:$K$20,0.4),0))</f>
        <v>5</v>
      </c>
      <c r="AE70" s="12">
        <f t="array" ref="AE70">IF($A70="","",ROUND($Y70*XLOOKUP($F70,Settings!$I$15:$I$20,Settings!$L$15:$L$20,0.8),0))</f>
        <v>9</v>
      </c>
      <c r="AF70" s="12">
        <f t="array" ref="AF70">IF($A70="","",ROUND($Y70*XLOOKUP($F70,Settings!$I$15:$I$20,Settings!$M$15:$M$20,1),0))</f>
        <v>12</v>
      </c>
      <c r="AG70" s="12">
        <f t="array" ref="AG70">IF($A70="","",ROUND($Y70*XLOOKUP($F70,Settings!$I$15:$I$20,Settings!$N$15:$N$20,1.1),0))</f>
        <v>13</v>
      </c>
      <c r="AH70" s="12">
        <f t="array" ref="AH70">IF($A70="","",ROUND($Y70*XLOOKUP($F70,Settings!$I$15:$I$20,Settings!$O$15:$O$20,1.1)*Settings!$J$7,0))</f>
        <v>13</v>
      </c>
      <c r="AI70" s="12">
        <f t="array" ref="AI70">IF($A70="","",IF($AA70="Sold","",MIN($AH70,IFERROR(XLOOKUP(Settings!$B$12,Managers!$B$4:$B$15,Managers!$H$4:$H$15),$AH70))))</f>
        <v>13</v>
      </c>
      <c r="AJ70" s="12" t="str">
        <f t="shared" si="3"/>
        <v>Budget Drainer</v>
      </c>
      <c r="AK70" s="12">
        <f t="shared" si="4"/>
        <v>46</v>
      </c>
      <c r="AL70" s="12" t="str">
        <f t="shared" si="5"/>
        <v/>
      </c>
    </row>
    <row r="71" ht="15.75" customHeight="1">
      <c r="A71" s="10" t="s">
        <v>580</v>
      </c>
      <c r="B71" s="10" t="s">
        <v>581</v>
      </c>
      <c r="C71" s="10" t="s">
        <v>221</v>
      </c>
      <c r="D71" s="10" t="s">
        <v>118</v>
      </c>
      <c r="E71" s="10" t="s">
        <v>118</v>
      </c>
      <c r="F71" s="10" t="s">
        <v>102</v>
      </c>
      <c r="G71" s="10">
        <v>5.0</v>
      </c>
      <c r="H71" s="10">
        <v>7.0</v>
      </c>
      <c r="I71" s="10" t="s">
        <v>2140</v>
      </c>
      <c r="J71" s="10" t="s">
        <v>2136</v>
      </c>
      <c r="K71" s="10"/>
      <c r="L71" s="10">
        <v>280.75</v>
      </c>
      <c r="M71" s="10">
        <v>8.51</v>
      </c>
      <c r="N71" s="10"/>
      <c r="O71" s="10"/>
      <c r="P71" s="12">
        <f>IF($A71="","",IFERROR((IF($O71="",0,$O71)*Settings!$J$4+IF($L71="",0,$L71)*Settings!$J$5+IF($N71="",0,$N71)*Settings!$J$6)/(IF($O71="",0,Settings!$J$4)+IF($L71="",0,Settings!$J$5)+IF($N71="",0,Settings!$J$6)),0))</f>
        <v>280.75</v>
      </c>
      <c r="Q71" s="12">
        <f t="array" ref="Q71">IF($A71="","",XLOOKUP($E71,Settings!$A$19:$A$22,Settings!$G$19:$G$22,0))</f>
        <v>196.25</v>
      </c>
      <c r="R71" s="12">
        <f t="shared" si="1"/>
        <v>84.5</v>
      </c>
      <c r="S71" s="12">
        <f>IF($A71="","",IF($R71&lt;=0,1,1+$R71/SUMIF($R$4:$R$923,"&gt;0",$R$4:$R$923)*(Settings!$B$5*(Settings!$B$6-Settings!$B$7))))</f>
        <v>11.43325918</v>
      </c>
      <c r="T71" s="12">
        <f t="array" ref="T71">IF($A71="","",XLOOKUP($F71,Settings!$I$15:$I$20,Settings!$J$15:$J$20,1))</f>
        <v>1.05</v>
      </c>
      <c r="U71" s="12">
        <f>IF($A71="","",1+(($G71-5)/5)*Settings!$J$8)</f>
        <v>1</v>
      </c>
      <c r="V71" s="12">
        <f>IF($A71="","",1+(($H71-5)/5)*Settings!$J$9)</f>
        <v>1.06</v>
      </c>
      <c r="W71" s="12">
        <f t="array" ref="W71">IF($A71="","",XLOOKUP($J71,Lists!$C$3:$C$7,Lists!$D$3:$D$7,1))</f>
        <v>1</v>
      </c>
      <c r="X71" s="12">
        <f>IF($A71="","",IF($I71="Yes",Settings!$J$10,1))</f>
        <v>1</v>
      </c>
      <c r="Y71" s="12">
        <f t="shared" si="2"/>
        <v>13</v>
      </c>
      <c r="Z71" s="12">
        <f>IF($A71="","",IFERROR(ROUND(AVERAGEIFS('Historical Drafts'!$G$4:$G$300,'Historical Drafts'!$D$4:$D$300,$E71,'Historical Drafts'!$J$4:$J$300,"&gt;="&amp;$L71*0.85,'Historical Drafts'!$J$4:$J$300,"&lt;="&amp;$L71*1.15),0),$Y71))</f>
        <v>3</v>
      </c>
      <c r="AA71" s="12" t="str">
        <f>IF($A71="","",IF(COUNTIF('Auction Log'!$B$3:$B$300,$A71)&gt;0,"Sold","Available"))</f>
        <v>Available</v>
      </c>
      <c r="AB71" s="12" t="str">
        <f t="array" ref="AB71">IF($A71="","",IFERROR(XLOOKUP($A71,'Auction Log'!$B$3:$B$300,'Auction Log'!$G$3:$G$300,""),""))</f>
        <v/>
      </c>
      <c r="AC71" s="12" t="str">
        <f t="array" ref="AC71">IF($A71="","",IFERROR(XLOOKUP($A71,'Auction Log'!$B$3:$B$300,'Auction Log'!$F$3:$F$300,""),""))</f>
        <v/>
      </c>
      <c r="AD71" s="12">
        <f t="array" ref="AD71">IF($A71="","",ROUND($Y71*XLOOKUP($F71,Settings!$I$15:$I$20,Settings!$K$15:$K$20,0.4),0))</f>
        <v>5</v>
      </c>
      <c r="AE71" s="12">
        <f t="array" ref="AE71">IF($A71="","",ROUND($Y71*XLOOKUP($F71,Settings!$I$15:$I$20,Settings!$L$15:$L$20,0.8),0))</f>
        <v>10</v>
      </c>
      <c r="AF71" s="12">
        <f t="array" ref="AF71">IF($A71="","",ROUND($Y71*XLOOKUP($F71,Settings!$I$15:$I$20,Settings!$M$15:$M$20,1),0))</f>
        <v>13</v>
      </c>
      <c r="AG71" s="12">
        <f t="array" ref="AG71">IF($A71="","",ROUND($Y71*XLOOKUP($F71,Settings!$I$15:$I$20,Settings!$N$15:$N$20,1.1),0))</f>
        <v>14</v>
      </c>
      <c r="AH71" s="12">
        <f t="array" ref="AH71">IF($A71="","",ROUND($Y71*XLOOKUP($F71,Settings!$I$15:$I$20,Settings!$O$15:$O$20,1.1)*Settings!$J$7,0))</f>
        <v>15</v>
      </c>
      <c r="AI71" s="12">
        <f t="array" ref="AI71">IF($A71="","",IF($AA71="Sold","",MIN($AH71,IFERROR(XLOOKUP(Settings!$B$12,Managers!$B$4:$B$15,Managers!$H$4:$H$15),$AH71))))</f>
        <v>15</v>
      </c>
      <c r="AJ71" s="12" t="str">
        <f t="shared" si="3"/>
        <v>Value Target</v>
      </c>
      <c r="AK71" s="12">
        <f t="shared" si="4"/>
        <v>38</v>
      </c>
      <c r="AL71" s="12" t="str">
        <f t="shared" si="5"/>
        <v/>
      </c>
    </row>
    <row r="72" ht="15.75" customHeight="1">
      <c r="A72" s="10" t="s">
        <v>388</v>
      </c>
      <c r="B72" s="10" t="s">
        <v>389</v>
      </c>
      <c r="C72" s="10" t="s">
        <v>305</v>
      </c>
      <c r="D72" s="10" t="s">
        <v>123</v>
      </c>
      <c r="E72" s="10" t="s">
        <v>123</v>
      </c>
      <c r="F72" s="10" t="s">
        <v>102</v>
      </c>
      <c r="G72" s="10">
        <v>5.0</v>
      </c>
      <c r="H72" s="10">
        <v>7.0</v>
      </c>
      <c r="I72" s="10" t="s">
        <v>2140</v>
      </c>
      <c r="J72" s="10" t="s">
        <v>2136</v>
      </c>
      <c r="K72" s="10"/>
      <c r="L72" s="10">
        <v>280.5</v>
      </c>
      <c r="M72" s="10">
        <v>7.79</v>
      </c>
      <c r="N72" s="10"/>
      <c r="O72" s="10"/>
      <c r="P72" s="12">
        <f>IF($A72="","",IFERROR((IF($O72="",0,$O72)*Settings!$J$4+IF($L72="",0,$L72)*Settings!$J$5+IF($N72="",0,$N72)*Settings!$J$6)/(IF($O72="",0,Settings!$J$4)+IF($L72="",0,Settings!$J$5)+IF($N72="",0,Settings!$J$6)),0))</f>
        <v>280.5</v>
      </c>
      <c r="Q72" s="12">
        <f t="array" ref="Q72">IF($A72="","",XLOOKUP($E72,Settings!$A$19:$A$22,Settings!$G$19:$G$22,0))</f>
        <v>203</v>
      </c>
      <c r="R72" s="12">
        <f t="shared" si="1"/>
        <v>77.5</v>
      </c>
      <c r="S72" s="12">
        <f>IF($A72="","",IF($R72&lt;=0,1,1+$R72/SUMIF($R$4:$R$923,"&gt;0",$R$4:$R$923)*(Settings!$B$5*(Settings!$B$6-Settings!$B$7))))</f>
        <v>10.56896552</v>
      </c>
      <c r="T72" s="12">
        <f t="array" ref="T72">IF($A72="","",XLOOKUP($F72,Settings!$I$15:$I$20,Settings!$J$15:$J$20,1))</f>
        <v>1.05</v>
      </c>
      <c r="U72" s="12">
        <f>IF($A72="","",1+(($G72-5)/5)*Settings!$J$8)</f>
        <v>1</v>
      </c>
      <c r="V72" s="12">
        <f>IF($A72="","",1+(($H72-5)/5)*Settings!$J$9)</f>
        <v>1.06</v>
      </c>
      <c r="W72" s="12">
        <f t="array" ref="W72">IF($A72="","",XLOOKUP($J72,Lists!$C$3:$C$7,Lists!$D$3:$D$7,1))</f>
        <v>1</v>
      </c>
      <c r="X72" s="12">
        <f>IF($A72="","",IF($I72="Yes",Settings!$J$10,1))</f>
        <v>1</v>
      </c>
      <c r="Y72" s="12">
        <f t="shared" si="2"/>
        <v>12</v>
      </c>
      <c r="Z72" s="12">
        <f>IF($A72="","",IFERROR(ROUND(AVERAGEIFS('Historical Drafts'!$G$4:$G$300,'Historical Drafts'!$D$4:$D$300,$E72,'Historical Drafts'!$J$4:$J$300,"&gt;="&amp;$L72*0.85,'Historical Drafts'!$J$4:$J$300,"&lt;="&amp;$L72*1.15),0),$Y72))</f>
        <v>23</v>
      </c>
      <c r="AA72" s="12" t="str">
        <f>IF($A72="","",IF(COUNTIF('Auction Log'!$B$3:$B$300,$A72)&gt;0,"Sold","Available"))</f>
        <v>Available</v>
      </c>
      <c r="AB72" s="12" t="str">
        <f t="array" ref="AB72">IF($A72="","",IFERROR(XLOOKUP($A72,'Auction Log'!$B$3:$B$300,'Auction Log'!$G$3:$G$300,""),""))</f>
        <v/>
      </c>
      <c r="AC72" s="12" t="str">
        <f t="array" ref="AC72">IF($A72="","",IFERROR(XLOOKUP($A72,'Auction Log'!$B$3:$B$300,'Auction Log'!$F$3:$F$300,""),""))</f>
        <v/>
      </c>
      <c r="AD72" s="12">
        <f t="array" ref="AD72">IF($A72="","",ROUND($Y72*XLOOKUP($F72,Settings!$I$15:$I$20,Settings!$K$15:$K$20,0.4),0))</f>
        <v>5</v>
      </c>
      <c r="AE72" s="12">
        <f t="array" ref="AE72">IF($A72="","",ROUND($Y72*XLOOKUP($F72,Settings!$I$15:$I$20,Settings!$L$15:$L$20,0.8),0))</f>
        <v>9</v>
      </c>
      <c r="AF72" s="12">
        <f t="array" ref="AF72">IF($A72="","",ROUND($Y72*XLOOKUP($F72,Settings!$I$15:$I$20,Settings!$M$15:$M$20,1),0))</f>
        <v>12</v>
      </c>
      <c r="AG72" s="12">
        <f t="array" ref="AG72">IF($A72="","",ROUND($Y72*XLOOKUP($F72,Settings!$I$15:$I$20,Settings!$N$15:$N$20,1.1),0))</f>
        <v>13</v>
      </c>
      <c r="AH72" s="12">
        <f t="array" ref="AH72">IF($A72="","",ROUND($Y72*XLOOKUP($F72,Settings!$I$15:$I$20,Settings!$O$15:$O$20,1.1)*Settings!$J$7,0))</f>
        <v>13</v>
      </c>
      <c r="AI72" s="12">
        <f t="array" ref="AI72">IF($A72="","",IF($AA72="Sold","",MIN($AH72,IFERROR(XLOOKUP(Settings!$B$12,Managers!$B$4:$B$15,Managers!$H$4:$H$15),$AH72))))</f>
        <v>13</v>
      </c>
      <c r="AJ72" s="12" t="str">
        <f t="shared" si="3"/>
        <v>Budget Drainer</v>
      </c>
      <c r="AK72" s="12">
        <f t="shared" si="4"/>
        <v>48</v>
      </c>
      <c r="AL72" s="12" t="str">
        <f t="shared" si="5"/>
        <v/>
      </c>
    </row>
    <row r="73" ht="15.75" customHeight="1">
      <c r="A73" s="10" t="s">
        <v>334</v>
      </c>
      <c r="B73" s="10" t="s">
        <v>335</v>
      </c>
      <c r="C73" s="10" t="s">
        <v>185</v>
      </c>
      <c r="D73" s="10" t="s">
        <v>118</v>
      </c>
      <c r="E73" s="10" t="s">
        <v>118</v>
      </c>
      <c r="F73" s="10" t="s">
        <v>102</v>
      </c>
      <c r="G73" s="10">
        <v>5.0</v>
      </c>
      <c r="H73" s="10">
        <v>7.0</v>
      </c>
      <c r="I73" s="10" t="s">
        <v>2140</v>
      </c>
      <c r="J73" s="10" t="s">
        <v>2136</v>
      </c>
      <c r="K73" s="10"/>
      <c r="L73" s="10">
        <v>280.0</v>
      </c>
      <c r="M73" s="10">
        <v>10.77</v>
      </c>
      <c r="N73" s="10"/>
      <c r="O73" s="10"/>
      <c r="P73" s="12">
        <f>IF($A73="","",IFERROR((IF($O73="",0,$O73)*Settings!$J$4+IF($L73="",0,$L73)*Settings!$J$5+IF($N73="",0,$N73)*Settings!$J$6)/(IF($O73="",0,Settings!$J$4)+IF($L73="",0,Settings!$J$5)+IF($N73="",0,Settings!$J$6)),0))</f>
        <v>280</v>
      </c>
      <c r="Q73" s="12">
        <f t="array" ref="Q73">IF($A73="","",XLOOKUP($E73,Settings!$A$19:$A$22,Settings!$G$19:$G$22,0))</f>
        <v>196.25</v>
      </c>
      <c r="R73" s="12">
        <f t="shared" si="1"/>
        <v>83.75</v>
      </c>
      <c r="S73" s="12">
        <f>IF($A73="","",IF($R73&lt;=0,1,1+$R73/SUMIF($R$4:$R$923,"&gt;0",$R$4:$R$923)*(Settings!$B$5*(Settings!$B$6-Settings!$B$7))))</f>
        <v>11.34065628</v>
      </c>
      <c r="T73" s="12">
        <f t="array" ref="T73">IF($A73="","",XLOOKUP($F73,Settings!$I$15:$I$20,Settings!$J$15:$J$20,1))</f>
        <v>1.05</v>
      </c>
      <c r="U73" s="12">
        <f>IF($A73="","",1+(($G73-5)/5)*Settings!$J$8)</f>
        <v>1</v>
      </c>
      <c r="V73" s="12">
        <f>IF($A73="","",1+(($H73-5)/5)*Settings!$J$9)</f>
        <v>1.06</v>
      </c>
      <c r="W73" s="12">
        <f t="array" ref="W73">IF($A73="","",XLOOKUP($J73,Lists!$C$3:$C$7,Lists!$D$3:$D$7,1))</f>
        <v>1</v>
      </c>
      <c r="X73" s="12">
        <f>IF($A73="","",IF($I73="Yes",Settings!$J$10,1))</f>
        <v>1</v>
      </c>
      <c r="Y73" s="12">
        <f t="shared" si="2"/>
        <v>13</v>
      </c>
      <c r="Z73" s="12">
        <f>IF($A73="","",IFERROR(ROUND(AVERAGEIFS('Historical Drafts'!$G$4:$G$300,'Historical Drafts'!$D$4:$D$300,$E73,'Historical Drafts'!$J$4:$J$300,"&gt;="&amp;$L73*0.85,'Historical Drafts'!$J$4:$J$300,"&lt;="&amp;$L73*1.15),0),$Y73))</f>
        <v>3</v>
      </c>
      <c r="AA73" s="12" t="str">
        <f>IF($A73="","",IF(COUNTIF('Auction Log'!$B$3:$B$300,$A73)&gt;0,"Sold","Available"))</f>
        <v>Available</v>
      </c>
      <c r="AB73" s="12" t="str">
        <f t="array" ref="AB73">IF($A73="","",IFERROR(XLOOKUP($A73,'Auction Log'!$B$3:$B$300,'Auction Log'!$G$3:$G$300,""),""))</f>
        <v/>
      </c>
      <c r="AC73" s="12" t="str">
        <f t="array" ref="AC73">IF($A73="","",IFERROR(XLOOKUP($A73,'Auction Log'!$B$3:$B$300,'Auction Log'!$F$3:$F$300,""),""))</f>
        <v/>
      </c>
      <c r="AD73" s="12">
        <f t="array" ref="AD73">IF($A73="","",ROUND($Y73*XLOOKUP($F73,Settings!$I$15:$I$20,Settings!$K$15:$K$20,0.4),0))</f>
        <v>5</v>
      </c>
      <c r="AE73" s="12">
        <f t="array" ref="AE73">IF($A73="","",ROUND($Y73*XLOOKUP($F73,Settings!$I$15:$I$20,Settings!$L$15:$L$20,0.8),0))</f>
        <v>10</v>
      </c>
      <c r="AF73" s="12">
        <f t="array" ref="AF73">IF($A73="","",ROUND($Y73*XLOOKUP($F73,Settings!$I$15:$I$20,Settings!$M$15:$M$20,1),0))</f>
        <v>13</v>
      </c>
      <c r="AG73" s="12">
        <f t="array" ref="AG73">IF($A73="","",ROUND($Y73*XLOOKUP($F73,Settings!$I$15:$I$20,Settings!$N$15:$N$20,1.1),0))</f>
        <v>14</v>
      </c>
      <c r="AH73" s="12">
        <f t="array" ref="AH73">IF($A73="","",ROUND($Y73*XLOOKUP($F73,Settings!$I$15:$I$20,Settings!$O$15:$O$20,1.1)*Settings!$J$7,0))</f>
        <v>15</v>
      </c>
      <c r="AI73" s="12">
        <f t="array" ref="AI73">IF($A73="","",IF($AA73="Sold","",MIN($AH73,IFERROR(XLOOKUP(Settings!$B$12,Managers!$B$4:$B$15,Managers!$H$4:$H$15),$AH73))))</f>
        <v>15</v>
      </c>
      <c r="AJ73" s="12" t="str">
        <f t="shared" si="3"/>
        <v>Value Target</v>
      </c>
      <c r="AK73" s="12">
        <f t="shared" si="4"/>
        <v>38</v>
      </c>
      <c r="AL73" s="12" t="str">
        <f t="shared" si="5"/>
        <v/>
      </c>
    </row>
    <row r="74" ht="15.75" customHeight="1">
      <c r="A74" s="10" t="s">
        <v>475</v>
      </c>
      <c r="B74" s="10" t="s">
        <v>476</v>
      </c>
      <c r="C74" s="10" t="s">
        <v>453</v>
      </c>
      <c r="D74" s="10" t="s">
        <v>121</v>
      </c>
      <c r="E74" s="10" t="s">
        <v>121</v>
      </c>
      <c r="F74" s="10" t="s">
        <v>102</v>
      </c>
      <c r="G74" s="10">
        <v>5.0</v>
      </c>
      <c r="H74" s="10">
        <v>7.0</v>
      </c>
      <c r="I74" s="10" t="s">
        <v>2140</v>
      </c>
      <c r="J74" s="10" t="s">
        <v>2136</v>
      </c>
      <c r="K74" s="10"/>
      <c r="L74" s="10">
        <v>278.0</v>
      </c>
      <c r="M74" s="10">
        <v>7.51</v>
      </c>
      <c r="N74" s="10"/>
      <c r="O74" s="10"/>
      <c r="P74" s="12">
        <f>IF($A74="","",IFERROR((IF($O74="",0,$O74)*Settings!$J$4+IF($L74="",0,$L74)*Settings!$J$5+IF($N74="",0,$N74)*Settings!$J$6)/(IF($O74="",0,Settings!$J$4)+IF($L74="",0,Settings!$J$5)+IF($N74="",0,Settings!$J$6)),0))</f>
        <v>278</v>
      </c>
      <c r="Q74" s="12">
        <f t="array" ref="Q74">IF($A74="","",XLOOKUP($E74,Settings!$A$19:$A$22,Settings!$G$19:$G$22,0))</f>
        <v>206</v>
      </c>
      <c r="R74" s="12">
        <f t="shared" si="1"/>
        <v>72</v>
      </c>
      <c r="S74" s="12">
        <f>IF($A74="","",IF($R74&lt;=0,1,1+$R74/SUMIF($R$4:$R$923,"&gt;0",$R$4:$R$923)*(Settings!$B$5*(Settings!$B$6-Settings!$B$7))))</f>
        <v>9.889877642</v>
      </c>
      <c r="T74" s="12">
        <f t="array" ref="T74">IF($A74="","",XLOOKUP($F74,Settings!$I$15:$I$20,Settings!$J$15:$J$20,1))</f>
        <v>1.05</v>
      </c>
      <c r="U74" s="12">
        <f>IF($A74="","",1+(($G74-5)/5)*Settings!$J$8)</f>
        <v>1</v>
      </c>
      <c r="V74" s="12">
        <f>IF($A74="","",1+(($H74-5)/5)*Settings!$J$9)</f>
        <v>1.06</v>
      </c>
      <c r="W74" s="12">
        <f t="array" ref="W74">IF($A74="","",XLOOKUP($J74,Lists!$C$3:$C$7,Lists!$D$3:$D$7,1))</f>
        <v>1</v>
      </c>
      <c r="X74" s="12">
        <f>IF($A74="","",IF($I74="Yes",Settings!$J$10,1))</f>
        <v>1</v>
      </c>
      <c r="Y74" s="12">
        <f t="shared" si="2"/>
        <v>11</v>
      </c>
      <c r="Z74" s="12">
        <f>IF($A74="","",IFERROR(ROUND(AVERAGEIFS('Historical Drafts'!$G$4:$G$300,'Historical Drafts'!$D$4:$D$300,$E74,'Historical Drafts'!$J$4:$J$300,"&gt;="&amp;$L74*0.85,'Historical Drafts'!$J$4:$J$300,"&lt;="&amp;$L74*1.15),0),$Y74))</f>
        <v>19</v>
      </c>
      <c r="AA74" s="12" t="str">
        <f>IF($A74="","",IF(COUNTIF('Auction Log'!$B$3:$B$300,$A74)&gt;0,"Sold","Available"))</f>
        <v>Available</v>
      </c>
      <c r="AB74" s="12" t="str">
        <f t="array" ref="AB74">IF($A74="","",IFERROR(XLOOKUP($A74,'Auction Log'!$B$3:$B$300,'Auction Log'!$G$3:$G$300,""),""))</f>
        <v/>
      </c>
      <c r="AC74" s="12" t="str">
        <f t="array" ref="AC74">IF($A74="","",IFERROR(XLOOKUP($A74,'Auction Log'!$B$3:$B$300,'Auction Log'!$F$3:$F$300,""),""))</f>
        <v/>
      </c>
      <c r="AD74" s="12">
        <f t="array" ref="AD74">IF($A74="","",ROUND($Y74*XLOOKUP($F74,Settings!$I$15:$I$20,Settings!$K$15:$K$20,0.4),0))</f>
        <v>4</v>
      </c>
      <c r="AE74" s="12">
        <f t="array" ref="AE74">IF($A74="","",ROUND($Y74*XLOOKUP($F74,Settings!$I$15:$I$20,Settings!$L$15:$L$20,0.8),0))</f>
        <v>9</v>
      </c>
      <c r="AF74" s="12">
        <f t="array" ref="AF74">IF($A74="","",ROUND($Y74*XLOOKUP($F74,Settings!$I$15:$I$20,Settings!$M$15:$M$20,1),0))</f>
        <v>11</v>
      </c>
      <c r="AG74" s="12">
        <f t="array" ref="AG74">IF($A74="","",ROUND($Y74*XLOOKUP($F74,Settings!$I$15:$I$20,Settings!$N$15:$N$20,1.1),0))</f>
        <v>12</v>
      </c>
      <c r="AH74" s="12">
        <f t="array" ref="AH74">IF($A74="","",ROUND($Y74*XLOOKUP($F74,Settings!$I$15:$I$20,Settings!$O$15:$O$20,1.1)*Settings!$J$7,0))</f>
        <v>12</v>
      </c>
      <c r="AI74" s="12">
        <f t="array" ref="AI74">IF($A74="","",IF($AA74="Sold","",MIN($AH74,IFERROR(XLOOKUP(Settings!$B$12,Managers!$B$4:$B$15,Managers!$H$4:$H$15),$AH74))))</f>
        <v>12</v>
      </c>
      <c r="AJ74" s="12" t="str">
        <f t="shared" si="3"/>
        <v>Budget Drainer</v>
      </c>
      <c r="AK74" s="12">
        <f t="shared" si="4"/>
        <v>44</v>
      </c>
      <c r="AL74" s="12" t="str">
        <f t="shared" si="5"/>
        <v/>
      </c>
    </row>
    <row r="75" ht="15.75" customHeight="1">
      <c r="A75" s="10" t="s">
        <v>582</v>
      </c>
      <c r="B75" s="10" t="s">
        <v>583</v>
      </c>
      <c r="C75" s="10" t="s">
        <v>327</v>
      </c>
      <c r="D75" s="10" t="s">
        <v>118</v>
      </c>
      <c r="E75" s="10" t="s">
        <v>118</v>
      </c>
      <c r="F75" s="10" t="s">
        <v>102</v>
      </c>
      <c r="G75" s="10">
        <v>5.0</v>
      </c>
      <c r="H75" s="10">
        <v>7.0</v>
      </c>
      <c r="I75" s="10" t="s">
        <v>2140</v>
      </c>
      <c r="J75" s="10" t="s">
        <v>2136</v>
      </c>
      <c r="K75" s="10"/>
      <c r="L75" s="10">
        <v>274.75</v>
      </c>
      <c r="M75" s="10">
        <v>8.59</v>
      </c>
      <c r="N75" s="10"/>
      <c r="O75" s="10"/>
      <c r="P75" s="12">
        <f>IF($A75="","",IFERROR((IF($O75="",0,$O75)*Settings!$J$4+IF($L75="",0,$L75)*Settings!$J$5+IF($N75="",0,$N75)*Settings!$J$6)/(IF($O75="",0,Settings!$J$4)+IF($L75="",0,Settings!$J$5)+IF($N75="",0,Settings!$J$6)),0))</f>
        <v>274.75</v>
      </c>
      <c r="Q75" s="12">
        <f t="array" ref="Q75">IF($A75="","",XLOOKUP($E75,Settings!$A$19:$A$22,Settings!$G$19:$G$22,0))</f>
        <v>196.25</v>
      </c>
      <c r="R75" s="12">
        <f t="shared" si="1"/>
        <v>78.5</v>
      </c>
      <c r="S75" s="12">
        <f>IF($A75="","",IF($R75&lt;=0,1,1+$R75/SUMIF($R$4:$R$923,"&gt;0",$R$4:$R$923)*(Settings!$B$5*(Settings!$B$6-Settings!$B$7))))</f>
        <v>10.69243604</v>
      </c>
      <c r="T75" s="12">
        <f t="array" ref="T75">IF($A75="","",XLOOKUP($F75,Settings!$I$15:$I$20,Settings!$J$15:$J$20,1))</f>
        <v>1.05</v>
      </c>
      <c r="U75" s="12">
        <f>IF($A75="","",1+(($G75-5)/5)*Settings!$J$8)</f>
        <v>1</v>
      </c>
      <c r="V75" s="12">
        <f>IF($A75="","",1+(($H75-5)/5)*Settings!$J$9)</f>
        <v>1.06</v>
      </c>
      <c r="W75" s="12">
        <f t="array" ref="W75">IF($A75="","",XLOOKUP($J75,Lists!$C$3:$C$7,Lists!$D$3:$D$7,1))</f>
        <v>1</v>
      </c>
      <c r="X75" s="12">
        <f>IF($A75="","",IF($I75="Yes",Settings!$J$10,1))</f>
        <v>1</v>
      </c>
      <c r="Y75" s="12">
        <f t="shared" si="2"/>
        <v>12</v>
      </c>
      <c r="Z75" s="12">
        <f>IF($A75="","",IFERROR(ROUND(AVERAGEIFS('Historical Drafts'!$G$4:$G$300,'Historical Drafts'!$D$4:$D$300,$E75,'Historical Drafts'!$J$4:$J$300,"&gt;="&amp;$L75*0.85,'Historical Drafts'!$J$4:$J$300,"&lt;="&amp;$L75*1.15),0),$Y75))</f>
        <v>3</v>
      </c>
      <c r="AA75" s="12" t="str">
        <f>IF($A75="","",IF(COUNTIF('Auction Log'!$B$3:$B$300,$A75)&gt;0,"Sold","Available"))</f>
        <v>Available</v>
      </c>
      <c r="AB75" s="12" t="str">
        <f t="array" ref="AB75">IF($A75="","",IFERROR(XLOOKUP($A75,'Auction Log'!$B$3:$B$300,'Auction Log'!$G$3:$G$300,""),""))</f>
        <v/>
      </c>
      <c r="AC75" s="12" t="str">
        <f t="array" ref="AC75">IF($A75="","",IFERROR(XLOOKUP($A75,'Auction Log'!$B$3:$B$300,'Auction Log'!$F$3:$F$300,""),""))</f>
        <v/>
      </c>
      <c r="AD75" s="12">
        <f t="array" ref="AD75">IF($A75="","",ROUND($Y75*XLOOKUP($F75,Settings!$I$15:$I$20,Settings!$K$15:$K$20,0.4),0))</f>
        <v>5</v>
      </c>
      <c r="AE75" s="12">
        <f t="array" ref="AE75">IF($A75="","",ROUND($Y75*XLOOKUP($F75,Settings!$I$15:$I$20,Settings!$L$15:$L$20,0.8),0))</f>
        <v>9</v>
      </c>
      <c r="AF75" s="12">
        <f t="array" ref="AF75">IF($A75="","",ROUND($Y75*XLOOKUP($F75,Settings!$I$15:$I$20,Settings!$M$15:$M$20,1),0))</f>
        <v>12</v>
      </c>
      <c r="AG75" s="12">
        <f t="array" ref="AG75">IF($A75="","",ROUND($Y75*XLOOKUP($F75,Settings!$I$15:$I$20,Settings!$N$15:$N$20,1.1),0))</f>
        <v>13</v>
      </c>
      <c r="AH75" s="12">
        <f t="array" ref="AH75">IF($A75="","",ROUND($Y75*XLOOKUP($F75,Settings!$I$15:$I$20,Settings!$O$15:$O$20,1.1)*Settings!$J$7,0))</f>
        <v>13</v>
      </c>
      <c r="AI75" s="12">
        <f t="array" ref="AI75">IF($A75="","",IF($AA75="Sold","",MIN($AH75,IFERROR(XLOOKUP(Settings!$B$12,Managers!$B$4:$B$15,Managers!$H$4:$H$15),$AH75))))</f>
        <v>13</v>
      </c>
      <c r="AJ75" s="12" t="str">
        <f t="shared" si="3"/>
        <v>Value Target</v>
      </c>
      <c r="AK75" s="12">
        <f t="shared" si="4"/>
        <v>37</v>
      </c>
      <c r="AL75" s="12" t="str">
        <f t="shared" si="5"/>
        <v/>
      </c>
    </row>
    <row r="76" ht="15.75" customHeight="1">
      <c r="A76" s="10" t="s">
        <v>239</v>
      </c>
      <c r="B76" s="10" t="s">
        <v>584</v>
      </c>
      <c r="C76" s="10" t="s">
        <v>177</v>
      </c>
      <c r="D76" s="10" t="s">
        <v>123</v>
      </c>
      <c r="E76" s="10" t="s">
        <v>123</v>
      </c>
      <c r="F76" s="10" t="s">
        <v>102</v>
      </c>
      <c r="G76" s="10">
        <v>5.0</v>
      </c>
      <c r="H76" s="10">
        <v>7.0</v>
      </c>
      <c r="I76" s="10" t="s">
        <v>2140</v>
      </c>
      <c r="J76" s="10" t="s">
        <v>2136</v>
      </c>
      <c r="K76" s="10"/>
      <c r="L76" s="10">
        <v>274.5</v>
      </c>
      <c r="M76" s="10">
        <v>9.8</v>
      </c>
      <c r="N76" s="10"/>
      <c r="O76" s="10"/>
      <c r="P76" s="12">
        <f>IF($A76="","",IFERROR((IF($O76="",0,$O76)*Settings!$J$4+IF($L76="",0,$L76)*Settings!$J$5+IF($N76="",0,$N76)*Settings!$J$6)/(IF($O76="",0,Settings!$J$4)+IF($L76="",0,Settings!$J$5)+IF($N76="",0,Settings!$J$6)),0))</f>
        <v>274.5</v>
      </c>
      <c r="Q76" s="12">
        <f t="array" ref="Q76">IF($A76="","",XLOOKUP($E76,Settings!$A$19:$A$22,Settings!$G$19:$G$22,0))</f>
        <v>203</v>
      </c>
      <c r="R76" s="12">
        <f t="shared" si="1"/>
        <v>71.5</v>
      </c>
      <c r="S76" s="12">
        <f>IF($A76="","",IF($R76&lt;=0,1,1+$R76/SUMIF($R$4:$R$923,"&gt;0",$R$4:$R$923)*(Settings!$B$5*(Settings!$B$6-Settings!$B$7))))</f>
        <v>9.82814238</v>
      </c>
      <c r="T76" s="12">
        <f t="array" ref="T76">IF($A76="","",XLOOKUP($F76,Settings!$I$15:$I$20,Settings!$J$15:$J$20,1))</f>
        <v>1.05</v>
      </c>
      <c r="U76" s="12">
        <f>IF($A76="","",1+(($G76-5)/5)*Settings!$J$8)</f>
        <v>1</v>
      </c>
      <c r="V76" s="12">
        <f>IF($A76="","",1+(($H76-5)/5)*Settings!$J$9)</f>
        <v>1.06</v>
      </c>
      <c r="W76" s="12">
        <f t="array" ref="W76">IF($A76="","",XLOOKUP($J76,Lists!$C$3:$C$7,Lists!$D$3:$D$7,1))</f>
        <v>1</v>
      </c>
      <c r="X76" s="12">
        <f>IF($A76="","",IF($I76="Yes",Settings!$J$10,1))</f>
        <v>1</v>
      </c>
      <c r="Y76" s="12">
        <f t="shared" si="2"/>
        <v>11</v>
      </c>
      <c r="Z76" s="12">
        <f>IF($A76="","",IFERROR(ROUND(AVERAGEIFS('Historical Drafts'!$G$4:$G$300,'Historical Drafts'!$D$4:$D$300,$E76,'Historical Drafts'!$J$4:$J$300,"&gt;="&amp;$L76*0.85,'Historical Drafts'!$J$4:$J$300,"&lt;="&amp;$L76*1.15),0),$Y76))</f>
        <v>23</v>
      </c>
      <c r="AA76" s="12" t="str">
        <f>IF($A76="","",IF(COUNTIF('Auction Log'!$B$3:$B$300,$A76)&gt;0,"Sold","Available"))</f>
        <v>Available</v>
      </c>
      <c r="AB76" s="12" t="str">
        <f t="array" ref="AB76">IF($A76="","",IFERROR(XLOOKUP($A76,'Auction Log'!$B$3:$B$300,'Auction Log'!$G$3:$G$300,""),""))</f>
        <v/>
      </c>
      <c r="AC76" s="12" t="str">
        <f t="array" ref="AC76">IF($A76="","",IFERROR(XLOOKUP($A76,'Auction Log'!$B$3:$B$300,'Auction Log'!$F$3:$F$300,""),""))</f>
        <v/>
      </c>
      <c r="AD76" s="12">
        <f t="array" ref="AD76">IF($A76="","",ROUND($Y76*XLOOKUP($F76,Settings!$I$15:$I$20,Settings!$K$15:$K$20,0.4),0))</f>
        <v>4</v>
      </c>
      <c r="AE76" s="12">
        <f t="array" ref="AE76">IF($A76="","",ROUND($Y76*XLOOKUP($F76,Settings!$I$15:$I$20,Settings!$L$15:$L$20,0.8),0))</f>
        <v>9</v>
      </c>
      <c r="AF76" s="12">
        <f t="array" ref="AF76">IF($A76="","",ROUND($Y76*XLOOKUP($F76,Settings!$I$15:$I$20,Settings!$M$15:$M$20,1),0))</f>
        <v>11</v>
      </c>
      <c r="AG76" s="12">
        <f t="array" ref="AG76">IF($A76="","",ROUND($Y76*XLOOKUP($F76,Settings!$I$15:$I$20,Settings!$N$15:$N$20,1.1),0))</f>
        <v>12</v>
      </c>
      <c r="AH76" s="12">
        <f t="array" ref="AH76">IF($A76="","",ROUND($Y76*XLOOKUP($F76,Settings!$I$15:$I$20,Settings!$O$15:$O$20,1.1)*Settings!$J$7,0))</f>
        <v>12</v>
      </c>
      <c r="AI76" s="12">
        <f t="array" ref="AI76">IF($A76="","",IF($AA76="Sold","",MIN($AH76,IFERROR(XLOOKUP(Settings!$B$12,Managers!$B$4:$B$15,Managers!$H$4:$H$15),$AH76))))</f>
        <v>12</v>
      </c>
      <c r="AJ76" s="12" t="str">
        <f t="shared" si="3"/>
        <v>Budget Drainer</v>
      </c>
      <c r="AK76" s="12">
        <f t="shared" si="4"/>
        <v>48</v>
      </c>
      <c r="AL76" s="12" t="str">
        <f t="shared" si="5"/>
        <v/>
      </c>
    </row>
    <row r="77" ht="15.75" customHeight="1">
      <c r="A77" s="10" t="s">
        <v>585</v>
      </c>
      <c r="B77" s="10" t="s">
        <v>586</v>
      </c>
      <c r="C77" s="10" t="s">
        <v>257</v>
      </c>
      <c r="D77" s="10" t="s">
        <v>118</v>
      </c>
      <c r="E77" s="10" t="s">
        <v>118</v>
      </c>
      <c r="F77" s="10" t="s">
        <v>102</v>
      </c>
      <c r="G77" s="10">
        <v>5.0</v>
      </c>
      <c r="H77" s="10">
        <v>7.0</v>
      </c>
      <c r="I77" s="10" t="s">
        <v>2140</v>
      </c>
      <c r="J77" s="10" t="s">
        <v>2136</v>
      </c>
      <c r="K77" s="10"/>
      <c r="L77" s="10">
        <v>273.25</v>
      </c>
      <c r="M77" s="10">
        <v>7.39</v>
      </c>
      <c r="N77" s="10"/>
      <c r="O77" s="10"/>
      <c r="P77" s="12">
        <f>IF($A77="","",IFERROR((IF($O77="",0,$O77)*Settings!$J$4+IF($L77="",0,$L77)*Settings!$J$5+IF($N77="",0,$N77)*Settings!$J$6)/(IF($O77="",0,Settings!$J$4)+IF($L77="",0,Settings!$J$5)+IF($N77="",0,Settings!$J$6)),0))</f>
        <v>273.25</v>
      </c>
      <c r="Q77" s="12">
        <f t="array" ref="Q77">IF($A77="","",XLOOKUP($E77,Settings!$A$19:$A$22,Settings!$G$19:$G$22,0))</f>
        <v>196.25</v>
      </c>
      <c r="R77" s="12">
        <f t="shared" si="1"/>
        <v>77</v>
      </c>
      <c r="S77" s="12">
        <f>IF($A77="","",IF($R77&lt;=0,1,1+$R77/SUMIF($R$4:$R$923,"&gt;0",$R$4:$R$923)*(Settings!$B$5*(Settings!$B$6-Settings!$B$7))))</f>
        <v>10.50723026</v>
      </c>
      <c r="T77" s="12">
        <f t="array" ref="T77">IF($A77="","",XLOOKUP($F77,Settings!$I$15:$I$20,Settings!$J$15:$J$20,1))</f>
        <v>1.05</v>
      </c>
      <c r="U77" s="12">
        <f>IF($A77="","",1+(($G77-5)/5)*Settings!$J$8)</f>
        <v>1</v>
      </c>
      <c r="V77" s="12">
        <f>IF($A77="","",1+(($H77-5)/5)*Settings!$J$9)</f>
        <v>1.06</v>
      </c>
      <c r="W77" s="12">
        <f t="array" ref="W77">IF($A77="","",XLOOKUP($J77,Lists!$C$3:$C$7,Lists!$D$3:$D$7,1))</f>
        <v>1</v>
      </c>
      <c r="X77" s="12">
        <f>IF($A77="","",IF($I77="Yes",Settings!$J$10,1))</f>
        <v>1</v>
      </c>
      <c r="Y77" s="12">
        <f t="shared" si="2"/>
        <v>12</v>
      </c>
      <c r="Z77" s="12">
        <f>IF($A77="","",IFERROR(ROUND(AVERAGEIFS('Historical Drafts'!$G$4:$G$300,'Historical Drafts'!$D$4:$D$300,$E77,'Historical Drafts'!$J$4:$J$300,"&gt;="&amp;$L77*0.85,'Historical Drafts'!$J$4:$J$300,"&lt;="&amp;$L77*1.15),0),$Y77))</f>
        <v>3</v>
      </c>
      <c r="AA77" s="12" t="str">
        <f>IF($A77="","",IF(COUNTIF('Auction Log'!$B$3:$B$300,$A77)&gt;0,"Sold","Available"))</f>
        <v>Available</v>
      </c>
      <c r="AB77" s="12" t="str">
        <f t="array" ref="AB77">IF($A77="","",IFERROR(XLOOKUP($A77,'Auction Log'!$B$3:$B$300,'Auction Log'!$G$3:$G$300,""),""))</f>
        <v/>
      </c>
      <c r="AC77" s="12" t="str">
        <f t="array" ref="AC77">IF($A77="","",IFERROR(XLOOKUP($A77,'Auction Log'!$B$3:$B$300,'Auction Log'!$F$3:$F$300,""),""))</f>
        <v/>
      </c>
      <c r="AD77" s="12">
        <f t="array" ref="AD77">IF($A77="","",ROUND($Y77*XLOOKUP($F77,Settings!$I$15:$I$20,Settings!$K$15:$K$20,0.4),0))</f>
        <v>5</v>
      </c>
      <c r="AE77" s="12">
        <f t="array" ref="AE77">IF($A77="","",ROUND($Y77*XLOOKUP($F77,Settings!$I$15:$I$20,Settings!$L$15:$L$20,0.8),0))</f>
        <v>9</v>
      </c>
      <c r="AF77" s="12">
        <f t="array" ref="AF77">IF($A77="","",ROUND($Y77*XLOOKUP($F77,Settings!$I$15:$I$20,Settings!$M$15:$M$20,1),0))</f>
        <v>12</v>
      </c>
      <c r="AG77" s="12">
        <f t="array" ref="AG77">IF($A77="","",ROUND($Y77*XLOOKUP($F77,Settings!$I$15:$I$20,Settings!$N$15:$N$20,1.1),0))</f>
        <v>13</v>
      </c>
      <c r="AH77" s="12">
        <f t="array" ref="AH77">IF($A77="","",ROUND($Y77*XLOOKUP($F77,Settings!$I$15:$I$20,Settings!$O$15:$O$20,1.1)*Settings!$J$7,0))</f>
        <v>13</v>
      </c>
      <c r="AI77" s="12">
        <f t="array" ref="AI77">IF($A77="","",IF($AA77="Sold","",MIN($AH77,IFERROR(XLOOKUP(Settings!$B$12,Managers!$B$4:$B$15,Managers!$H$4:$H$15),$AH77))))</f>
        <v>13</v>
      </c>
      <c r="AJ77" s="12" t="str">
        <f t="shared" si="3"/>
        <v>Value Target</v>
      </c>
      <c r="AK77" s="12">
        <f t="shared" si="4"/>
        <v>37</v>
      </c>
      <c r="AL77" s="12" t="str">
        <f t="shared" si="5"/>
        <v/>
      </c>
    </row>
    <row r="78" ht="15.75" customHeight="1">
      <c r="A78" s="10" t="s">
        <v>587</v>
      </c>
      <c r="B78" s="10" t="s">
        <v>588</v>
      </c>
      <c r="C78" s="10" t="s">
        <v>243</v>
      </c>
      <c r="D78" s="10" t="s">
        <v>123</v>
      </c>
      <c r="E78" s="10" t="s">
        <v>123</v>
      </c>
      <c r="F78" s="10" t="s">
        <v>102</v>
      </c>
      <c r="G78" s="10">
        <v>5.0</v>
      </c>
      <c r="H78" s="10">
        <v>7.0</v>
      </c>
      <c r="I78" s="10" t="s">
        <v>2140</v>
      </c>
      <c r="J78" s="10" t="s">
        <v>2136</v>
      </c>
      <c r="K78" s="10"/>
      <c r="L78" s="10">
        <v>273.0</v>
      </c>
      <c r="M78" s="10">
        <v>8.53</v>
      </c>
      <c r="N78" s="10"/>
      <c r="O78" s="10"/>
      <c r="P78" s="12">
        <f>IF($A78="","",IFERROR((IF($O78="",0,$O78)*Settings!$J$4+IF($L78="",0,$L78)*Settings!$J$5+IF($N78="",0,$N78)*Settings!$J$6)/(IF($O78="",0,Settings!$J$4)+IF($L78="",0,Settings!$J$5)+IF($N78="",0,Settings!$J$6)),0))</f>
        <v>273</v>
      </c>
      <c r="Q78" s="12">
        <f t="array" ref="Q78">IF($A78="","",XLOOKUP($E78,Settings!$A$19:$A$22,Settings!$G$19:$G$22,0))</f>
        <v>203</v>
      </c>
      <c r="R78" s="12">
        <f t="shared" si="1"/>
        <v>70</v>
      </c>
      <c r="S78" s="12">
        <f>IF($A78="","",IF($R78&lt;=0,1,1+$R78/SUMIF($R$4:$R$923,"&gt;0",$R$4:$R$923)*(Settings!$B$5*(Settings!$B$6-Settings!$B$7))))</f>
        <v>9.642936596</v>
      </c>
      <c r="T78" s="12">
        <f t="array" ref="T78">IF($A78="","",XLOOKUP($F78,Settings!$I$15:$I$20,Settings!$J$15:$J$20,1))</f>
        <v>1.05</v>
      </c>
      <c r="U78" s="12">
        <f>IF($A78="","",1+(($G78-5)/5)*Settings!$J$8)</f>
        <v>1</v>
      </c>
      <c r="V78" s="12">
        <f>IF($A78="","",1+(($H78-5)/5)*Settings!$J$9)</f>
        <v>1.06</v>
      </c>
      <c r="W78" s="12">
        <f t="array" ref="W78">IF($A78="","",XLOOKUP($J78,Lists!$C$3:$C$7,Lists!$D$3:$D$7,1))</f>
        <v>1</v>
      </c>
      <c r="X78" s="12">
        <f>IF($A78="","",IF($I78="Yes",Settings!$J$10,1))</f>
        <v>1</v>
      </c>
      <c r="Y78" s="12">
        <f t="shared" si="2"/>
        <v>11</v>
      </c>
      <c r="Z78" s="12">
        <f>IF($A78="","",IFERROR(ROUND(AVERAGEIFS('Historical Drafts'!$G$4:$G$300,'Historical Drafts'!$D$4:$D$300,$E78,'Historical Drafts'!$J$4:$J$300,"&gt;="&amp;$L78*0.85,'Historical Drafts'!$J$4:$J$300,"&lt;="&amp;$L78*1.15),0),$Y78))</f>
        <v>23</v>
      </c>
      <c r="AA78" s="12" t="str">
        <f>IF($A78="","",IF(COUNTIF('Auction Log'!$B$3:$B$300,$A78)&gt;0,"Sold","Available"))</f>
        <v>Available</v>
      </c>
      <c r="AB78" s="12" t="str">
        <f t="array" ref="AB78">IF($A78="","",IFERROR(XLOOKUP($A78,'Auction Log'!$B$3:$B$300,'Auction Log'!$G$3:$G$300,""),""))</f>
        <v/>
      </c>
      <c r="AC78" s="12" t="str">
        <f t="array" ref="AC78">IF($A78="","",IFERROR(XLOOKUP($A78,'Auction Log'!$B$3:$B$300,'Auction Log'!$F$3:$F$300,""),""))</f>
        <v/>
      </c>
      <c r="AD78" s="12">
        <f t="array" ref="AD78">IF($A78="","",ROUND($Y78*XLOOKUP($F78,Settings!$I$15:$I$20,Settings!$K$15:$K$20,0.4),0))</f>
        <v>4</v>
      </c>
      <c r="AE78" s="12">
        <f t="array" ref="AE78">IF($A78="","",ROUND($Y78*XLOOKUP($F78,Settings!$I$15:$I$20,Settings!$L$15:$L$20,0.8),0))</f>
        <v>9</v>
      </c>
      <c r="AF78" s="12">
        <f t="array" ref="AF78">IF($A78="","",ROUND($Y78*XLOOKUP($F78,Settings!$I$15:$I$20,Settings!$M$15:$M$20,1),0))</f>
        <v>11</v>
      </c>
      <c r="AG78" s="12">
        <f t="array" ref="AG78">IF($A78="","",ROUND($Y78*XLOOKUP($F78,Settings!$I$15:$I$20,Settings!$N$15:$N$20,1.1),0))</f>
        <v>12</v>
      </c>
      <c r="AH78" s="12">
        <f t="array" ref="AH78">IF($A78="","",ROUND($Y78*XLOOKUP($F78,Settings!$I$15:$I$20,Settings!$O$15:$O$20,1.1)*Settings!$J$7,0))</f>
        <v>12</v>
      </c>
      <c r="AI78" s="12">
        <f t="array" ref="AI78">IF($A78="","",IF($AA78="Sold","",MIN($AH78,IFERROR(XLOOKUP(Settings!$B$12,Managers!$B$4:$B$15,Managers!$H$4:$H$15),$AH78))))</f>
        <v>12</v>
      </c>
      <c r="AJ78" s="12" t="str">
        <f t="shared" si="3"/>
        <v>Budget Drainer</v>
      </c>
      <c r="AK78" s="12">
        <f t="shared" si="4"/>
        <v>48</v>
      </c>
      <c r="AL78" s="12" t="str">
        <f t="shared" si="5"/>
        <v/>
      </c>
    </row>
    <row r="79" ht="15.75" customHeight="1">
      <c r="A79" s="10" t="s">
        <v>449</v>
      </c>
      <c r="B79" s="10" t="s">
        <v>450</v>
      </c>
      <c r="C79" s="10" t="s">
        <v>327</v>
      </c>
      <c r="D79" s="10" t="s">
        <v>118</v>
      </c>
      <c r="E79" s="10" t="s">
        <v>118</v>
      </c>
      <c r="F79" s="10" t="s">
        <v>104</v>
      </c>
      <c r="G79" s="10">
        <v>5.0</v>
      </c>
      <c r="H79" s="10">
        <v>7.0</v>
      </c>
      <c r="I79" s="10" t="s">
        <v>2140</v>
      </c>
      <c r="J79" s="10" t="s">
        <v>2136</v>
      </c>
      <c r="K79" s="10"/>
      <c r="L79" s="10">
        <v>272.5</v>
      </c>
      <c r="M79" s="10">
        <v>7.36</v>
      </c>
      <c r="N79" s="10"/>
      <c r="O79" s="10"/>
      <c r="P79" s="12">
        <f>IF($A79="","",IFERROR((IF($O79="",0,$O79)*Settings!$J$4+IF($L79="",0,$L79)*Settings!$J$5+IF($N79="",0,$N79)*Settings!$J$6)/(IF($O79="",0,Settings!$J$4)+IF($L79="",0,Settings!$J$5)+IF($N79="",0,Settings!$J$6)),0))</f>
        <v>272.5</v>
      </c>
      <c r="Q79" s="12">
        <f t="array" ref="Q79">IF($A79="","",XLOOKUP($E79,Settings!$A$19:$A$22,Settings!$G$19:$G$22,0))</f>
        <v>196.25</v>
      </c>
      <c r="R79" s="12">
        <f t="shared" si="1"/>
        <v>76.25</v>
      </c>
      <c r="S79" s="12">
        <f>IF($A79="","",IF($R79&lt;=0,1,1+$R79/SUMIF($R$4:$R$923,"&gt;0",$R$4:$R$923)*(Settings!$B$5*(Settings!$B$6-Settings!$B$7))))</f>
        <v>10.41462736</v>
      </c>
      <c r="T79" s="12">
        <f t="array" ref="T79">IF($A79="","",XLOOKUP($F79,Settings!$I$15:$I$20,Settings!$J$15:$J$20,1))</f>
        <v>1</v>
      </c>
      <c r="U79" s="12">
        <f>IF($A79="","",1+(($G79-5)/5)*Settings!$J$8)</f>
        <v>1</v>
      </c>
      <c r="V79" s="12">
        <f>IF($A79="","",1+(($H79-5)/5)*Settings!$J$9)</f>
        <v>1.06</v>
      </c>
      <c r="W79" s="12">
        <f t="array" ref="W79">IF($A79="","",XLOOKUP($J79,Lists!$C$3:$C$7,Lists!$D$3:$D$7,1))</f>
        <v>1</v>
      </c>
      <c r="X79" s="12">
        <f>IF($A79="","",IF($I79="Yes",Settings!$J$10,1))</f>
        <v>1</v>
      </c>
      <c r="Y79" s="12">
        <f t="shared" si="2"/>
        <v>11</v>
      </c>
      <c r="Z79" s="12">
        <f>IF($A79="","",IFERROR(ROUND(AVERAGEIFS('Historical Drafts'!$G$4:$G$300,'Historical Drafts'!$D$4:$D$300,$E79,'Historical Drafts'!$J$4:$J$300,"&gt;="&amp;$L79*0.85,'Historical Drafts'!$J$4:$J$300,"&lt;="&amp;$L79*1.15),0),$Y79))</f>
        <v>3</v>
      </c>
      <c r="AA79" s="12" t="str">
        <f>IF($A79="","",IF(COUNTIF('Auction Log'!$B$3:$B$300,$A79)&gt;0,"Sold","Available"))</f>
        <v>Available</v>
      </c>
      <c r="AB79" s="12" t="str">
        <f t="array" ref="AB79">IF($A79="","",IFERROR(XLOOKUP($A79,'Auction Log'!$B$3:$B$300,'Auction Log'!$G$3:$G$300,""),""))</f>
        <v/>
      </c>
      <c r="AC79" s="12" t="str">
        <f t="array" ref="AC79">IF($A79="","",IFERROR(XLOOKUP($A79,'Auction Log'!$B$3:$B$300,'Auction Log'!$F$3:$F$300,""),""))</f>
        <v/>
      </c>
      <c r="AD79" s="12">
        <f t="array" ref="AD79">IF($A79="","",ROUND($Y79*XLOOKUP($F79,Settings!$I$15:$I$20,Settings!$K$15:$K$20,0.4),0))</f>
        <v>3</v>
      </c>
      <c r="AE79" s="12">
        <f t="array" ref="AE79">IF($A79="","",ROUND($Y79*XLOOKUP($F79,Settings!$I$15:$I$20,Settings!$L$15:$L$20,0.8),0))</f>
        <v>8</v>
      </c>
      <c r="AF79" s="12">
        <f t="array" ref="AF79">IF($A79="","",ROUND($Y79*XLOOKUP($F79,Settings!$I$15:$I$20,Settings!$M$15:$M$20,1),0))</f>
        <v>10</v>
      </c>
      <c r="AG79" s="12">
        <f t="array" ref="AG79">IF($A79="","",ROUND($Y79*XLOOKUP($F79,Settings!$I$15:$I$20,Settings!$N$15:$N$20,1.1),0))</f>
        <v>11</v>
      </c>
      <c r="AH79" s="12">
        <f t="array" ref="AH79">IF($A79="","",ROUND($Y79*XLOOKUP($F79,Settings!$I$15:$I$20,Settings!$O$15:$O$20,1.1)*Settings!$J$7,0))</f>
        <v>12</v>
      </c>
      <c r="AI79" s="12">
        <f t="array" ref="AI79">IF($A79="","",IF($AA79="Sold","",MIN($AH79,IFERROR(XLOOKUP(Settings!$B$12,Managers!$B$4:$B$15,Managers!$H$4:$H$15),$AH79))))</f>
        <v>12</v>
      </c>
      <c r="AJ79" s="12" t="str">
        <f t="shared" si="3"/>
        <v>Value Target</v>
      </c>
      <c r="AK79" s="12">
        <f t="shared" si="4"/>
        <v>36</v>
      </c>
      <c r="AL79" s="12" t="str">
        <f t="shared" si="5"/>
        <v/>
      </c>
    </row>
    <row r="80" ht="15.75" customHeight="1">
      <c r="A80" s="10" t="s">
        <v>351</v>
      </c>
      <c r="B80" s="10" t="s">
        <v>352</v>
      </c>
      <c r="C80" s="10" t="s">
        <v>191</v>
      </c>
      <c r="D80" s="10" t="s">
        <v>118</v>
      </c>
      <c r="E80" s="10" t="s">
        <v>118</v>
      </c>
      <c r="F80" s="10" t="s">
        <v>104</v>
      </c>
      <c r="G80" s="10">
        <v>5.0</v>
      </c>
      <c r="H80" s="10">
        <v>7.0</v>
      </c>
      <c r="I80" s="10" t="s">
        <v>2140</v>
      </c>
      <c r="J80" s="10" t="s">
        <v>2136</v>
      </c>
      <c r="K80" s="10"/>
      <c r="L80" s="10">
        <v>270.75</v>
      </c>
      <c r="M80" s="10">
        <v>8.73</v>
      </c>
      <c r="N80" s="10"/>
      <c r="O80" s="10"/>
      <c r="P80" s="12">
        <f>IF($A80="","",IFERROR((IF($O80="",0,$O80)*Settings!$J$4+IF($L80="",0,$L80)*Settings!$J$5+IF($N80="",0,$N80)*Settings!$J$6)/(IF($O80="",0,Settings!$J$4)+IF($L80="",0,Settings!$J$5)+IF($N80="",0,Settings!$J$6)),0))</f>
        <v>270.75</v>
      </c>
      <c r="Q80" s="12">
        <f t="array" ref="Q80">IF($A80="","",XLOOKUP($E80,Settings!$A$19:$A$22,Settings!$G$19:$G$22,0))</f>
        <v>196.25</v>
      </c>
      <c r="R80" s="12">
        <f t="shared" si="1"/>
        <v>74.5</v>
      </c>
      <c r="S80" s="12">
        <f>IF($A80="","",IF($R80&lt;=0,1,1+$R80/SUMIF($R$4:$R$923,"&gt;0",$R$4:$R$923)*(Settings!$B$5*(Settings!$B$6-Settings!$B$7))))</f>
        <v>10.19855395</v>
      </c>
      <c r="T80" s="12">
        <f t="array" ref="T80">IF($A80="","",XLOOKUP($F80,Settings!$I$15:$I$20,Settings!$J$15:$J$20,1))</f>
        <v>1</v>
      </c>
      <c r="U80" s="12">
        <f>IF($A80="","",1+(($G80-5)/5)*Settings!$J$8)</f>
        <v>1</v>
      </c>
      <c r="V80" s="12">
        <f>IF($A80="","",1+(($H80-5)/5)*Settings!$J$9)</f>
        <v>1.06</v>
      </c>
      <c r="W80" s="12">
        <f t="array" ref="W80">IF($A80="","",XLOOKUP($J80,Lists!$C$3:$C$7,Lists!$D$3:$D$7,1))</f>
        <v>1</v>
      </c>
      <c r="X80" s="12">
        <f>IF($A80="","",IF($I80="Yes",Settings!$J$10,1))</f>
        <v>1</v>
      </c>
      <c r="Y80" s="12">
        <f t="shared" si="2"/>
        <v>11</v>
      </c>
      <c r="Z80" s="12">
        <f>IF($A80="","",IFERROR(ROUND(AVERAGEIFS('Historical Drafts'!$G$4:$G$300,'Historical Drafts'!$D$4:$D$300,$E80,'Historical Drafts'!$J$4:$J$300,"&gt;="&amp;$L80*0.85,'Historical Drafts'!$J$4:$J$300,"&lt;="&amp;$L80*1.15),0),$Y80))</f>
        <v>3</v>
      </c>
      <c r="AA80" s="12" t="str">
        <f>IF($A80="","",IF(COUNTIF('Auction Log'!$B$3:$B$300,$A80)&gt;0,"Sold","Available"))</f>
        <v>Available</v>
      </c>
      <c r="AB80" s="12" t="str">
        <f t="array" ref="AB80">IF($A80="","",IFERROR(XLOOKUP($A80,'Auction Log'!$B$3:$B$300,'Auction Log'!$G$3:$G$300,""),""))</f>
        <v/>
      </c>
      <c r="AC80" s="12" t="str">
        <f t="array" ref="AC80">IF($A80="","",IFERROR(XLOOKUP($A80,'Auction Log'!$B$3:$B$300,'Auction Log'!$F$3:$F$300,""),""))</f>
        <v/>
      </c>
      <c r="AD80" s="12">
        <f t="array" ref="AD80">IF($A80="","",ROUND($Y80*XLOOKUP($F80,Settings!$I$15:$I$20,Settings!$K$15:$K$20,0.4),0))</f>
        <v>3</v>
      </c>
      <c r="AE80" s="12">
        <f t="array" ref="AE80">IF($A80="","",ROUND($Y80*XLOOKUP($F80,Settings!$I$15:$I$20,Settings!$L$15:$L$20,0.8),0))</f>
        <v>8</v>
      </c>
      <c r="AF80" s="12">
        <f t="array" ref="AF80">IF($A80="","",ROUND($Y80*XLOOKUP($F80,Settings!$I$15:$I$20,Settings!$M$15:$M$20,1),0))</f>
        <v>10</v>
      </c>
      <c r="AG80" s="12">
        <f t="array" ref="AG80">IF($A80="","",ROUND($Y80*XLOOKUP($F80,Settings!$I$15:$I$20,Settings!$N$15:$N$20,1.1),0))</f>
        <v>11</v>
      </c>
      <c r="AH80" s="12">
        <f t="array" ref="AH80">IF($A80="","",ROUND($Y80*XLOOKUP($F80,Settings!$I$15:$I$20,Settings!$O$15:$O$20,1.1)*Settings!$J$7,0))</f>
        <v>12</v>
      </c>
      <c r="AI80" s="12">
        <f t="array" ref="AI80">IF($A80="","",IF($AA80="Sold","",MIN($AH80,IFERROR(XLOOKUP(Settings!$B$12,Managers!$B$4:$B$15,Managers!$H$4:$H$15),$AH80))))</f>
        <v>12</v>
      </c>
      <c r="AJ80" s="12" t="str">
        <f t="shared" si="3"/>
        <v>Value Target</v>
      </c>
      <c r="AK80" s="12">
        <f t="shared" si="4"/>
        <v>36</v>
      </c>
      <c r="AL80" s="12" t="str">
        <f t="shared" si="5"/>
        <v/>
      </c>
    </row>
    <row r="81" ht="15.75" customHeight="1">
      <c r="A81" s="10" t="s">
        <v>589</v>
      </c>
      <c r="B81" s="10" t="s">
        <v>590</v>
      </c>
      <c r="C81" s="10" t="s">
        <v>285</v>
      </c>
      <c r="D81" s="10" t="s">
        <v>121</v>
      </c>
      <c r="E81" s="10" t="s">
        <v>121</v>
      </c>
      <c r="F81" s="10" t="s">
        <v>104</v>
      </c>
      <c r="G81" s="10">
        <v>5.0</v>
      </c>
      <c r="H81" s="10">
        <v>7.0</v>
      </c>
      <c r="I81" s="10" t="s">
        <v>2140</v>
      </c>
      <c r="J81" s="10" t="s">
        <v>2136</v>
      </c>
      <c r="K81" s="10"/>
      <c r="L81" s="10">
        <v>270.0</v>
      </c>
      <c r="M81" s="10">
        <v>7.3</v>
      </c>
      <c r="N81" s="10"/>
      <c r="O81" s="10"/>
      <c r="P81" s="12">
        <f>IF($A81="","",IFERROR((IF($O81="",0,$O81)*Settings!$J$4+IF($L81="",0,$L81)*Settings!$J$5+IF($N81="",0,$N81)*Settings!$J$6)/(IF($O81="",0,Settings!$J$4)+IF($L81="",0,Settings!$J$5)+IF($N81="",0,Settings!$J$6)),0))</f>
        <v>270</v>
      </c>
      <c r="Q81" s="12">
        <f t="array" ref="Q81">IF($A81="","",XLOOKUP($E81,Settings!$A$19:$A$22,Settings!$G$19:$G$22,0))</f>
        <v>206</v>
      </c>
      <c r="R81" s="12">
        <f t="shared" si="1"/>
        <v>64</v>
      </c>
      <c r="S81" s="12">
        <f>IF($A81="","",IF($R81&lt;=0,1,1+$R81/SUMIF($R$4:$R$923,"&gt;0",$R$4:$R$923)*(Settings!$B$5*(Settings!$B$6-Settings!$B$7))))</f>
        <v>8.902113459</v>
      </c>
      <c r="T81" s="12">
        <f t="array" ref="T81">IF($A81="","",XLOOKUP($F81,Settings!$I$15:$I$20,Settings!$J$15:$J$20,1))</f>
        <v>1</v>
      </c>
      <c r="U81" s="12">
        <f>IF($A81="","",1+(($G81-5)/5)*Settings!$J$8)</f>
        <v>1</v>
      </c>
      <c r="V81" s="12">
        <f>IF($A81="","",1+(($H81-5)/5)*Settings!$J$9)</f>
        <v>1.06</v>
      </c>
      <c r="W81" s="12">
        <f t="array" ref="W81">IF($A81="","",XLOOKUP($J81,Lists!$C$3:$C$7,Lists!$D$3:$D$7,1))</f>
        <v>1</v>
      </c>
      <c r="X81" s="12">
        <f>IF($A81="","",IF($I81="Yes",Settings!$J$10,1))</f>
        <v>1</v>
      </c>
      <c r="Y81" s="12">
        <f t="shared" si="2"/>
        <v>9</v>
      </c>
      <c r="Z81" s="12">
        <f>IF($A81="","",IFERROR(ROUND(AVERAGEIFS('Historical Drafts'!$G$4:$G$300,'Historical Drafts'!$D$4:$D$300,$E81,'Historical Drafts'!$J$4:$J$300,"&gt;="&amp;$L81*0.85,'Historical Drafts'!$J$4:$J$300,"&lt;="&amp;$L81*1.15),0),$Y81))</f>
        <v>19</v>
      </c>
      <c r="AA81" s="12" t="str">
        <f>IF($A81="","",IF(COUNTIF('Auction Log'!$B$3:$B$300,$A81)&gt;0,"Sold","Available"))</f>
        <v>Available</v>
      </c>
      <c r="AB81" s="12" t="str">
        <f t="array" ref="AB81">IF($A81="","",IFERROR(XLOOKUP($A81,'Auction Log'!$B$3:$B$300,'Auction Log'!$G$3:$G$300,""),""))</f>
        <v/>
      </c>
      <c r="AC81" s="12" t="str">
        <f t="array" ref="AC81">IF($A81="","",IFERROR(XLOOKUP($A81,'Auction Log'!$B$3:$B$300,'Auction Log'!$F$3:$F$300,""),""))</f>
        <v/>
      </c>
      <c r="AD81" s="12">
        <f t="array" ref="AD81">IF($A81="","",ROUND($Y81*XLOOKUP($F81,Settings!$I$15:$I$20,Settings!$K$15:$K$20,0.4),0))</f>
        <v>3</v>
      </c>
      <c r="AE81" s="12">
        <f t="array" ref="AE81">IF($A81="","",ROUND($Y81*XLOOKUP($F81,Settings!$I$15:$I$20,Settings!$L$15:$L$20,0.8),0))</f>
        <v>6</v>
      </c>
      <c r="AF81" s="12">
        <f t="array" ref="AF81">IF($A81="","",ROUND($Y81*XLOOKUP($F81,Settings!$I$15:$I$20,Settings!$M$15:$M$20,1),0))</f>
        <v>9</v>
      </c>
      <c r="AG81" s="12">
        <f t="array" ref="AG81">IF($A81="","",ROUND($Y81*XLOOKUP($F81,Settings!$I$15:$I$20,Settings!$N$15:$N$20,1.1),0))</f>
        <v>9</v>
      </c>
      <c r="AH81" s="12">
        <f t="array" ref="AH81">IF($A81="","",ROUND($Y81*XLOOKUP($F81,Settings!$I$15:$I$20,Settings!$O$15:$O$20,1.1)*Settings!$J$7,0))</f>
        <v>9</v>
      </c>
      <c r="AI81" s="12">
        <f t="array" ref="AI81">IF($A81="","",IF($AA81="Sold","",MIN($AH81,IFERROR(XLOOKUP(Settings!$B$12,Managers!$B$4:$B$15,Managers!$H$4:$H$15),$AH81))))</f>
        <v>9</v>
      </c>
      <c r="AJ81" s="12" t="str">
        <f t="shared" si="3"/>
        <v>Budget Drainer</v>
      </c>
      <c r="AK81" s="12">
        <f t="shared" si="4"/>
        <v>44</v>
      </c>
      <c r="AL81" s="12" t="str">
        <f t="shared" si="5"/>
        <v/>
      </c>
    </row>
    <row r="82" ht="15.75" customHeight="1">
      <c r="A82" s="10" t="s">
        <v>591</v>
      </c>
      <c r="B82" s="10" t="s">
        <v>592</v>
      </c>
      <c r="C82" s="10" t="s">
        <v>314</v>
      </c>
      <c r="D82" s="10" t="s">
        <v>118</v>
      </c>
      <c r="E82" s="10" t="s">
        <v>118</v>
      </c>
      <c r="F82" s="10" t="s">
        <v>104</v>
      </c>
      <c r="G82" s="10">
        <v>5.0</v>
      </c>
      <c r="H82" s="10">
        <v>7.0</v>
      </c>
      <c r="I82" s="10" t="s">
        <v>2140</v>
      </c>
      <c r="J82" s="10" t="s">
        <v>2136</v>
      </c>
      <c r="K82" s="10"/>
      <c r="L82" s="10">
        <v>269.75</v>
      </c>
      <c r="M82" s="10">
        <v>7.1</v>
      </c>
      <c r="N82" s="10"/>
      <c r="O82" s="10"/>
      <c r="P82" s="12">
        <f>IF($A82="","",IFERROR((IF($O82="",0,$O82)*Settings!$J$4+IF($L82="",0,$L82)*Settings!$J$5+IF($N82="",0,$N82)*Settings!$J$6)/(IF($O82="",0,Settings!$J$4)+IF($L82="",0,Settings!$J$5)+IF($N82="",0,Settings!$J$6)),0))</f>
        <v>269.75</v>
      </c>
      <c r="Q82" s="12">
        <f t="array" ref="Q82">IF($A82="","",XLOOKUP($E82,Settings!$A$19:$A$22,Settings!$G$19:$G$22,0))</f>
        <v>196.25</v>
      </c>
      <c r="R82" s="12">
        <f t="shared" si="1"/>
        <v>73.5</v>
      </c>
      <c r="S82" s="12">
        <f>IF($A82="","",IF($R82&lt;=0,1,1+$R82/SUMIF($R$4:$R$923,"&gt;0",$R$4:$R$923)*(Settings!$B$5*(Settings!$B$6-Settings!$B$7))))</f>
        <v>10.07508343</v>
      </c>
      <c r="T82" s="12">
        <f t="array" ref="T82">IF($A82="","",XLOOKUP($F82,Settings!$I$15:$I$20,Settings!$J$15:$J$20,1))</f>
        <v>1</v>
      </c>
      <c r="U82" s="12">
        <f>IF($A82="","",1+(($G82-5)/5)*Settings!$J$8)</f>
        <v>1</v>
      </c>
      <c r="V82" s="12">
        <f>IF($A82="","",1+(($H82-5)/5)*Settings!$J$9)</f>
        <v>1.06</v>
      </c>
      <c r="W82" s="12">
        <f t="array" ref="W82">IF($A82="","",XLOOKUP($J82,Lists!$C$3:$C$7,Lists!$D$3:$D$7,1))</f>
        <v>1</v>
      </c>
      <c r="X82" s="12">
        <f>IF($A82="","",IF($I82="Yes",Settings!$J$10,1))</f>
        <v>1</v>
      </c>
      <c r="Y82" s="12">
        <f t="shared" si="2"/>
        <v>11</v>
      </c>
      <c r="Z82" s="12">
        <f>IF($A82="","",IFERROR(ROUND(AVERAGEIFS('Historical Drafts'!$G$4:$G$300,'Historical Drafts'!$D$4:$D$300,$E82,'Historical Drafts'!$J$4:$J$300,"&gt;="&amp;$L82*0.85,'Historical Drafts'!$J$4:$J$300,"&lt;="&amp;$L82*1.15),0),$Y82))</f>
        <v>3</v>
      </c>
      <c r="AA82" s="12" t="str">
        <f>IF($A82="","",IF(COUNTIF('Auction Log'!$B$3:$B$300,$A82)&gt;0,"Sold","Available"))</f>
        <v>Available</v>
      </c>
      <c r="AB82" s="12" t="str">
        <f t="array" ref="AB82">IF($A82="","",IFERROR(XLOOKUP($A82,'Auction Log'!$B$3:$B$300,'Auction Log'!$G$3:$G$300,""),""))</f>
        <v/>
      </c>
      <c r="AC82" s="12" t="str">
        <f t="array" ref="AC82">IF($A82="","",IFERROR(XLOOKUP($A82,'Auction Log'!$B$3:$B$300,'Auction Log'!$F$3:$F$300,""),""))</f>
        <v/>
      </c>
      <c r="AD82" s="12">
        <f t="array" ref="AD82">IF($A82="","",ROUND($Y82*XLOOKUP($F82,Settings!$I$15:$I$20,Settings!$K$15:$K$20,0.4),0))</f>
        <v>3</v>
      </c>
      <c r="AE82" s="12">
        <f t="array" ref="AE82">IF($A82="","",ROUND($Y82*XLOOKUP($F82,Settings!$I$15:$I$20,Settings!$L$15:$L$20,0.8),0))</f>
        <v>8</v>
      </c>
      <c r="AF82" s="12">
        <f t="array" ref="AF82">IF($A82="","",ROUND($Y82*XLOOKUP($F82,Settings!$I$15:$I$20,Settings!$M$15:$M$20,1),0))</f>
        <v>10</v>
      </c>
      <c r="AG82" s="12">
        <f t="array" ref="AG82">IF($A82="","",ROUND($Y82*XLOOKUP($F82,Settings!$I$15:$I$20,Settings!$N$15:$N$20,1.1),0))</f>
        <v>11</v>
      </c>
      <c r="AH82" s="12">
        <f t="array" ref="AH82">IF($A82="","",ROUND($Y82*XLOOKUP($F82,Settings!$I$15:$I$20,Settings!$O$15:$O$20,1.1)*Settings!$J$7,0))</f>
        <v>12</v>
      </c>
      <c r="AI82" s="12">
        <f t="array" ref="AI82">IF($A82="","",IF($AA82="Sold","",MIN($AH82,IFERROR(XLOOKUP(Settings!$B$12,Managers!$B$4:$B$15,Managers!$H$4:$H$15),$AH82))))</f>
        <v>12</v>
      </c>
      <c r="AJ82" s="12" t="str">
        <f t="shared" si="3"/>
        <v>Value Target</v>
      </c>
      <c r="AK82" s="12">
        <f t="shared" si="4"/>
        <v>36</v>
      </c>
      <c r="AL82" s="12" t="str">
        <f t="shared" si="5"/>
        <v/>
      </c>
    </row>
    <row r="83" ht="15.75" customHeight="1">
      <c r="A83" s="10" t="s">
        <v>503</v>
      </c>
      <c r="B83" s="10" t="s">
        <v>504</v>
      </c>
      <c r="C83" s="10" t="s">
        <v>191</v>
      </c>
      <c r="D83" s="10" t="s">
        <v>121</v>
      </c>
      <c r="E83" s="10" t="s">
        <v>121</v>
      </c>
      <c r="F83" s="10" t="s">
        <v>104</v>
      </c>
      <c r="G83" s="10">
        <v>5.0</v>
      </c>
      <c r="H83" s="10">
        <v>7.0</v>
      </c>
      <c r="I83" s="10" t="s">
        <v>2140</v>
      </c>
      <c r="J83" s="10" t="s">
        <v>2136</v>
      </c>
      <c r="K83" s="10"/>
      <c r="L83" s="10">
        <v>269.0</v>
      </c>
      <c r="M83" s="10">
        <v>8.68</v>
      </c>
      <c r="N83" s="10"/>
      <c r="O83" s="10"/>
      <c r="P83" s="12">
        <f>IF($A83="","",IFERROR((IF($O83="",0,$O83)*Settings!$J$4+IF($L83="",0,$L83)*Settings!$J$5+IF($N83="",0,$N83)*Settings!$J$6)/(IF($O83="",0,Settings!$J$4)+IF($L83="",0,Settings!$J$5)+IF($N83="",0,Settings!$J$6)),0))</f>
        <v>269</v>
      </c>
      <c r="Q83" s="12">
        <f t="array" ref="Q83">IF($A83="","",XLOOKUP($E83,Settings!$A$19:$A$22,Settings!$G$19:$G$22,0))</f>
        <v>206</v>
      </c>
      <c r="R83" s="12">
        <f t="shared" si="1"/>
        <v>63</v>
      </c>
      <c r="S83" s="12">
        <f>IF($A83="","",IF($R83&lt;=0,1,1+$R83/SUMIF($R$4:$R$923,"&gt;0",$R$4:$R$923)*(Settings!$B$5*(Settings!$B$6-Settings!$B$7))))</f>
        <v>8.778642937</v>
      </c>
      <c r="T83" s="12">
        <f t="array" ref="T83">IF($A83="","",XLOOKUP($F83,Settings!$I$15:$I$20,Settings!$J$15:$J$20,1))</f>
        <v>1</v>
      </c>
      <c r="U83" s="12">
        <f>IF($A83="","",1+(($G83-5)/5)*Settings!$J$8)</f>
        <v>1</v>
      </c>
      <c r="V83" s="12">
        <f>IF($A83="","",1+(($H83-5)/5)*Settings!$J$9)</f>
        <v>1.06</v>
      </c>
      <c r="W83" s="12">
        <f t="array" ref="W83">IF($A83="","",XLOOKUP($J83,Lists!$C$3:$C$7,Lists!$D$3:$D$7,1))</f>
        <v>1</v>
      </c>
      <c r="X83" s="12">
        <f>IF($A83="","",IF($I83="Yes",Settings!$J$10,1))</f>
        <v>1</v>
      </c>
      <c r="Y83" s="12">
        <f t="shared" si="2"/>
        <v>9</v>
      </c>
      <c r="Z83" s="12">
        <f>IF($A83="","",IFERROR(ROUND(AVERAGEIFS('Historical Drafts'!$G$4:$G$300,'Historical Drafts'!$D$4:$D$300,$E83,'Historical Drafts'!$J$4:$J$300,"&gt;="&amp;$L83*0.85,'Historical Drafts'!$J$4:$J$300,"&lt;="&amp;$L83*1.15),0),$Y83))</f>
        <v>18</v>
      </c>
      <c r="AA83" s="12" t="str">
        <f>IF($A83="","",IF(COUNTIF('Auction Log'!$B$3:$B$300,$A83)&gt;0,"Sold","Available"))</f>
        <v>Available</v>
      </c>
      <c r="AB83" s="12" t="str">
        <f t="array" ref="AB83">IF($A83="","",IFERROR(XLOOKUP($A83,'Auction Log'!$B$3:$B$300,'Auction Log'!$G$3:$G$300,""),""))</f>
        <v/>
      </c>
      <c r="AC83" s="12" t="str">
        <f t="array" ref="AC83">IF($A83="","",IFERROR(XLOOKUP($A83,'Auction Log'!$B$3:$B$300,'Auction Log'!$F$3:$F$300,""),""))</f>
        <v/>
      </c>
      <c r="AD83" s="12">
        <f t="array" ref="AD83">IF($A83="","",ROUND($Y83*XLOOKUP($F83,Settings!$I$15:$I$20,Settings!$K$15:$K$20,0.4),0))</f>
        <v>3</v>
      </c>
      <c r="AE83" s="12">
        <f t="array" ref="AE83">IF($A83="","",ROUND($Y83*XLOOKUP($F83,Settings!$I$15:$I$20,Settings!$L$15:$L$20,0.8),0))</f>
        <v>6</v>
      </c>
      <c r="AF83" s="12">
        <f t="array" ref="AF83">IF($A83="","",ROUND($Y83*XLOOKUP($F83,Settings!$I$15:$I$20,Settings!$M$15:$M$20,1),0))</f>
        <v>9</v>
      </c>
      <c r="AG83" s="12">
        <f t="array" ref="AG83">IF($A83="","",ROUND($Y83*XLOOKUP($F83,Settings!$I$15:$I$20,Settings!$N$15:$N$20,1.1),0))</f>
        <v>9</v>
      </c>
      <c r="AH83" s="12">
        <f t="array" ref="AH83">IF($A83="","",ROUND($Y83*XLOOKUP($F83,Settings!$I$15:$I$20,Settings!$O$15:$O$20,1.1)*Settings!$J$7,0))</f>
        <v>9</v>
      </c>
      <c r="AI83" s="12">
        <f t="array" ref="AI83">IF($A83="","",IF($AA83="Sold","",MIN($AH83,IFERROR(XLOOKUP(Settings!$B$12,Managers!$B$4:$B$15,Managers!$H$4:$H$15),$AH83))))</f>
        <v>9</v>
      </c>
      <c r="AJ83" s="12" t="str">
        <f t="shared" si="3"/>
        <v>Budget Drainer</v>
      </c>
      <c r="AK83" s="12">
        <f t="shared" si="4"/>
        <v>43</v>
      </c>
      <c r="AL83" s="12" t="str">
        <f t="shared" si="5"/>
        <v/>
      </c>
    </row>
    <row r="84" ht="15.75" customHeight="1">
      <c r="A84" s="10" t="s">
        <v>593</v>
      </c>
      <c r="B84" s="10" t="s">
        <v>594</v>
      </c>
      <c r="C84" s="10" t="s">
        <v>314</v>
      </c>
      <c r="D84" s="10" t="s">
        <v>118</v>
      </c>
      <c r="E84" s="10" t="s">
        <v>118</v>
      </c>
      <c r="F84" s="10" t="s">
        <v>104</v>
      </c>
      <c r="G84" s="10">
        <v>5.0</v>
      </c>
      <c r="H84" s="10">
        <v>7.0</v>
      </c>
      <c r="I84" s="10" t="s">
        <v>2140</v>
      </c>
      <c r="J84" s="10" t="s">
        <v>2136</v>
      </c>
      <c r="K84" s="10"/>
      <c r="L84" s="10">
        <v>267.0</v>
      </c>
      <c r="M84" s="10">
        <v>8.09</v>
      </c>
      <c r="N84" s="10"/>
      <c r="O84" s="10"/>
      <c r="P84" s="12">
        <f>IF($A84="","",IFERROR((IF($O84="",0,$O84)*Settings!$J$4+IF($L84="",0,$L84)*Settings!$J$5+IF($N84="",0,$N84)*Settings!$J$6)/(IF($O84="",0,Settings!$J$4)+IF($L84="",0,Settings!$J$5)+IF($N84="",0,Settings!$J$6)),0))</f>
        <v>267</v>
      </c>
      <c r="Q84" s="12">
        <f t="array" ref="Q84">IF($A84="","",XLOOKUP($E84,Settings!$A$19:$A$22,Settings!$G$19:$G$22,0))</f>
        <v>196.25</v>
      </c>
      <c r="R84" s="12">
        <f t="shared" si="1"/>
        <v>70.75</v>
      </c>
      <c r="S84" s="12">
        <f>IF($A84="","",IF($R84&lt;=0,1,1+$R84/SUMIF($R$4:$R$923,"&gt;0",$R$4:$R$923)*(Settings!$B$5*(Settings!$B$6-Settings!$B$7))))</f>
        <v>9.735539488</v>
      </c>
      <c r="T84" s="12">
        <f t="array" ref="T84">IF($A84="","",XLOOKUP($F84,Settings!$I$15:$I$20,Settings!$J$15:$J$20,1))</f>
        <v>1</v>
      </c>
      <c r="U84" s="12">
        <f>IF($A84="","",1+(($G84-5)/5)*Settings!$J$8)</f>
        <v>1</v>
      </c>
      <c r="V84" s="12">
        <f>IF($A84="","",1+(($H84-5)/5)*Settings!$J$9)</f>
        <v>1.06</v>
      </c>
      <c r="W84" s="12">
        <f t="array" ref="W84">IF($A84="","",XLOOKUP($J84,Lists!$C$3:$C$7,Lists!$D$3:$D$7,1))</f>
        <v>1</v>
      </c>
      <c r="X84" s="12">
        <f>IF($A84="","",IF($I84="Yes",Settings!$J$10,1))</f>
        <v>1</v>
      </c>
      <c r="Y84" s="12">
        <f t="shared" si="2"/>
        <v>10</v>
      </c>
      <c r="Z84" s="12">
        <f>IF($A84="","",IFERROR(ROUND(AVERAGEIFS('Historical Drafts'!$G$4:$G$300,'Historical Drafts'!$D$4:$D$300,$E84,'Historical Drafts'!$J$4:$J$300,"&gt;="&amp;$L84*0.85,'Historical Drafts'!$J$4:$J$300,"&lt;="&amp;$L84*1.15),0),$Y84))</f>
        <v>3</v>
      </c>
      <c r="AA84" s="12" t="str">
        <f>IF($A84="","",IF(COUNTIF('Auction Log'!$B$3:$B$300,$A84)&gt;0,"Sold","Available"))</f>
        <v>Available</v>
      </c>
      <c r="AB84" s="12" t="str">
        <f t="array" ref="AB84">IF($A84="","",IFERROR(XLOOKUP($A84,'Auction Log'!$B$3:$B$300,'Auction Log'!$G$3:$G$300,""),""))</f>
        <v/>
      </c>
      <c r="AC84" s="12" t="str">
        <f t="array" ref="AC84">IF($A84="","",IFERROR(XLOOKUP($A84,'Auction Log'!$B$3:$B$300,'Auction Log'!$F$3:$F$300,""),""))</f>
        <v/>
      </c>
      <c r="AD84" s="12">
        <f t="array" ref="AD84">IF($A84="","",ROUND($Y84*XLOOKUP($F84,Settings!$I$15:$I$20,Settings!$K$15:$K$20,0.4),0))</f>
        <v>3</v>
      </c>
      <c r="AE84" s="12">
        <f t="array" ref="AE84">IF($A84="","",ROUND($Y84*XLOOKUP($F84,Settings!$I$15:$I$20,Settings!$L$15:$L$20,0.8),0))</f>
        <v>7</v>
      </c>
      <c r="AF84" s="12">
        <f t="array" ref="AF84">IF($A84="","",ROUND($Y84*XLOOKUP($F84,Settings!$I$15:$I$20,Settings!$M$15:$M$20,1),0))</f>
        <v>10</v>
      </c>
      <c r="AG84" s="12">
        <f t="array" ref="AG84">IF($A84="","",ROUND($Y84*XLOOKUP($F84,Settings!$I$15:$I$20,Settings!$N$15:$N$20,1.1),0))</f>
        <v>10</v>
      </c>
      <c r="AH84" s="12">
        <f t="array" ref="AH84">IF($A84="","",ROUND($Y84*XLOOKUP($F84,Settings!$I$15:$I$20,Settings!$O$15:$O$20,1.1)*Settings!$J$7,0))</f>
        <v>11</v>
      </c>
      <c r="AI84" s="12">
        <f t="array" ref="AI84">IF($A84="","",IF($AA84="Sold","",MIN($AH84,IFERROR(XLOOKUP(Settings!$B$12,Managers!$B$4:$B$15,Managers!$H$4:$H$15),$AH84))))</f>
        <v>11</v>
      </c>
      <c r="AJ84" s="12" t="str">
        <f t="shared" si="3"/>
        <v>Value Target</v>
      </c>
      <c r="AK84" s="12">
        <f t="shared" si="4"/>
        <v>35</v>
      </c>
      <c r="AL84" s="12" t="str">
        <f t="shared" si="5"/>
        <v/>
      </c>
    </row>
    <row r="85" ht="15.75" customHeight="1">
      <c r="A85" s="10" t="s">
        <v>501</v>
      </c>
      <c r="B85" s="10" t="s">
        <v>502</v>
      </c>
      <c r="C85" s="10" t="s">
        <v>231</v>
      </c>
      <c r="D85" s="10" t="s">
        <v>115</v>
      </c>
      <c r="E85" s="10" t="s">
        <v>115</v>
      </c>
      <c r="F85" s="10" t="s">
        <v>104</v>
      </c>
      <c r="G85" s="10">
        <v>5.0</v>
      </c>
      <c r="H85" s="10">
        <v>7.0</v>
      </c>
      <c r="I85" s="10" t="s">
        <v>2140</v>
      </c>
      <c r="J85" s="10" t="s">
        <v>2136</v>
      </c>
      <c r="K85" s="10"/>
      <c r="L85" s="10">
        <v>266.0</v>
      </c>
      <c r="M85" s="10">
        <v>7.0</v>
      </c>
      <c r="N85" s="10"/>
      <c r="O85" s="10"/>
      <c r="P85" s="12">
        <f>IF($A85="","",IFERROR((IF($O85="",0,$O85)*Settings!$J$4+IF($L85="",0,$L85)*Settings!$J$5+IF($N85="",0,$N85)*Settings!$J$6)/(IF($O85="",0,Settings!$J$4)+IF($L85="",0,Settings!$J$5)+IF($N85="",0,Settings!$J$6)),0))</f>
        <v>266</v>
      </c>
      <c r="Q85" s="12">
        <f t="array" ref="Q85">IF($A85="","",XLOOKUP($E85,Settings!$A$19:$A$22,Settings!$G$19:$G$22,0))</f>
        <v>249.25</v>
      </c>
      <c r="R85" s="12">
        <f t="shared" si="1"/>
        <v>16.75</v>
      </c>
      <c r="S85" s="12">
        <f>IF($A85="","",IF($R85&lt;=0,1,1+$R85/SUMIF($R$4:$R$923,"&gt;0",$R$4:$R$923)*(Settings!$B$5*(Settings!$B$6-Settings!$B$7))))</f>
        <v>3.068131257</v>
      </c>
      <c r="T85" s="12">
        <f t="array" ref="T85">IF($A85="","",XLOOKUP($F85,Settings!$I$15:$I$20,Settings!$J$15:$J$20,1))</f>
        <v>1</v>
      </c>
      <c r="U85" s="12">
        <f>IF($A85="","",1+(($G85-5)/5)*Settings!$J$8)</f>
        <v>1</v>
      </c>
      <c r="V85" s="12">
        <f>IF($A85="","",1+(($H85-5)/5)*Settings!$J$9)</f>
        <v>1.06</v>
      </c>
      <c r="W85" s="12">
        <f t="array" ref="W85">IF($A85="","",XLOOKUP($J85,Lists!$C$3:$C$7,Lists!$D$3:$D$7,1))</f>
        <v>1</v>
      </c>
      <c r="X85" s="12">
        <f>IF($A85="","",IF($I85="Yes",Settings!$J$10,1))</f>
        <v>1</v>
      </c>
      <c r="Y85" s="12">
        <f t="shared" si="2"/>
        <v>3</v>
      </c>
      <c r="Z85" s="12">
        <f>IF($A85="","",IFERROR(ROUND(AVERAGEIFS('Historical Drafts'!$G$4:$G$300,'Historical Drafts'!$D$4:$D$300,$E85,'Historical Drafts'!$J$4:$J$300,"&gt;="&amp;$L85*0.85,'Historical Drafts'!$J$4:$J$300,"&lt;="&amp;$L85*1.15),0),$Y85))</f>
        <v>1</v>
      </c>
      <c r="AA85" s="12" t="str">
        <f>IF($A85="","",IF(COUNTIF('Auction Log'!$B$3:$B$300,$A85)&gt;0,"Sold","Available"))</f>
        <v>Available</v>
      </c>
      <c r="AB85" s="12" t="str">
        <f t="array" ref="AB85">IF($A85="","",IFERROR(XLOOKUP($A85,'Auction Log'!$B$3:$B$300,'Auction Log'!$G$3:$G$300,""),""))</f>
        <v/>
      </c>
      <c r="AC85" s="12" t="str">
        <f t="array" ref="AC85">IF($A85="","",IFERROR(XLOOKUP($A85,'Auction Log'!$B$3:$B$300,'Auction Log'!$F$3:$F$300,""),""))</f>
        <v/>
      </c>
      <c r="AD85" s="12">
        <f t="array" ref="AD85">IF($A85="","",ROUND($Y85*XLOOKUP($F85,Settings!$I$15:$I$20,Settings!$K$15:$K$20,0.4),0))</f>
        <v>1</v>
      </c>
      <c r="AE85" s="12">
        <f t="array" ref="AE85">IF($A85="","",ROUND($Y85*XLOOKUP($F85,Settings!$I$15:$I$20,Settings!$L$15:$L$20,0.8),0))</f>
        <v>2</v>
      </c>
      <c r="AF85" s="12">
        <f t="array" ref="AF85">IF($A85="","",ROUND($Y85*XLOOKUP($F85,Settings!$I$15:$I$20,Settings!$M$15:$M$20,1),0))</f>
        <v>3</v>
      </c>
      <c r="AG85" s="12">
        <f t="array" ref="AG85">IF($A85="","",ROUND($Y85*XLOOKUP($F85,Settings!$I$15:$I$20,Settings!$N$15:$N$20,1.1),0))</f>
        <v>3</v>
      </c>
      <c r="AH85" s="12">
        <f t="array" ref="AH85">IF($A85="","",ROUND($Y85*XLOOKUP($F85,Settings!$I$15:$I$20,Settings!$O$15:$O$20,1.1)*Settings!$J$7,0))</f>
        <v>3</v>
      </c>
      <c r="AI85" s="12">
        <f t="array" ref="AI85">IF($A85="","",IF($AA85="Sold","",MIN($AH85,IFERROR(XLOOKUP(Settings!$B$12,Managers!$B$4:$B$15,Managers!$H$4:$H$15),$AH85))))</f>
        <v>3</v>
      </c>
      <c r="AJ85" s="12" t="str">
        <f t="shared" si="3"/>
        <v>Value Target</v>
      </c>
      <c r="AK85" s="12">
        <f t="shared" si="4"/>
        <v>28</v>
      </c>
      <c r="AL85" s="12" t="str">
        <f t="shared" si="5"/>
        <v/>
      </c>
    </row>
    <row r="86" ht="15.75" customHeight="1">
      <c r="A86" s="10" t="s">
        <v>595</v>
      </c>
      <c r="B86" s="10" t="s">
        <v>596</v>
      </c>
      <c r="C86" s="10" t="s">
        <v>285</v>
      </c>
      <c r="D86" s="10" t="s">
        <v>118</v>
      </c>
      <c r="E86" s="10" t="s">
        <v>118</v>
      </c>
      <c r="F86" s="10" t="s">
        <v>104</v>
      </c>
      <c r="G86" s="10">
        <v>5.0</v>
      </c>
      <c r="H86" s="10">
        <v>7.0</v>
      </c>
      <c r="I86" s="10" t="s">
        <v>2140</v>
      </c>
      <c r="J86" s="10" t="s">
        <v>2136</v>
      </c>
      <c r="K86" s="10"/>
      <c r="L86" s="10">
        <v>265.5</v>
      </c>
      <c r="M86" s="10">
        <v>9.16</v>
      </c>
      <c r="N86" s="10"/>
      <c r="O86" s="10"/>
      <c r="P86" s="12">
        <f>IF($A86="","",IFERROR((IF($O86="",0,$O86)*Settings!$J$4+IF($L86="",0,$L86)*Settings!$J$5+IF($N86="",0,$N86)*Settings!$J$6)/(IF($O86="",0,Settings!$J$4)+IF($L86="",0,Settings!$J$5)+IF($N86="",0,Settings!$J$6)),0))</f>
        <v>265.5</v>
      </c>
      <c r="Q86" s="12">
        <f t="array" ref="Q86">IF($A86="","",XLOOKUP($E86,Settings!$A$19:$A$22,Settings!$G$19:$G$22,0))</f>
        <v>196.25</v>
      </c>
      <c r="R86" s="12">
        <f t="shared" si="1"/>
        <v>69.25</v>
      </c>
      <c r="S86" s="12">
        <f>IF($A86="","",IF($R86&lt;=0,1,1+$R86/SUMIF($R$4:$R$923,"&gt;0",$R$4:$R$923)*(Settings!$B$5*(Settings!$B$6-Settings!$B$7))))</f>
        <v>9.550333704</v>
      </c>
      <c r="T86" s="12">
        <f t="array" ref="T86">IF($A86="","",XLOOKUP($F86,Settings!$I$15:$I$20,Settings!$J$15:$J$20,1))</f>
        <v>1</v>
      </c>
      <c r="U86" s="12">
        <f>IF($A86="","",1+(($G86-5)/5)*Settings!$J$8)</f>
        <v>1</v>
      </c>
      <c r="V86" s="12">
        <f>IF($A86="","",1+(($H86-5)/5)*Settings!$J$9)</f>
        <v>1.06</v>
      </c>
      <c r="W86" s="12">
        <f t="array" ref="W86">IF($A86="","",XLOOKUP($J86,Lists!$C$3:$C$7,Lists!$D$3:$D$7,1))</f>
        <v>1</v>
      </c>
      <c r="X86" s="12">
        <f>IF($A86="","",IF($I86="Yes",Settings!$J$10,1))</f>
        <v>1</v>
      </c>
      <c r="Y86" s="12">
        <f t="shared" si="2"/>
        <v>10</v>
      </c>
      <c r="Z86" s="12">
        <f>IF($A86="","",IFERROR(ROUND(AVERAGEIFS('Historical Drafts'!$G$4:$G$300,'Historical Drafts'!$D$4:$D$300,$E86,'Historical Drafts'!$J$4:$J$300,"&gt;="&amp;$L86*0.85,'Historical Drafts'!$J$4:$J$300,"&lt;="&amp;$L86*1.15),0),$Y86))</f>
        <v>3</v>
      </c>
      <c r="AA86" s="12" t="str">
        <f>IF($A86="","",IF(COUNTIF('Auction Log'!$B$3:$B$300,$A86)&gt;0,"Sold","Available"))</f>
        <v>Available</v>
      </c>
      <c r="AB86" s="12" t="str">
        <f t="array" ref="AB86">IF($A86="","",IFERROR(XLOOKUP($A86,'Auction Log'!$B$3:$B$300,'Auction Log'!$G$3:$G$300,""),""))</f>
        <v/>
      </c>
      <c r="AC86" s="12" t="str">
        <f t="array" ref="AC86">IF($A86="","",IFERROR(XLOOKUP($A86,'Auction Log'!$B$3:$B$300,'Auction Log'!$F$3:$F$300,""),""))</f>
        <v/>
      </c>
      <c r="AD86" s="12">
        <f t="array" ref="AD86">IF($A86="","",ROUND($Y86*XLOOKUP($F86,Settings!$I$15:$I$20,Settings!$K$15:$K$20,0.4),0))</f>
        <v>3</v>
      </c>
      <c r="AE86" s="12">
        <f t="array" ref="AE86">IF($A86="","",ROUND($Y86*XLOOKUP($F86,Settings!$I$15:$I$20,Settings!$L$15:$L$20,0.8),0))</f>
        <v>7</v>
      </c>
      <c r="AF86" s="12">
        <f t="array" ref="AF86">IF($A86="","",ROUND($Y86*XLOOKUP($F86,Settings!$I$15:$I$20,Settings!$M$15:$M$20,1),0))</f>
        <v>10</v>
      </c>
      <c r="AG86" s="12">
        <f t="array" ref="AG86">IF($A86="","",ROUND($Y86*XLOOKUP($F86,Settings!$I$15:$I$20,Settings!$N$15:$N$20,1.1),0))</f>
        <v>10</v>
      </c>
      <c r="AH86" s="12">
        <f t="array" ref="AH86">IF($A86="","",ROUND($Y86*XLOOKUP($F86,Settings!$I$15:$I$20,Settings!$O$15:$O$20,1.1)*Settings!$J$7,0))</f>
        <v>11</v>
      </c>
      <c r="AI86" s="12">
        <f t="array" ref="AI86">IF($A86="","",IF($AA86="Sold","",MIN($AH86,IFERROR(XLOOKUP(Settings!$B$12,Managers!$B$4:$B$15,Managers!$H$4:$H$15),$AH86))))</f>
        <v>11</v>
      </c>
      <c r="AJ86" s="12" t="str">
        <f t="shared" si="3"/>
        <v>Value Target</v>
      </c>
      <c r="AK86" s="12">
        <f t="shared" si="4"/>
        <v>35</v>
      </c>
      <c r="AL86" s="12" t="str">
        <f t="shared" si="5"/>
        <v/>
      </c>
    </row>
    <row r="87" ht="15.75" customHeight="1">
      <c r="A87" s="10" t="s">
        <v>403</v>
      </c>
      <c r="B87" s="10" t="s">
        <v>404</v>
      </c>
      <c r="C87" s="10" t="s">
        <v>257</v>
      </c>
      <c r="D87" s="10" t="s">
        <v>115</v>
      </c>
      <c r="E87" s="10" t="s">
        <v>115</v>
      </c>
      <c r="F87" s="10" t="s">
        <v>104</v>
      </c>
      <c r="G87" s="10">
        <v>5.0</v>
      </c>
      <c r="H87" s="10">
        <v>7.0</v>
      </c>
      <c r="I87" s="10" t="s">
        <v>2140</v>
      </c>
      <c r="J87" s="10" t="s">
        <v>2136</v>
      </c>
      <c r="K87" s="10"/>
      <c r="L87" s="10">
        <v>265.25</v>
      </c>
      <c r="M87" s="10">
        <v>6.98</v>
      </c>
      <c r="N87" s="10"/>
      <c r="O87" s="10"/>
      <c r="P87" s="12">
        <f>IF($A87="","",IFERROR((IF($O87="",0,$O87)*Settings!$J$4+IF($L87="",0,$L87)*Settings!$J$5+IF($N87="",0,$N87)*Settings!$J$6)/(IF($O87="",0,Settings!$J$4)+IF($L87="",0,Settings!$J$5)+IF($N87="",0,Settings!$J$6)),0))</f>
        <v>265.25</v>
      </c>
      <c r="Q87" s="12">
        <f t="array" ref="Q87">IF($A87="","",XLOOKUP($E87,Settings!$A$19:$A$22,Settings!$G$19:$G$22,0))</f>
        <v>249.25</v>
      </c>
      <c r="R87" s="12">
        <f t="shared" si="1"/>
        <v>16</v>
      </c>
      <c r="S87" s="12">
        <f>IF($A87="","",IF($R87&lt;=0,1,1+$R87/SUMIF($R$4:$R$923,"&gt;0",$R$4:$R$923)*(Settings!$B$5*(Settings!$B$6-Settings!$B$7))))</f>
        <v>2.975528365</v>
      </c>
      <c r="T87" s="12">
        <f t="array" ref="T87">IF($A87="","",XLOOKUP($F87,Settings!$I$15:$I$20,Settings!$J$15:$J$20,1))</f>
        <v>1</v>
      </c>
      <c r="U87" s="12">
        <f>IF($A87="","",1+(($G87-5)/5)*Settings!$J$8)</f>
        <v>1</v>
      </c>
      <c r="V87" s="12">
        <f>IF($A87="","",1+(($H87-5)/5)*Settings!$J$9)</f>
        <v>1.06</v>
      </c>
      <c r="W87" s="12">
        <f t="array" ref="W87">IF($A87="","",XLOOKUP($J87,Lists!$C$3:$C$7,Lists!$D$3:$D$7,1))</f>
        <v>1</v>
      </c>
      <c r="X87" s="12">
        <f>IF($A87="","",IF($I87="Yes",Settings!$J$10,1))</f>
        <v>1</v>
      </c>
      <c r="Y87" s="12">
        <f t="shared" si="2"/>
        <v>3</v>
      </c>
      <c r="Z87" s="12">
        <f>IF($A87="","",IFERROR(ROUND(AVERAGEIFS('Historical Drafts'!$G$4:$G$300,'Historical Drafts'!$D$4:$D$300,$E87,'Historical Drafts'!$J$4:$J$300,"&gt;="&amp;$L87*0.85,'Historical Drafts'!$J$4:$J$300,"&lt;="&amp;$L87*1.15),0),$Y87))</f>
        <v>1</v>
      </c>
      <c r="AA87" s="12" t="str">
        <f>IF($A87="","",IF(COUNTIF('Auction Log'!$B$3:$B$300,$A87)&gt;0,"Sold","Available"))</f>
        <v>Available</v>
      </c>
      <c r="AB87" s="12" t="str">
        <f t="array" ref="AB87">IF($A87="","",IFERROR(XLOOKUP($A87,'Auction Log'!$B$3:$B$300,'Auction Log'!$G$3:$G$300,""),""))</f>
        <v/>
      </c>
      <c r="AC87" s="12" t="str">
        <f t="array" ref="AC87">IF($A87="","",IFERROR(XLOOKUP($A87,'Auction Log'!$B$3:$B$300,'Auction Log'!$F$3:$F$300,""),""))</f>
        <v/>
      </c>
      <c r="AD87" s="12">
        <f t="array" ref="AD87">IF($A87="","",ROUND($Y87*XLOOKUP($F87,Settings!$I$15:$I$20,Settings!$K$15:$K$20,0.4),0))</f>
        <v>1</v>
      </c>
      <c r="AE87" s="12">
        <f t="array" ref="AE87">IF($A87="","",ROUND($Y87*XLOOKUP($F87,Settings!$I$15:$I$20,Settings!$L$15:$L$20,0.8),0))</f>
        <v>2</v>
      </c>
      <c r="AF87" s="12">
        <f t="array" ref="AF87">IF($A87="","",ROUND($Y87*XLOOKUP($F87,Settings!$I$15:$I$20,Settings!$M$15:$M$20,1),0))</f>
        <v>3</v>
      </c>
      <c r="AG87" s="12">
        <f t="array" ref="AG87">IF($A87="","",ROUND($Y87*XLOOKUP($F87,Settings!$I$15:$I$20,Settings!$N$15:$N$20,1.1),0))</f>
        <v>3</v>
      </c>
      <c r="AH87" s="12">
        <f t="array" ref="AH87">IF($A87="","",ROUND($Y87*XLOOKUP($F87,Settings!$I$15:$I$20,Settings!$O$15:$O$20,1.1)*Settings!$J$7,0))</f>
        <v>3</v>
      </c>
      <c r="AI87" s="12">
        <f t="array" ref="AI87">IF($A87="","",IF($AA87="Sold","",MIN($AH87,IFERROR(XLOOKUP(Settings!$B$12,Managers!$B$4:$B$15,Managers!$H$4:$H$15),$AH87))))</f>
        <v>3</v>
      </c>
      <c r="AJ87" s="12" t="str">
        <f t="shared" si="3"/>
        <v>Value Target</v>
      </c>
      <c r="AK87" s="12">
        <f t="shared" si="4"/>
        <v>28</v>
      </c>
      <c r="AL87" s="12" t="str">
        <f t="shared" si="5"/>
        <v/>
      </c>
    </row>
    <row r="88" ht="15.75" customHeight="1">
      <c r="A88" s="10" t="s">
        <v>413</v>
      </c>
      <c r="B88" s="10" t="s">
        <v>414</v>
      </c>
      <c r="C88" s="10" t="s">
        <v>188</v>
      </c>
      <c r="D88" s="10" t="s">
        <v>118</v>
      </c>
      <c r="E88" s="10" t="s">
        <v>118</v>
      </c>
      <c r="F88" s="10" t="s">
        <v>104</v>
      </c>
      <c r="G88" s="10">
        <v>5.0</v>
      </c>
      <c r="H88" s="10">
        <v>7.0</v>
      </c>
      <c r="I88" s="10" t="s">
        <v>2140</v>
      </c>
      <c r="J88" s="10" t="s">
        <v>2136</v>
      </c>
      <c r="K88" s="10"/>
      <c r="L88" s="10">
        <v>264.25</v>
      </c>
      <c r="M88" s="10">
        <v>7.77</v>
      </c>
      <c r="N88" s="10"/>
      <c r="O88" s="10"/>
      <c r="P88" s="12">
        <f>IF($A88="","",IFERROR((IF($O88="",0,$O88)*Settings!$J$4+IF($L88="",0,$L88)*Settings!$J$5+IF($N88="",0,$N88)*Settings!$J$6)/(IF($O88="",0,Settings!$J$4)+IF($L88="",0,Settings!$J$5)+IF($N88="",0,Settings!$J$6)),0))</f>
        <v>264.25</v>
      </c>
      <c r="Q88" s="12">
        <f t="array" ref="Q88">IF($A88="","",XLOOKUP($E88,Settings!$A$19:$A$22,Settings!$G$19:$G$22,0))</f>
        <v>196.25</v>
      </c>
      <c r="R88" s="12">
        <f t="shared" si="1"/>
        <v>68</v>
      </c>
      <c r="S88" s="12">
        <f>IF($A88="","",IF($R88&lt;=0,1,1+$R88/SUMIF($R$4:$R$923,"&gt;0",$R$4:$R$923)*(Settings!$B$5*(Settings!$B$6-Settings!$B$7))))</f>
        <v>9.395995551</v>
      </c>
      <c r="T88" s="12">
        <f t="array" ref="T88">IF($A88="","",XLOOKUP($F88,Settings!$I$15:$I$20,Settings!$J$15:$J$20,1))</f>
        <v>1</v>
      </c>
      <c r="U88" s="12">
        <f>IF($A88="","",1+(($G88-5)/5)*Settings!$J$8)</f>
        <v>1</v>
      </c>
      <c r="V88" s="12">
        <f>IF($A88="","",1+(($H88-5)/5)*Settings!$J$9)</f>
        <v>1.06</v>
      </c>
      <c r="W88" s="12">
        <f t="array" ref="W88">IF($A88="","",XLOOKUP($J88,Lists!$C$3:$C$7,Lists!$D$3:$D$7,1))</f>
        <v>1</v>
      </c>
      <c r="X88" s="12">
        <f>IF($A88="","",IF($I88="Yes",Settings!$J$10,1))</f>
        <v>1</v>
      </c>
      <c r="Y88" s="12">
        <f t="shared" si="2"/>
        <v>10</v>
      </c>
      <c r="Z88" s="12">
        <f>IF($A88="","",IFERROR(ROUND(AVERAGEIFS('Historical Drafts'!$G$4:$G$300,'Historical Drafts'!$D$4:$D$300,$E88,'Historical Drafts'!$J$4:$J$300,"&gt;="&amp;$L88*0.85,'Historical Drafts'!$J$4:$J$300,"&lt;="&amp;$L88*1.15),0),$Y88))</f>
        <v>3</v>
      </c>
      <c r="AA88" s="12" t="str">
        <f>IF($A88="","",IF(COUNTIF('Auction Log'!$B$3:$B$300,$A88)&gt;0,"Sold","Available"))</f>
        <v>Available</v>
      </c>
      <c r="AB88" s="12" t="str">
        <f t="array" ref="AB88">IF($A88="","",IFERROR(XLOOKUP($A88,'Auction Log'!$B$3:$B$300,'Auction Log'!$G$3:$G$300,""),""))</f>
        <v/>
      </c>
      <c r="AC88" s="12" t="str">
        <f t="array" ref="AC88">IF($A88="","",IFERROR(XLOOKUP($A88,'Auction Log'!$B$3:$B$300,'Auction Log'!$F$3:$F$300,""),""))</f>
        <v/>
      </c>
      <c r="AD88" s="12">
        <f t="array" ref="AD88">IF($A88="","",ROUND($Y88*XLOOKUP($F88,Settings!$I$15:$I$20,Settings!$K$15:$K$20,0.4),0))</f>
        <v>3</v>
      </c>
      <c r="AE88" s="12">
        <f t="array" ref="AE88">IF($A88="","",ROUND($Y88*XLOOKUP($F88,Settings!$I$15:$I$20,Settings!$L$15:$L$20,0.8),0))</f>
        <v>7</v>
      </c>
      <c r="AF88" s="12">
        <f t="array" ref="AF88">IF($A88="","",ROUND($Y88*XLOOKUP($F88,Settings!$I$15:$I$20,Settings!$M$15:$M$20,1),0))</f>
        <v>10</v>
      </c>
      <c r="AG88" s="12">
        <f t="array" ref="AG88">IF($A88="","",ROUND($Y88*XLOOKUP($F88,Settings!$I$15:$I$20,Settings!$N$15:$N$20,1.1),0))</f>
        <v>10</v>
      </c>
      <c r="AH88" s="12">
        <f t="array" ref="AH88">IF($A88="","",ROUND($Y88*XLOOKUP($F88,Settings!$I$15:$I$20,Settings!$O$15:$O$20,1.1)*Settings!$J$7,0))</f>
        <v>11</v>
      </c>
      <c r="AI88" s="12">
        <f t="array" ref="AI88">IF($A88="","",IF($AA88="Sold","",MIN($AH88,IFERROR(XLOOKUP(Settings!$B$12,Managers!$B$4:$B$15,Managers!$H$4:$H$15),$AH88))))</f>
        <v>11</v>
      </c>
      <c r="AJ88" s="12" t="str">
        <f t="shared" si="3"/>
        <v>Value Target</v>
      </c>
      <c r="AK88" s="12">
        <f t="shared" si="4"/>
        <v>35</v>
      </c>
      <c r="AL88" s="12" t="str">
        <f t="shared" si="5"/>
        <v/>
      </c>
    </row>
    <row r="89" ht="15.75" customHeight="1">
      <c r="A89" s="10" t="s">
        <v>597</v>
      </c>
      <c r="B89" s="10" t="s">
        <v>598</v>
      </c>
      <c r="C89" s="10" t="s">
        <v>257</v>
      </c>
      <c r="D89" s="10" t="s">
        <v>118</v>
      </c>
      <c r="E89" s="10" t="s">
        <v>118</v>
      </c>
      <c r="F89" s="10" t="s">
        <v>104</v>
      </c>
      <c r="G89" s="10">
        <v>5.0</v>
      </c>
      <c r="H89" s="10">
        <v>7.0</v>
      </c>
      <c r="I89" s="10" t="s">
        <v>2140</v>
      </c>
      <c r="J89" s="10" t="s">
        <v>2136</v>
      </c>
      <c r="K89" s="10"/>
      <c r="L89" s="10">
        <v>264.25</v>
      </c>
      <c r="M89" s="10">
        <v>8.01</v>
      </c>
      <c r="N89" s="10"/>
      <c r="O89" s="10"/>
      <c r="P89" s="12">
        <f>IF($A89="","",IFERROR((IF($O89="",0,$O89)*Settings!$J$4+IF($L89="",0,$L89)*Settings!$J$5+IF($N89="",0,$N89)*Settings!$J$6)/(IF($O89="",0,Settings!$J$4)+IF($L89="",0,Settings!$J$5)+IF($N89="",0,Settings!$J$6)),0))</f>
        <v>264.25</v>
      </c>
      <c r="Q89" s="12">
        <f t="array" ref="Q89">IF($A89="","",XLOOKUP($E89,Settings!$A$19:$A$22,Settings!$G$19:$G$22,0))</f>
        <v>196.25</v>
      </c>
      <c r="R89" s="12">
        <f t="shared" si="1"/>
        <v>68</v>
      </c>
      <c r="S89" s="12">
        <f>IF($A89="","",IF($R89&lt;=0,1,1+$R89/SUMIF($R$4:$R$923,"&gt;0",$R$4:$R$923)*(Settings!$B$5*(Settings!$B$6-Settings!$B$7))))</f>
        <v>9.395995551</v>
      </c>
      <c r="T89" s="12">
        <f t="array" ref="T89">IF($A89="","",XLOOKUP($F89,Settings!$I$15:$I$20,Settings!$J$15:$J$20,1))</f>
        <v>1</v>
      </c>
      <c r="U89" s="12">
        <f>IF($A89="","",1+(($G89-5)/5)*Settings!$J$8)</f>
        <v>1</v>
      </c>
      <c r="V89" s="12">
        <f>IF($A89="","",1+(($H89-5)/5)*Settings!$J$9)</f>
        <v>1.06</v>
      </c>
      <c r="W89" s="12">
        <f t="array" ref="W89">IF($A89="","",XLOOKUP($J89,Lists!$C$3:$C$7,Lists!$D$3:$D$7,1))</f>
        <v>1</v>
      </c>
      <c r="X89" s="12">
        <f>IF($A89="","",IF($I89="Yes",Settings!$J$10,1))</f>
        <v>1</v>
      </c>
      <c r="Y89" s="12">
        <f t="shared" si="2"/>
        <v>10</v>
      </c>
      <c r="Z89" s="12">
        <f>IF($A89="","",IFERROR(ROUND(AVERAGEIFS('Historical Drafts'!$G$4:$G$300,'Historical Drafts'!$D$4:$D$300,$E89,'Historical Drafts'!$J$4:$J$300,"&gt;="&amp;$L89*0.85,'Historical Drafts'!$J$4:$J$300,"&lt;="&amp;$L89*1.15),0),$Y89))</f>
        <v>3</v>
      </c>
      <c r="AA89" s="12" t="str">
        <f>IF($A89="","",IF(COUNTIF('Auction Log'!$B$3:$B$300,$A89)&gt;0,"Sold","Available"))</f>
        <v>Available</v>
      </c>
      <c r="AB89" s="12" t="str">
        <f t="array" ref="AB89">IF($A89="","",IFERROR(XLOOKUP($A89,'Auction Log'!$B$3:$B$300,'Auction Log'!$G$3:$G$300,""),""))</f>
        <v/>
      </c>
      <c r="AC89" s="12" t="str">
        <f t="array" ref="AC89">IF($A89="","",IFERROR(XLOOKUP($A89,'Auction Log'!$B$3:$B$300,'Auction Log'!$F$3:$F$300,""),""))</f>
        <v/>
      </c>
      <c r="AD89" s="12">
        <f t="array" ref="AD89">IF($A89="","",ROUND($Y89*XLOOKUP($F89,Settings!$I$15:$I$20,Settings!$K$15:$K$20,0.4),0))</f>
        <v>3</v>
      </c>
      <c r="AE89" s="12">
        <f t="array" ref="AE89">IF($A89="","",ROUND($Y89*XLOOKUP($F89,Settings!$I$15:$I$20,Settings!$L$15:$L$20,0.8),0))</f>
        <v>7</v>
      </c>
      <c r="AF89" s="12">
        <f t="array" ref="AF89">IF($A89="","",ROUND($Y89*XLOOKUP($F89,Settings!$I$15:$I$20,Settings!$M$15:$M$20,1),0))</f>
        <v>10</v>
      </c>
      <c r="AG89" s="12">
        <f t="array" ref="AG89">IF($A89="","",ROUND($Y89*XLOOKUP($F89,Settings!$I$15:$I$20,Settings!$N$15:$N$20,1.1),0))</f>
        <v>10</v>
      </c>
      <c r="AH89" s="12">
        <f t="array" ref="AH89">IF($A89="","",ROUND($Y89*XLOOKUP($F89,Settings!$I$15:$I$20,Settings!$O$15:$O$20,1.1)*Settings!$J$7,0))</f>
        <v>11</v>
      </c>
      <c r="AI89" s="12">
        <f t="array" ref="AI89">IF($A89="","",IF($AA89="Sold","",MIN($AH89,IFERROR(XLOOKUP(Settings!$B$12,Managers!$B$4:$B$15,Managers!$H$4:$H$15),$AH89))))</f>
        <v>11</v>
      </c>
      <c r="AJ89" s="12" t="str">
        <f t="shared" si="3"/>
        <v>Value Target</v>
      </c>
      <c r="AK89" s="12">
        <f t="shared" si="4"/>
        <v>35</v>
      </c>
      <c r="AL89" s="12" t="str">
        <f t="shared" si="5"/>
        <v/>
      </c>
    </row>
    <row r="90" ht="15.75" customHeight="1">
      <c r="A90" s="10" t="s">
        <v>435</v>
      </c>
      <c r="B90" s="10" t="s">
        <v>436</v>
      </c>
      <c r="C90" s="10" t="s">
        <v>191</v>
      </c>
      <c r="D90" s="10" t="s">
        <v>121</v>
      </c>
      <c r="E90" s="10" t="s">
        <v>121</v>
      </c>
      <c r="F90" s="10" t="s">
        <v>104</v>
      </c>
      <c r="G90" s="10">
        <v>5.0</v>
      </c>
      <c r="H90" s="10">
        <v>7.0</v>
      </c>
      <c r="I90" s="10" t="s">
        <v>2140</v>
      </c>
      <c r="J90" s="10" t="s">
        <v>2136</v>
      </c>
      <c r="K90" s="10"/>
      <c r="L90" s="10">
        <v>263.5</v>
      </c>
      <c r="M90" s="10">
        <v>6.93</v>
      </c>
      <c r="N90" s="10"/>
      <c r="O90" s="10"/>
      <c r="P90" s="12">
        <f>IF($A90="","",IFERROR((IF($O90="",0,$O90)*Settings!$J$4+IF($L90="",0,$L90)*Settings!$J$5+IF($N90="",0,$N90)*Settings!$J$6)/(IF($O90="",0,Settings!$J$4)+IF($L90="",0,Settings!$J$5)+IF($N90="",0,Settings!$J$6)),0))</f>
        <v>263.5</v>
      </c>
      <c r="Q90" s="12">
        <f t="array" ref="Q90">IF($A90="","",XLOOKUP($E90,Settings!$A$19:$A$22,Settings!$G$19:$G$22,0))</f>
        <v>206</v>
      </c>
      <c r="R90" s="12">
        <f t="shared" si="1"/>
        <v>57.5</v>
      </c>
      <c r="S90" s="12">
        <f>IF($A90="","",IF($R90&lt;=0,1,1+$R90/SUMIF($R$4:$R$923,"&gt;0",$R$4:$R$923)*(Settings!$B$5*(Settings!$B$6-Settings!$B$7))))</f>
        <v>8.099555061</v>
      </c>
      <c r="T90" s="12">
        <f t="array" ref="T90">IF($A90="","",XLOOKUP($F90,Settings!$I$15:$I$20,Settings!$J$15:$J$20,1))</f>
        <v>1</v>
      </c>
      <c r="U90" s="12">
        <f>IF($A90="","",1+(($G90-5)/5)*Settings!$J$8)</f>
        <v>1</v>
      </c>
      <c r="V90" s="12">
        <f>IF($A90="","",1+(($H90-5)/5)*Settings!$J$9)</f>
        <v>1.06</v>
      </c>
      <c r="W90" s="12">
        <f t="array" ref="W90">IF($A90="","",XLOOKUP($J90,Lists!$C$3:$C$7,Lists!$D$3:$D$7,1))</f>
        <v>1</v>
      </c>
      <c r="X90" s="12">
        <f>IF($A90="","",IF($I90="Yes",Settings!$J$10,1))</f>
        <v>1</v>
      </c>
      <c r="Y90" s="12">
        <f t="shared" si="2"/>
        <v>9</v>
      </c>
      <c r="Z90" s="12">
        <f>IF($A90="","",IFERROR(ROUND(AVERAGEIFS('Historical Drafts'!$G$4:$G$300,'Historical Drafts'!$D$4:$D$300,$E90,'Historical Drafts'!$J$4:$J$300,"&gt;="&amp;$L90*0.85,'Historical Drafts'!$J$4:$J$300,"&lt;="&amp;$L90*1.15),0),$Y90))</f>
        <v>20</v>
      </c>
      <c r="AA90" s="12" t="str">
        <f>IF($A90="","",IF(COUNTIF('Auction Log'!$B$3:$B$300,$A90)&gt;0,"Sold","Available"))</f>
        <v>Available</v>
      </c>
      <c r="AB90" s="12" t="str">
        <f t="array" ref="AB90">IF($A90="","",IFERROR(XLOOKUP($A90,'Auction Log'!$B$3:$B$300,'Auction Log'!$G$3:$G$300,""),""))</f>
        <v/>
      </c>
      <c r="AC90" s="12" t="str">
        <f t="array" ref="AC90">IF($A90="","",IFERROR(XLOOKUP($A90,'Auction Log'!$B$3:$B$300,'Auction Log'!$F$3:$F$300,""),""))</f>
        <v/>
      </c>
      <c r="AD90" s="12">
        <f t="array" ref="AD90">IF($A90="","",ROUND($Y90*XLOOKUP($F90,Settings!$I$15:$I$20,Settings!$K$15:$K$20,0.4),0))</f>
        <v>3</v>
      </c>
      <c r="AE90" s="12">
        <f t="array" ref="AE90">IF($A90="","",ROUND($Y90*XLOOKUP($F90,Settings!$I$15:$I$20,Settings!$L$15:$L$20,0.8),0))</f>
        <v>6</v>
      </c>
      <c r="AF90" s="12">
        <f t="array" ref="AF90">IF($A90="","",ROUND($Y90*XLOOKUP($F90,Settings!$I$15:$I$20,Settings!$M$15:$M$20,1),0))</f>
        <v>9</v>
      </c>
      <c r="AG90" s="12">
        <f t="array" ref="AG90">IF($A90="","",ROUND($Y90*XLOOKUP($F90,Settings!$I$15:$I$20,Settings!$N$15:$N$20,1.1),0))</f>
        <v>9</v>
      </c>
      <c r="AH90" s="12">
        <f t="array" ref="AH90">IF($A90="","",ROUND($Y90*XLOOKUP($F90,Settings!$I$15:$I$20,Settings!$O$15:$O$20,1.1)*Settings!$J$7,0))</f>
        <v>9</v>
      </c>
      <c r="AI90" s="12">
        <f t="array" ref="AI90">IF($A90="","",IF($AA90="Sold","",MIN($AH90,IFERROR(XLOOKUP(Settings!$B$12,Managers!$B$4:$B$15,Managers!$H$4:$H$15),$AH90))))</f>
        <v>9</v>
      </c>
      <c r="AJ90" s="12" t="str">
        <f t="shared" si="3"/>
        <v>Budget Drainer</v>
      </c>
      <c r="AK90" s="12">
        <f t="shared" si="4"/>
        <v>45</v>
      </c>
      <c r="AL90" s="12" t="str">
        <f t="shared" si="5"/>
        <v/>
      </c>
    </row>
    <row r="91" ht="15.75" customHeight="1">
      <c r="A91" s="10" t="s">
        <v>306</v>
      </c>
      <c r="B91" s="10" t="s">
        <v>307</v>
      </c>
      <c r="C91" s="10" t="s">
        <v>305</v>
      </c>
      <c r="D91" s="10" t="s">
        <v>121</v>
      </c>
      <c r="E91" s="10" t="s">
        <v>121</v>
      </c>
      <c r="F91" s="10" t="s">
        <v>104</v>
      </c>
      <c r="G91" s="10">
        <v>5.0</v>
      </c>
      <c r="H91" s="10">
        <v>7.0</v>
      </c>
      <c r="I91" s="10" t="s">
        <v>2140</v>
      </c>
      <c r="J91" s="10" t="s">
        <v>2136</v>
      </c>
      <c r="K91" s="10"/>
      <c r="L91" s="10">
        <v>261.0</v>
      </c>
      <c r="M91" s="10">
        <v>9.0</v>
      </c>
      <c r="N91" s="10"/>
      <c r="O91" s="10"/>
      <c r="P91" s="12">
        <f>IF($A91="","",IFERROR((IF($O91="",0,$O91)*Settings!$J$4+IF($L91="",0,$L91)*Settings!$J$5+IF($N91="",0,$N91)*Settings!$J$6)/(IF($O91="",0,Settings!$J$4)+IF($L91="",0,Settings!$J$5)+IF($N91="",0,Settings!$J$6)),0))</f>
        <v>261</v>
      </c>
      <c r="Q91" s="12">
        <f t="array" ref="Q91">IF($A91="","",XLOOKUP($E91,Settings!$A$19:$A$22,Settings!$G$19:$G$22,0))</f>
        <v>206</v>
      </c>
      <c r="R91" s="12">
        <f t="shared" si="1"/>
        <v>55</v>
      </c>
      <c r="S91" s="12">
        <f>IF($A91="","",IF($R91&lt;=0,1,1+$R91/SUMIF($R$4:$R$923,"&gt;0",$R$4:$R$923)*(Settings!$B$5*(Settings!$B$6-Settings!$B$7))))</f>
        <v>7.790878754</v>
      </c>
      <c r="T91" s="12">
        <f t="array" ref="T91">IF($A91="","",XLOOKUP($F91,Settings!$I$15:$I$20,Settings!$J$15:$J$20,1))</f>
        <v>1</v>
      </c>
      <c r="U91" s="12">
        <f>IF($A91="","",1+(($G91-5)/5)*Settings!$J$8)</f>
        <v>1</v>
      </c>
      <c r="V91" s="12">
        <f>IF($A91="","",1+(($H91-5)/5)*Settings!$J$9)</f>
        <v>1.06</v>
      </c>
      <c r="W91" s="12">
        <f t="array" ref="W91">IF($A91="","",XLOOKUP($J91,Lists!$C$3:$C$7,Lists!$D$3:$D$7,1))</f>
        <v>1</v>
      </c>
      <c r="X91" s="12">
        <f>IF($A91="","",IF($I91="Yes",Settings!$J$10,1))</f>
        <v>1</v>
      </c>
      <c r="Y91" s="12">
        <f t="shared" si="2"/>
        <v>8</v>
      </c>
      <c r="Z91" s="12">
        <f>IF($A91="","",IFERROR(ROUND(AVERAGEIFS('Historical Drafts'!$G$4:$G$300,'Historical Drafts'!$D$4:$D$300,$E91,'Historical Drafts'!$J$4:$J$300,"&gt;="&amp;$L91*0.85,'Historical Drafts'!$J$4:$J$300,"&lt;="&amp;$L91*1.15),0),$Y91))</f>
        <v>20</v>
      </c>
      <c r="AA91" s="12" t="str">
        <f>IF($A91="","",IF(COUNTIF('Auction Log'!$B$3:$B$300,$A91)&gt;0,"Sold","Available"))</f>
        <v>Available</v>
      </c>
      <c r="AB91" s="12" t="str">
        <f t="array" ref="AB91">IF($A91="","",IFERROR(XLOOKUP($A91,'Auction Log'!$B$3:$B$300,'Auction Log'!$G$3:$G$300,""),""))</f>
        <v/>
      </c>
      <c r="AC91" s="12" t="str">
        <f t="array" ref="AC91">IF($A91="","",IFERROR(XLOOKUP($A91,'Auction Log'!$B$3:$B$300,'Auction Log'!$F$3:$F$300,""),""))</f>
        <v/>
      </c>
      <c r="AD91" s="12">
        <f t="array" ref="AD91">IF($A91="","",ROUND($Y91*XLOOKUP($F91,Settings!$I$15:$I$20,Settings!$K$15:$K$20,0.4),0))</f>
        <v>2</v>
      </c>
      <c r="AE91" s="12">
        <f t="array" ref="AE91">IF($A91="","",ROUND($Y91*XLOOKUP($F91,Settings!$I$15:$I$20,Settings!$L$15:$L$20,0.8),0))</f>
        <v>6</v>
      </c>
      <c r="AF91" s="12">
        <f t="array" ref="AF91">IF($A91="","",ROUND($Y91*XLOOKUP($F91,Settings!$I$15:$I$20,Settings!$M$15:$M$20,1),0))</f>
        <v>8</v>
      </c>
      <c r="AG91" s="12">
        <f t="array" ref="AG91">IF($A91="","",ROUND($Y91*XLOOKUP($F91,Settings!$I$15:$I$20,Settings!$N$15:$N$20,1.1),0))</f>
        <v>8</v>
      </c>
      <c r="AH91" s="12">
        <f t="array" ref="AH91">IF($A91="","",ROUND($Y91*XLOOKUP($F91,Settings!$I$15:$I$20,Settings!$O$15:$O$20,1.1)*Settings!$J$7,0))</f>
        <v>8</v>
      </c>
      <c r="AI91" s="12">
        <f t="array" ref="AI91">IF($A91="","",IF($AA91="Sold","",MIN($AH91,IFERROR(XLOOKUP(Settings!$B$12,Managers!$B$4:$B$15,Managers!$H$4:$H$15),$AH91))))</f>
        <v>8</v>
      </c>
      <c r="AJ91" s="12" t="str">
        <f t="shared" si="3"/>
        <v>Budget Drainer</v>
      </c>
      <c r="AK91" s="12">
        <f t="shared" si="4"/>
        <v>45</v>
      </c>
      <c r="AL91" s="12" t="str">
        <f t="shared" si="5"/>
        <v/>
      </c>
    </row>
    <row r="92" ht="15.75" customHeight="1">
      <c r="A92" s="10" t="s">
        <v>283</v>
      </c>
      <c r="B92" s="10" t="s">
        <v>599</v>
      </c>
      <c r="C92" s="10" t="s">
        <v>285</v>
      </c>
      <c r="D92" s="10" t="s">
        <v>123</v>
      </c>
      <c r="E92" s="10" t="s">
        <v>123</v>
      </c>
      <c r="F92" s="10" t="s">
        <v>104</v>
      </c>
      <c r="G92" s="10">
        <v>5.0</v>
      </c>
      <c r="H92" s="10">
        <v>7.0</v>
      </c>
      <c r="I92" s="10" t="s">
        <v>2140</v>
      </c>
      <c r="J92" s="10" t="s">
        <v>2136</v>
      </c>
      <c r="K92" s="10"/>
      <c r="L92" s="10">
        <v>260.5</v>
      </c>
      <c r="M92" s="10">
        <v>7.24</v>
      </c>
      <c r="N92" s="10"/>
      <c r="O92" s="10"/>
      <c r="P92" s="12">
        <f>IF($A92="","",IFERROR((IF($O92="",0,$O92)*Settings!$J$4+IF($L92="",0,$L92)*Settings!$J$5+IF($N92="",0,$N92)*Settings!$J$6)/(IF($O92="",0,Settings!$J$4)+IF($L92="",0,Settings!$J$5)+IF($N92="",0,Settings!$J$6)),0))</f>
        <v>260.5</v>
      </c>
      <c r="Q92" s="12">
        <f t="array" ref="Q92">IF($A92="","",XLOOKUP($E92,Settings!$A$19:$A$22,Settings!$G$19:$G$22,0))</f>
        <v>203</v>
      </c>
      <c r="R92" s="12">
        <f t="shared" si="1"/>
        <v>57.5</v>
      </c>
      <c r="S92" s="12">
        <f>IF($A92="","",IF($R92&lt;=0,1,1+$R92/SUMIF($R$4:$R$923,"&gt;0",$R$4:$R$923)*(Settings!$B$5*(Settings!$B$6-Settings!$B$7))))</f>
        <v>8.099555061</v>
      </c>
      <c r="T92" s="12">
        <f t="array" ref="T92">IF($A92="","",XLOOKUP($F92,Settings!$I$15:$I$20,Settings!$J$15:$J$20,1))</f>
        <v>1</v>
      </c>
      <c r="U92" s="12">
        <f>IF($A92="","",1+(($G92-5)/5)*Settings!$J$8)</f>
        <v>1</v>
      </c>
      <c r="V92" s="12">
        <f>IF($A92="","",1+(($H92-5)/5)*Settings!$J$9)</f>
        <v>1.06</v>
      </c>
      <c r="W92" s="12">
        <f t="array" ref="W92">IF($A92="","",XLOOKUP($J92,Lists!$C$3:$C$7,Lists!$D$3:$D$7,1))</f>
        <v>1</v>
      </c>
      <c r="X92" s="12">
        <f>IF($A92="","",IF($I92="Yes",Settings!$J$10,1))</f>
        <v>1</v>
      </c>
      <c r="Y92" s="12">
        <f t="shared" si="2"/>
        <v>9</v>
      </c>
      <c r="Z92" s="12">
        <f>IF($A92="","",IFERROR(ROUND(AVERAGEIFS('Historical Drafts'!$G$4:$G$300,'Historical Drafts'!$D$4:$D$300,$E92,'Historical Drafts'!$J$4:$J$300,"&gt;="&amp;$L92*0.85,'Historical Drafts'!$J$4:$J$300,"&lt;="&amp;$L92*1.15),0),$Y92))</f>
        <v>21</v>
      </c>
      <c r="AA92" s="12" t="str">
        <f>IF($A92="","",IF(COUNTIF('Auction Log'!$B$3:$B$300,$A92)&gt;0,"Sold","Available"))</f>
        <v>Available</v>
      </c>
      <c r="AB92" s="12" t="str">
        <f t="array" ref="AB92">IF($A92="","",IFERROR(XLOOKUP($A92,'Auction Log'!$B$3:$B$300,'Auction Log'!$G$3:$G$300,""),""))</f>
        <v/>
      </c>
      <c r="AC92" s="12" t="str">
        <f t="array" ref="AC92">IF($A92="","",IFERROR(XLOOKUP($A92,'Auction Log'!$B$3:$B$300,'Auction Log'!$F$3:$F$300,""),""))</f>
        <v/>
      </c>
      <c r="AD92" s="12">
        <f t="array" ref="AD92">IF($A92="","",ROUND($Y92*XLOOKUP($F92,Settings!$I$15:$I$20,Settings!$K$15:$K$20,0.4),0))</f>
        <v>3</v>
      </c>
      <c r="AE92" s="12">
        <f t="array" ref="AE92">IF($A92="","",ROUND($Y92*XLOOKUP($F92,Settings!$I$15:$I$20,Settings!$L$15:$L$20,0.8),0))</f>
        <v>6</v>
      </c>
      <c r="AF92" s="12">
        <f t="array" ref="AF92">IF($A92="","",ROUND($Y92*XLOOKUP($F92,Settings!$I$15:$I$20,Settings!$M$15:$M$20,1),0))</f>
        <v>9</v>
      </c>
      <c r="AG92" s="12">
        <f t="array" ref="AG92">IF($A92="","",ROUND($Y92*XLOOKUP($F92,Settings!$I$15:$I$20,Settings!$N$15:$N$20,1.1),0))</f>
        <v>9</v>
      </c>
      <c r="AH92" s="12">
        <f t="array" ref="AH92">IF($A92="","",ROUND($Y92*XLOOKUP($F92,Settings!$I$15:$I$20,Settings!$O$15:$O$20,1.1)*Settings!$J$7,0))</f>
        <v>9</v>
      </c>
      <c r="AI92" s="12">
        <f t="array" ref="AI92">IF($A92="","",IF($AA92="Sold","",MIN($AH92,IFERROR(XLOOKUP(Settings!$B$12,Managers!$B$4:$B$15,Managers!$H$4:$H$15),$AH92))))</f>
        <v>9</v>
      </c>
      <c r="AJ92" s="12" t="str">
        <f t="shared" si="3"/>
        <v>Budget Drainer</v>
      </c>
      <c r="AK92" s="12">
        <f t="shared" si="4"/>
        <v>46</v>
      </c>
      <c r="AL92" s="12" t="str">
        <f t="shared" si="5"/>
        <v/>
      </c>
    </row>
    <row r="93" ht="15.75" customHeight="1">
      <c r="A93" s="10" t="s">
        <v>600</v>
      </c>
      <c r="B93" s="10" t="s">
        <v>601</v>
      </c>
      <c r="C93" s="10" t="s">
        <v>226</v>
      </c>
      <c r="D93" s="10" t="s">
        <v>118</v>
      </c>
      <c r="E93" s="10" t="s">
        <v>118</v>
      </c>
      <c r="F93" s="10" t="s">
        <v>104</v>
      </c>
      <c r="G93" s="10">
        <v>5.0</v>
      </c>
      <c r="H93" s="10">
        <v>7.0</v>
      </c>
      <c r="I93" s="10" t="s">
        <v>2140</v>
      </c>
      <c r="J93" s="10" t="s">
        <v>2136</v>
      </c>
      <c r="K93" s="10"/>
      <c r="L93" s="10">
        <v>259.5</v>
      </c>
      <c r="M93" s="10">
        <v>7.41</v>
      </c>
      <c r="N93" s="10"/>
      <c r="O93" s="10"/>
      <c r="P93" s="12">
        <f>IF($A93="","",IFERROR((IF($O93="",0,$O93)*Settings!$J$4+IF($L93="",0,$L93)*Settings!$J$5+IF($N93="",0,$N93)*Settings!$J$6)/(IF($O93="",0,Settings!$J$4)+IF($L93="",0,Settings!$J$5)+IF($N93="",0,Settings!$J$6)),0))</f>
        <v>259.5</v>
      </c>
      <c r="Q93" s="12">
        <f t="array" ref="Q93">IF($A93="","",XLOOKUP($E93,Settings!$A$19:$A$22,Settings!$G$19:$G$22,0))</f>
        <v>196.25</v>
      </c>
      <c r="R93" s="12">
        <f t="shared" si="1"/>
        <v>63.25</v>
      </c>
      <c r="S93" s="12">
        <f>IF($A93="","",IF($R93&lt;=0,1,1+$R93/SUMIF($R$4:$R$923,"&gt;0",$R$4:$R$923)*(Settings!$B$5*(Settings!$B$6-Settings!$B$7))))</f>
        <v>8.809510567</v>
      </c>
      <c r="T93" s="12">
        <f t="array" ref="T93">IF($A93="","",XLOOKUP($F93,Settings!$I$15:$I$20,Settings!$J$15:$J$20,1))</f>
        <v>1</v>
      </c>
      <c r="U93" s="12">
        <f>IF($A93="","",1+(($G93-5)/5)*Settings!$J$8)</f>
        <v>1</v>
      </c>
      <c r="V93" s="12">
        <f>IF($A93="","",1+(($H93-5)/5)*Settings!$J$9)</f>
        <v>1.06</v>
      </c>
      <c r="W93" s="12">
        <f t="array" ref="W93">IF($A93="","",XLOOKUP($J93,Lists!$C$3:$C$7,Lists!$D$3:$D$7,1))</f>
        <v>1</v>
      </c>
      <c r="X93" s="12">
        <f>IF($A93="","",IF($I93="Yes",Settings!$J$10,1))</f>
        <v>1</v>
      </c>
      <c r="Y93" s="12">
        <f t="shared" si="2"/>
        <v>9</v>
      </c>
      <c r="Z93" s="12">
        <f>IF($A93="","",IFERROR(ROUND(AVERAGEIFS('Historical Drafts'!$G$4:$G$300,'Historical Drafts'!$D$4:$D$300,$E93,'Historical Drafts'!$J$4:$J$300,"&gt;="&amp;$L93*0.85,'Historical Drafts'!$J$4:$J$300,"&lt;="&amp;$L93*1.15),0),$Y93))</f>
        <v>3</v>
      </c>
      <c r="AA93" s="12" t="str">
        <f>IF($A93="","",IF(COUNTIF('Auction Log'!$B$3:$B$300,$A93)&gt;0,"Sold","Available"))</f>
        <v>Available</v>
      </c>
      <c r="AB93" s="12" t="str">
        <f t="array" ref="AB93">IF($A93="","",IFERROR(XLOOKUP($A93,'Auction Log'!$B$3:$B$300,'Auction Log'!$G$3:$G$300,""),""))</f>
        <v/>
      </c>
      <c r="AC93" s="12" t="str">
        <f t="array" ref="AC93">IF($A93="","",IFERROR(XLOOKUP($A93,'Auction Log'!$B$3:$B$300,'Auction Log'!$F$3:$F$300,""),""))</f>
        <v/>
      </c>
      <c r="AD93" s="12">
        <f t="array" ref="AD93">IF($A93="","",ROUND($Y93*XLOOKUP($F93,Settings!$I$15:$I$20,Settings!$K$15:$K$20,0.4),0))</f>
        <v>3</v>
      </c>
      <c r="AE93" s="12">
        <f t="array" ref="AE93">IF($A93="","",ROUND($Y93*XLOOKUP($F93,Settings!$I$15:$I$20,Settings!$L$15:$L$20,0.8),0))</f>
        <v>6</v>
      </c>
      <c r="AF93" s="12">
        <f t="array" ref="AF93">IF($A93="","",ROUND($Y93*XLOOKUP($F93,Settings!$I$15:$I$20,Settings!$M$15:$M$20,1),0))</f>
        <v>9</v>
      </c>
      <c r="AG93" s="12">
        <f t="array" ref="AG93">IF($A93="","",ROUND($Y93*XLOOKUP($F93,Settings!$I$15:$I$20,Settings!$N$15:$N$20,1.1),0))</f>
        <v>9</v>
      </c>
      <c r="AH93" s="12">
        <f t="array" ref="AH93">IF($A93="","",ROUND($Y93*XLOOKUP($F93,Settings!$I$15:$I$20,Settings!$O$15:$O$20,1.1)*Settings!$J$7,0))</f>
        <v>9</v>
      </c>
      <c r="AI93" s="12">
        <f t="array" ref="AI93">IF($A93="","",IF($AA93="Sold","",MIN($AH93,IFERROR(XLOOKUP(Settings!$B$12,Managers!$B$4:$B$15,Managers!$H$4:$H$15),$AH93))))</f>
        <v>9</v>
      </c>
      <c r="AJ93" s="12" t="str">
        <f t="shared" si="3"/>
        <v>Value Target</v>
      </c>
      <c r="AK93" s="12">
        <f t="shared" si="4"/>
        <v>34</v>
      </c>
      <c r="AL93" s="12" t="str">
        <f t="shared" si="5"/>
        <v/>
      </c>
    </row>
    <row r="94" ht="15.75" customHeight="1">
      <c r="A94" s="10" t="s">
        <v>602</v>
      </c>
      <c r="B94" s="10" t="s">
        <v>603</v>
      </c>
      <c r="C94" s="10" t="s">
        <v>215</v>
      </c>
      <c r="D94" s="10" t="s">
        <v>121</v>
      </c>
      <c r="E94" s="10" t="s">
        <v>121</v>
      </c>
      <c r="F94" s="10" t="s">
        <v>104</v>
      </c>
      <c r="G94" s="10">
        <v>5.0</v>
      </c>
      <c r="H94" s="10">
        <v>7.0</v>
      </c>
      <c r="I94" s="10" t="s">
        <v>2140</v>
      </c>
      <c r="J94" s="10" t="s">
        <v>2136</v>
      </c>
      <c r="K94" s="10"/>
      <c r="L94" s="10">
        <v>259.0</v>
      </c>
      <c r="M94" s="10">
        <v>8.35</v>
      </c>
      <c r="N94" s="10"/>
      <c r="O94" s="10"/>
      <c r="P94" s="12">
        <f>IF($A94="","",IFERROR((IF($O94="",0,$O94)*Settings!$J$4+IF($L94="",0,$L94)*Settings!$J$5+IF($N94="",0,$N94)*Settings!$J$6)/(IF($O94="",0,Settings!$J$4)+IF($L94="",0,Settings!$J$5)+IF($N94="",0,Settings!$J$6)),0))</f>
        <v>259</v>
      </c>
      <c r="Q94" s="12">
        <f t="array" ref="Q94">IF($A94="","",XLOOKUP($E94,Settings!$A$19:$A$22,Settings!$G$19:$G$22,0))</f>
        <v>206</v>
      </c>
      <c r="R94" s="12">
        <f t="shared" si="1"/>
        <v>53</v>
      </c>
      <c r="S94" s="12">
        <f>IF($A94="","",IF($R94&lt;=0,1,1+$R94/SUMIF($R$4:$R$923,"&gt;0",$R$4:$R$923)*(Settings!$B$5*(Settings!$B$6-Settings!$B$7))))</f>
        <v>7.543937709</v>
      </c>
      <c r="T94" s="12">
        <f t="array" ref="T94">IF($A94="","",XLOOKUP($F94,Settings!$I$15:$I$20,Settings!$J$15:$J$20,1))</f>
        <v>1</v>
      </c>
      <c r="U94" s="12">
        <f>IF($A94="","",1+(($G94-5)/5)*Settings!$J$8)</f>
        <v>1</v>
      </c>
      <c r="V94" s="12">
        <f>IF($A94="","",1+(($H94-5)/5)*Settings!$J$9)</f>
        <v>1.06</v>
      </c>
      <c r="W94" s="12">
        <f t="array" ref="W94">IF($A94="","",XLOOKUP($J94,Lists!$C$3:$C$7,Lists!$D$3:$D$7,1))</f>
        <v>1</v>
      </c>
      <c r="X94" s="12">
        <f>IF($A94="","",IF($I94="Yes",Settings!$J$10,1))</f>
        <v>1</v>
      </c>
      <c r="Y94" s="12">
        <f t="shared" si="2"/>
        <v>8</v>
      </c>
      <c r="Z94" s="12">
        <f>IF($A94="","",IFERROR(ROUND(AVERAGEIFS('Historical Drafts'!$G$4:$G$300,'Historical Drafts'!$D$4:$D$300,$E94,'Historical Drafts'!$J$4:$J$300,"&gt;="&amp;$L94*0.85,'Historical Drafts'!$J$4:$J$300,"&lt;="&amp;$L94*1.15),0),$Y94))</f>
        <v>20</v>
      </c>
      <c r="AA94" s="12" t="str">
        <f>IF($A94="","",IF(COUNTIF('Auction Log'!$B$3:$B$300,$A94)&gt;0,"Sold","Available"))</f>
        <v>Available</v>
      </c>
      <c r="AB94" s="12" t="str">
        <f t="array" ref="AB94">IF($A94="","",IFERROR(XLOOKUP($A94,'Auction Log'!$B$3:$B$300,'Auction Log'!$G$3:$G$300,""),""))</f>
        <v/>
      </c>
      <c r="AC94" s="12" t="str">
        <f t="array" ref="AC94">IF($A94="","",IFERROR(XLOOKUP($A94,'Auction Log'!$B$3:$B$300,'Auction Log'!$F$3:$F$300,""),""))</f>
        <v/>
      </c>
      <c r="AD94" s="12">
        <f t="array" ref="AD94">IF($A94="","",ROUND($Y94*XLOOKUP($F94,Settings!$I$15:$I$20,Settings!$K$15:$K$20,0.4),0))</f>
        <v>2</v>
      </c>
      <c r="AE94" s="12">
        <f t="array" ref="AE94">IF($A94="","",ROUND($Y94*XLOOKUP($F94,Settings!$I$15:$I$20,Settings!$L$15:$L$20,0.8),0))</f>
        <v>6</v>
      </c>
      <c r="AF94" s="12">
        <f t="array" ref="AF94">IF($A94="","",ROUND($Y94*XLOOKUP($F94,Settings!$I$15:$I$20,Settings!$M$15:$M$20,1),0))</f>
        <v>8</v>
      </c>
      <c r="AG94" s="12">
        <f t="array" ref="AG94">IF($A94="","",ROUND($Y94*XLOOKUP($F94,Settings!$I$15:$I$20,Settings!$N$15:$N$20,1.1),0))</f>
        <v>8</v>
      </c>
      <c r="AH94" s="12">
        <f t="array" ref="AH94">IF($A94="","",ROUND($Y94*XLOOKUP($F94,Settings!$I$15:$I$20,Settings!$O$15:$O$20,1.1)*Settings!$J$7,0))</f>
        <v>8</v>
      </c>
      <c r="AI94" s="12">
        <f t="array" ref="AI94">IF($A94="","",IF($AA94="Sold","",MIN($AH94,IFERROR(XLOOKUP(Settings!$B$12,Managers!$B$4:$B$15,Managers!$H$4:$H$15),$AH94))))</f>
        <v>8</v>
      </c>
      <c r="AJ94" s="12" t="str">
        <f t="shared" si="3"/>
        <v>Budget Drainer</v>
      </c>
      <c r="AK94" s="12">
        <f t="shared" si="4"/>
        <v>45</v>
      </c>
      <c r="AL94" s="12" t="str">
        <f t="shared" si="5"/>
        <v/>
      </c>
    </row>
    <row r="95" ht="15.75" customHeight="1">
      <c r="A95" s="10" t="s">
        <v>483</v>
      </c>
      <c r="B95" s="10" t="s">
        <v>484</v>
      </c>
      <c r="C95" s="10" t="s">
        <v>221</v>
      </c>
      <c r="D95" s="10" t="s">
        <v>121</v>
      </c>
      <c r="E95" s="10" t="s">
        <v>121</v>
      </c>
      <c r="F95" s="10" t="s">
        <v>104</v>
      </c>
      <c r="G95" s="10">
        <v>5.0</v>
      </c>
      <c r="H95" s="10">
        <v>7.0</v>
      </c>
      <c r="I95" s="10" t="s">
        <v>2140</v>
      </c>
      <c r="J95" s="10" t="s">
        <v>2136</v>
      </c>
      <c r="K95" s="10"/>
      <c r="L95" s="10">
        <v>259.0</v>
      </c>
      <c r="M95" s="10">
        <v>7.62</v>
      </c>
      <c r="N95" s="10"/>
      <c r="O95" s="10"/>
      <c r="P95" s="12">
        <f>IF($A95="","",IFERROR((IF($O95="",0,$O95)*Settings!$J$4+IF($L95="",0,$L95)*Settings!$J$5+IF($N95="",0,$N95)*Settings!$J$6)/(IF($O95="",0,Settings!$J$4)+IF($L95="",0,Settings!$J$5)+IF($N95="",0,Settings!$J$6)),0))</f>
        <v>259</v>
      </c>
      <c r="Q95" s="12">
        <f t="array" ref="Q95">IF($A95="","",XLOOKUP($E95,Settings!$A$19:$A$22,Settings!$G$19:$G$22,0))</f>
        <v>206</v>
      </c>
      <c r="R95" s="12">
        <f t="shared" si="1"/>
        <v>53</v>
      </c>
      <c r="S95" s="12">
        <f>IF($A95="","",IF($R95&lt;=0,1,1+$R95/SUMIF($R$4:$R$923,"&gt;0",$R$4:$R$923)*(Settings!$B$5*(Settings!$B$6-Settings!$B$7))))</f>
        <v>7.543937709</v>
      </c>
      <c r="T95" s="12">
        <f t="array" ref="T95">IF($A95="","",XLOOKUP($F95,Settings!$I$15:$I$20,Settings!$J$15:$J$20,1))</f>
        <v>1</v>
      </c>
      <c r="U95" s="12">
        <f>IF($A95="","",1+(($G95-5)/5)*Settings!$J$8)</f>
        <v>1</v>
      </c>
      <c r="V95" s="12">
        <f>IF($A95="","",1+(($H95-5)/5)*Settings!$J$9)</f>
        <v>1.06</v>
      </c>
      <c r="W95" s="12">
        <f t="array" ref="W95">IF($A95="","",XLOOKUP($J95,Lists!$C$3:$C$7,Lists!$D$3:$D$7,1))</f>
        <v>1</v>
      </c>
      <c r="X95" s="12">
        <f>IF($A95="","",IF($I95="Yes",Settings!$J$10,1))</f>
        <v>1</v>
      </c>
      <c r="Y95" s="12">
        <f t="shared" si="2"/>
        <v>8</v>
      </c>
      <c r="Z95" s="12">
        <f>IF($A95="","",IFERROR(ROUND(AVERAGEIFS('Historical Drafts'!$G$4:$G$300,'Historical Drafts'!$D$4:$D$300,$E95,'Historical Drafts'!$J$4:$J$300,"&gt;="&amp;$L95*0.85,'Historical Drafts'!$J$4:$J$300,"&lt;="&amp;$L95*1.15),0),$Y95))</f>
        <v>20</v>
      </c>
      <c r="AA95" s="12" t="str">
        <f>IF($A95="","",IF(COUNTIF('Auction Log'!$B$3:$B$300,$A95)&gt;0,"Sold","Available"))</f>
        <v>Available</v>
      </c>
      <c r="AB95" s="12" t="str">
        <f t="array" ref="AB95">IF($A95="","",IFERROR(XLOOKUP($A95,'Auction Log'!$B$3:$B$300,'Auction Log'!$G$3:$G$300,""),""))</f>
        <v/>
      </c>
      <c r="AC95" s="12" t="str">
        <f t="array" ref="AC95">IF($A95="","",IFERROR(XLOOKUP($A95,'Auction Log'!$B$3:$B$300,'Auction Log'!$F$3:$F$300,""),""))</f>
        <v/>
      </c>
      <c r="AD95" s="12">
        <f t="array" ref="AD95">IF($A95="","",ROUND($Y95*XLOOKUP($F95,Settings!$I$15:$I$20,Settings!$K$15:$K$20,0.4),0))</f>
        <v>2</v>
      </c>
      <c r="AE95" s="12">
        <f t="array" ref="AE95">IF($A95="","",ROUND($Y95*XLOOKUP($F95,Settings!$I$15:$I$20,Settings!$L$15:$L$20,0.8),0))</f>
        <v>6</v>
      </c>
      <c r="AF95" s="12">
        <f t="array" ref="AF95">IF($A95="","",ROUND($Y95*XLOOKUP($F95,Settings!$I$15:$I$20,Settings!$M$15:$M$20,1),0))</f>
        <v>8</v>
      </c>
      <c r="AG95" s="12">
        <f t="array" ref="AG95">IF($A95="","",ROUND($Y95*XLOOKUP($F95,Settings!$I$15:$I$20,Settings!$N$15:$N$20,1.1),0))</f>
        <v>8</v>
      </c>
      <c r="AH95" s="12">
        <f t="array" ref="AH95">IF($A95="","",ROUND($Y95*XLOOKUP($F95,Settings!$I$15:$I$20,Settings!$O$15:$O$20,1.1)*Settings!$J$7,0))</f>
        <v>8</v>
      </c>
      <c r="AI95" s="12">
        <f t="array" ref="AI95">IF($A95="","",IF($AA95="Sold","",MIN($AH95,IFERROR(XLOOKUP(Settings!$B$12,Managers!$B$4:$B$15,Managers!$H$4:$H$15),$AH95))))</f>
        <v>8</v>
      </c>
      <c r="AJ95" s="12" t="str">
        <f t="shared" si="3"/>
        <v>Budget Drainer</v>
      </c>
      <c r="AK95" s="12">
        <f t="shared" si="4"/>
        <v>45</v>
      </c>
      <c r="AL95" s="12" t="str">
        <f t="shared" si="5"/>
        <v/>
      </c>
    </row>
    <row r="96" ht="15.75" customHeight="1">
      <c r="A96" s="10" t="s">
        <v>439</v>
      </c>
      <c r="B96" s="10" t="s">
        <v>440</v>
      </c>
      <c r="C96" s="10" t="s">
        <v>177</v>
      </c>
      <c r="D96" s="10" t="s">
        <v>118</v>
      </c>
      <c r="E96" s="10" t="s">
        <v>118</v>
      </c>
      <c r="F96" s="10" t="s">
        <v>104</v>
      </c>
      <c r="G96" s="10">
        <v>5.0</v>
      </c>
      <c r="H96" s="10">
        <v>7.0</v>
      </c>
      <c r="I96" s="10" t="s">
        <v>2140</v>
      </c>
      <c r="J96" s="10" t="s">
        <v>2136</v>
      </c>
      <c r="K96" s="10"/>
      <c r="L96" s="10">
        <v>258.25</v>
      </c>
      <c r="M96" s="10">
        <v>7.17</v>
      </c>
      <c r="N96" s="10"/>
      <c r="O96" s="10"/>
      <c r="P96" s="12">
        <f>IF($A96="","",IFERROR((IF($O96="",0,$O96)*Settings!$J$4+IF($L96="",0,$L96)*Settings!$J$5+IF($N96="",0,$N96)*Settings!$J$6)/(IF($O96="",0,Settings!$J$4)+IF($L96="",0,Settings!$J$5)+IF($N96="",0,Settings!$J$6)),0))</f>
        <v>258.25</v>
      </c>
      <c r="Q96" s="12">
        <f t="array" ref="Q96">IF($A96="","",XLOOKUP($E96,Settings!$A$19:$A$22,Settings!$G$19:$G$22,0))</f>
        <v>196.25</v>
      </c>
      <c r="R96" s="12">
        <f t="shared" si="1"/>
        <v>62</v>
      </c>
      <c r="S96" s="12">
        <f>IF($A96="","",IF($R96&lt;=0,1,1+$R96/SUMIF($R$4:$R$923,"&gt;0",$R$4:$R$923)*(Settings!$B$5*(Settings!$B$6-Settings!$B$7))))</f>
        <v>8.655172414</v>
      </c>
      <c r="T96" s="12">
        <f t="array" ref="T96">IF($A96="","",XLOOKUP($F96,Settings!$I$15:$I$20,Settings!$J$15:$J$20,1))</f>
        <v>1</v>
      </c>
      <c r="U96" s="12">
        <f>IF($A96="","",1+(($G96-5)/5)*Settings!$J$8)</f>
        <v>1</v>
      </c>
      <c r="V96" s="12">
        <f>IF($A96="","",1+(($H96-5)/5)*Settings!$J$9)</f>
        <v>1.06</v>
      </c>
      <c r="W96" s="12">
        <f t="array" ref="W96">IF($A96="","",XLOOKUP($J96,Lists!$C$3:$C$7,Lists!$D$3:$D$7,1))</f>
        <v>1</v>
      </c>
      <c r="X96" s="12">
        <f>IF($A96="","",IF($I96="Yes",Settings!$J$10,1))</f>
        <v>1</v>
      </c>
      <c r="Y96" s="12">
        <f t="shared" si="2"/>
        <v>9</v>
      </c>
      <c r="Z96" s="12">
        <f>IF($A96="","",IFERROR(ROUND(AVERAGEIFS('Historical Drafts'!$G$4:$G$300,'Historical Drafts'!$D$4:$D$300,$E96,'Historical Drafts'!$J$4:$J$300,"&gt;="&amp;$L96*0.85,'Historical Drafts'!$J$4:$J$300,"&lt;="&amp;$L96*1.15),0),$Y96))</f>
        <v>3</v>
      </c>
      <c r="AA96" s="12" t="str">
        <f>IF($A96="","",IF(COUNTIF('Auction Log'!$B$3:$B$300,$A96)&gt;0,"Sold","Available"))</f>
        <v>Available</v>
      </c>
      <c r="AB96" s="12" t="str">
        <f t="array" ref="AB96">IF($A96="","",IFERROR(XLOOKUP($A96,'Auction Log'!$B$3:$B$300,'Auction Log'!$G$3:$G$300,""),""))</f>
        <v/>
      </c>
      <c r="AC96" s="12" t="str">
        <f t="array" ref="AC96">IF($A96="","",IFERROR(XLOOKUP($A96,'Auction Log'!$B$3:$B$300,'Auction Log'!$F$3:$F$300,""),""))</f>
        <v/>
      </c>
      <c r="AD96" s="12">
        <f t="array" ref="AD96">IF($A96="","",ROUND($Y96*XLOOKUP($F96,Settings!$I$15:$I$20,Settings!$K$15:$K$20,0.4),0))</f>
        <v>3</v>
      </c>
      <c r="AE96" s="12">
        <f t="array" ref="AE96">IF($A96="","",ROUND($Y96*XLOOKUP($F96,Settings!$I$15:$I$20,Settings!$L$15:$L$20,0.8),0))</f>
        <v>6</v>
      </c>
      <c r="AF96" s="12">
        <f t="array" ref="AF96">IF($A96="","",ROUND($Y96*XLOOKUP($F96,Settings!$I$15:$I$20,Settings!$M$15:$M$20,1),0))</f>
        <v>9</v>
      </c>
      <c r="AG96" s="12">
        <f t="array" ref="AG96">IF($A96="","",ROUND($Y96*XLOOKUP($F96,Settings!$I$15:$I$20,Settings!$N$15:$N$20,1.1),0))</f>
        <v>9</v>
      </c>
      <c r="AH96" s="12">
        <f t="array" ref="AH96">IF($A96="","",ROUND($Y96*XLOOKUP($F96,Settings!$I$15:$I$20,Settings!$O$15:$O$20,1.1)*Settings!$J$7,0))</f>
        <v>9</v>
      </c>
      <c r="AI96" s="12">
        <f t="array" ref="AI96">IF($A96="","",IF($AA96="Sold","",MIN($AH96,IFERROR(XLOOKUP(Settings!$B$12,Managers!$B$4:$B$15,Managers!$H$4:$H$15),$AH96))))</f>
        <v>9</v>
      </c>
      <c r="AJ96" s="12" t="str">
        <f t="shared" si="3"/>
        <v>Value Target</v>
      </c>
      <c r="AK96" s="12">
        <f t="shared" si="4"/>
        <v>34</v>
      </c>
      <c r="AL96" s="12" t="str">
        <f t="shared" si="5"/>
        <v/>
      </c>
    </row>
    <row r="97" ht="15.75" customHeight="1">
      <c r="A97" s="10" t="s">
        <v>344</v>
      </c>
      <c r="B97" s="10" t="s">
        <v>345</v>
      </c>
      <c r="C97" s="10" t="s">
        <v>231</v>
      </c>
      <c r="D97" s="10" t="s">
        <v>123</v>
      </c>
      <c r="E97" s="10" t="s">
        <v>123</v>
      </c>
      <c r="F97" s="10" t="s">
        <v>104</v>
      </c>
      <c r="G97" s="10">
        <v>5.0</v>
      </c>
      <c r="H97" s="10">
        <v>7.0</v>
      </c>
      <c r="I97" s="10" t="s">
        <v>2140</v>
      </c>
      <c r="J97" s="10" t="s">
        <v>2136</v>
      </c>
      <c r="K97" s="10"/>
      <c r="L97" s="10">
        <v>255.5</v>
      </c>
      <c r="M97" s="10">
        <v>6.91</v>
      </c>
      <c r="N97" s="10"/>
      <c r="O97" s="10"/>
      <c r="P97" s="12">
        <f>IF($A97="","",IFERROR((IF($O97="",0,$O97)*Settings!$J$4+IF($L97="",0,$L97)*Settings!$J$5+IF($N97="",0,$N97)*Settings!$J$6)/(IF($O97="",0,Settings!$J$4)+IF($L97="",0,Settings!$J$5)+IF($N97="",0,Settings!$J$6)),0))</f>
        <v>255.5</v>
      </c>
      <c r="Q97" s="12">
        <f t="array" ref="Q97">IF($A97="","",XLOOKUP($E97,Settings!$A$19:$A$22,Settings!$G$19:$G$22,0))</f>
        <v>203</v>
      </c>
      <c r="R97" s="12">
        <f t="shared" si="1"/>
        <v>52.5</v>
      </c>
      <c r="S97" s="12">
        <f>IF($A97="","",IF($R97&lt;=0,1,1+$R97/SUMIF($R$4:$R$923,"&gt;0",$R$4:$R$923)*(Settings!$B$5*(Settings!$B$6-Settings!$B$7))))</f>
        <v>7.482202447</v>
      </c>
      <c r="T97" s="12">
        <f t="array" ref="T97">IF($A97="","",XLOOKUP($F97,Settings!$I$15:$I$20,Settings!$J$15:$J$20,1))</f>
        <v>1</v>
      </c>
      <c r="U97" s="12">
        <f>IF($A97="","",1+(($G97-5)/5)*Settings!$J$8)</f>
        <v>1</v>
      </c>
      <c r="V97" s="12">
        <f>IF($A97="","",1+(($H97-5)/5)*Settings!$J$9)</f>
        <v>1.06</v>
      </c>
      <c r="W97" s="12">
        <f t="array" ref="W97">IF($A97="","",XLOOKUP($J97,Lists!$C$3:$C$7,Lists!$D$3:$D$7,1))</f>
        <v>1</v>
      </c>
      <c r="X97" s="12">
        <f>IF($A97="","",IF($I97="Yes",Settings!$J$10,1))</f>
        <v>1</v>
      </c>
      <c r="Y97" s="12">
        <f t="shared" si="2"/>
        <v>8</v>
      </c>
      <c r="Z97" s="12">
        <f>IF($A97="","",IFERROR(ROUND(AVERAGEIFS('Historical Drafts'!$G$4:$G$300,'Historical Drafts'!$D$4:$D$300,$E97,'Historical Drafts'!$J$4:$J$300,"&gt;="&amp;$L97*0.85,'Historical Drafts'!$J$4:$J$300,"&lt;="&amp;$L97*1.15),0),$Y97))</f>
        <v>23</v>
      </c>
      <c r="AA97" s="12" t="str">
        <f>IF($A97="","",IF(COUNTIF('Auction Log'!$B$3:$B$300,$A97)&gt;0,"Sold","Available"))</f>
        <v>Available</v>
      </c>
      <c r="AB97" s="12" t="str">
        <f t="array" ref="AB97">IF($A97="","",IFERROR(XLOOKUP($A97,'Auction Log'!$B$3:$B$300,'Auction Log'!$G$3:$G$300,""),""))</f>
        <v/>
      </c>
      <c r="AC97" s="12" t="str">
        <f t="array" ref="AC97">IF($A97="","",IFERROR(XLOOKUP($A97,'Auction Log'!$B$3:$B$300,'Auction Log'!$F$3:$F$300,""),""))</f>
        <v/>
      </c>
      <c r="AD97" s="12">
        <f t="array" ref="AD97">IF($A97="","",ROUND($Y97*XLOOKUP($F97,Settings!$I$15:$I$20,Settings!$K$15:$K$20,0.4),0))</f>
        <v>2</v>
      </c>
      <c r="AE97" s="12">
        <f t="array" ref="AE97">IF($A97="","",ROUND($Y97*XLOOKUP($F97,Settings!$I$15:$I$20,Settings!$L$15:$L$20,0.8),0))</f>
        <v>6</v>
      </c>
      <c r="AF97" s="12">
        <f t="array" ref="AF97">IF($A97="","",ROUND($Y97*XLOOKUP($F97,Settings!$I$15:$I$20,Settings!$M$15:$M$20,1),0))</f>
        <v>8</v>
      </c>
      <c r="AG97" s="12">
        <f t="array" ref="AG97">IF($A97="","",ROUND($Y97*XLOOKUP($F97,Settings!$I$15:$I$20,Settings!$N$15:$N$20,1.1),0))</f>
        <v>8</v>
      </c>
      <c r="AH97" s="12">
        <f t="array" ref="AH97">IF($A97="","",ROUND($Y97*XLOOKUP($F97,Settings!$I$15:$I$20,Settings!$O$15:$O$20,1.1)*Settings!$J$7,0))</f>
        <v>8</v>
      </c>
      <c r="AI97" s="12">
        <f t="array" ref="AI97">IF($A97="","",IF($AA97="Sold","",MIN($AH97,IFERROR(XLOOKUP(Settings!$B$12,Managers!$B$4:$B$15,Managers!$H$4:$H$15),$AH97))))</f>
        <v>8</v>
      </c>
      <c r="AJ97" s="12" t="str">
        <f t="shared" si="3"/>
        <v>Budget Drainer</v>
      </c>
      <c r="AK97" s="12">
        <f t="shared" si="4"/>
        <v>48</v>
      </c>
      <c r="AL97" s="12" t="str">
        <f t="shared" si="5"/>
        <v/>
      </c>
    </row>
    <row r="98" ht="15.75" customHeight="1">
      <c r="A98" s="10" t="s">
        <v>604</v>
      </c>
      <c r="B98" s="10" t="s">
        <v>605</v>
      </c>
      <c r="C98" s="10" t="s">
        <v>566</v>
      </c>
      <c r="D98" s="10" t="s">
        <v>115</v>
      </c>
      <c r="E98" s="10" t="s">
        <v>115</v>
      </c>
      <c r="F98" s="10" t="s">
        <v>104</v>
      </c>
      <c r="G98" s="10">
        <v>5.0</v>
      </c>
      <c r="H98" s="10">
        <v>7.0</v>
      </c>
      <c r="I98" s="10" t="s">
        <v>2140</v>
      </c>
      <c r="J98" s="10" t="s">
        <v>2136</v>
      </c>
      <c r="K98" s="10"/>
      <c r="L98" s="10">
        <v>254.75</v>
      </c>
      <c r="M98" s="10">
        <v>7.28</v>
      </c>
      <c r="N98" s="10"/>
      <c r="O98" s="10"/>
      <c r="P98" s="12">
        <f>IF($A98="","",IFERROR((IF($O98="",0,$O98)*Settings!$J$4+IF($L98="",0,$L98)*Settings!$J$5+IF($N98="",0,$N98)*Settings!$J$6)/(IF($O98="",0,Settings!$J$4)+IF($L98="",0,Settings!$J$5)+IF($N98="",0,Settings!$J$6)),0))</f>
        <v>254.75</v>
      </c>
      <c r="Q98" s="12">
        <f t="array" ref="Q98">IF($A98="","",XLOOKUP($E98,Settings!$A$19:$A$22,Settings!$G$19:$G$22,0))</f>
        <v>249.25</v>
      </c>
      <c r="R98" s="12">
        <f t="shared" si="1"/>
        <v>5.5</v>
      </c>
      <c r="S98" s="12">
        <f>IF($A98="","",IF($R98&lt;=0,1,1+$R98/SUMIF($R$4:$R$923,"&gt;0",$R$4:$R$923)*(Settings!$B$5*(Settings!$B$6-Settings!$B$7))))</f>
        <v>1.679087875</v>
      </c>
      <c r="T98" s="12">
        <f t="array" ref="T98">IF($A98="","",XLOOKUP($F98,Settings!$I$15:$I$20,Settings!$J$15:$J$20,1))</f>
        <v>1</v>
      </c>
      <c r="U98" s="12">
        <f>IF($A98="","",1+(($G98-5)/5)*Settings!$J$8)</f>
        <v>1</v>
      </c>
      <c r="V98" s="12">
        <f>IF($A98="","",1+(($H98-5)/5)*Settings!$J$9)</f>
        <v>1.06</v>
      </c>
      <c r="W98" s="12">
        <f t="array" ref="W98">IF($A98="","",XLOOKUP($J98,Lists!$C$3:$C$7,Lists!$D$3:$D$7,1))</f>
        <v>1</v>
      </c>
      <c r="X98" s="12">
        <f>IF($A98="","",IF($I98="Yes",Settings!$J$10,1))</f>
        <v>1</v>
      </c>
      <c r="Y98" s="12">
        <f t="shared" si="2"/>
        <v>2</v>
      </c>
      <c r="Z98" s="12">
        <f>IF($A98="","",IFERROR(ROUND(AVERAGEIFS('Historical Drafts'!$G$4:$G$300,'Historical Drafts'!$D$4:$D$300,$E98,'Historical Drafts'!$J$4:$J$300,"&gt;="&amp;$L98*0.85,'Historical Drafts'!$J$4:$J$300,"&lt;="&amp;$L98*1.15),0),$Y98))</f>
        <v>2</v>
      </c>
      <c r="AA98" s="12" t="str">
        <f>IF($A98="","",IF(COUNTIF('Auction Log'!$B$3:$B$300,$A98)&gt;0,"Sold","Available"))</f>
        <v>Available</v>
      </c>
      <c r="AB98" s="12" t="str">
        <f t="array" ref="AB98">IF($A98="","",IFERROR(XLOOKUP($A98,'Auction Log'!$B$3:$B$300,'Auction Log'!$G$3:$G$300,""),""))</f>
        <v/>
      </c>
      <c r="AC98" s="12" t="str">
        <f t="array" ref="AC98">IF($A98="","",IFERROR(XLOOKUP($A98,'Auction Log'!$B$3:$B$300,'Auction Log'!$F$3:$F$300,""),""))</f>
        <v/>
      </c>
      <c r="AD98" s="12">
        <f t="array" ref="AD98">IF($A98="","",ROUND($Y98*XLOOKUP($F98,Settings!$I$15:$I$20,Settings!$K$15:$K$20,0.4),0))</f>
        <v>1</v>
      </c>
      <c r="AE98" s="12">
        <f t="array" ref="AE98">IF($A98="","",ROUND($Y98*XLOOKUP($F98,Settings!$I$15:$I$20,Settings!$L$15:$L$20,0.8),0))</f>
        <v>1</v>
      </c>
      <c r="AF98" s="12">
        <f t="array" ref="AF98">IF($A98="","",ROUND($Y98*XLOOKUP($F98,Settings!$I$15:$I$20,Settings!$M$15:$M$20,1),0))</f>
        <v>2</v>
      </c>
      <c r="AG98" s="12">
        <f t="array" ref="AG98">IF($A98="","",ROUND($Y98*XLOOKUP($F98,Settings!$I$15:$I$20,Settings!$N$15:$N$20,1.1),0))</f>
        <v>2</v>
      </c>
      <c r="AH98" s="12">
        <f t="array" ref="AH98">IF($A98="","",ROUND($Y98*XLOOKUP($F98,Settings!$I$15:$I$20,Settings!$O$15:$O$20,1.1)*Settings!$J$7,0))</f>
        <v>2</v>
      </c>
      <c r="AI98" s="12">
        <f t="array" ref="AI98">IF($A98="","",IF($AA98="Sold","",MIN($AH98,IFERROR(XLOOKUP(Settings!$B$12,Managers!$B$4:$B$15,Managers!$H$4:$H$15),$AH98))))</f>
        <v>2</v>
      </c>
      <c r="AJ98" s="12" t="str">
        <f t="shared" si="3"/>
        <v>Recommended</v>
      </c>
      <c r="AK98" s="12">
        <f t="shared" si="4"/>
        <v>27</v>
      </c>
      <c r="AL98" s="12" t="str">
        <f t="shared" si="5"/>
        <v/>
      </c>
    </row>
    <row r="99" ht="15.75" customHeight="1">
      <c r="A99" s="10" t="s">
        <v>606</v>
      </c>
      <c r="B99" s="10" t="s">
        <v>607</v>
      </c>
      <c r="C99" s="10" t="s">
        <v>231</v>
      </c>
      <c r="D99" s="10" t="s">
        <v>118</v>
      </c>
      <c r="E99" s="10" t="s">
        <v>118</v>
      </c>
      <c r="F99" s="10" t="s">
        <v>104</v>
      </c>
      <c r="G99" s="10">
        <v>5.0</v>
      </c>
      <c r="H99" s="10">
        <v>7.0</v>
      </c>
      <c r="I99" s="10" t="s">
        <v>2140</v>
      </c>
      <c r="J99" s="10" t="s">
        <v>2136</v>
      </c>
      <c r="K99" s="10"/>
      <c r="L99" s="10">
        <v>254.75</v>
      </c>
      <c r="M99" s="10">
        <v>6.89</v>
      </c>
      <c r="N99" s="10"/>
      <c r="O99" s="10"/>
      <c r="P99" s="12">
        <f>IF($A99="","",IFERROR((IF($O99="",0,$O99)*Settings!$J$4+IF($L99="",0,$L99)*Settings!$J$5+IF($N99="",0,$N99)*Settings!$J$6)/(IF($O99="",0,Settings!$J$4)+IF($L99="",0,Settings!$J$5)+IF($N99="",0,Settings!$J$6)),0))</f>
        <v>254.75</v>
      </c>
      <c r="Q99" s="12">
        <f t="array" ref="Q99">IF($A99="","",XLOOKUP($E99,Settings!$A$19:$A$22,Settings!$G$19:$G$22,0))</f>
        <v>196.25</v>
      </c>
      <c r="R99" s="12">
        <f t="shared" si="1"/>
        <v>58.5</v>
      </c>
      <c r="S99" s="12">
        <f>IF($A99="","",IF($R99&lt;=0,1,1+$R99/SUMIF($R$4:$R$923,"&gt;0",$R$4:$R$923)*(Settings!$B$5*(Settings!$B$6-Settings!$B$7))))</f>
        <v>8.223025584</v>
      </c>
      <c r="T99" s="12">
        <f t="array" ref="T99">IF($A99="","",XLOOKUP($F99,Settings!$I$15:$I$20,Settings!$J$15:$J$20,1))</f>
        <v>1</v>
      </c>
      <c r="U99" s="12">
        <f>IF($A99="","",1+(($G99-5)/5)*Settings!$J$8)</f>
        <v>1</v>
      </c>
      <c r="V99" s="12">
        <f>IF($A99="","",1+(($H99-5)/5)*Settings!$J$9)</f>
        <v>1.06</v>
      </c>
      <c r="W99" s="12">
        <f t="array" ref="W99">IF($A99="","",XLOOKUP($J99,Lists!$C$3:$C$7,Lists!$D$3:$D$7,1))</f>
        <v>1</v>
      </c>
      <c r="X99" s="12">
        <f>IF($A99="","",IF($I99="Yes",Settings!$J$10,1))</f>
        <v>1</v>
      </c>
      <c r="Y99" s="12">
        <f t="shared" si="2"/>
        <v>9</v>
      </c>
      <c r="Z99" s="12">
        <f>IF($A99="","",IFERROR(ROUND(AVERAGEIFS('Historical Drafts'!$G$4:$G$300,'Historical Drafts'!$D$4:$D$300,$E99,'Historical Drafts'!$J$4:$J$300,"&gt;="&amp;$L99*0.85,'Historical Drafts'!$J$4:$J$300,"&lt;="&amp;$L99*1.15),0),$Y99))</f>
        <v>2</v>
      </c>
      <c r="AA99" s="12" t="str">
        <f>IF($A99="","",IF(COUNTIF('Auction Log'!$B$3:$B$300,$A99)&gt;0,"Sold","Available"))</f>
        <v>Available</v>
      </c>
      <c r="AB99" s="12" t="str">
        <f t="array" ref="AB99">IF($A99="","",IFERROR(XLOOKUP($A99,'Auction Log'!$B$3:$B$300,'Auction Log'!$G$3:$G$300,""),""))</f>
        <v/>
      </c>
      <c r="AC99" s="12" t="str">
        <f t="array" ref="AC99">IF($A99="","",IFERROR(XLOOKUP($A99,'Auction Log'!$B$3:$B$300,'Auction Log'!$F$3:$F$300,""),""))</f>
        <v/>
      </c>
      <c r="AD99" s="12">
        <f t="array" ref="AD99">IF($A99="","",ROUND($Y99*XLOOKUP($F99,Settings!$I$15:$I$20,Settings!$K$15:$K$20,0.4),0))</f>
        <v>3</v>
      </c>
      <c r="AE99" s="12">
        <f t="array" ref="AE99">IF($A99="","",ROUND($Y99*XLOOKUP($F99,Settings!$I$15:$I$20,Settings!$L$15:$L$20,0.8),0))</f>
        <v>6</v>
      </c>
      <c r="AF99" s="12">
        <f t="array" ref="AF99">IF($A99="","",ROUND($Y99*XLOOKUP($F99,Settings!$I$15:$I$20,Settings!$M$15:$M$20,1),0))</f>
        <v>9</v>
      </c>
      <c r="AG99" s="12">
        <f t="array" ref="AG99">IF($A99="","",ROUND($Y99*XLOOKUP($F99,Settings!$I$15:$I$20,Settings!$N$15:$N$20,1.1),0))</f>
        <v>9</v>
      </c>
      <c r="AH99" s="12">
        <f t="array" ref="AH99">IF($A99="","",ROUND($Y99*XLOOKUP($F99,Settings!$I$15:$I$20,Settings!$O$15:$O$20,1.1)*Settings!$J$7,0))</f>
        <v>9</v>
      </c>
      <c r="AI99" s="12">
        <f t="array" ref="AI99">IF($A99="","",IF($AA99="Sold","",MIN($AH99,IFERROR(XLOOKUP(Settings!$B$12,Managers!$B$4:$B$15,Managers!$H$4:$H$15),$AH99))))</f>
        <v>9</v>
      </c>
      <c r="AJ99" s="12" t="str">
        <f t="shared" si="3"/>
        <v>Value Target</v>
      </c>
      <c r="AK99" s="12">
        <f t="shared" si="4"/>
        <v>34</v>
      </c>
      <c r="AL99" s="12" t="str">
        <f t="shared" si="5"/>
        <v/>
      </c>
    </row>
    <row r="100" ht="15.75" customHeight="1">
      <c r="A100" s="10" t="s">
        <v>608</v>
      </c>
      <c r="B100" s="10" t="s">
        <v>609</v>
      </c>
      <c r="C100" s="10" t="s">
        <v>314</v>
      </c>
      <c r="D100" s="10" t="s">
        <v>118</v>
      </c>
      <c r="E100" s="10" t="s">
        <v>118</v>
      </c>
      <c r="F100" s="10" t="s">
        <v>104</v>
      </c>
      <c r="G100" s="10">
        <v>5.0</v>
      </c>
      <c r="H100" s="10">
        <v>7.0</v>
      </c>
      <c r="I100" s="10" t="s">
        <v>2140</v>
      </c>
      <c r="J100" s="10" t="s">
        <v>2136</v>
      </c>
      <c r="K100" s="10"/>
      <c r="L100" s="10">
        <v>252.25</v>
      </c>
      <c r="M100" s="10">
        <v>8.7</v>
      </c>
      <c r="N100" s="10"/>
      <c r="O100" s="10"/>
      <c r="P100" s="12">
        <f>IF($A100="","",IFERROR((IF($O100="",0,$O100)*Settings!$J$4+IF($L100="",0,$L100)*Settings!$J$5+IF($N100="",0,$N100)*Settings!$J$6)/(IF($O100="",0,Settings!$J$4)+IF($L100="",0,Settings!$J$5)+IF($N100="",0,Settings!$J$6)),0))</f>
        <v>252.25</v>
      </c>
      <c r="Q100" s="12">
        <f t="array" ref="Q100">IF($A100="","",XLOOKUP($E100,Settings!$A$19:$A$22,Settings!$G$19:$G$22,0))</f>
        <v>196.25</v>
      </c>
      <c r="R100" s="12">
        <f t="shared" si="1"/>
        <v>56</v>
      </c>
      <c r="S100" s="12">
        <f>IF($A100="","",IF($R100&lt;=0,1,1+$R100/SUMIF($R$4:$R$923,"&gt;0",$R$4:$R$923)*(Settings!$B$5*(Settings!$B$6-Settings!$B$7))))</f>
        <v>7.914349277</v>
      </c>
      <c r="T100" s="12">
        <f t="array" ref="T100">IF($A100="","",XLOOKUP($F100,Settings!$I$15:$I$20,Settings!$J$15:$J$20,1))</f>
        <v>1</v>
      </c>
      <c r="U100" s="12">
        <f>IF($A100="","",1+(($G100-5)/5)*Settings!$J$8)</f>
        <v>1</v>
      </c>
      <c r="V100" s="12">
        <f>IF($A100="","",1+(($H100-5)/5)*Settings!$J$9)</f>
        <v>1.06</v>
      </c>
      <c r="W100" s="12">
        <f t="array" ref="W100">IF($A100="","",XLOOKUP($J100,Lists!$C$3:$C$7,Lists!$D$3:$D$7,1))</f>
        <v>1</v>
      </c>
      <c r="X100" s="12">
        <f>IF($A100="","",IF($I100="Yes",Settings!$J$10,1))</f>
        <v>1</v>
      </c>
      <c r="Y100" s="12">
        <f t="shared" si="2"/>
        <v>8</v>
      </c>
      <c r="Z100" s="12">
        <f>IF($A100="","",IFERROR(ROUND(AVERAGEIFS('Historical Drafts'!$G$4:$G$300,'Historical Drafts'!$D$4:$D$300,$E100,'Historical Drafts'!$J$4:$J$300,"&gt;="&amp;$L100*0.85,'Historical Drafts'!$J$4:$J$300,"&lt;="&amp;$L100*1.15),0),$Y100))</f>
        <v>2</v>
      </c>
      <c r="AA100" s="12" t="str">
        <f>IF($A100="","",IF(COUNTIF('Auction Log'!$B$3:$B$300,$A100)&gt;0,"Sold","Available"))</f>
        <v>Available</v>
      </c>
      <c r="AB100" s="12" t="str">
        <f t="array" ref="AB100">IF($A100="","",IFERROR(XLOOKUP($A100,'Auction Log'!$B$3:$B$300,'Auction Log'!$G$3:$G$300,""),""))</f>
        <v/>
      </c>
      <c r="AC100" s="12" t="str">
        <f t="array" ref="AC100">IF($A100="","",IFERROR(XLOOKUP($A100,'Auction Log'!$B$3:$B$300,'Auction Log'!$F$3:$F$300,""),""))</f>
        <v/>
      </c>
      <c r="AD100" s="12">
        <f t="array" ref="AD100">IF($A100="","",ROUND($Y100*XLOOKUP($F100,Settings!$I$15:$I$20,Settings!$K$15:$K$20,0.4),0))</f>
        <v>2</v>
      </c>
      <c r="AE100" s="12">
        <f t="array" ref="AE100">IF($A100="","",ROUND($Y100*XLOOKUP($F100,Settings!$I$15:$I$20,Settings!$L$15:$L$20,0.8),0))</f>
        <v>6</v>
      </c>
      <c r="AF100" s="12">
        <f t="array" ref="AF100">IF($A100="","",ROUND($Y100*XLOOKUP($F100,Settings!$I$15:$I$20,Settings!$M$15:$M$20,1),0))</f>
        <v>8</v>
      </c>
      <c r="AG100" s="12">
        <f t="array" ref="AG100">IF($A100="","",ROUND($Y100*XLOOKUP($F100,Settings!$I$15:$I$20,Settings!$N$15:$N$20,1.1),0))</f>
        <v>8</v>
      </c>
      <c r="AH100" s="12">
        <f t="array" ref="AH100">IF($A100="","",ROUND($Y100*XLOOKUP($F100,Settings!$I$15:$I$20,Settings!$O$15:$O$20,1.1)*Settings!$J$7,0))</f>
        <v>8</v>
      </c>
      <c r="AI100" s="12">
        <f t="array" ref="AI100">IF($A100="","",IF($AA100="Sold","",MIN($AH100,IFERROR(XLOOKUP(Settings!$B$12,Managers!$B$4:$B$15,Managers!$H$4:$H$15),$AH100))))</f>
        <v>8</v>
      </c>
      <c r="AJ100" s="12" t="str">
        <f t="shared" si="3"/>
        <v>Value Target</v>
      </c>
      <c r="AK100" s="12">
        <f t="shared" si="4"/>
        <v>33</v>
      </c>
      <c r="AL100" s="12" t="str">
        <f t="shared" si="5"/>
        <v/>
      </c>
    </row>
    <row r="101" ht="15.75" customHeight="1">
      <c r="A101" s="10" t="s">
        <v>273</v>
      </c>
      <c r="B101" s="10" t="s">
        <v>274</v>
      </c>
      <c r="C101" s="10" t="s">
        <v>221</v>
      </c>
      <c r="D101" s="10" t="s">
        <v>123</v>
      </c>
      <c r="E101" s="10" t="s">
        <v>123</v>
      </c>
      <c r="F101" s="10" t="s">
        <v>104</v>
      </c>
      <c r="G101" s="10">
        <v>5.0</v>
      </c>
      <c r="H101" s="10">
        <v>7.0</v>
      </c>
      <c r="I101" s="10" t="s">
        <v>2140</v>
      </c>
      <c r="J101" s="10" t="s">
        <v>2136</v>
      </c>
      <c r="K101" s="10"/>
      <c r="L101" s="10">
        <v>251.0</v>
      </c>
      <c r="M101" s="10">
        <v>7.84</v>
      </c>
      <c r="N101" s="10"/>
      <c r="O101" s="10"/>
      <c r="P101" s="12">
        <f>IF($A101="","",IFERROR((IF($O101="",0,$O101)*Settings!$J$4+IF($L101="",0,$L101)*Settings!$J$5+IF($N101="",0,$N101)*Settings!$J$6)/(IF($O101="",0,Settings!$J$4)+IF($L101="",0,Settings!$J$5)+IF($N101="",0,Settings!$J$6)),0))</f>
        <v>251</v>
      </c>
      <c r="Q101" s="12">
        <f t="array" ref="Q101">IF($A101="","",XLOOKUP($E101,Settings!$A$19:$A$22,Settings!$G$19:$G$22,0))</f>
        <v>203</v>
      </c>
      <c r="R101" s="12">
        <f t="shared" si="1"/>
        <v>48</v>
      </c>
      <c r="S101" s="12">
        <f>IF($A101="","",IF($R101&lt;=0,1,1+$R101/SUMIF($R$4:$R$923,"&gt;0",$R$4:$R$923)*(Settings!$B$5*(Settings!$B$6-Settings!$B$7))))</f>
        <v>6.926585095</v>
      </c>
      <c r="T101" s="12">
        <f t="array" ref="T101">IF($A101="","",XLOOKUP($F101,Settings!$I$15:$I$20,Settings!$J$15:$J$20,1))</f>
        <v>1</v>
      </c>
      <c r="U101" s="12">
        <f>IF($A101="","",1+(($G101-5)/5)*Settings!$J$8)</f>
        <v>1</v>
      </c>
      <c r="V101" s="12">
        <f>IF($A101="","",1+(($H101-5)/5)*Settings!$J$9)</f>
        <v>1.06</v>
      </c>
      <c r="W101" s="12">
        <f t="array" ref="W101">IF($A101="","",XLOOKUP($J101,Lists!$C$3:$C$7,Lists!$D$3:$D$7,1))</f>
        <v>1</v>
      </c>
      <c r="X101" s="12">
        <f>IF($A101="","",IF($I101="Yes",Settings!$J$10,1))</f>
        <v>1</v>
      </c>
      <c r="Y101" s="12">
        <f t="shared" si="2"/>
        <v>7</v>
      </c>
      <c r="Z101" s="12">
        <f>IF($A101="","",IFERROR(ROUND(AVERAGEIFS('Historical Drafts'!$G$4:$G$300,'Historical Drafts'!$D$4:$D$300,$E101,'Historical Drafts'!$J$4:$J$300,"&gt;="&amp;$L101*0.85,'Historical Drafts'!$J$4:$J$300,"&lt;="&amp;$L101*1.15),0),$Y101))</f>
        <v>23</v>
      </c>
      <c r="AA101" s="12" t="str">
        <f>IF($A101="","",IF(COUNTIF('Auction Log'!$B$3:$B$300,$A101)&gt;0,"Sold","Available"))</f>
        <v>Available</v>
      </c>
      <c r="AB101" s="12" t="str">
        <f t="array" ref="AB101">IF($A101="","",IFERROR(XLOOKUP($A101,'Auction Log'!$B$3:$B$300,'Auction Log'!$G$3:$G$300,""),""))</f>
        <v/>
      </c>
      <c r="AC101" s="12" t="str">
        <f t="array" ref="AC101">IF($A101="","",IFERROR(XLOOKUP($A101,'Auction Log'!$B$3:$B$300,'Auction Log'!$F$3:$F$300,""),""))</f>
        <v/>
      </c>
      <c r="AD101" s="12">
        <f t="array" ref="AD101">IF($A101="","",ROUND($Y101*XLOOKUP($F101,Settings!$I$15:$I$20,Settings!$K$15:$K$20,0.4),0))</f>
        <v>2</v>
      </c>
      <c r="AE101" s="12">
        <f t="array" ref="AE101">IF($A101="","",ROUND($Y101*XLOOKUP($F101,Settings!$I$15:$I$20,Settings!$L$15:$L$20,0.8),0))</f>
        <v>5</v>
      </c>
      <c r="AF101" s="12">
        <f t="array" ref="AF101">IF($A101="","",ROUND($Y101*XLOOKUP($F101,Settings!$I$15:$I$20,Settings!$M$15:$M$20,1),0))</f>
        <v>7</v>
      </c>
      <c r="AG101" s="12">
        <f t="array" ref="AG101">IF($A101="","",ROUND($Y101*XLOOKUP($F101,Settings!$I$15:$I$20,Settings!$N$15:$N$20,1.1),0))</f>
        <v>7</v>
      </c>
      <c r="AH101" s="12">
        <f t="array" ref="AH101">IF($A101="","",ROUND($Y101*XLOOKUP($F101,Settings!$I$15:$I$20,Settings!$O$15:$O$20,1.1)*Settings!$J$7,0))</f>
        <v>7</v>
      </c>
      <c r="AI101" s="12">
        <f t="array" ref="AI101">IF($A101="","",IF($AA101="Sold","",MIN($AH101,IFERROR(XLOOKUP(Settings!$B$12,Managers!$B$4:$B$15,Managers!$H$4:$H$15),$AH101))))</f>
        <v>7</v>
      </c>
      <c r="AJ101" s="12" t="str">
        <f t="shared" si="3"/>
        <v>Budget Drainer</v>
      </c>
      <c r="AK101" s="12">
        <f t="shared" si="4"/>
        <v>48</v>
      </c>
      <c r="AL101" s="12" t="str">
        <f t="shared" si="5"/>
        <v/>
      </c>
    </row>
    <row r="102" ht="15.75" customHeight="1">
      <c r="A102" s="10" t="s">
        <v>447</v>
      </c>
      <c r="B102" s="10" t="s">
        <v>448</v>
      </c>
      <c r="C102" s="10" t="s">
        <v>305</v>
      </c>
      <c r="D102" s="10" t="s">
        <v>115</v>
      </c>
      <c r="E102" s="10" t="s">
        <v>115</v>
      </c>
      <c r="F102" s="10" t="s">
        <v>104</v>
      </c>
      <c r="G102" s="10">
        <v>5.0</v>
      </c>
      <c r="H102" s="10">
        <v>7.0</v>
      </c>
      <c r="I102" s="10" t="s">
        <v>2140</v>
      </c>
      <c r="J102" s="10" t="s">
        <v>2136</v>
      </c>
      <c r="K102" s="10"/>
      <c r="L102" s="10">
        <v>249.25</v>
      </c>
      <c r="M102" s="10">
        <v>6.56</v>
      </c>
      <c r="N102" s="10"/>
      <c r="O102" s="10"/>
      <c r="P102" s="12">
        <f>IF($A102="","",IFERROR((IF($O102="",0,$O102)*Settings!$J$4+IF($L102="",0,$L102)*Settings!$J$5+IF($N102="",0,$N102)*Settings!$J$6)/(IF($O102="",0,Settings!$J$4)+IF($L102="",0,Settings!$J$5)+IF($N102="",0,Settings!$J$6)),0))</f>
        <v>249.25</v>
      </c>
      <c r="Q102" s="12">
        <f t="array" ref="Q102">IF($A102="","",XLOOKUP($E102,Settings!$A$19:$A$22,Settings!$G$19:$G$22,0))</f>
        <v>249.25</v>
      </c>
      <c r="R102" s="12">
        <f t="shared" si="1"/>
        <v>0</v>
      </c>
      <c r="S102" s="12">
        <f>IF($A102="","",IF($R102&lt;=0,1,1+$R102/SUMIF($R$4:$R$923,"&gt;0",$R$4:$R$923)*(Settings!$B$5*(Settings!$B$6-Settings!$B$7))))</f>
        <v>1</v>
      </c>
      <c r="T102" s="12">
        <f t="array" ref="T102">IF($A102="","",XLOOKUP($F102,Settings!$I$15:$I$20,Settings!$J$15:$J$20,1))</f>
        <v>1</v>
      </c>
      <c r="U102" s="12">
        <f>IF($A102="","",1+(($G102-5)/5)*Settings!$J$8)</f>
        <v>1</v>
      </c>
      <c r="V102" s="12">
        <f>IF($A102="","",1+(($H102-5)/5)*Settings!$J$9)</f>
        <v>1.06</v>
      </c>
      <c r="W102" s="12">
        <f t="array" ref="W102">IF($A102="","",XLOOKUP($J102,Lists!$C$3:$C$7,Lists!$D$3:$D$7,1))</f>
        <v>1</v>
      </c>
      <c r="X102" s="12">
        <f>IF($A102="","",IF($I102="Yes",Settings!$J$10,1))</f>
        <v>1</v>
      </c>
      <c r="Y102" s="12">
        <f t="shared" si="2"/>
        <v>1</v>
      </c>
      <c r="Z102" s="12">
        <f>IF($A102="","",IFERROR(ROUND(AVERAGEIFS('Historical Drafts'!$G$4:$G$300,'Historical Drafts'!$D$4:$D$300,$E102,'Historical Drafts'!$J$4:$J$300,"&gt;="&amp;$L102*0.85,'Historical Drafts'!$J$4:$J$300,"&lt;="&amp;$L102*1.15),0),$Y102))</f>
        <v>1</v>
      </c>
      <c r="AA102" s="12" t="str">
        <f>IF($A102="","",IF(COUNTIF('Auction Log'!$B$3:$B$300,$A102)&gt;0,"Sold","Available"))</f>
        <v>Available</v>
      </c>
      <c r="AB102" s="12" t="str">
        <f t="array" ref="AB102">IF($A102="","",IFERROR(XLOOKUP($A102,'Auction Log'!$B$3:$B$300,'Auction Log'!$G$3:$G$300,""),""))</f>
        <v/>
      </c>
      <c r="AC102" s="12" t="str">
        <f t="array" ref="AC102">IF($A102="","",IFERROR(XLOOKUP($A102,'Auction Log'!$B$3:$B$300,'Auction Log'!$F$3:$F$300,""),""))</f>
        <v/>
      </c>
      <c r="AD102" s="12">
        <f t="array" ref="AD102">IF($A102="","",ROUND($Y102*XLOOKUP($F102,Settings!$I$15:$I$20,Settings!$K$15:$K$20,0.4),0))</f>
        <v>0</v>
      </c>
      <c r="AE102" s="12">
        <f t="array" ref="AE102">IF($A102="","",ROUND($Y102*XLOOKUP($F102,Settings!$I$15:$I$20,Settings!$L$15:$L$20,0.8),0))</f>
        <v>1</v>
      </c>
      <c r="AF102" s="12">
        <f t="array" ref="AF102">IF($A102="","",ROUND($Y102*XLOOKUP($F102,Settings!$I$15:$I$20,Settings!$M$15:$M$20,1),0))</f>
        <v>1</v>
      </c>
      <c r="AG102" s="12">
        <f t="array" ref="AG102">IF($A102="","",ROUND($Y102*XLOOKUP($F102,Settings!$I$15:$I$20,Settings!$N$15:$N$20,1.1),0))</f>
        <v>1</v>
      </c>
      <c r="AH102" s="12">
        <f t="array" ref="AH102">IF($A102="","",ROUND($Y102*XLOOKUP($F102,Settings!$I$15:$I$20,Settings!$O$15:$O$20,1.1)*Settings!$J$7,0))</f>
        <v>1</v>
      </c>
      <c r="AI102" s="12">
        <f t="array" ref="AI102">IF($A102="","",IF($AA102="Sold","",MIN($AH102,IFERROR(XLOOKUP(Settings!$B$12,Managers!$B$4:$B$15,Managers!$H$4:$H$15),$AH102))))</f>
        <v>1</v>
      </c>
      <c r="AJ102" s="12" t="str">
        <f t="shared" si="3"/>
        <v>Recommended</v>
      </c>
      <c r="AK102" s="12">
        <f t="shared" si="4"/>
        <v>26</v>
      </c>
      <c r="AL102" s="12" t="str">
        <f t="shared" si="5"/>
        <v/>
      </c>
    </row>
    <row r="103" ht="15.75" customHeight="1">
      <c r="A103" s="10" t="s">
        <v>610</v>
      </c>
      <c r="B103" s="10" t="s">
        <v>611</v>
      </c>
      <c r="C103" s="10" t="s">
        <v>314</v>
      </c>
      <c r="D103" s="10" t="s">
        <v>121</v>
      </c>
      <c r="E103" s="10" t="s">
        <v>121</v>
      </c>
      <c r="F103" s="10" t="s">
        <v>104</v>
      </c>
      <c r="G103" s="10">
        <v>5.0</v>
      </c>
      <c r="H103" s="10">
        <v>7.0</v>
      </c>
      <c r="I103" s="10" t="s">
        <v>2140</v>
      </c>
      <c r="J103" s="10" t="s">
        <v>2136</v>
      </c>
      <c r="K103" s="10"/>
      <c r="L103" s="10">
        <v>248.5</v>
      </c>
      <c r="M103" s="10">
        <v>7.31</v>
      </c>
      <c r="N103" s="10"/>
      <c r="O103" s="10"/>
      <c r="P103" s="12">
        <f>IF($A103="","",IFERROR((IF($O103="",0,$O103)*Settings!$J$4+IF($L103="",0,$L103)*Settings!$J$5+IF($N103="",0,$N103)*Settings!$J$6)/(IF($O103="",0,Settings!$J$4)+IF($L103="",0,Settings!$J$5)+IF($N103="",0,Settings!$J$6)),0))</f>
        <v>248.5</v>
      </c>
      <c r="Q103" s="12">
        <f t="array" ref="Q103">IF($A103="","",XLOOKUP($E103,Settings!$A$19:$A$22,Settings!$G$19:$G$22,0))</f>
        <v>206</v>
      </c>
      <c r="R103" s="12">
        <f t="shared" si="1"/>
        <v>42.5</v>
      </c>
      <c r="S103" s="12">
        <f>IF($A103="","",IF($R103&lt;=0,1,1+$R103/SUMIF($R$4:$R$923,"&gt;0",$R$4:$R$923)*(Settings!$B$5*(Settings!$B$6-Settings!$B$7))))</f>
        <v>6.247497219</v>
      </c>
      <c r="T103" s="12">
        <f t="array" ref="T103">IF($A103="","",XLOOKUP($F103,Settings!$I$15:$I$20,Settings!$J$15:$J$20,1))</f>
        <v>1</v>
      </c>
      <c r="U103" s="12">
        <f>IF($A103="","",1+(($G103-5)/5)*Settings!$J$8)</f>
        <v>1</v>
      </c>
      <c r="V103" s="12">
        <f>IF($A103="","",1+(($H103-5)/5)*Settings!$J$9)</f>
        <v>1.06</v>
      </c>
      <c r="W103" s="12">
        <f t="array" ref="W103">IF($A103="","",XLOOKUP($J103,Lists!$C$3:$C$7,Lists!$D$3:$D$7,1))</f>
        <v>1</v>
      </c>
      <c r="X103" s="12">
        <f>IF($A103="","",IF($I103="Yes",Settings!$J$10,1))</f>
        <v>1</v>
      </c>
      <c r="Y103" s="12">
        <f t="shared" si="2"/>
        <v>7</v>
      </c>
      <c r="Z103" s="12">
        <f>IF($A103="","",IFERROR(ROUND(AVERAGEIFS('Historical Drafts'!$G$4:$G$300,'Historical Drafts'!$D$4:$D$300,$E103,'Historical Drafts'!$J$4:$J$300,"&gt;="&amp;$L103*0.85,'Historical Drafts'!$J$4:$J$300,"&lt;="&amp;$L103*1.15),0),$Y103))</f>
        <v>17</v>
      </c>
      <c r="AA103" s="12" t="str">
        <f>IF($A103="","",IF(COUNTIF('Auction Log'!$B$3:$B$300,$A103)&gt;0,"Sold","Available"))</f>
        <v>Available</v>
      </c>
      <c r="AB103" s="12" t="str">
        <f t="array" ref="AB103">IF($A103="","",IFERROR(XLOOKUP($A103,'Auction Log'!$B$3:$B$300,'Auction Log'!$G$3:$G$300,""),""))</f>
        <v/>
      </c>
      <c r="AC103" s="12" t="str">
        <f t="array" ref="AC103">IF($A103="","",IFERROR(XLOOKUP($A103,'Auction Log'!$B$3:$B$300,'Auction Log'!$F$3:$F$300,""),""))</f>
        <v/>
      </c>
      <c r="AD103" s="12">
        <f t="array" ref="AD103">IF($A103="","",ROUND($Y103*XLOOKUP($F103,Settings!$I$15:$I$20,Settings!$K$15:$K$20,0.4),0))</f>
        <v>2</v>
      </c>
      <c r="AE103" s="12">
        <f t="array" ref="AE103">IF($A103="","",ROUND($Y103*XLOOKUP($F103,Settings!$I$15:$I$20,Settings!$L$15:$L$20,0.8),0))</f>
        <v>5</v>
      </c>
      <c r="AF103" s="12">
        <f t="array" ref="AF103">IF($A103="","",ROUND($Y103*XLOOKUP($F103,Settings!$I$15:$I$20,Settings!$M$15:$M$20,1),0))</f>
        <v>7</v>
      </c>
      <c r="AG103" s="12">
        <f t="array" ref="AG103">IF($A103="","",ROUND($Y103*XLOOKUP($F103,Settings!$I$15:$I$20,Settings!$N$15:$N$20,1.1),0))</f>
        <v>7</v>
      </c>
      <c r="AH103" s="12">
        <f t="array" ref="AH103">IF($A103="","",ROUND($Y103*XLOOKUP($F103,Settings!$I$15:$I$20,Settings!$O$15:$O$20,1.1)*Settings!$J$7,0))</f>
        <v>7</v>
      </c>
      <c r="AI103" s="12">
        <f t="array" ref="AI103">IF($A103="","",IF($AA103="Sold","",MIN($AH103,IFERROR(XLOOKUP(Settings!$B$12,Managers!$B$4:$B$15,Managers!$H$4:$H$15),$AH103))))</f>
        <v>7</v>
      </c>
      <c r="AJ103" s="12" t="str">
        <f t="shared" si="3"/>
        <v>Budget Drainer</v>
      </c>
      <c r="AK103" s="12">
        <f t="shared" si="4"/>
        <v>42</v>
      </c>
      <c r="AL103" s="12" t="str">
        <f t="shared" si="5"/>
        <v/>
      </c>
    </row>
    <row r="104" ht="15.75" customHeight="1">
      <c r="A104" s="10" t="s">
        <v>612</v>
      </c>
      <c r="B104" s="10" t="s">
        <v>613</v>
      </c>
      <c r="C104" s="10" t="s">
        <v>199</v>
      </c>
      <c r="D104" s="10" t="s">
        <v>115</v>
      </c>
      <c r="E104" s="10" t="s">
        <v>115</v>
      </c>
      <c r="F104" s="10" t="s">
        <v>104</v>
      </c>
      <c r="G104" s="10">
        <v>5.0</v>
      </c>
      <c r="H104" s="10">
        <v>7.0</v>
      </c>
      <c r="I104" s="10" t="s">
        <v>2140</v>
      </c>
      <c r="J104" s="10" t="s">
        <v>2136</v>
      </c>
      <c r="K104" s="10"/>
      <c r="L104" s="10">
        <v>248.0</v>
      </c>
      <c r="M104" s="10">
        <v>7.75</v>
      </c>
      <c r="N104" s="10"/>
      <c r="O104" s="10"/>
      <c r="P104" s="12">
        <f>IF($A104="","",IFERROR((IF($O104="",0,$O104)*Settings!$J$4+IF($L104="",0,$L104)*Settings!$J$5+IF($N104="",0,$N104)*Settings!$J$6)/(IF($O104="",0,Settings!$J$4)+IF($L104="",0,Settings!$J$5)+IF($N104="",0,Settings!$J$6)),0))</f>
        <v>248</v>
      </c>
      <c r="Q104" s="12">
        <f t="array" ref="Q104">IF($A104="","",XLOOKUP($E104,Settings!$A$19:$A$22,Settings!$G$19:$G$22,0))</f>
        <v>249.25</v>
      </c>
      <c r="R104" s="12">
        <f t="shared" si="1"/>
        <v>0</v>
      </c>
      <c r="S104" s="12">
        <f>IF($A104="","",IF($R104&lt;=0,1,1+$R104/SUMIF($R$4:$R$923,"&gt;0",$R$4:$R$923)*(Settings!$B$5*(Settings!$B$6-Settings!$B$7))))</f>
        <v>1</v>
      </c>
      <c r="T104" s="12">
        <f t="array" ref="T104">IF($A104="","",XLOOKUP($F104,Settings!$I$15:$I$20,Settings!$J$15:$J$20,1))</f>
        <v>1</v>
      </c>
      <c r="U104" s="12">
        <f>IF($A104="","",1+(($G104-5)/5)*Settings!$J$8)</f>
        <v>1</v>
      </c>
      <c r="V104" s="12">
        <f>IF($A104="","",1+(($H104-5)/5)*Settings!$J$9)</f>
        <v>1.06</v>
      </c>
      <c r="W104" s="12">
        <f t="array" ref="W104">IF($A104="","",XLOOKUP($J104,Lists!$C$3:$C$7,Lists!$D$3:$D$7,1))</f>
        <v>1</v>
      </c>
      <c r="X104" s="12">
        <f>IF($A104="","",IF($I104="Yes",Settings!$J$10,1))</f>
        <v>1</v>
      </c>
      <c r="Y104" s="12">
        <f t="shared" si="2"/>
        <v>1</v>
      </c>
      <c r="Z104" s="12">
        <f>IF($A104="","",IFERROR(ROUND(AVERAGEIFS('Historical Drafts'!$G$4:$G$300,'Historical Drafts'!$D$4:$D$300,$E104,'Historical Drafts'!$J$4:$J$300,"&gt;="&amp;$L104*0.85,'Historical Drafts'!$J$4:$J$300,"&lt;="&amp;$L104*1.15),0),$Y104))</f>
        <v>1</v>
      </c>
      <c r="AA104" s="12" t="str">
        <f>IF($A104="","",IF(COUNTIF('Auction Log'!$B$3:$B$300,$A104)&gt;0,"Sold","Available"))</f>
        <v>Available</v>
      </c>
      <c r="AB104" s="12" t="str">
        <f t="array" ref="AB104">IF($A104="","",IFERROR(XLOOKUP($A104,'Auction Log'!$B$3:$B$300,'Auction Log'!$G$3:$G$300,""),""))</f>
        <v/>
      </c>
      <c r="AC104" s="12" t="str">
        <f t="array" ref="AC104">IF($A104="","",IFERROR(XLOOKUP($A104,'Auction Log'!$B$3:$B$300,'Auction Log'!$F$3:$F$300,""),""))</f>
        <v/>
      </c>
      <c r="AD104" s="12">
        <f t="array" ref="AD104">IF($A104="","",ROUND($Y104*XLOOKUP($F104,Settings!$I$15:$I$20,Settings!$K$15:$K$20,0.4),0))</f>
        <v>0</v>
      </c>
      <c r="AE104" s="12">
        <f t="array" ref="AE104">IF($A104="","",ROUND($Y104*XLOOKUP($F104,Settings!$I$15:$I$20,Settings!$L$15:$L$20,0.8),0))</f>
        <v>1</v>
      </c>
      <c r="AF104" s="12">
        <f t="array" ref="AF104">IF($A104="","",ROUND($Y104*XLOOKUP($F104,Settings!$I$15:$I$20,Settings!$M$15:$M$20,1),0))</f>
        <v>1</v>
      </c>
      <c r="AG104" s="12">
        <f t="array" ref="AG104">IF($A104="","",ROUND($Y104*XLOOKUP($F104,Settings!$I$15:$I$20,Settings!$N$15:$N$20,1.1),0))</f>
        <v>1</v>
      </c>
      <c r="AH104" s="12">
        <f t="array" ref="AH104">IF($A104="","",ROUND($Y104*XLOOKUP($F104,Settings!$I$15:$I$20,Settings!$O$15:$O$20,1.1)*Settings!$J$7,0))</f>
        <v>1</v>
      </c>
      <c r="AI104" s="12">
        <f t="array" ref="AI104">IF($A104="","",IF($AA104="Sold","",MIN($AH104,IFERROR(XLOOKUP(Settings!$B$12,Managers!$B$4:$B$15,Managers!$H$4:$H$15),$AH104))))</f>
        <v>1</v>
      </c>
      <c r="AJ104" s="12" t="str">
        <f t="shared" si="3"/>
        <v>Recommended</v>
      </c>
      <c r="AK104" s="12">
        <f t="shared" si="4"/>
        <v>26</v>
      </c>
      <c r="AL104" s="12" t="str">
        <f t="shared" si="5"/>
        <v/>
      </c>
    </row>
    <row r="105" ht="15.75" customHeight="1">
      <c r="A105" s="10" t="s">
        <v>614</v>
      </c>
      <c r="B105" s="10" t="s">
        <v>615</v>
      </c>
      <c r="C105" s="10" t="s">
        <v>188</v>
      </c>
      <c r="D105" s="10" t="s">
        <v>115</v>
      </c>
      <c r="E105" s="10" t="s">
        <v>115</v>
      </c>
      <c r="F105" s="10" t="s">
        <v>104</v>
      </c>
      <c r="G105" s="10">
        <v>5.0</v>
      </c>
      <c r="H105" s="10">
        <v>7.0</v>
      </c>
      <c r="I105" s="10" t="s">
        <v>2140</v>
      </c>
      <c r="J105" s="10" t="s">
        <v>2136</v>
      </c>
      <c r="K105" s="10"/>
      <c r="L105" s="10">
        <v>247.5</v>
      </c>
      <c r="M105" s="10">
        <v>7.07</v>
      </c>
      <c r="N105" s="10"/>
      <c r="O105" s="10"/>
      <c r="P105" s="12">
        <f>IF($A105="","",IFERROR((IF($O105="",0,$O105)*Settings!$J$4+IF($L105="",0,$L105)*Settings!$J$5+IF($N105="",0,$N105)*Settings!$J$6)/(IF($O105="",0,Settings!$J$4)+IF($L105="",0,Settings!$J$5)+IF($N105="",0,Settings!$J$6)),0))</f>
        <v>247.5</v>
      </c>
      <c r="Q105" s="12">
        <f t="array" ref="Q105">IF($A105="","",XLOOKUP($E105,Settings!$A$19:$A$22,Settings!$G$19:$G$22,0))</f>
        <v>249.25</v>
      </c>
      <c r="R105" s="12">
        <f t="shared" si="1"/>
        <v>0</v>
      </c>
      <c r="S105" s="12">
        <f>IF($A105="","",IF($R105&lt;=0,1,1+$R105/SUMIF($R$4:$R$923,"&gt;0",$R$4:$R$923)*(Settings!$B$5*(Settings!$B$6-Settings!$B$7))))</f>
        <v>1</v>
      </c>
      <c r="T105" s="12">
        <f t="array" ref="T105">IF($A105="","",XLOOKUP($F105,Settings!$I$15:$I$20,Settings!$J$15:$J$20,1))</f>
        <v>1</v>
      </c>
      <c r="U105" s="12">
        <f>IF($A105="","",1+(($G105-5)/5)*Settings!$J$8)</f>
        <v>1</v>
      </c>
      <c r="V105" s="12">
        <f>IF($A105="","",1+(($H105-5)/5)*Settings!$J$9)</f>
        <v>1.06</v>
      </c>
      <c r="W105" s="12">
        <f t="array" ref="W105">IF($A105="","",XLOOKUP($J105,Lists!$C$3:$C$7,Lists!$D$3:$D$7,1))</f>
        <v>1</v>
      </c>
      <c r="X105" s="12">
        <f>IF($A105="","",IF($I105="Yes",Settings!$J$10,1))</f>
        <v>1</v>
      </c>
      <c r="Y105" s="12">
        <f t="shared" si="2"/>
        <v>1</v>
      </c>
      <c r="Z105" s="12">
        <f>IF($A105="","",IFERROR(ROUND(AVERAGEIFS('Historical Drafts'!$G$4:$G$300,'Historical Drafts'!$D$4:$D$300,$E105,'Historical Drafts'!$J$4:$J$300,"&gt;="&amp;$L105*0.85,'Historical Drafts'!$J$4:$J$300,"&lt;="&amp;$L105*1.15),0),$Y105))</f>
        <v>1</v>
      </c>
      <c r="AA105" s="12" t="str">
        <f>IF($A105="","",IF(COUNTIF('Auction Log'!$B$3:$B$300,$A105)&gt;0,"Sold","Available"))</f>
        <v>Available</v>
      </c>
      <c r="AB105" s="12" t="str">
        <f t="array" ref="AB105">IF($A105="","",IFERROR(XLOOKUP($A105,'Auction Log'!$B$3:$B$300,'Auction Log'!$G$3:$G$300,""),""))</f>
        <v/>
      </c>
      <c r="AC105" s="12" t="str">
        <f t="array" ref="AC105">IF($A105="","",IFERROR(XLOOKUP($A105,'Auction Log'!$B$3:$B$300,'Auction Log'!$F$3:$F$300,""),""))</f>
        <v/>
      </c>
      <c r="AD105" s="12">
        <f t="array" ref="AD105">IF($A105="","",ROUND($Y105*XLOOKUP($F105,Settings!$I$15:$I$20,Settings!$K$15:$K$20,0.4),0))</f>
        <v>0</v>
      </c>
      <c r="AE105" s="12">
        <f t="array" ref="AE105">IF($A105="","",ROUND($Y105*XLOOKUP($F105,Settings!$I$15:$I$20,Settings!$L$15:$L$20,0.8),0))</f>
        <v>1</v>
      </c>
      <c r="AF105" s="12">
        <f t="array" ref="AF105">IF($A105="","",ROUND($Y105*XLOOKUP($F105,Settings!$I$15:$I$20,Settings!$M$15:$M$20,1),0))</f>
        <v>1</v>
      </c>
      <c r="AG105" s="12">
        <f t="array" ref="AG105">IF($A105="","",ROUND($Y105*XLOOKUP($F105,Settings!$I$15:$I$20,Settings!$N$15:$N$20,1.1),0))</f>
        <v>1</v>
      </c>
      <c r="AH105" s="12">
        <f t="array" ref="AH105">IF($A105="","",ROUND($Y105*XLOOKUP($F105,Settings!$I$15:$I$20,Settings!$O$15:$O$20,1.1)*Settings!$J$7,0))</f>
        <v>1</v>
      </c>
      <c r="AI105" s="12">
        <f t="array" ref="AI105">IF($A105="","",IF($AA105="Sold","",MIN($AH105,IFERROR(XLOOKUP(Settings!$B$12,Managers!$B$4:$B$15,Managers!$H$4:$H$15),$AH105))))</f>
        <v>1</v>
      </c>
      <c r="AJ105" s="12" t="str">
        <f t="shared" si="3"/>
        <v>Recommended</v>
      </c>
      <c r="AK105" s="12">
        <f t="shared" si="4"/>
        <v>26</v>
      </c>
      <c r="AL105" s="12" t="str">
        <f t="shared" si="5"/>
        <v/>
      </c>
    </row>
    <row r="106" ht="15.75" customHeight="1">
      <c r="A106" s="10" t="s">
        <v>381</v>
      </c>
      <c r="B106" s="10" t="s">
        <v>382</v>
      </c>
      <c r="C106" s="10" t="s">
        <v>191</v>
      </c>
      <c r="D106" s="10" t="s">
        <v>118</v>
      </c>
      <c r="E106" s="10" t="s">
        <v>118</v>
      </c>
      <c r="F106" s="10" t="s">
        <v>104</v>
      </c>
      <c r="G106" s="10">
        <v>5.0</v>
      </c>
      <c r="H106" s="10">
        <v>7.0</v>
      </c>
      <c r="I106" s="10" t="s">
        <v>2140</v>
      </c>
      <c r="J106" s="10" t="s">
        <v>2136</v>
      </c>
      <c r="K106" s="10"/>
      <c r="L106" s="10">
        <v>247.25</v>
      </c>
      <c r="M106" s="10">
        <v>9.51</v>
      </c>
      <c r="N106" s="10"/>
      <c r="O106" s="10"/>
      <c r="P106" s="12">
        <f>IF($A106="","",IFERROR((IF($O106="",0,$O106)*Settings!$J$4+IF($L106="",0,$L106)*Settings!$J$5+IF($N106="",0,$N106)*Settings!$J$6)/(IF($O106="",0,Settings!$J$4)+IF($L106="",0,Settings!$J$5)+IF($N106="",0,Settings!$J$6)),0))</f>
        <v>247.25</v>
      </c>
      <c r="Q106" s="12">
        <f t="array" ref="Q106">IF($A106="","",XLOOKUP($E106,Settings!$A$19:$A$22,Settings!$G$19:$G$22,0))</f>
        <v>196.25</v>
      </c>
      <c r="R106" s="12">
        <f t="shared" si="1"/>
        <v>51</v>
      </c>
      <c r="S106" s="12">
        <f>IF($A106="","",IF($R106&lt;=0,1,1+$R106/SUMIF($R$4:$R$923,"&gt;0",$R$4:$R$923)*(Settings!$B$5*(Settings!$B$6-Settings!$B$7))))</f>
        <v>7.296996663</v>
      </c>
      <c r="T106" s="12">
        <f t="array" ref="T106">IF($A106="","",XLOOKUP($F106,Settings!$I$15:$I$20,Settings!$J$15:$J$20,1))</f>
        <v>1</v>
      </c>
      <c r="U106" s="12">
        <f>IF($A106="","",1+(($G106-5)/5)*Settings!$J$8)</f>
        <v>1</v>
      </c>
      <c r="V106" s="12">
        <f>IF($A106="","",1+(($H106-5)/5)*Settings!$J$9)</f>
        <v>1.06</v>
      </c>
      <c r="W106" s="12">
        <f t="array" ref="W106">IF($A106="","",XLOOKUP($J106,Lists!$C$3:$C$7,Lists!$D$3:$D$7,1))</f>
        <v>1</v>
      </c>
      <c r="X106" s="12">
        <f>IF($A106="","",IF($I106="Yes",Settings!$J$10,1))</f>
        <v>1</v>
      </c>
      <c r="Y106" s="12">
        <f t="shared" si="2"/>
        <v>8</v>
      </c>
      <c r="Z106" s="12">
        <f>IF($A106="","",IFERROR(ROUND(AVERAGEIFS('Historical Drafts'!$G$4:$G$300,'Historical Drafts'!$D$4:$D$300,$E106,'Historical Drafts'!$J$4:$J$300,"&gt;="&amp;$L106*0.85,'Historical Drafts'!$J$4:$J$300,"&lt;="&amp;$L106*1.15),0),$Y106))</f>
        <v>2</v>
      </c>
      <c r="AA106" s="12" t="str">
        <f>IF($A106="","",IF(COUNTIF('Auction Log'!$B$3:$B$300,$A106)&gt;0,"Sold","Available"))</f>
        <v>Available</v>
      </c>
      <c r="AB106" s="12" t="str">
        <f t="array" ref="AB106">IF($A106="","",IFERROR(XLOOKUP($A106,'Auction Log'!$B$3:$B$300,'Auction Log'!$G$3:$G$300,""),""))</f>
        <v/>
      </c>
      <c r="AC106" s="12" t="str">
        <f t="array" ref="AC106">IF($A106="","",IFERROR(XLOOKUP($A106,'Auction Log'!$B$3:$B$300,'Auction Log'!$F$3:$F$300,""),""))</f>
        <v/>
      </c>
      <c r="AD106" s="12">
        <f t="array" ref="AD106">IF($A106="","",ROUND($Y106*XLOOKUP($F106,Settings!$I$15:$I$20,Settings!$K$15:$K$20,0.4),0))</f>
        <v>2</v>
      </c>
      <c r="AE106" s="12">
        <f t="array" ref="AE106">IF($A106="","",ROUND($Y106*XLOOKUP($F106,Settings!$I$15:$I$20,Settings!$L$15:$L$20,0.8),0))</f>
        <v>6</v>
      </c>
      <c r="AF106" s="12">
        <f t="array" ref="AF106">IF($A106="","",ROUND($Y106*XLOOKUP($F106,Settings!$I$15:$I$20,Settings!$M$15:$M$20,1),0))</f>
        <v>8</v>
      </c>
      <c r="AG106" s="12">
        <f t="array" ref="AG106">IF($A106="","",ROUND($Y106*XLOOKUP($F106,Settings!$I$15:$I$20,Settings!$N$15:$N$20,1.1),0))</f>
        <v>8</v>
      </c>
      <c r="AH106" s="12">
        <f t="array" ref="AH106">IF($A106="","",ROUND($Y106*XLOOKUP($F106,Settings!$I$15:$I$20,Settings!$O$15:$O$20,1.1)*Settings!$J$7,0))</f>
        <v>8</v>
      </c>
      <c r="AI106" s="12">
        <f t="array" ref="AI106">IF($A106="","",IF($AA106="Sold","",MIN($AH106,IFERROR(XLOOKUP(Settings!$B$12,Managers!$B$4:$B$15,Managers!$H$4:$H$15),$AH106))))</f>
        <v>8</v>
      </c>
      <c r="AJ106" s="12" t="str">
        <f t="shared" si="3"/>
        <v>Value Target</v>
      </c>
      <c r="AK106" s="12">
        <f t="shared" si="4"/>
        <v>33</v>
      </c>
      <c r="AL106" s="12" t="str">
        <f t="shared" si="5"/>
        <v/>
      </c>
    </row>
    <row r="107" ht="15.75" customHeight="1">
      <c r="A107" s="10" t="s">
        <v>616</v>
      </c>
      <c r="B107" s="10" t="s">
        <v>617</v>
      </c>
      <c r="C107" s="10" t="s">
        <v>199</v>
      </c>
      <c r="D107" s="10" t="s">
        <v>118</v>
      </c>
      <c r="E107" s="10" t="s">
        <v>118</v>
      </c>
      <c r="F107" s="10" t="s">
        <v>104</v>
      </c>
      <c r="G107" s="10">
        <v>5.0</v>
      </c>
      <c r="H107" s="10">
        <v>7.0</v>
      </c>
      <c r="I107" s="10" t="s">
        <v>2140</v>
      </c>
      <c r="J107" s="10" t="s">
        <v>2136</v>
      </c>
      <c r="K107" s="10"/>
      <c r="L107" s="10">
        <v>246.75</v>
      </c>
      <c r="M107" s="10">
        <v>7.05</v>
      </c>
      <c r="N107" s="10"/>
      <c r="O107" s="10"/>
      <c r="P107" s="12">
        <f>IF($A107="","",IFERROR((IF($O107="",0,$O107)*Settings!$J$4+IF($L107="",0,$L107)*Settings!$J$5+IF($N107="",0,$N107)*Settings!$J$6)/(IF($O107="",0,Settings!$J$4)+IF($L107="",0,Settings!$J$5)+IF($N107="",0,Settings!$J$6)),0))</f>
        <v>246.75</v>
      </c>
      <c r="Q107" s="12">
        <f t="array" ref="Q107">IF($A107="","",XLOOKUP($E107,Settings!$A$19:$A$22,Settings!$G$19:$G$22,0))</f>
        <v>196.25</v>
      </c>
      <c r="R107" s="12">
        <f t="shared" si="1"/>
        <v>50.5</v>
      </c>
      <c r="S107" s="12">
        <f>IF($A107="","",IF($R107&lt;=0,1,1+$R107/SUMIF($R$4:$R$923,"&gt;0",$R$4:$R$923)*(Settings!$B$5*(Settings!$B$6-Settings!$B$7))))</f>
        <v>7.235261402</v>
      </c>
      <c r="T107" s="12">
        <f t="array" ref="T107">IF($A107="","",XLOOKUP($F107,Settings!$I$15:$I$20,Settings!$J$15:$J$20,1))</f>
        <v>1</v>
      </c>
      <c r="U107" s="12">
        <f>IF($A107="","",1+(($G107-5)/5)*Settings!$J$8)</f>
        <v>1</v>
      </c>
      <c r="V107" s="12">
        <f>IF($A107="","",1+(($H107-5)/5)*Settings!$J$9)</f>
        <v>1.06</v>
      </c>
      <c r="W107" s="12">
        <f t="array" ref="W107">IF($A107="","",XLOOKUP($J107,Lists!$C$3:$C$7,Lists!$D$3:$D$7,1))</f>
        <v>1</v>
      </c>
      <c r="X107" s="12">
        <f>IF($A107="","",IF($I107="Yes",Settings!$J$10,1))</f>
        <v>1</v>
      </c>
      <c r="Y107" s="12">
        <f t="shared" si="2"/>
        <v>8</v>
      </c>
      <c r="Z107" s="12">
        <f>IF($A107="","",IFERROR(ROUND(AVERAGEIFS('Historical Drafts'!$G$4:$G$300,'Historical Drafts'!$D$4:$D$300,$E107,'Historical Drafts'!$J$4:$J$300,"&gt;="&amp;$L107*0.85,'Historical Drafts'!$J$4:$J$300,"&lt;="&amp;$L107*1.15),0),$Y107))</f>
        <v>2</v>
      </c>
      <c r="AA107" s="12" t="str">
        <f>IF($A107="","",IF(COUNTIF('Auction Log'!$B$3:$B$300,$A107)&gt;0,"Sold","Available"))</f>
        <v>Available</v>
      </c>
      <c r="AB107" s="12" t="str">
        <f t="array" ref="AB107">IF($A107="","",IFERROR(XLOOKUP($A107,'Auction Log'!$B$3:$B$300,'Auction Log'!$G$3:$G$300,""),""))</f>
        <v/>
      </c>
      <c r="AC107" s="12" t="str">
        <f t="array" ref="AC107">IF($A107="","",IFERROR(XLOOKUP($A107,'Auction Log'!$B$3:$B$300,'Auction Log'!$F$3:$F$300,""),""))</f>
        <v/>
      </c>
      <c r="AD107" s="12">
        <f t="array" ref="AD107">IF($A107="","",ROUND($Y107*XLOOKUP($F107,Settings!$I$15:$I$20,Settings!$K$15:$K$20,0.4),0))</f>
        <v>2</v>
      </c>
      <c r="AE107" s="12">
        <f t="array" ref="AE107">IF($A107="","",ROUND($Y107*XLOOKUP($F107,Settings!$I$15:$I$20,Settings!$L$15:$L$20,0.8),0))</f>
        <v>6</v>
      </c>
      <c r="AF107" s="12">
        <f t="array" ref="AF107">IF($A107="","",ROUND($Y107*XLOOKUP($F107,Settings!$I$15:$I$20,Settings!$M$15:$M$20,1),0))</f>
        <v>8</v>
      </c>
      <c r="AG107" s="12">
        <f t="array" ref="AG107">IF($A107="","",ROUND($Y107*XLOOKUP($F107,Settings!$I$15:$I$20,Settings!$N$15:$N$20,1.1),0))</f>
        <v>8</v>
      </c>
      <c r="AH107" s="12">
        <f t="array" ref="AH107">IF($A107="","",ROUND($Y107*XLOOKUP($F107,Settings!$I$15:$I$20,Settings!$O$15:$O$20,1.1)*Settings!$J$7,0))</f>
        <v>8</v>
      </c>
      <c r="AI107" s="12">
        <f t="array" ref="AI107">IF($A107="","",IF($AA107="Sold","",MIN($AH107,IFERROR(XLOOKUP(Settings!$B$12,Managers!$B$4:$B$15,Managers!$H$4:$H$15),$AH107))))</f>
        <v>8</v>
      </c>
      <c r="AJ107" s="12" t="str">
        <f t="shared" si="3"/>
        <v>Value Target</v>
      </c>
      <c r="AK107" s="12">
        <f t="shared" si="4"/>
        <v>33</v>
      </c>
      <c r="AL107" s="12" t="str">
        <f t="shared" si="5"/>
        <v/>
      </c>
    </row>
    <row r="108" ht="15.75" customHeight="1">
      <c r="A108" s="10" t="s">
        <v>618</v>
      </c>
      <c r="B108" s="10" t="s">
        <v>619</v>
      </c>
      <c r="C108" s="10" t="s">
        <v>199</v>
      </c>
      <c r="D108" s="10" t="s">
        <v>121</v>
      </c>
      <c r="E108" s="10" t="s">
        <v>121</v>
      </c>
      <c r="F108" s="10" t="s">
        <v>104</v>
      </c>
      <c r="G108" s="10">
        <v>5.0</v>
      </c>
      <c r="H108" s="10">
        <v>7.0</v>
      </c>
      <c r="I108" s="10" t="s">
        <v>2140</v>
      </c>
      <c r="J108" s="10" t="s">
        <v>2136</v>
      </c>
      <c r="K108" s="10"/>
      <c r="L108" s="10">
        <v>246.0</v>
      </c>
      <c r="M108" s="10">
        <v>8.2</v>
      </c>
      <c r="N108" s="10"/>
      <c r="O108" s="10"/>
      <c r="P108" s="12">
        <f>IF($A108="","",IFERROR((IF($O108="",0,$O108)*Settings!$J$4+IF($L108="",0,$L108)*Settings!$J$5+IF($N108="",0,$N108)*Settings!$J$6)/(IF($O108="",0,Settings!$J$4)+IF($L108="",0,Settings!$J$5)+IF($N108="",0,Settings!$J$6)),0))</f>
        <v>246</v>
      </c>
      <c r="Q108" s="12">
        <f t="array" ref="Q108">IF($A108="","",XLOOKUP($E108,Settings!$A$19:$A$22,Settings!$G$19:$G$22,0))</f>
        <v>206</v>
      </c>
      <c r="R108" s="12">
        <f t="shared" si="1"/>
        <v>40</v>
      </c>
      <c r="S108" s="12">
        <f>IF($A108="","",IF($R108&lt;=0,1,1+$R108/SUMIF($R$4:$R$923,"&gt;0",$R$4:$R$923)*(Settings!$B$5*(Settings!$B$6-Settings!$B$7))))</f>
        <v>5.938820912</v>
      </c>
      <c r="T108" s="12">
        <f t="array" ref="T108">IF($A108="","",XLOOKUP($F108,Settings!$I$15:$I$20,Settings!$J$15:$J$20,1))</f>
        <v>1</v>
      </c>
      <c r="U108" s="12">
        <f>IF($A108="","",1+(($G108-5)/5)*Settings!$J$8)</f>
        <v>1</v>
      </c>
      <c r="V108" s="12">
        <f>IF($A108="","",1+(($H108-5)/5)*Settings!$J$9)</f>
        <v>1.06</v>
      </c>
      <c r="W108" s="12">
        <f t="array" ref="W108">IF($A108="","",XLOOKUP($J108,Lists!$C$3:$C$7,Lists!$D$3:$D$7,1))</f>
        <v>1</v>
      </c>
      <c r="X108" s="12">
        <f>IF($A108="","",IF($I108="Yes",Settings!$J$10,1))</f>
        <v>1</v>
      </c>
      <c r="Y108" s="12">
        <f t="shared" si="2"/>
        <v>6</v>
      </c>
      <c r="Z108" s="12">
        <f>IF($A108="","",IFERROR(ROUND(AVERAGEIFS('Historical Drafts'!$G$4:$G$300,'Historical Drafts'!$D$4:$D$300,$E108,'Historical Drafts'!$J$4:$J$300,"&gt;="&amp;$L108*0.85,'Historical Drafts'!$J$4:$J$300,"&lt;="&amp;$L108*1.15),0),$Y108))</f>
        <v>18</v>
      </c>
      <c r="AA108" s="12" t="str">
        <f>IF($A108="","",IF(COUNTIF('Auction Log'!$B$3:$B$300,$A108)&gt;0,"Sold","Available"))</f>
        <v>Available</v>
      </c>
      <c r="AB108" s="12" t="str">
        <f t="array" ref="AB108">IF($A108="","",IFERROR(XLOOKUP($A108,'Auction Log'!$B$3:$B$300,'Auction Log'!$G$3:$G$300,""),""))</f>
        <v/>
      </c>
      <c r="AC108" s="12" t="str">
        <f t="array" ref="AC108">IF($A108="","",IFERROR(XLOOKUP($A108,'Auction Log'!$B$3:$B$300,'Auction Log'!$F$3:$F$300,""),""))</f>
        <v/>
      </c>
      <c r="AD108" s="12">
        <f t="array" ref="AD108">IF($A108="","",ROUND($Y108*XLOOKUP($F108,Settings!$I$15:$I$20,Settings!$K$15:$K$20,0.4),0))</f>
        <v>2</v>
      </c>
      <c r="AE108" s="12">
        <f t="array" ref="AE108">IF($A108="","",ROUND($Y108*XLOOKUP($F108,Settings!$I$15:$I$20,Settings!$L$15:$L$20,0.8),0))</f>
        <v>4</v>
      </c>
      <c r="AF108" s="12">
        <f t="array" ref="AF108">IF($A108="","",ROUND($Y108*XLOOKUP($F108,Settings!$I$15:$I$20,Settings!$M$15:$M$20,1),0))</f>
        <v>6</v>
      </c>
      <c r="AG108" s="12">
        <f t="array" ref="AG108">IF($A108="","",ROUND($Y108*XLOOKUP($F108,Settings!$I$15:$I$20,Settings!$N$15:$N$20,1.1),0))</f>
        <v>6</v>
      </c>
      <c r="AH108" s="12">
        <f t="array" ref="AH108">IF($A108="","",ROUND($Y108*XLOOKUP($F108,Settings!$I$15:$I$20,Settings!$O$15:$O$20,1.1)*Settings!$J$7,0))</f>
        <v>6</v>
      </c>
      <c r="AI108" s="12">
        <f t="array" ref="AI108">IF($A108="","",IF($AA108="Sold","",MIN($AH108,IFERROR(XLOOKUP(Settings!$B$12,Managers!$B$4:$B$15,Managers!$H$4:$H$15),$AH108))))</f>
        <v>6</v>
      </c>
      <c r="AJ108" s="12" t="str">
        <f t="shared" si="3"/>
        <v>Budget Drainer</v>
      </c>
      <c r="AK108" s="12">
        <f t="shared" si="4"/>
        <v>43</v>
      </c>
      <c r="AL108" s="12" t="str">
        <f t="shared" si="5"/>
        <v/>
      </c>
    </row>
    <row r="109" ht="15.75" customHeight="1">
      <c r="A109" s="10" t="s">
        <v>186</v>
      </c>
      <c r="B109" s="10" t="s">
        <v>187</v>
      </c>
      <c r="C109" s="10" t="s">
        <v>188</v>
      </c>
      <c r="D109" s="10" t="s">
        <v>121</v>
      </c>
      <c r="E109" s="10" t="s">
        <v>121</v>
      </c>
      <c r="F109" s="10" t="s">
        <v>104</v>
      </c>
      <c r="G109" s="10">
        <v>5.0</v>
      </c>
      <c r="H109" s="10">
        <v>7.0</v>
      </c>
      <c r="I109" s="10" t="s">
        <v>2140</v>
      </c>
      <c r="J109" s="10" t="s">
        <v>2136</v>
      </c>
      <c r="K109" s="10"/>
      <c r="L109" s="10">
        <v>246.0</v>
      </c>
      <c r="M109" s="10">
        <v>9.46</v>
      </c>
      <c r="N109" s="10"/>
      <c r="O109" s="10"/>
      <c r="P109" s="12">
        <f>IF($A109="","",IFERROR((IF($O109="",0,$O109)*Settings!$J$4+IF($L109="",0,$L109)*Settings!$J$5+IF($N109="",0,$N109)*Settings!$J$6)/(IF($O109="",0,Settings!$J$4)+IF($L109="",0,Settings!$J$5)+IF($N109="",0,Settings!$J$6)),0))</f>
        <v>246</v>
      </c>
      <c r="Q109" s="12">
        <f t="array" ref="Q109">IF($A109="","",XLOOKUP($E109,Settings!$A$19:$A$22,Settings!$G$19:$G$22,0))</f>
        <v>206</v>
      </c>
      <c r="R109" s="12">
        <f t="shared" si="1"/>
        <v>40</v>
      </c>
      <c r="S109" s="12">
        <f>IF($A109="","",IF($R109&lt;=0,1,1+$R109/SUMIF($R$4:$R$923,"&gt;0",$R$4:$R$923)*(Settings!$B$5*(Settings!$B$6-Settings!$B$7))))</f>
        <v>5.938820912</v>
      </c>
      <c r="T109" s="12">
        <f t="array" ref="T109">IF($A109="","",XLOOKUP($F109,Settings!$I$15:$I$20,Settings!$J$15:$J$20,1))</f>
        <v>1</v>
      </c>
      <c r="U109" s="12">
        <f>IF($A109="","",1+(($G109-5)/5)*Settings!$J$8)</f>
        <v>1</v>
      </c>
      <c r="V109" s="12">
        <f>IF($A109="","",1+(($H109-5)/5)*Settings!$J$9)</f>
        <v>1.06</v>
      </c>
      <c r="W109" s="12">
        <f t="array" ref="W109">IF($A109="","",XLOOKUP($J109,Lists!$C$3:$C$7,Lists!$D$3:$D$7,1))</f>
        <v>1</v>
      </c>
      <c r="X109" s="12">
        <f>IF($A109="","",IF($I109="Yes",Settings!$J$10,1))</f>
        <v>1</v>
      </c>
      <c r="Y109" s="12">
        <f t="shared" si="2"/>
        <v>6</v>
      </c>
      <c r="Z109" s="12">
        <f>IF($A109="","",IFERROR(ROUND(AVERAGEIFS('Historical Drafts'!$G$4:$G$300,'Historical Drafts'!$D$4:$D$300,$E109,'Historical Drafts'!$J$4:$J$300,"&gt;="&amp;$L109*0.85,'Historical Drafts'!$J$4:$J$300,"&lt;="&amp;$L109*1.15),0),$Y109))</f>
        <v>18</v>
      </c>
      <c r="AA109" s="12" t="str">
        <f>IF($A109="","",IF(COUNTIF('Auction Log'!$B$3:$B$300,$A109)&gt;0,"Sold","Available"))</f>
        <v>Available</v>
      </c>
      <c r="AB109" s="12" t="str">
        <f t="array" ref="AB109">IF($A109="","",IFERROR(XLOOKUP($A109,'Auction Log'!$B$3:$B$300,'Auction Log'!$G$3:$G$300,""),""))</f>
        <v/>
      </c>
      <c r="AC109" s="12" t="str">
        <f t="array" ref="AC109">IF($A109="","",IFERROR(XLOOKUP($A109,'Auction Log'!$B$3:$B$300,'Auction Log'!$F$3:$F$300,""),""))</f>
        <v/>
      </c>
      <c r="AD109" s="12">
        <f t="array" ref="AD109">IF($A109="","",ROUND($Y109*XLOOKUP($F109,Settings!$I$15:$I$20,Settings!$K$15:$K$20,0.4),0))</f>
        <v>2</v>
      </c>
      <c r="AE109" s="12">
        <f t="array" ref="AE109">IF($A109="","",ROUND($Y109*XLOOKUP($F109,Settings!$I$15:$I$20,Settings!$L$15:$L$20,0.8),0))</f>
        <v>4</v>
      </c>
      <c r="AF109" s="12">
        <f t="array" ref="AF109">IF($A109="","",ROUND($Y109*XLOOKUP($F109,Settings!$I$15:$I$20,Settings!$M$15:$M$20,1),0))</f>
        <v>6</v>
      </c>
      <c r="AG109" s="12">
        <f t="array" ref="AG109">IF($A109="","",ROUND($Y109*XLOOKUP($F109,Settings!$I$15:$I$20,Settings!$N$15:$N$20,1.1),0))</f>
        <v>6</v>
      </c>
      <c r="AH109" s="12">
        <f t="array" ref="AH109">IF($A109="","",ROUND($Y109*XLOOKUP($F109,Settings!$I$15:$I$20,Settings!$O$15:$O$20,1.1)*Settings!$J$7,0))</f>
        <v>6</v>
      </c>
      <c r="AI109" s="12">
        <f t="array" ref="AI109">IF($A109="","",IF($AA109="Sold","",MIN($AH109,IFERROR(XLOOKUP(Settings!$B$12,Managers!$B$4:$B$15,Managers!$H$4:$H$15),$AH109))))</f>
        <v>6</v>
      </c>
      <c r="AJ109" s="12" t="str">
        <f t="shared" si="3"/>
        <v>Budget Drainer</v>
      </c>
      <c r="AK109" s="12">
        <f t="shared" si="4"/>
        <v>43</v>
      </c>
      <c r="AL109" s="12" t="str">
        <f t="shared" si="5"/>
        <v/>
      </c>
    </row>
    <row r="110" ht="15.75" customHeight="1">
      <c r="A110" s="10" t="s">
        <v>208</v>
      </c>
      <c r="B110" s="10" t="s">
        <v>620</v>
      </c>
      <c r="C110" s="10" t="s">
        <v>191</v>
      </c>
      <c r="D110" s="10" t="s">
        <v>123</v>
      </c>
      <c r="E110" s="10" t="s">
        <v>123</v>
      </c>
      <c r="F110" s="10" t="s">
        <v>104</v>
      </c>
      <c r="G110" s="10">
        <v>5.0</v>
      </c>
      <c r="H110" s="10">
        <v>7.0</v>
      </c>
      <c r="I110" s="10" t="s">
        <v>2140</v>
      </c>
      <c r="J110" s="10" t="s">
        <v>2136</v>
      </c>
      <c r="K110" s="10"/>
      <c r="L110" s="10">
        <v>245.5</v>
      </c>
      <c r="M110" s="10">
        <v>6.82</v>
      </c>
      <c r="N110" s="10"/>
      <c r="O110" s="10"/>
      <c r="P110" s="12">
        <f>IF($A110="","",IFERROR((IF($O110="",0,$O110)*Settings!$J$4+IF($L110="",0,$L110)*Settings!$J$5+IF($N110="",0,$N110)*Settings!$J$6)/(IF($O110="",0,Settings!$J$4)+IF($L110="",0,Settings!$J$5)+IF($N110="",0,Settings!$J$6)),0))</f>
        <v>245.5</v>
      </c>
      <c r="Q110" s="12">
        <f t="array" ref="Q110">IF($A110="","",XLOOKUP($E110,Settings!$A$19:$A$22,Settings!$G$19:$G$22,0))</f>
        <v>203</v>
      </c>
      <c r="R110" s="12">
        <f t="shared" si="1"/>
        <v>42.5</v>
      </c>
      <c r="S110" s="12">
        <f>IF($A110="","",IF($R110&lt;=0,1,1+$R110/SUMIF($R$4:$R$923,"&gt;0",$R$4:$R$923)*(Settings!$B$5*(Settings!$B$6-Settings!$B$7))))</f>
        <v>6.247497219</v>
      </c>
      <c r="T110" s="12">
        <f t="array" ref="T110">IF($A110="","",XLOOKUP($F110,Settings!$I$15:$I$20,Settings!$J$15:$J$20,1))</f>
        <v>1</v>
      </c>
      <c r="U110" s="12">
        <f>IF($A110="","",1+(($G110-5)/5)*Settings!$J$8)</f>
        <v>1</v>
      </c>
      <c r="V110" s="12">
        <f>IF($A110="","",1+(($H110-5)/5)*Settings!$J$9)</f>
        <v>1.06</v>
      </c>
      <c r="W110" s="12">
        <f t="array" ref="W110">IF($A110="","",XLOOKUP($J110,Lists!$C$3:$C$7,Lists!$D$3:$D$7,1))</f>
        <v>1</v>
      </c>
      <c r="X110" s="12">
        <f>IF($A110="","",IF($I110="Yes",Settings!$J$10,1))</f>
        <v>1</v>
      </c>
      <c r="Y110" s="12">
        <f t="shared" si="2"/>
        <v>7</v>
      </c>
      <c r="Z110" s="12">
        <f>IF($A110="","",IFERROR(ROUND(AVERAGEIFS('Historical Drafts'!$G$4:$G$300,'Historical Drafts'!$D$4:$D$300,$E110,'Historical Drafts'!$J$4:$J$300,"&gt;="&amp;$L110*0.85,'Historical Drafts'!$J$4:$J$300,"&lt;="&amp;$L110*1.15),0),$Y110))</f>
        <v>18</v>
      </c>
      <c r="AA110" s="12" t="str">
        <f>IF($A110="","",IF(COUNTIF('Auction Log'!$B$3:$B$300,$A110)&gt;0,"Sold","Available"))</f>
        <v>Available</v>
      </c>
      <c r="AB110" s="12" t="str">
        <f t="array" ref="AB110">IF($A110="","",IFERROR(XLOOKUP($A110,'Auction Log'!$B$3:$B$300,'Auction Log'!$G$3:$G$300,""),""))</f>
        <v/>
      </c>
      <c r="AC110" s="12" t="str">
        <f t="array" ref="AC110">IF($A110="","",IFERROR(XLOOKUP($A110,'Auction Log'!$B$3:$B$300,'Auction Log'!$F$3:$F$300,""),""))</f>
        <v/>
      </c>
      <c r="AD110" s="12">
        <f t="array" ref="AD110">IF($A110="","",ROUND($Y110*XLOOKUP($F110,Settings!$I$15:$I$20,Settings!$K$15:$K$20,0.4),0))</f>
        <v>2</v>
      </c>
      <c r="AE110" s="12">
        <f t="array" ref="AE110">IF($A110="","",ROUND($Y110*XLOOKUP($F110,Settings!$I$15:$I$20,Settings!$L$15:$L$20,0.8),0))</f>
        <v>5</v>
      </c>
      <c r="AF110" s="12">
        <f t="array" ref="AF110">IF($A110="","",ROUND($Y110*XLOOKUP($F110,Settings!$I$15:$I$20,Settings!$M$15:$M$20,1),0))</f>
        <v>7</v>
      </c>
      <c r="AG110" s="12">
        <f t="array" ref="AG110">IF($A110="","",ROUND($Y110*XLOOKUP($F110,Settings!$I$15:$I$20,Settings!$N$15:$N$20,1.1),0))</f>
        <v>7</v>
      </c>
      <c r="AH110" s="12">
        <f t="array" ref="AH110">IF($A110="","",ROUND($Y110*XLOOKUP($F110,Settings!$I$15:$I$20,Settings!$O$15:$O$20,1.1)*Settings!$J$7,0))</f>
        <v>7</v>
      </c>
      <c r="AI110" s="12">
        <f t="array" ref="AI110">IF($A110="","",IF($AA110="Sold","",MIN($AH110,IFERROR(XLOOKUP(Settings!$B$12,Managers!$B$4:$B$15,Managers!$H$4:$H$15),$AH110))))</f>
        <v>7</v>
      </c>
      <c r="AJ110" s="12" t="str">
        <f t="shared" si="3"/>
        <v>Budget Drainer</v>
      </c>
      <c r="AK110" s="12">
        <f t="shared" si="4"/>
        <v>43</v>
      </c>
      <c r="AL110" s="12" t="str">
        <f t="shared" si="5"/>
        <v/>
      </c>
    </row>
    <row r="111" ht="15.75" customHeight="1">
      <c r="A111" s="10" t="s">
        <v>621</v>
      </c>
      <c r="B111" s="10" t="s">
        <v>622</v>
      </c>
      <c r="C111" s="10" t="s">
        <v>188</v>
      </c>
      <c r="D111" s="10" t="s">
        <v>118</v>
      </c>
      <c r="E111" s="10" t="s">
        <v>118</v>
      </c>
      <c r="F111" s="10" t="s">
        <v>104</v>
      </c>
      <c r="G111" s="10">
        <v>5.0</v>
      </c>
      <c r="H111" s="10">
        <v>7.0</v>
      </c>
      <c r="I111" s="10" t="s">
        <v>2140</v>
      </c>
      <c r="J111" s="10" t="s">
        <v>2136</v>
      </c>
      <c r="K111" s="10"/>
      <c r="L111" s="10">
        <v>244.75</v>
      </c>
      <c r="M111" s="10">
        <v>7.2</v>
      </c>
      <c r="N111" s="10"/>
      <c r="O111" s="10"/>
      <c r="P111" s="12">
        <f>IF($A111="","",IFERROR((IF($O111="",0,$O111)*Settings!$J$4+IF($L111="",0,$L111)*Settings!$J$5+IF($N111="",0,$N111)*Settings!$J$6)/(IF($O111="",0,Settings!$J$4)+IF($L111="",0,Settings!$J$5)+IF($N111="",0,Settings!$J$6)),0))</f>
        <v>244.75</v>
      </c>
      <c r="Q111" s="12">
        <f t="array" ref="Q111">IF($A111="","",XLOOKUP($E111,Settings!$A$19:$A$22,Settings!$G$19:$G$22,0))</f>
        <v>196.25</v>
      </c>
      <c r="R111" s="12">
        <f t="shared" si="1"/>
        <v>48.5</v>
      </c>
      <c r="S111" s="12">
        <f>IF($A111="","",IF($R111&lt;=0,1,1+$R111/SUMIF($R$4:$R$923,"&gt;0",$R$4:$R$923)*(Settings!$B$5*(Settings!$B$6-Settings!$B$7))))</f>
        <v>6.988320356</v>
      </c>
      <c r="T111" s="12">
        <f t="array" ref="T111">IF($A111="","",XLOOKUP($F111,Settings!$I$15:$I$20,Settings!$J$15:$J$20,1))</f>
        <v>1</v>
      </c>
      <c r="U111" s="12">
        <f>IF($A111="","",1+(($G111-5)/5)*Settings!$J$8)</f>
        <v>1</v>
      </c>
      <c r="V111" s="12">
        <f>IF($A111="","",1+(($H111-5)/5)*Settings!$J$9)</f>
        <v>1.06</v>
      </c>
      <c r="W111" s="12">
        <f t="array" ref="W111">IF($A111="","",XLOOKUP($J111,Lists!$C$3:$C$7,Lists!$D$3:$D$7,1))</f>
        <v>1</v>
      </c>
      <c r="X111" s="12">
        <f>IF($A111="","",IF($I111="Yes",Settings!$J$10,1))</f>
        <v>1</v>
      </c>
      <c r="Y111" s="12">
        <f t="shared" si="2"/>
        <v>7</v>
      </c>
      <c r="Z111" s="12">
        <f>IF($A111="","",IFERROR(ROUND(AVERAGEIFS('Historical Drafts'!$G$4:$G$300,'Historical Drafts'!$D$4:$D$300,$E111,'Historical Drafts'!$J$4:$J$300,"&gt;="&amp;$L111*0.85,'Historical Drafts'!$J$4:$J$300,"&lt;="&amp;$L111*1.15),0),$Y111))</f>
        <v>2</v>
      </c>
      <c r="AA111" s="12" t="str">
        <f>IF($A111="","",IF(COUNTIF('Auction Log'!$B$3:$B$300,$A111)&gt;0,"Sold","Available"))</f>
        <v>Available</v>
      </c>
      <c r="AB111" s="12" t="str">
        <f t="array" ref="AB111">IF($A111="","",IFERROR(XLOOKUP($A111,'Auction Log'!$B$3:$B$300,'Auction Log'!$G$3:$G$300,""),""))</f>
        <v/>
      </c>
      <c r="AC111" s="12" t="str">
        <f t="array" ref="AC111">IF($A111="","",IFERROR(XLOOKUP($A111,'Auction Log'!$B$3:$B$300,'Auction Log'!$F$3:$F$300,""),""))</f>
        <v/>
      </c>
      <c r="AD111" s="12">
        <f t="array" ref="AD111">IF($A111="","",ROUND($Y111*XLOOKUP($F111,Settings!$I$15:$I$20,Settings!$K$15:$K$20,0.4),0))</f>
        <v>2</v>
      </c>
      <c r="AE111" s="12">
        <f t="array" ref="AE111">IF($A111="","",ROUND($Y111*XLOOKUP($F111,Settings!$I$15:$I$20,Settings!$L$15:$L$20,0.8),0))</f>
        <v>5</v>
      </c>
      <c r="AF111" s="12">
        <f t="array" ref="AF111">IF($A111="","",ROUND($Y111*XLOOKUP($F111,Settings!$I$15:$I$20,Settings!$M$15:$M$20,1),0))</f>
        <v>7</v>
      </c>
      <c r="AG111" s="12">
        <f t="array" ref="AG111">IF($A111="","",ROUND($Y111*XLOOKUP($F111,Settings!$I$15:$I$20,Settings!$N$15:$N$20,1.1),0))</f>
        <v>7</v>
      </c>
      <c r="AH111" s="12">
        <f t="array" ref="AH111">IF($A111="","",ROUND($Y111*XLOOKUP($F111,Settings!$I$15:$I$20,Settings!$O$15:$O$20,1.1)*Settings!$J$7,0))</f>
        <v>7</v>
      </c>
      <c r="AI111" s="12">
        <f t="array" ref="AI111">IF($A111="","",IF($AA111="Sold","",MIN($AH111,IFERROR(XLOOKUP(Settings!$B$12,Managers!$B$4:$B$15,Managers!$H$4:$H$15),$AH111))))</f>
        <v>7</v>
      </c>
      <c r="AJ111" s="12" t="str">
        <f t="shared" si="3"/>
        <v>Value Target</v>
      </c>
      <c r="AK111" s="12">
        <f t="shared" si="4"/>
        <v>32</v>
      </c>
      <c r="AL111" s="12" t="str">
        <f t="shared" si="5"/>
        <v/>
      </c>
    </row>
    <row r="112" ht="15.75" customHeight="1">
      <c r="A112" s="10" t="s">
        <v>224</v>
      </c>
      <c r="B112" s="10" t="s">
        <v>225</v>
      </c>
      <c r="C112" s="10" t="s">
        <v>226</v>
      </c>
      <c r="D112" s="10" t="s">
        <v>121</v>
      </c>
      <c r="E112" s="10" t="s">
        <v>121</v>
      </c>
      <c r="F112" s="10" t="s">
        <v>104</v>
      </c>
      <c r="G112" s="10">
        <v>5.0</v>
      </c>
      <c r="H112" s="10">
        <v>7.0</v>
      </c>
      <c r="I112" s="10" t="s">
        <v>2140</v>
      </c>
      <c r="J112" s="10" t="s">
        <v>2136</v>
      </c>
      <c r="K112" s="10"/>
      <c r="L112" s="10">
        <v>243.5</v>
      </c>
      <c r="M112" s="10">
        <v>9.37</v>
      </c>
      <c r="N112" s="10"/>
      <c r="O112" s="10"/>
      <c r="P112" s="12">
        <f>IF($A112="","",IFERROR((IF($O112="",0,$O112)*Settings!$J$4+IF($L112="",0,$L112)*Settings!$J$5+IF($N112="",0,$N112)*Settings!$J$6)/(IF($O112="",0,Settings!$J$4)+IF($L112="",0,Settings!$J$5)+IF($N112="",0,Settings!$J$6)),0))</f>
        <v>243.5</v>
      </c>
      <c r="Q112" s="12">
        <f t="array" ref="Q112">IF($A112="","",XLOOKUP($E112,Settings!$A$19:$A$22,Settings!$G$19:$G$22,0))</f>
        <v>206</v>
      </c>
      <c r="R112" s="12">
        <f t="shared" si="1"/>
        <v>37.5</v>
      </c>
      <c r="S112" s="12">
        <f>IF($A112="","",IF($R112&lt;=0,1,1+$R112/SUMIF($R$4:$R$923,"&gt;0",$R$4:$R$923)*(Settings!$B$5*(Settings!$B$6-Settings!$B$7))))</f>
        <v>5.630144605</v>
      </c>
      <c r="T112" s="12">
        <f t="array" ref="T112">IF($A112="","",XLOOKUP($F112,Settings!$I$15:$I$20,Settings!$J$15:$J$20,1))</f>
        <v>1</v>
      </c>
      <c r="U112" s="12">
        <f>IF($A112="","",1+(($G112-5)/5)*Settings!$J$8)</f>
        <v>1</v>
      </c>
      <c r="V112" s="12">
        <f>IF($A112="","",1+(($H112-5)/5)*Settings!$J$9)</f>
        <v>1.06</v>
      </c>
      <c r="W112" s="12">
        <f t="array" ref="W112">IF($A112="","",XLOOKUP($J112,Lists!$C$3:$C$7,Lists!$D$3:$D$7,1))</f>
        <v>1</v>
      </c>
      <c r="X112" s="12">
        <f>IF($A112="","",IF($I112="Yes",Settings!$J$10,1))</f>
        <v>1</v>
      </c>
      <c r="Y112" s="12">
        <f t="shared" si="2"/>
        <v>6</v>
      </c>
      <c r="Z112" s="12">
        <f>IF($A112="","",IFERROR(ROUND(AVERAGEIFS('Historical Drafts'!$G$4:$G$300,'Historical Drafts'!$D$4:$D$300,$E112,'Historical Drafts'!$J$4:$J$300,"&gt;="&amp;$L112*0.85,'Historical Drafts'!$J$4:$J$300,"&lt;="&amp;$L112*1.15),0),$Y112))</f>
        <v>17</v>
      </c>
      <c r="AA112" s="12" t="str">
        <f>IF($A112="","",IF(COUNTIF('Auction Log'!$B$3:$B$300,$A112)&gt;0,"Sold","Available"))</f>
        <v>Available</v>
      </c>
      <c r="AB112" s="12" t="str">
        <f t="array" ref="AB112">IF($A112="","",IFERROR(XLOOKUP($A112,'Auction Log'!$B$3:$B$300,'Auction Log'!$G$3:$G$300,""),""))</f>
        <v/>
      </c>
      <c r="AC112" s="12" t="str">
        <f t="array" ref="AC112">IF($A112="","",IFERROR(XLOOKUP($A112,'Auction Log'!$B$3:$B$300,'Auction Log'!$F$3:$F$300,""),""))</f>
        <v/>
      </c>
      <c r="AD112" s="12">
        <f t="array" ref="AD112">IF($A112="","",ROUND($Y112*XLOOKUP($F112,Settings!$I$15:$I$20,Settings!$K$15:$K$20,0.4),0))</f>
        <v>2</v>
      </c>
      <c r="AE112" s="12">
        <f t="array" ref="AE112">IF($A112="","",ROUND($Y112*XLOOKUP($F112,Settings!$I$15:$I$20,Settings!$L$15:$L$20,0.8),0))</f>
        <v>4</v>
      </c>
      <c r="AF112" s="12">
        <f t="array" ref="AF112">IF($A112="","",ROUND($Y112*XLOOKUP($F112,Settings!$I$15:$I$20,Settings!$M$15:$M$20,1),0))</f>
        <v>6</v>
      </c>
      <c r="AG112" s="12">
        <f t="array" ref="AG112">IF($A112="","",ROUND($Y112*XLOOKUP($F112,Settings!$I$15:$I$20,Settings!$N$15:$N$20,1.1),0))</f>
        <v>6</v>
      </c>
      <c r="AH112" s="12">
        <f t="array" ref="AH112">IF($A112="","",ROUND($Y112*XLOOKUP($F112,Settings!$I$15:$I$20,Settings!$O$15:$O$20,1.1)*Settings!$J$7,0))</f>
        <v>6</v>
      </c>
      <c r="AI112" s="12">
        <f t="array" ref="AI112">IF($A112="","",IF($AA112="Sold","",MIN($AH112,IFERROR(XLOOKUP(Settings!$B$12,Managers!$B$4:$B$15,Managers!$H$4:$H$15),$AH112))))</f>
        <v>6</v>
      </c>
      <c r="AJ112" s="12" t="str">
        <f t="shared" si="3"/>
        <v>Budget Drainer</v>
      </c>
      <c r="AK112" s="12">
        <f t="shared" si="4"/>
        <v>42</v>
      </c>
      <c r="AL112" s="12" t="str">
        <f t="shared" si="5"/>
        <v/>
      </c>
    </row>
    <row r="113" ht="15.75" customHeight="1">
      <c r="A113" s="10" t="s">
        <v>623</v>
      </c>
      <c r="B113" s="10" t="s">
        <v>624</v>
      </c>
      <c r="C113" s="10" t="s">
        <v>180</v>
      </c>
      <c r="D113" s="10" t="s">
        <v>121</v>
      </c>
      <c r="E113" s="10" t="s">
        <v>121</v>
      </c>
      <c r="F113" s="10" t="s">
        <v>104</v>
      </c>
      <c r="G113" s="10">
        <v>5.0</v>
      </c>
      <c r="H113" s="10">
        <v>7.0</v>
      </c>
      <c r="I113" s="10" t="s">
        <v>2140</v>
      </c>
      <c r="J113" s="10" t="s">
        <v>2136</v>
      </c>
      <c r="K113" s="10"/>
      <c r="L113" s="10">
        <v>243.5</v>
      </c>
      <c r="M113" s="10">
        <v>7.16</v>
      </c>
      <c r="N113" s="10"/>
      <c r="O113" s="10"/>
      <c r="P113" s="12">
        <f>IF($A113="","",IFERROR((IF($O113="",0,$O113)*Settings!$J$4+IF($L113="",0,$L113)*Settings!$J$5+IF($N113="",0,$N113)*Settings!$J$6)/(IF($O113="",0,Settings!$J$4)+IF($L113="",0,Settings!$J$5)+IF($N113="",0,Settings!$J$6)),0))</f>
        <v>243.5</v>
      </c>
      <c r="Q113" s="12">
        <f t="array" ref="Q113">IF($A113="","",XLOOKUP($E113,Settings!$A$19:$A$22,Settings!$G$19:$G$22,0))</f>
        <v>206</v>
      </c>
      <c r="R113" s="12">
        <f t="shared" si="1"/>
        <v>37.5</v>
      </c>
      <c r="S113" s="12">
        <f>IF($A113="","",IF($R113&lt;=0,1,1+$R113/SUMIF($R$4:$R$923,"&gt;0",$R$4:$R$923)*(Settings!$B$5*(Settings!$B$6-Settings!$B$7))))</f>
        <v>5.630144605</v>
      </c>
      <c r="T113" s="12">
        <f t="array" ref="T113">IF($A113="","",XLOOKUP($F113,Settings!$I$15:$I$20,Settings!$J$15:$J$20,1))</f>
        <v>1</v>
      </c>
      <c r="U113" s="12">
        <f>IF($A113="","",1+(($G113-5)/5)*Settings!$J$8)</f>
        <v>1</v>
      </c>
      <c r="V113" s="12">
        <f>IF($A113="","",1+(($H113-5)/5)*Settings!$J$9)</f>
        <v>1.06</v>
      </c>
      <c r="W113" s="12">
        <f t="array" ref="W113">IF($A113="","",XLOOKUP($J113,Lists!$C$3:$C$7,Lists!$D$3:$D$7,1))</f>
        <v>1</v>
      </c>
      <c r="X113" s="12">
        <f>IF($A113="","",IF($I113="Yes",Settings!$J$10,1))</f>
        <v>1</v>
      </c>
      <c r="Y113" s="12">
        <f t="shared" si="2"/>
        <v>6</v>
      </c>
      <c r="Z113" s="12">
        <f>IF($A113="","",IFERROR(ROUND(AVERAGEIFS('Historical Drafts'!$G$4:$G$300,'Historical Drafts'!$D$4:$D$300,$E113,'Historical Drafts'!$J$4:$J$300,"&gt;="&amp;$L113*0.85,'Historical Drafts'!$J$4:$J$300,"&lt;="&amp;$L113*1.15),0),$Y113))</f>
        <v>17</v>
      </c>
      <c r="AA113" s="12" t="str">
        <f>IF($A113="","",IF(COUNTIF('Auction Log'!$B$3:$B$300,$A113)&gt;0,"Sold","Available"))</f>
        <v>Available</v>
      </c>
      <c r="AB113" s="12" t="str">
        <f t="array" ref="AB113">IF($A113="","",IFERROR(XLOOKUP($A113,'Auction Log'!$B$3:$B$300,'Auction Log'!$G$3:$G$300,""),""))</f>
        <v/>
      </c>
      <c r="AC113" s="12" t="str">
        <f t="array" ref="AC113">IF($A113="","",IFERROR(XLOOKUP($A113,'Auction Log'!$B$3:$B$300,'Auction Log'!$F$3:$F$300,""),""))</f>
        <v/>
      </c>
      <c r="AD113" s="12">
        <f t="array" ref="AD113">IF($A113="","",ROUND($Y113*XLOOKUP($F113,Settings!$I$15:$I$20,Settings!$K$15:$K$20,0.4),0))</f>
        <v>2</v>
      </c>
      <c r="AE113" s="12">
        <f t="array" ref="AE113">IF($A113="","",ROUND($Y113*XLOOKUP($F113,Settings!$I$15:$I$20,Settings!$L$15:$L$20,0.8),0))</f>
        <v>4</v>
      </c>
      <c r="AF113" s="12">
        <f t="array" ref="AF113">IF($A113="","",ROUND($Y113*XLOOKUP($F113,Settings!$I$15:$I$20,Settings!$M$15:$M$20,1),0))</f>
        <v>6</v>
      </c>
      <c r="AG113" s="12">
        <f t="array" ref="AG113">IF($A113="","",ROUND($Y113*XLOOKUP($F113,Settings!$I$15:$I$20,Settings!$N$15:$N$20,1.1),0))</f>
        <v>6</v>
      </c>
      <c r="AH113" s="12">
        <f t="array" ref="AH113">IF($A113="","",ROUND($Y113*XLOOKUP($F113,Settings!$I$15:$I$20,Settings!$O$15:$O$20,1.1)*Settings!$J$7,0))</f>
        <v>6</v>
      </c>
      <c r="AI113" s="12">
        <f t="array" ref="AI113">IF($A113="","",IF($AA113="Sold","",MIN($AH113,IFERROR(XLOOKUP(Settings!$B$12,Managers!$B$4:$B$15,Managers!$H$4:$H$15),$AH113))))</f>
        <v>6</v>
      </c>
      <c r="AJ113" s="12" t="str">
        <f t="shared" si="3"/>
        <v>Budget Drainer</v>
      </c>
      <c r="AK113" s="12">
        <f t="shared" si="4"/>
        <v>42</v>
      </c>
      <c r="AL113" s="12" t="str">
        <f t="shared" si="5"/>
        <v/>
      </c>
    </row>
    <row r="114" ht="15.75" customHeight="1">
      <c r="A114" s="10" t="s">
        <v>445</v>
      </c>
      <c r="B114" s="10" t="s">
        <v>446</v>
      </c>
      <c r="C114" s="10" t="s">
        <v>199</v>
      </c>
      <c r="D114" s="10" t="s">
        <v>118</v>
      </c>
      <c r="E114" s="10" t="s">
        <v>118</v>
      </c>
      <c r="F114" s="10" t="s">
        <v>104</v>
      </c>
      <c r="G114" s="10">
        <v>5.0</v>
      </c>
      <c r="H114" s="10">
        <v>7.0</v>
      </c>
      <c r="I114" s="10" t="s">
        <v>2140</v>
      </c>
      <c r="J114" s="10" t="s">
        <v>2136</v>
      </c>
      <c r="K114" s="10"/>
      <c r="L114" s="10">
        <v>240.5</v>
      </c>
      <c r="M114" s="10">
        <v>7.76</v>
      </c>
      <c r="N114" s="10"/>
      <c r="O114" s="10"/>
      <c r="P114" s="12">
        <f>IF($A114="","",IFERROR((IF($O114="",0,$O114)*Settings!$J$4+IF($L114="",0,$L114)*Settings!$J$5+IF($N114="",0,$N114)*Settings!$J$6)/(IF($O114="",0,Settings!$J$4)+IF($L114="",0,Settings!$J$5)+IF($N114="",0,Settings!$J$6)),0))</f>
        <v>240.5</v>
      </c>
      <c r="Q114" s="12">
        <f t="array" ref="Q114">IF($A114="","",XLOOKUP($E114,Settings!$A$19:$A$22,Settings!$G$19:$G$22,0))</f>
        <v>196.25</v>
      </c>
      <c r="R114" s="12">
        <f t="shared" si="1"/>
        <v>44.25</v>
      </c>
      <c r="S114" s="12">
        <f>IF($A114="","",IF($R114&lt;=0,1,1+$R114/SUMIF($R$4:$R$923,"&gt;0",$R$4:$R$923)*(Settings!$B$5*(Settings!$B$6-Settings!$B$7))))</f>
        <v>6.463570634</v>
      </c>
      <c r="T114" s="12">
        <f t="array" ref="T114">IF($A114="","",XLOOKUP($F114,Settings!$I$15:$I$20,Settings!$J$15:$J$20,1))</f>
        <v>1</v>
      </c>
      <c r="U114" s="12">
        <f>IF($A114="","",1+(($G114-5)/5)*Settings!$J$8)</f>
        <v>1</v>
      </c>
      <c r="V114" s="12">
        <f>IF($A114="","",1+(($H114-5)/5)*Settings!$J$9)</f>
        <v>1.06</v>
      </c>
      <c r="W114" s="12">
        <f t="array" ref="W114">IF($A114="","",XLOOKUP($J114,Lists!$C$3:$C$7,Lists!$D$3:$D$7,1))</f>
        <v>1</v>
      </c>
      <c r="X114" s="12">
        <f>IF($A114="","",IF($I114="Yes",Settings!$J$10,1))</f>
        <v>1</v>
      </c>
      <c r="Y114" s="12">
        <f t="shared" si="2"/>
        <v>7</v>
      </c>
      <c r="Z114" s="12">
        <f>IF($A114="","",IFERROR(ROUND(AVERAGEIFS('Historical Drafts'!$G$4:$G$300,'Historical Drafts'!$D$4:$D$300,$E114,'Historical Drafts'!$J$4:$J$300,"&gt;="&amp;$L114*0.85,'Historical Drafts'!$J$4:$J$300,"&lt;="&amp;$L114*1.15),0),$Y114))</f>
        <v>2</v>
      </c>
      <c r="AA114" s="12" t="str">
        <f>IF($A114="","",IF(COUNTIF('Auction Log'!$B$3:$B$300,$A114)&gt;0,"Sold","Available"))</f>
        <v>Available</v>
      </c>
      <c r="AB114" s="12" t="str">
        <f t="array" ref="AB114">IF($A114="","",IFERROR(XLOOKUP($A114,'Auction Log'!$B$3:$B$300,'Auction Log'!$G$3:$G$300,""),""))</f>
        <v/>
      </c>
      <c r="AC114" s="12" t="str">
        <f t="array" ref="AC114">IF($A114="","",IFERROR(XLOOKUP($A114,'Auction Log'!$B$3:$B$300,'Auction Log'!$F$3:$F$300,""),""))</f>
        <v/>
      </c>
      <c r="AD114" s="12">
        <f t="array" ref="AD114">IF($A114="","",ROUND($Y114*XLOOKUP($F114,Settings!$I$15:$I$20,Settings!$K$15:$K$20,0.4),0))</f>
        <v>2</v>
      </c>
      <c r="AE114" s="12">
        <f t="array" ref="AE114">IF($A114="","",ROUND($Y114*XLOOKUP($F114,Settings!$I$15:$I$20,Settings!$L$15:$L$20,0.8),0))</f>
        <v>5</v>
      </c>
      <c r="AF114" s="12">
        <f t="array" ref="AF114">IF($A114="","",ROUND($Y114*XLOOKUP($F114,Settings!$I$15:$I$20,Settings!$M$15:$M$20,1),0))</f>
        <v>7</v>
      </c>
      <c r="AG114" s="12">
        <f t="array" ref="AG114">IF($A114="","",ROUND($Y114*XLOOKUP($F114,Settings!$I$15:$I$20,Settings!$N$15:$N$20,1.1),0))</f>
        <v>7</v>
      </c>
      <c r="AH114" s="12">
        <f t="array" ref="AH114">IF($A114="","",ROUND($Y114*XLOOKUP($F114,Settings!$I$15:$I$20,Settings!$O$15:$O$20,1.1)*Settings!$J$7,0))</f>
        <v>7</v>
      </c>
      <c r="AI114" s="12">
        <f t="array" ref="AI114">IF($A114="","",IF($AA114="Sold","",MIN($AH114,IFERROR(XLOOKUP(Settings!$B$12,Managers!$B$4:$B$15,Managers!$H$4:$H$15),$AH114))))</f>
        <v>7</v>
      </c>
      <c r="AJ114" s="12" t="str">
        <f t="shared" si="3"/>
        <v>Value Target</v>
      </c>
      <c r="AK114" s="12">
        <f t="shared" si="4"/>
        <v>32</v>
      </c>
      <c r="AL114" s="12" t="str">
        <f t="shared" si="5"/>
        <v/>
      </c>
    </row>
    <row r="115" ht="15.75" customHeight="1">
      <c r="A115" s="10" t="s">
        <v>277</v>
      </c>
      <c r="B115" s="10" t="s">
        <v>278</v>
      </c>
      <c r="C115" s="10" t="s">
        <v>185</v>
      </c>
      <c r="D115" s="10" t="s">
        <v>123</v>
      </c>
      <c r="E115" s="10" t="s">
        <v>123</v>
      </c>
      <c r="F115" s="10" t="s">
        <v>104</v>
      </c>
      <c r="G115" s="10">
        <v>5.0</v>
      </c>
      <c r="H115" s="10">
        <v>7.0</v>
      </c>
      <c r="I115" s="10" t="s">
        <v>2140</v>
      </c>
      <c r="J115" s="10" t="s">
        <v>2136</v>
      </c>
      <c r="K115" s="10"/>
      <c r="L115" s="10">
        <v>240.5</v>
      </c>
      <c r="M115" s="10">
        <v>8.02</v>
      </c>
      <c r="N115" s="10"/>
      <c r="O115" s="10"/>
      <c r="P115" s="12">
        <f>IF($A115="","",IFERROR((IF($O115="",0,$O115)*Settings!$J$4+IF($L115="",0,$L115)*Settings!$J$5+IF($N115="",0,$N115)*Settings!$J$6)/(IF($O115="",0,Settings!$J$4)+IF($L115="",0,Settings!$J$5)+IF($N115="",0,Settings!$J$6)),0))</f>
        <v>240.5</v>
      </c>
      <c r="Q115" s="12">
        <f t="array" ref="Q115">IF($A115="","",XLOOKUP($E115,Settings!$A$19:$A$22,Settings!$G$19:$G$22,0))</f>
        <v>203</v>
      </c>
      <c r="R115" s="12">
        <f t="shared" si="1"/>
        <v>37.5</v>
      </c>
      <c r="S115" s="12">
        <f>IF($A115="","",IF($R115&lt;=0,1,1+$R115/SUMIF($R$4:$R$923,"&gt;0",$R$4:$R$923)*(Settings!$B$5*(Settings!$B$6-Settings!$B$7))))</f>
        <v>5.630144605</v>
      </c>
      <c r="T115" s="12">
        <f t="array" ref="T115">IF($A115="","",XLOOKUP($F115,Settings!$I$15:$I$20,Settings!$J$15:$J$20,1))</f>
        <v>1</v>
      </c>
      <c r="U115" s="12">
        <f>IF($A115="","",1+(($G115-5)/5)*Settings!$J$8)</f>
        <v>1</v>
      </c>
      <c r="V115" s="12">
        <f>IF($A115="","",1+(($H115-5)/5)*Settings!$J$9)</f>
        <v>1.06</v>
      </c>
      <c r="W115" s="12">
        <f t="array" ref="W115">IF($A115="","",XLOOKUP($J115,Lists!$C$3:$C$7,Lists!$D$3:$D$7,1))</f>
        <v>1</v>
      </c>
      <c r="X115" s="12">
        <f>IF($A115="","",IF($I115="Yes",Settings!$J$10,1))</f>
        <v>1</v>
      </c>
      <c r="Y115" s="12">
        <f t="shared" si="2"/>
        <v>6</v>
      </c>
      <c r="Z115" s="12">
        <f>IF($A115="","",IFERROR(ROUND(AVERAGEIFS('Historical Drafts'!$G$4:$G$300,'Historical Drafts'!$D$4:$D$300,$E115,'Historical Drafts'!$J$4:$J$300,"&gt;="&amp;$L115*0.85,'Historical Drafts'!$J$4:$J$300,"&lt;="&amp;$L115*1.15),0),$Y115))</f>
        <v>18</v>
      </c>
      <c r="AA115" s="12" t="str">
        <f>IF($A115="","",IF(COUNTIF('Auction Log'!$B$3:$B$300,$A115)&gt;0,"Sold","Available"))</f>
        <v>Available</v>
      </c>
      <c r="AB115" s="12" t="str">
        <f t="array" ref="AB115">IF($A115="","",IFERROR(XLOOKUP($A115,'Auction Log'!$B$3:$B$300,'Auction Log'!$G$3:$G$300,""),""))</f>
        <v/>
      </c>
      <c r="AC115" s="12" t="str">
        <f t="array" ref="AC115">IF($A115="","",IFERROR(XLOOKUP($A115,'Auction Log'!$B$3:$B$300,'Auction Log'!$F$3:$F$300,""),""))</f>
        <v/>
      </c>
      <c r="AD115" s="12">
        <f t="array" ref="AD115">IF($A115="","",ROUND($Y115*XLOOKUP($F115,Settings!$I$15:$I$20,Settings!$K$15:$K$20,0.4),0))</f>
        <v>2</v>
      </c>
      <c r="AE115" s="12">
        <f t="array" ref="AE115">IF($A115="","",ROUND($Y115*XLOOKUP($F115,Settings!$I$15:$I$20,Settings!$L$15:$L$20,0.8),0))</f>
        <v>4</v>
      </c>
      <c r="AF115" s="12">
        <f t="array" ref="AF115">IF($A115="","",ROUND($Y115*XLOOKUP($F115,Settings!$I$15:$I$20,Settings!$M$15:$M$20,1),0))</f>
        <v>6</v>
      </c>
      <c r="AG115" s="12">
        <f t="array" ref="AG115">IF($A115="","",ROUND($Y115*XLOOKUP($F115,Settings!$I$15:$I$20,Settings!$N$15:$N$20,1.1),0))</f>
        <v>6</v>
      </c>
      <c r="AH115" s="12">
        <f t="array" ref="AH115">IF($A115="","",ROUND($Y115*XLOOKUP($F115,Settings!$I$15:$I$20,Settings!$O$15:$O$20,1.1)*Settings!$J$7,0))</f>
        <v>6</v>
      </c>
      <c r="AI115" s="12">
        <f t="array" ref="AI115">IF($A115="","",IF($AA115="Sold","",MIN($AH115,IFERROR(XLOOKUP(Settings!$B$12,Managers!$B$4:$B$15,Managers!$H$4:$H$15),$AH115))))</f>
        <v>6</v>
      </c>
      <c r="AJ115" s="12" t="str">
        <f t="shared" si="3"/>
        <v>Budget Drainer</v>
      </c>
      <c r="AK115" s="12">
        <f t="shared" si="4"/>
        <v>43</v>
      </c>
      <c r="AL115" s="12" t="str">
        <f t="shared" si="5"/>
        <v/>
      </c>
    </row>
    <row r="116" ht="15.75" customHeight="1">
      <c r="A116" s="10" t="s">
        <v>441</v>
      </c>
      <c r="B116" s="10" t="s">
        <v>625</v>
      </c>
      <c r="C116" s="10" t="s">
        <v>180</v>
      </c>
      <c r="D116" s="10" t="s">
        <v>121</v>
      </c>
      <c r="E116" s="10" t="s">
        <v>121</v>
      </c>
      <c r="F116" s="10" t="s">
        <v>104</v>
      </c>
      <c r="G116" s="10">
        <v>5.0</v>
      </c>
      <c r="H116" s="10">
        <v>7.0</v>
      </c>
      <c r="I116" s="10" t="s">
        <v>2140</v>
      </c>
      <c r="J116" s="10" t="s">
        <v>2136</v>
      </c>
      <c r="K116" s="10"/>
      <c r="L116" s="10">
        <v>238.5</v>
      </c>
      <c r="M116" s="10">
        <v>6.28</v>
      </c>
      <c r="N116" s="10"/>
      <c r="O116" s="10"/>
      <c r="P116" s="12">
        <f>IF($A116="","",IFERROR((IF($O116="",0,$O116)*Settings!$J$4+IF($L116="",0,$L116)*Settings!$J$5+IF($N116="",0,$N116)*Settings!$J$6)/(IF($O116="",0,Settings!$J$4)+IF($L116="",0,Settings!$J$5)+IF($N116="",0,Settings!$J$6)),0))</f>
        <v>238.5</v>
      </c>
      <c r="Q116" s="12">
        <f t="array" ref="Q116">IF($A116="","",XLOOKUP($E116,Settings!$A$19:$A$22,Settings!$G$19:$G$22,0))</f>
        <v>206</v>
      </c>
      <c r="R116" s="12">
        <f t="shared" si="1"/>
        <v>32.5</v>
      </c>
      <c r="S116" s="12">
        <f>IF($A116="","",IF($R116&lt;=0,1,1+$R116/SUMIF($R$4:$R$923,"&gt;0",$R$4:$R$923)*(Settings!$B$5*(Settings!$B$6-Settings!$B$7))))</f>
        <v>5.012791991</v>
      </c>
      <c r="T116" s="12">
        <f t="array" ref="T116">IF($A116="","",XLOOKUP($F116,Settings!$I$15:$I$20,Settings!$J$15:$J$20,1))</f>
        <v>1</v>
      </c>
      <c r="U116" s="12">
        <f>IF($A116="","",1+(($G116-5)/5)*Settings!$J$8)</f>
        <v>1</v>
      </c>
      <c r="V116" s="12">
        <f>IF($A116="","",1+(($H116-5)/5)*Settings!$J$9)</f>
        <v>1.06</v>
      </c>
      <c r="W116" s="12">
        <f t="array" ref="W116">IF($A116="","",XLOOKUP($J116,Lists!$C$3:$C$7,Lists!$D$3:$D$7,1))</f>
        <v>1</v>
      </c>
      <c r="X116" s="12">
        <f>IF($A116="","",IF($I116="Yes",Settings!$J$10,1))</f>
        <v>1</v>
      </c>
      <c r="Y116" s="12">
        <f t="shared" si="2"/>
        <v>5</v>
      </c>
      <c r="Z116" s="12">
        <f>IF($A116="","",IFERROR(ROUND(AVERAGEIFS('Historical Drafts'!$G$4:$G$300,'Historical Drafts'!$D$4:$D$300,$E116,'Historical Drafts'!$J$4:$J$300,"&gt;="&amp;$L116*0.85,'Historical Drafts'!$J$4:$J$300,"&lt;="&amp;$L116*1.15),0),$Y116))</f>
        <v>15</v>
      </c>
      <c r="AA116" s="12" t="str">
        <f>IF($A116="","",IF(COUNTIF('Auction Log'!$B$3:$B$300,$A116)&gt;0,"Sold","Available"))</f>
        <v>Available</v>
      </c>
      <c r="AB116" s="12" t="str">
        <f t="array" ref="AB116">IF($A116="","",IFERROR(XLOOKUP($A116,'Auction Log'!$B$3:$B$300,'Auction Log'!$G$3:$G$300,""),""))</f>
        <v/>
      </c>
      <c r="AC116" s="12" t="str">
        <f t="array" ref="AC116">IF($A116="","",IFERROR(XLOOKUP($A116,'Auction Log'!$B$3:$B$300,'Auction Log'!$F$3:$F$300,""),""))</f>
        <v/>
      </c>
      <c r="AD116" s="12">
        <f t="array" ref="AD116">IF($A116="","",ROUND($Y116*XLOOKUP($F116,Settings!$I$15:$I$20,Settings!$K$15:$K$20,0.4),0))</f>
        <v>2</v>
      </c>
      <c r="AE116" s="12">
        <f t="array" ref="AE116">IF($A116="","",ROUND($Y116*XLOOKUP($F116,Settings!$I$15:$I$20,Settings!$L$15:$L$20,0.8),0))</f>
        <v>4</v>
      </c>
      <c r="AF116" s="12">
        <f t="array" ref="AF116">IF($A116="","",ROUND($Y116*XLOOKUP($F116,Settings!$I$15:$I$20,Settings!$M$15:$M$20,1),0))</f>
        <v>5</v>
      </c>
      <c r="AG116" s="12">
        <f t="array" ref="AG116">IF($A116="","",ROUND($Y116*XLOOKUP($F116,Settings!$I$15:$I$20,Settings!$N$15:$N$20,1.1),0))</f>
        <v>5</v>
      </c>
      <c r="AH116" s="12">
        <f t="array" ref="AH116">IF($A116="","",ROUND($Y116*XLOOKUP($F116,Settings!$I$15:$I$20,Settings!$O$15:$O$20,1.1)*Settings!$J$7,0))</f>
        <v>5</v>
      </c>
      <c r="AI116" s="12">
        <f t="array" ref="AI116">IF($A116="","",IF($AA116="Sold","",MIN($AH116,IFERROR(XLOOKUP(Settings!$B$12,Managers!$B$4:$B$15,Managers!$H$4:$H$15),$AH116))))</f>
        <v>5</v>
      </c>
      <c r="AJ116" s="12" t="str">
        <f t="shared" si="3"/>
        <v>Budget Drainer</v>
      </c>
      <c r="AK116" s="12">
        <f t="shared" si="4"/>
        <v>40</v>
      </c>
      <c r="AL116" s="12" t="str">
        <f t="shared" si="5"/>
        <v/>
      </c>
    </row>
    <row r="117" ht="15.75" customHeight="1">
      <c r="A117" s="10" t="s">
        <v>626</v>
      </c>
      <c r="B117" s="10" t="s">
        <v>627</v>
      </c>
      <c r="C117" s="10" t="s">
        <v>453</v>
      </c>
      <c r="D117" s="10" t="s">
        <v>118</v>
      </c>
      <c r="E117" s="10" t="s">
        <v>118</v>
      </c>
      <c r="F117" s="10" t="s">
        <v>104</v>
      </c>
      <c r="G117" s="10">
        <v>5.0</v>
      </c>
      <c r="H117" s="10">
        <v>7.0</v>
      </c>
      <c r="I117" s="10" t="s">
        <v>2140</v>
      </c>
      <c r="J117" s="10" t="s">
        <v>2136</v>
      </c>
      <c r="K117" s="10"/>
      <c r="L117" s="10">
        <v>238.0</v>
      </c>
      <c r="M117" s="10">
        <v>7.0</v>
      </c>
      <c r="N117" s="10"/>
      <c r="O117" s="10"/>
      <c r="P117" s="12">
        <f>IF($A117="","",IFERROR((IF($O117="",0,$O117)*Settings!$J$4+IF($L117="",0,$L117)*Settings!$J$5+IF($N117="",0,$N117)*Settings!$J$6)/(IF($O117="",0,Settings!$J$4)+IF($L117="",0,Settings!$J$5)+IF($N117="",0,Settings!$J$6)),0))</f>
        <v>238</v>
      </c>
      <c r="Q117" s="12">
        <f t="array" ref="Q117">IF($A117="","",XLOOKUP($E117,Settings!$A$19:$A$22,Settings!$G$19:$G$22,0))</f>
        <v>196.25</v>
      </c>
      <c r="R117" s="12">
        <f t="shared" si="1"/>
        <v>41.75</v>
      </c>
      <c r="S117" s="12">
        <f>IF($A117="","",IF($R117&lt;=0,1,1+$R117/SUMIF($R$4:$R$923,"&gt;0",$R$4:$R$923)*(Settings!$B$5*(Settings!$B$6-Settings!$B$7))))</f>
        <v>6.154894327</v>
      </c>
      <c r="T117" s="12">
        <f t="array" ref="T117">IF($A117="","",XLOOKUP($F117,Settings!$I$15:$I$20,Settings!$J$15:$J$20,1))</f>
        <v>1</v>
      </c>
      <c r="U117" s="12">
        <f>IF($A117="","",1+(($G117-5)/5)*Settings!$J$8)</f>
        <v>1</v>
      </c>
      <c r="V117" s="12">
        <f>IF($A117="","",1+(($H117-5)/5)*Settings!$J$9)</f>
        <v>1.06</v>
      </c>
      <c r="W117" s="12">
        <f t="array" ref="W117">IF($A117="","",XLOOKUP($J117,Lists!$C$3:$C$7,Lists!$D$3:$D$7,1))</f>
        <v>1</v>
      </c>
      <c r="X117" s="12">
        <f>IF($A117="","",IF($I117="Yes",Settings!$J$10,1))</f>
        <v>1</v>
      </c>
      <c r="Y117" s="12">
        <f t="shared" si="2"/>
        <v>7</v>
      </c>
      <c r="Z117" s="12">
        <f>IF($A117="","",IFERROR(ROUND(AVERAGEIFS('Historical Drafts'!$G$4:$G$300,'Historical Drafts'!$D$4:$D$300,$E117,'Historical Drafts'!$J$4:$J$300,"&gt;="&amp;$L117*0.85,'Historical Drafts'!$J$4:$J$300,"&lt;="&amp;$L117*1.15),0),$Y117))</f>
        <v>2</v>
      </c>
      <c r="AA117" s="12" t="str">
        <f>IF($A117="","",IF(COUNTIF('Auction Log'!$B$3:$B$300,$A117)&gt;0,"Sold","Available"))</f>
        <v>Available</v>
      </c>
      <c r="AB117" s="12" t="str">
        <f t="array" ref="AB117">IF($A117="","",IFERROR(XLOOKUP($A117,'Auction Log'!$B$3:$B$300,'Auction Log'!$G$3:$G$300,""),""))</f>
        <v/>
      </c>
      <c r="AC117" s="12" t="str">
        <f t="array" ref="AC117">IF($A117="","",IFERROR(XLOOKUP($A117,'Auction Log'!$B$3:$B$300,'Auction Log'!$F$3:$F$300,""),""))</f>
        <v/>
      </c>
      <c r="AD117" s="12">
        <f t="array" ref="AD117">IF($A117="","",ROUND($Y117*XLOOKUP($F117,Settings!$I$15:$I$20,Settings!$K$15:$K$20,0.4),0))</f>
        <v>2</v>
      </c>
      <c r="AE117" s="12">
        <f t="array" ref="AE117">IF($A117="","",ROUND($Y117*XLOOKUP($F117,Settings!$I$15:$I$20,Settings!$L$15:$L$20,0.8),0))</f>
        <v>5</v>
      </c>
      <c r="AF117" s="12">
        <f t="array" ref="AF117">IF($A117="","",ROUND($Y117*XLOOKUP($F117,Settings!$I$15:$I$20,Settings!$M$15:$M$20,1),0))</f>
        <v>7</v>
      </c>
      <c r="AG117" s="12">
        <f t="array" ref="AG117">IF($A117="","",ROUND($Y117*XLOOKUP($F117,Settings!$I$15:$I$20,Settings!$N$15:$N$20,1.1),0))</f>
        <v>7</v>
      </c>
      <c r="AH117" s="12">
        <f t="array" ref="AH117">IF($A117="","",ROUND($Y117*XLOOKUP($F117,Settings!$I$15:$I$20,Settings!$O$15:$O$20,1.1)*Settings!$J$7,0))</f>
        <v>7</v>
      </c>
      <c r="AI117" s="12">
        <f t="array" ref="AI117">IF($A117="","",IF($AA117="Sold","",MIN($AH117,IFERROR(XLOOKUP(Settings!$B$12,Managers!$B$4:$B$15,Managers!$H$4:$H$15),$AH117))))</f>
        <v>7</v>
      </c>
      <c r="AJ117" s="12" t="str">
        <f t="shared" si="3"/>
        <v>Value Target</v>
      </c>
      <c r="AK117" s="12">
        <f t="shared" si="4"/>
        <v>32</v>
      </c>
      <c r="AL117" s="12" t="str">
        <f t="shared" si="5"/>
        <v/>
      </c>
    </row>
    <row r="118" ht="15.75" customHeight="1">
      <c r="A118" s="10" t="s">
        <v>210</v>
      </c>
      <c r="B118" s="10" t="s">
        <v>211</v>
      </c>
      <c r="C118" s="10" t="s">
        <v>212</v>
      </c>
      <c r="D118" s="10" t="s">
        <v>121</v>
      </c>
      <c r="E118" s="10" t="s">
        <v>121</v>
      </c>
      <c r="F118" s="10" t="s">
        <v>104</v>
      </c>
      <c r="G118" s="10">
        <v>5.0</v>
      </c>
      <c r="H118" s="10">
        <v>7.0</v>
      </c>
      <c r="I118" s="10" t="s">
        <v>2140</v>
      </c>
      <c r="J118" s="10" t="s">
        <v>2136</v>
      </c>
      <c r="K118" s="10"/>
      <c r="L118" s="10">
        <v>238.0</v>
      </c>
      <c r="M118" s="10">
        <v>7.21</v>
      </c>
      <c r="N118" s="10"/>
      <c r="O118" s="10"/>
      <c r="P118" s="12">
        <f>IF($A118="","",IFERROR((IF($O118="",0,$O118)*Settings!$J$4+IF($L118="",0,$L118)*Settings!$J$5+IF($N118="",0,$N118)*Settings!$J$6)/(IF($O118="",0,Settings!$J$4)+IF($L118="",0,Settings!$J$5)+IF($N118="",0,Settings!$J$6)),0))</f>
        <v>238</v>
      </c>
      <c r="Q118" s="12">
        <f t="array" ref="Q118">IF($A118="","",XLOOKUP($E118,Settings!$A$19:$A$22,Settings!$G$19:$G$22,0))</f>
        <v>206</v>
      </c>
      <c r="R118" s="12">
        <f t="shared" si="1"/>
        <v>32</v>
      </c>
      <c r="S118" s="12">
        <f>IF($A118="","",IF($R118&lt;=0,1,1+$R118/SUMIF($R$4:$R$923,"&gt;0",$R$4:$R$923)*(Settings!$B$5*(Settings!$B$6-Settings!$B$7))))</f>
        <v>4.95105673</v>
      </c>
      <c r="T118" s="12">
        <f t="array" ref="T118">IF($A118="","",XLOOKUP($F118,Settings!$I$15:$I$20,Settings!$J$15:$J$20,1))</f>
        <v>1</v>
      </c>
      <c r="U118" s="12">
        <f>IF($A118="","",1+(($G118-5)/5)*Settings!$J$8)</f>
        <v>1</v>
      </c>
      <c r="V118" s="12">
        <f>IF($A118="","",1+(($H118-5)/5)*Settings!$J$9)</f>
        <v>1.06</v>
      </c>
      <c r="W118" s="12">
        <f t="array" ref="W118">IF($A118="","",XLOOKUP($J118,Lists!$C$3:$C$7,Lists!$D$3:$D$7,1))</f>
        <v>1</v>
      </c>
      <c r="X118" s="12">
        <f>IF($A118="","",IF($I118="Yes",Settings!$J$10,1))</f>
        <v>1</v>
      </c>
      <c r="Y118" s="12">
        <f t="shared" si="2"/>
        <v>5</v>
      </c>
      <c r="Z118" s="12">
        <f>IF($A118="","",IFERROR(ROUND(AVERAGEIFS('Historical Drafts'!$G$4:$G$300,'Historical Drafts'!$D$4:$D$300,$E118,'Historical Drafts'!$J$4:$J$300,"&gt;="&amp;$L118*0.85,'Historical Drafts'!$J$4:$J$300,"&lt;="&amp;$L118*1.15),0),$Y118))</f>
        <v>15</v>
      </c>
      <c r="AA118" s="12" t="str">
        <f>IF($A118="","",IF(COUNTIF('Auction Log'!$B$3:$B$300,$A118)&gt;0,"Sold","Available"))</f>
        <v>Available</v>
      </c>
      <c r="AB118" s="12" t="str">
        <f t="array" ref="AB118">IF($A118="","",IFERROR(XLOOKUP($A118,'Auction Log'!$B$3:$B$300,'Auction Log'!$G$3:$G$300,""),""))</f>
        <v/>
      </c>
      <c r="AC118" s="12" t="str">
        <f t="array" ref="AC118">IF($A118="","",IFERROR(XLOOKUP($A118,'Auction Log'!$B$3:$B$300,'Auction Log'!$F$3:$F$300,""),""))</f>
        <v/>
      </c>
      <c r="AD118" s="12">
        <f t="array" ref="AD118">IF($A118="","",ROUND($Y118*XLOOKUP($F118,Settings!$I$15:$I$20,Settings!$K$15:$K$20,0.4),0))</f>
        <v>2</v>
      </c>
      <c r="AE118" s="12">
        <f t="array" ref="AE118">IF($A118="","",ROUND($Y118*XLOOKUP($F118,Settings!$I$15:$I$20,Settings!$L$15:$L$20,0.8),0))</f>
        <v>4</v>
      </c>
      <c r="AF118" s="12">
        <f t="array" ref="AF118">IF($A118="","",ROUND($Y118*XLOOKUP($F118,Settings!$I$15:$I$20,Settings!$M$15:$M$20,1),0))</f>
        <v>5</v>
      </c>
      <c r="AG118" s="12">
        <f t="array" ref="AG118">IF($A118="","",ROUND($Y118*XLOOKUP($F118,Settings!$I$15:$I$20,Settings!$N$15:$N$20,1.1),0))</f>
        <v>5</v>
      </c>
      <c r="AH118" s="12">
        <f t="array" ref="AH118">IF($A118="","",ROUND($Y118*XLOOKUP($F118,Settings!$I$15:$I$20,Settings!$O$15:$O$20,1.1)*Settings!$J$7,0))</f>
        <v>5</v>
      </c>
      <c r="AI118" s="12">
        <f t="array" ref="AI118">IF($A118="","",IF($AA118="Sold","",MIN($AH118,IFERROR(XLOOKUP(Settings!$B$12,Managers!$B$4:$B$15,Managers!$H$4:$H$15),$AH118))))</f>
        <v>5</v>
      </c>
      <c r="AJ118" s="12" t="str">
        <f t="shared" si="3"/>
        <v>Budget Drainer</v>
      </c>
      <c r="AK118" s="12">
        <f t="shared" si="4"/>
        <v>40</v>
      </c>
      <c r="AL118" s="12" t="str">
        <f t="shared" si="5"/>
        <v/>
      </c>
    </row>
    <row r="119" ht="15.75" customHeight="1">
      <c r="A119" s="10" t="s">
        <v>628</v>
      </c>
      <c r="B119" s="10" t="s">
        <v>629</v>
      </c>
      <c r="C119" s="10" t="s">
        <v>231</v>
      </c>
      <c r="D119" s="10" t="s">
        <v>121</v>
      </c>
      <c r="E119" s="10" t="s">
        <v>121</v>
      </c>
      <c r="F119" s="10" t="s">
        <v>104</v>
      </c>
      <c r="G119" s="10">
        <v>5.0</v>
      </c>
      <c r="H119" s="10">
        <v>7.0</v>
      </c>
      <c r="I119" s="10" t="s">
        <v>2140</v>
      </c>
      <c r="J119" s="10" t="s">
        <v>2136</v>
      </c>
      <c r="K119" s="10"/>
      <c r="L119" s="10">
        <v>237.5</v>
      </c>
      <c r="M119" s="10">
        <v>7.42</v>
      </c>
      <c r="N119" s="10"/>
      <c r="O119" s="10"/>
      <c r="P119" s="12">
        <f>IF($A119="","",IFERROR((IF($O119="",0,$O119)*Settings!$J$4+IF($L119="",0,$L119)*Settings!$J$5+IF($N119="",0,$N119)*Settings!$J$6)/(IF($O119="",0,Settings!$J$4)+IF($L119="",0,Settings!$J$5)+IF($N119="",0,Settings!$J$6)),0))</f>
        <v>237.5</v>
      </c>
      <c r="Q119" s="12">
        <f t="array" ref="Q119">IF($A119="","",XLOOKUP($E119,Settings!$A$19:$A$22,Settings!$G$19:$G$22,0))</f>
        <v>206</v>
      </c>
      <c r="R119" s="12">
        <f t="shared" si="1"/>
        <v>31.5</v>
      </c>
      <c r="S119" s="12">
        <f>IF($A119="","",IF($R119&lt;=0,1,1+$R119/SUMIF($R$4:$R$923,"&gt;0",$R$4:$R$923)*(Settings!$B$5*(Settings!$B$6-Settings!$B$7))))</f>
        <v>4.889321468</v>
      </c>
      <c r="T119" s="12">
        <f t="array" ref="T119">IF($A119="","",XLOOKUP($F119,Settings!$I$15:$I$20,Settings!$J$15:$J$20,1))</f>
        <v>1</v>
      </c>
      <c r="U119" s="12">
        <f>IF($A119="","",1+(($G119-5)/5)*Settings!$J$8)</f>
        <v>1</v>
      </c>
      <c r="V119" s="12">
        <f>IF($A119="","",1+(($H119-5)/5)*Settings!$J$9)</f>
        <v>1.06</v>
      </c>
      <c r="W119" s="12">
        <f t="array" ref="W119">IF($A119="","",XLOOKUP($J119,Lists!$C$3:$C$7,Lists!$D$3:$D$7,1))</f>
        <v>1</v>
      </c>
      <c r="X119" s="12">
        <f>IF($A119="","",IF($I119="Yes",Settings!$J$10,1))</f>
        <v>1</v>
      </c>
      <c r="Y119" s="12">
        <f t="shared" si="2"/>
        <v>5</v>
      </c>
      <c r="Z119" s="12">
        <f>IF($A119="","",IFERROR(ROUND(AVERAGEIFS('Historical Drafts'!$G$4:$G$300,'Historical Drafts'!$D$4:$D$300,$E119,'Historical Drafts'!$J$4:$J$300,"&gt;="&amp;$L119*0.85,'Historical Drafts'!$J$4:$J$300,"&lt;="&amp;$L119*1.15),0),$Y119))</f>
        <v>15</v>
      </c>
      <c r="AA119" s="12" t="str">
        <f>IF($A119="","",IF(COUNTIF('Auction Log'!$B$3:$B$300,$A119)&gt;0,"Sold","Available"))</f>
        <v>Available</v>
      </c>
      <c r="AB119" s="12" t="str">
        <f t="array" ref="AB119">IF($A119="","",IFERROR(XLOOKUP($A119,'Auction Log'!$B$3:$B$300,'Auction Log'!$G$3:$G$300,""),""))</f>
        <v/>
      </c>
      <c r="AC119" s="12" t="str">
        <f t="array" ref="AC119">IF($A119="","",IFERROR(XLOOKUP($A119,'Auction Log'!$B$3:$B$300,'Auction Log'!$F$3:$F$300,""),""))</f>
        <v/>
      </c>
      <c r="AD119" s="12">
        <f t="array" ref="AD119">IF($A119="","",ROUND($Y119*XLOOKUP($F119,Settings!$I$15:$I$20,Settings!$K$15:$K$20,0.4),0))</f>
        <v>2</v>
      </c>
      <c r="AE119" s="12">
        <f t="array" ref="AE119">IF($A119="","",ROUND($Y119*XLOOKUP($F119,Settings!$I$15:$I$20,Settings!$L$15:$L$20,0.8),0))</f>
        <v>4</v>
      </c>
      <c r="AF119" s="12">
        <f t="array" ref="AF119">IF($A119="","",ROUND($Y119*XLOOKUP($F119,Settings!$I$15:$I$20,Settings!$M$15:$M$20,1),0))</f>
        <v>5</v>
      </c>
      <c r="AG119" s="12">
        <f t="array" ref="AG119">IF($A119="","",ROUND($Y119*XLOOKUP($F119,Settings!$I$15:$I$20,Settings!$N$15:$N$20,1.1),0))</f>
        <v>5</v>
      </c>
      <c r="AH119" s="12">
        <f t="array" ref="AH119">IF($A119="","",ROUND($Y119*XLOOKUP($F119,Settings!$I$15:$I$20,Settings!$O$15:$O$20,1.1)*Settings!$J$7,0))</f>
        <v>5</v>
      </c>
      <c r="AI119" s="12">
        <f t="array" ref="AI119">IF($A119="","",IF($AA119="Sold","",MIN($AH119,IFERROR(XLOOKUP(Settings!$B$12,Managers!$B$4:$B$15,Managers!$H$4:$H$15),$AH119))))</f>
        <v>5</v>
      </c>
      <c r="AJ119" s="12" t="str">
        <f t="shared" si="3"/>
        <v>Budget Drainer</v>
      </c>
      <c r="AK119" s="12">
        <f t="shared" si="4"/>
        <v>40</v>
      </c>
      <c r="AL119" s="12" t="str">
        <f t="shared" si="5"/>
        <v/>
      </c>
    </row>
    <row r="120" ht="15.75" customHeight="1">
      <c r="A120" s="10" t="s">
        <v>630</v>
      </c>
      <c r="B120" s="10" t="s">
        <v>631</v>
      </c>
      <c r="C120" s="10" t="s">
        <v>285</v>
      </c>
      <c r="D120" s="10" t="s">
        <v>123</v>
      </c>
      <c r="E120" s="10" t="s">
        <v>123</v>
      </c>
      <c r="F120" s="10" t="s">
        <v>104</v>
      </c>
      <c r="G120" s="10">
        <v>5.0</v>
      </c>
      <c r="H120" s="10">
        <v>7.0</v>
      </c>
      <c r="I120" s="10" t="s">
        <v>2140</v>
      </c>
      <c r="J120" s="10" t="s">
        <v>2136</v>
      </c>
      <c r="K120" s="10"/>
      <c r="L120" s="10">
        <v>235.0</v>
      </c>
      <c r="M120" s="10">
        <v>7.12</v>
      </c>
      <c r="N120" s="10"/>
      <c r="O120" s="10"/>
      <c r="P120" s="12">
        <f>IF($A120="","",IFERROR((IF($O120="",0,$O120)*Settings!$J$4+IF($L120="",0,$L120)*Settings!$J$5+IF($N120="",0,$N120)*Settings!$J$6)/(IF($O120="",0,Settings!$J$4)+IF($L120="",0,Settings!$J$5)+IF($N120="",0,Settings!$J$6)),0))</f>
        <v>235</v>
      </c>
      <c r="Q120" s="12">
        <f t="array" ref="Q120">IF($A120="","",XLOOKUP($E120,Settings!$A$19:$A$22,Settings!$G$19:$G$22,0))</f>
        <v>203</v>
      </c>
      <c r="R120" s="12">
        <f t="shared" si="1"/>
        <v>32</v>
      </c>
      <c r="S120" s="12">
        <f>IF($A120="","",IF($R120&lt;=0,1,1+$R120/SUMIF($R$4:$R$923,"&gt;0",$R$4:$R$923)*(Settings!$B$5*(Settings!$B$6-Settings!$B$7))))</f>
        <v>4.95105673</v>
      </c>
      <c r="T120" s="12">
        <f t="array" ref="T120">IF($A120="","",XLOOKUP($F120,Settings!$I$15:$I$20,Settings!$J$15:$J$20,1))</f>
        <v>1</v>
      </c>
      <c r="U120" s="12">
        <f>IF($A120="","",1+(($G120-5)/5)*Settings!$J$8)</f>
        <v>1</v>
      </c>
      <c r="V120" s="12">
        <f>IF($A120="","",1+(($H120-5)/5)*Settings!$J$9)</f>
        <v>1.06</v>
      </c>
      <c r="W120" s="12">
        <f t="array" ref="W120">IF($A120="","",XLOOKUP($J120,Lists!$C$3:$C$7,Lists!$D$3:$D$7,1))</f>
        <v>1</v>
      </c>
      <c r="X120" s="12">
        <f>IF($A120="","",IF($I120="Yes",Settings!$J$10,1))</f>
        <v>1</v>
      </c>
      <c r="Y120" s="12">
        <f t="shared" si="2"/>
        <v>5</v>
      </c>
      <c r="Z120" s="12">
        <f>IF($A120="","",IFERROR(ROUND(AVERAGEIFS('Historical Drafts'!$G$4:$G$300,'Historical Drafts'!$D$4:$D$300,$E120,'Historical Drafts'!$J$4:$J$300,"&gt;="&amp;$L120*0.85,'Historical Drafts'!$J$4:$J$300,"&lt;="&amp;$L120*1.15),0),$Y120))</f>
        <v>14</v>
      </c>
      <c r="AA120" s="12" t="str">
        <f>IF($A120="","",IF(COUNTIF('Auction Log'!$B$3:$B$300,$A120)&gt;0,"Sold","Available"))</f>
        <v>Available</v>
      </c>
      <c r="AB120" s="12" t="str">
        <f t="array" ref="AB120">IF($A120="","",IFERROR(XLOOKUP($A120,'Auction Log'!$B$3:$B$300,'Auction Log'!$G$3:$G$300,""),""))</f>
        <v/>
      </c>
      <c r="AC120" s="12" t="str">
        <f t="array" ref="AC120">IF($A120="","",IFERROR(XLOOKUP($A120,'Auction Log'!$B$3:$B$300,'Auction Log'!$F$3:$F$300,""),""))</f>
        <v/>
      </c>
      <c r="AD120" s="12">
        <f t="array" ref="AD120">IF($A120="","",ROUND($Y120*XLOOKUP($F120,Settings!$I$15:$I$20,Settings!$K$15:$K$20,0.4),0))</f>
        <v>2</v>
      </c>
      <c r="AE120" s="12">
        <f t="array" ref="AE120">IF($A120="","",ROUND($Y120*XLOOKUP($F120,Settings!$I$15:$I$20,Settings!$L$15:$L$20,0.8),0))</f>
        <v>4</v>
      </c>
      <c r="AF120" s="12">
        <f t="array" ref="AF120">IF($A120="","",ROUND($Y120*XLOOKUP($F120,Settings!$I$15:$I$20,Settings!$M$15:$M$20,1),0))</f>
        <v>5</v>
      </c>
      <c r="AG120" s="12">
        <f t="array" ref="AG120">IF($A120="","",ROUND($Y120*XLOOKUP($F120,Settings!$I$15:$I$20,Settings!$N$15:$N$20,1.1),0))</f>
        <v>5</v>
      </c>
      <c r="AH120" s="12">
        <f t="array" ref="AH120">IF($A120="","",ROUND($Y120*XLOOKUP($F120,Settings!$I$15:$I$20,Settings!$O$15:$O$20,1.1)*Settings!$J$7,0))</f>
        <v>5</v>
      </c>
      <c r="AI120" s="12">
        <f t="array" ref="AI120">IF($A120="","",IF($AA120="Sold","",MIN($AH120,IFERROR(XLOOKUP(Settings!$B$12,Managers!$B$4:$B$15,Managers!$H$4:$H$15),$AH120))))</f>
        <v>5</v>
      </c>
      <c r="AJ120" s="12" t="str">
        <f t="shared" si="3"/>
        <v>Budget Drainer</v>
      </c>
      <c r="AK120" s="12">
        <f t="shared" si="4"/>
        <v>39</v>
      </c>
      <c r="AL120" s="12" t="str">
        <f t="shared" si="5"/>
        <v/>
      </c>
    </row>
    <row r="121" ht="15.75" customHeight="1">
      <c r="A121" s="10" t="s">
        <v>632</v>
      </c>
      <c r="B121" s="10" t="s">
        <v>633</v>
      </c>
      <c r="C121" s="10" t="s">
        <v>185</v>
      </c>
      <c r="D121" s="10" t="s">
        <v>118</v>
      </c>
      <c r="E121" s="10" t="s">
        <v>118</v>
      </c>
      <c r="F121" s="10" t="s">
        <v>104</v>
      </c>
      <c r="G121" s="10">
        <v>5.0</v>
      </c>
      <c r="H121" s="10">
        <v>7.0</v>
      </c>
      <c r="I121" s="10" t="s">
        <v>2140</v>
      </c>
      <c r="J121" s="10" t="s">
        <v>2136</v>
      </c>
      <c r="K121" s="10"/>
      <c r="L121" s="10">
        <v>234.5</v>
      </c>
      <c r="M121" s="10">
        <v>6.17</v>
      </c>
      <c r="N121" s="10"/>
      <c r="O121" s="10"/>
      <c r="P121" s="12">
        <f>IF($A121="","",IFERROR((IF($O121="",0,$O121)*Settings!$J$4+IF($L121="",0,$L121)*Settings!$J$5+IF($N121="",0,$N121)*Settings!$J$6)/(IF($O121="",0,Settings!$J$4)+IF($L121="",0,Settings!$J$5)+IF($N121="",0,Settings!$J$6)),0))</f>
        <v>234.5</v>
      </c>
      <c r="Q121" s="12">
        <f t="array" ref="Q121">IF($A121="","",XLOOKUP($E121,Settings!$A$19:$A$22,Settings!$G$19:$G$22,0))</f>
        <v>196.25</v>
      </c>
      <c r="R121" s="12">
        <f t="shared" si="1"/>
        <v>38.25</v>
      </c>
      <c r="S121" s="12">
        <f>IF($A121="","",IF($R121&lt;=0,1,1+$R121/SUMIF($R$4:$R$923,"&gt;0",$R$4:$R$923)*(Settings!$B$5*(Settings!$B$6-Settings!$B$7))))</f>
        <v>5.722747497</v>
      </c>
      <c r="T121" s="12">
        <f t="array" ref="T121">IF($A121="","",XLOOKUP($F121,Settings!$I$15:$I$20,Settings!$J$15:$J$20,1))</f>
        <v>1</v>
      </c>
      <c r="U121" s="12">
        <f>IF($A121="","",1+(($G121-5)/5)*Settings!$J$8)</f>
        <v>1</v>
      </c>
      <c r="V121" s="12">
        <f>IF($A121="","",1+(($H121-5)/5)*Settings!$J$9)</f>
        <v>1.06</v>
      </c>
      <c r="W121" s="12">
        <f t="array" ref="W121">IF($A121="","",XLOOKUP($J121,Lists!$C$3:$C$7,Lists!$D$3:$D$7,1))</f>
        <v>1</v>
      </c>
      <c r="X121" s="12">
        <f>IF($A121="","",IF($I121="Yes",Settings!$J$10,1))</f>
        <v>1</v>
      </c>
      <c r="Y121" s="12">
        <f t="shared" si="2"/>
        <v>6</v>
      </c>
      <c r="Z121" s="12">
        <f>IF($A121="","",IFERROR(ROUND(AVERAGEIFS('Historical Drafts'!$G$4:$G$300,'Historical Drafts'!$D$4:$D$300,$E121,'Historical Drafts'!$J$4:$J$300,"&gt;="&amp;$L121*0.85,'Historical Drafts'!$J$4:$J$300,"&lt;="&amp;$L121*1.15),0),$Y121))</f>
        <v>2</v>
      </c>
      <c r="AA121" s="12" t="str">
        <f>IF($A121="","",IF(COUNTIF('Auction Log'!$B$3:$B$300,$A121)&gt;0,"Sold","Available"))</f>
        <v>Available</v>
      </c>
      <c r="AB121" s="12" t="str">
        <f t="array" ref="AB121">IF($A121="","",IFERROR(XLOOKUP($A121,'Auction Log'!$B$3:$B$300,'Auction Log'!$G$3:$G$300,""),""))</f>
        <v/>
      </c>
      <c r="AC121" s="12" t="str">
        <f t="array" ref="AC121">IF($A121="","",IFERROR(XLOOKUP($A121,'Auction Log'!$B$3:$B$300,'Auction Log'!$F$3:$F$300,""),""))</f>
        <v/>
      </c>
      <c r="AD121" s="12">
        <f t="array" ref="AD121">IF($A121="","",ROUND($Y121*XLOOKUP($F121,Settings!$I$15:$I$20,Settings!$K$15:$K$20,0.4),0))</f>
        <v>2</v>
      </c>
      <c r="AE121" s="12">
        <f t="array" ref="AE121">IF($A121="","",ROUND($Y121*XLOOKUP($F121,Settings!$I$15:$I$20,Settings!$L$15:$L$20,0.8),0))</f>
        <v>4</v>
      </c>
      <c r="AF121" s="12">
        <f t="array" ref="AF121">IF($A121="","",ROUND($Y121*XLOOKUP($F121,Settings!$I$15:$I$20,Settings!$M$15:$M$20,1),0))</f>
        <v>6</v>
      </c>
      <c r="AG121" s="12">
        <f t="array" ref="AG121">IF($A121="","",ROUND($Y121*XLOOKUP($F121,Settings!$I$15:$I$20,Settings!$N$15:$N$20,1.1),0))</f>
        <v>6</v>
      </c>
      <c r="AH121" s="12">
        <f t="array" ref="AH121">IF($A121="","",ROUND($Y121*XLOOKUP($F121,Settings!$I$15:$I$20,Settings!$O$15:$O$20,1.1)*Settings!$J$7,0))</f>
        <v>6</v>
      </c>
      <c r="AI121" s="12">
        <f t="array" ref="AI121">IF($A121="","",IF($AA121="Sold","",MIN($AH121,IFERROR(XLOOKUP(Settings!$B$12,Managers!$B$4:$B$15,Managers!$H$4:$H$15),$AH121))))</f>
        <v>6</v>
      </c>
      <c r="AJ121" s="12" t="str">
        <f t="shared" si="3"/>
        <v>Value Target</v>
      </c>
      <c r="AK121" s="12">
        <f t="shared" si="4"/>
        <v>31</v>
      </c>
      <c r="AL121" s="12" t="str">
        <f t="shared" si="5"/>
        <v/>
      </c>
    </row>
    <row r="122" ht="15.75" customHeight="1">
      <c r="A122" s="10" t="s">
        <v>634</v>
      </c>
      <c r="B122" s="10" t="s">
        <v>635</v>
      </c>
      <c r="C122" s="10" t="s">
        <v>453</v>
      </c>
      <c r="D122" s="10" t="s">
        <v>123</v>
      </c>
      <c r="E122" s="10" t="s">
        <v>123</v>
      </c>
      <c r="F122" s="10" t="s">
        <v>104</v>
      </c>
      <c r="G122" s="10">
        <v>5.0</v>
      </c>
      <c r="H122" s="10">
        <v>7.0</v>
      </c>
      <c r="I122" s="10" t="s">
        <v>2140</v>
      </c>
      <c r="J122" s="10" t="s">
        <v>2136</v>
      </c>
      <c r="K122" s="10"/>
      <c r="L122" s="10">
        <v>233.5</v>
      </c>
      <c r="M122" s="10">
        <v>8.34</v>
      </c>
      <c r="N122" s="10"/>
      <c r="O122" s="10"/>
      <c r="P122" s="12">
        <f>IF($A122="","",IFERROR((IF($O122="",0,$O122)*Settings!$J$4+IF($L122="",0,$L122)*Settings!$J$5+IF($N122="",0,$N122)*Settings!$J$6)/(IF($O122="",0,Settings!$J$4)+IF($L122="",0,Settings!$J$5)+IF($N122="",0,Settings!$J$6)),0))</f>
        <v>233.5</v>
      </c>
      <c r="Q122" s="12">
        <f t="array" ref="Q122">IF($A122="","",XLOOKUP($E122,Settings!$A$19:$A$22,Settings!$G$19:$G$22,0))</f>
        <v>203</v>
      </c>
      <c r="R122" s="12">
        <f t="shared" si="1"/>
        <v>30.5</v>
      </c>
      <c r="S122" s="12">
        <f>IF($A122="","",IF($R122&lt;=0,1,1+$R122/SUMIF($R$4:$R$923,"&gt;0",$R$4:$R$923)*(Settings!$B$5*(Settings!$B$6-Settings!$B$7))))</f>
        <v>4.765850945</v>
      </c>
      <c r="T122" s="12">
        <f t="array" ref="T122">IF($A122="","",XLOOKUP($F122,Settings!$I$15:$I$20,Settings!$J$15:$J$20,1))</f>
        <v>1</v>
      </c>
      <c r="U122" s="12">
        <f>IF($A122="","",1+(($G122-5)/5)*Settings!$J$8)</f>
        <v>1</v>
      </c>
      <c r="V122" s="12">
        <f>IF($A122="","",1+(($H122-5)/5)*Settings!$J$9)</f>
        <v>1.06</v>
      </c>
      <c r="W122" s="12">
        <f t="array" ref="W122">IF($A122="","",XLOOKUP($J122,Lists!$C$3:$C$7,Lists!$D$3:$D$7,1))</f>
        <v>1</v>
      </c>
      <c r="X122" s="12">
        <f>IF($A122="","",IF($I122="Yes",Settings!$J$10,1))</f>
        <v>1</v>
      </c>
      <c r="Y122" s="12">
        <f t="shared" si="2"/>
        <v>5</v>
      </c>
      <c r="Z122" s="12">
        <f>IF($A122="","",IFERROR(ROUND(AVERAGEIFS('Historical Drafts'!$G$4:$G$300,'Historical Drafts'!$D$4:$D$300,$E122,'Historical Drafts'!$J$4:$J$300,"&gt;="&amp;$L122*0.85,'Historical Drafts'!$J$4:$J$300,"&lt;="&amp;$L122*1.15),0),$Y122))</f>
        <v>14</v>
      </c>
      <c r="AA122" s="12" t="str">
        <f>IF($A122="","",IF(COUNTIF('Auction Log'!$B$3:$B$300,$A122)&gt;0,"Sold","Available"))</f>
        <v>Available</v>
      </c>
      <c r="AB122" s="12" t="str">
        <f t="array" ref="AB122">IF($A122="","",IFERROR(XLOOKUP($A122,'Auction Log'!$B$3:$B$300,'Auction Log'!$G$3:$G$300,""),""))</f>
        <v/>
      </c>
      <c r="AC122" s="12" t="str">
        <f t="array" ref="AC122">IF($A122="","",IFERROR(XLOOKUP($A122,'Auction Log'!$B$3:$B$300,'Auction Log'!$F$3:$F$300,""),""))</f>
        <v/>
      </c>
      <c r="AD122" s="12">
        <f t="array" ref="AD122">IF($A122="","",ROUND($Y122*XLOOKUP($F122,Settings!$I$15:$I$20,Settings!$K$15:$K$20,0.4),0))</f>
        <v>2</v>
      </c>
      <c r="AE122" s="12">
        <f t="array" ref="AE122">IF($A122="","",ROUND($Y122*XLOOKUP($F122,Settings!$I$15:$I$20,Settings!$L$15:$L$20,0.8),0))</f>
        <v>4</v>
      </c>
      <c r="AF122" s="12">
        <f t="array" ref="AF122">IF($A122="","",ROUND($Y122*XLOOKUP($F122,Settings!$I$15:$I$20,Settings!$M$15:$M$20,1),0))</f>
        <v>5</v>
      </c>
      <c r="AG122" s="12">
        <f t="array" ref="AG122">IF($A122="","",ROUND($Y122*XLOOKUP($F122,Settings!$I$15:$I$20,Settings!$N$15:$N$20,1.1),0))</f>
        <v>5</v>
      </c>
      <c r="AH122" s="12">
        <f t="array" ref="AH122">IF($A122="","",ROUND($Y122*XLOOKUP($F122,Settings!$I$15:$I$20,Settings!$O$15:$O$20,1.1)*Settings!$J$7,0))</f>
        <v>5</v>
      </c>
      <c r="AI122" s="12">
        <f t="array" ref="AI122">IF($A122="","",IF($AA122="Sold","",MIN($AH122,IFERROR(XLOOKUP(Settings!$B$12,Managers!$B$4:$B$15,Managers!$H$4:$H$15),$AH122))))</f>
        <v>5</v>
      </c>
      <c r="AJ122" s="12" t="str">
        <f t="shared" si="3"/>
        <v>Budget Drainer</v>
      </c>
      <c r="AK122" s="12">
        <f t="shared" si="4"/>
        <v>39</v>
      </c>
      <c r="AL122" s="12" t="str">
        <f t="shared" si="5"/>
        <v/>
      </c>
    </row>
    <row r="123" ht="15.75" customHeight="1">
      <c r="A123" s="10" t="s">
        <v>636</v>
      </c>
      <c r="B123" s="10" t="s">
        <v>637</v>
      </c>
      <c r="C123" s="10" t="s">
        <v>236</v>
      </c>
      <c r="D123" s="10" t="s">
        <v>123</v>
      </c>
      <c r="E123" s="10" t="s">
        <v>123</v>
      </c>
      <c r="F123" s="10" t="s">
        <v>104</v>
      </c>
      <c r="G123" s="10">
        <v>5.0</v>
      </c>
      <c r="H123" s="10">
        <v>7.0</v>
      </c>
      <c r="I123" s="10" t="s">
        <v>2140</v>
      </c>
      <c r="J123" s="10" t="s">
        <v>2136</v>
      </c>
      <c r="K123" s="10"/>
      <c r="L123" s="10">
        <v>233.0</v>
      </c>
      <c r="M123" s="10">
        <v>6.3</v>
      </c>
      <c r="N123" s="10"/>
      <c r="O123" s="10"/>
      <c r="P123" s="12">
        <f>IF($A123="","",IFERROR((IF($O123="",0,$O123)*Settings!$J$4+IF($L123="",0,$L123)*Settings!$J$5+IF($N123="",0,$N123)*Settings!$J$6)/(IF($O123="",0,Settings!$J$4)+IF($L123="",0,Settings!$J$5)+IF($N123="",0,Settings!$J$6)),0))</f>
        <v>233</v>
      </c>
      <c r="Q123" s="12">
        <f t="array" ref="Q123">IF($A123="","",XLOOKUP($E123,Settings!$A$19:$A$22,Settings!$G$19:$G$22,0))</f>
        <v>203</v>
      </c>
      <c r="R123" s="12">
        <f t="shared" si="1"/>
        <v>30</v>
      </c>
      <c r="S123" s="12">
        <f>IF($A123="","",IF($R123&lt;=0,1,1+$R123/SUMIF($R$4:$R$923,"&gt;0",$R$4:$R$923)*(Settings!$B$5*(Settings!$B$6-Settings!$B$7))))</f>
        <v>4.704115684</v>
      </c>
      <c r="T123" s="12">
        <f t="array" ref="T123">IF($A123="","",XLOOKUP($F123,Settings!$I$15:$I$20,Settings!$J$15:$J$20,1))</f>
        <v>1</v>
      </c>
      <c r="U123" s="12">
        <f>IF($A123="","",1+(($G123-5)/5)*Settings!$J$8)</f>
        <v>1</v>
      </c>
      <c r="V123" s="12">
        <f>IF($A123="","",1+(($H123-5)/5)*Settings!$J$9)</f>
        <v>1.06</v>
      </c>
      <c r="W123" s="12">
        <f t="array" ref="W123">IF($A123="","",XLOOKUP($J123,Lists!$C$3:$C$7,Lists!$D$3:$D$7,1))</f>
        <v>1</v>
      </c>
      <c r="X123" s="12">
        <f>IF($A123="","",IF($I123="Yes",Settings!$J$10,1))</f>
        <v>1</v>
      </c>
      <c r="Y123" s="12">
        <f t="shared" si="2"/>
        <v>5</v>
      </c>
      <c r="Z123" s="12">
        <f>IF($A123="","",IFERROR(ROUND(AVERAGEIFS('Historical Drafts'!$G$4:$G$300,'Historical Drafts'!$D$4:$D$300,$E123,'Historical Drafts'!$J$4:$J$300,"&gt;="&amp;$L123*0.85,'Historical Drafts'!$J$4:$J$300,"&lt;="&amp;$L123*1.15),0),$Y123))</f>
        <v>14</v>
      </c>
      <c r="AA123" s="12" t="str">
        <f>IF($A123="","",IF(COUNTIF('Auction Log'!$B$3:$B$300,$A123)&gt;0,"Sold","Available"))</f>
        <v>Available</v>
      </c>
      <c r="AB123" s="12" t="str">
        <f t="array" ref="AB123">IF($A123="","",IFERROR(XLOOKUP($A123,'Auction Log'!$B$3:$B$300,'Auction Log'!$G$3:$G$300,""),""))</f>
        <v/>
      </c>
      <c r="AC123" s="12" t="str">
        <f t="array" ref="AC123">IF($A123="","",IFERROR(XLOOKUP($A123,'Auction Log'!$B$3:$B$300,'Auction Log'!$F$3:$F$300,""),""))</f>
        <v/>
      </c>
      <c r="AD123" s="12">
        <f t="array" ref="AD123">IF($A123="","",ROUND($Y123*XLOOKUP($F123,Settings!$I$15:$I$20,Settings!$K$15:$K$20,0.4),0))</f>
        <v>2</v>
      </c>
      <c r="AE123" s="12">
        <f t="array" ref="AE123">IF($A123="","",ROUND($Y123*XLOOKUP($F123,Settings!$I$15:$I$20,Settings!$L$15:$L$20,0.8),0))</f>
        <v>4</v>
      </c>
      <c r="AF123" s="12">
        <f t="array" ref="AF123">IF($A123="","",ROUND($Y123*XLOOKUP($F123,Settings!$I$15:$I$20,Settings!$M$15:$M$20,1),0))</f>
        <v>5</v>
      </c>
      <c r="AG123" s="12">
        <f t="array" ref="AG123">IF($A123="","",ROUND($Y123*XLOOKUP($F123,Settings!$I$15:$I$20,Settings!$N$15:$N$20,1.1),0))</f>
        <v>5</v>
      </c>
      <c r="AH123" s="12">
        <f t="array" ref="AH123">IF($A123="","",ROUND($Y123*XLOOKUP($F123,Settings!$I$15:$I$20,Settings!$O$15:$O$20,1.1)*Settings!$J$7,0))</f>
        <v>5</v>
      </c>
      <c r="AI123" s="12">
        <f t="array" ref="AI123">IF($A123="","",IF($AA123="Sold","",MIN($AH123,IFERROR(XLOOKUP(Settings!$B$12,Managers!$B$4:$B$15,Managers!$H$4:$H$15),$AH123))))</f>
        <v>5</v>
      </c>
      <c r="AJ123" s="12" t="str">
        <f t="shared" si="3"/>
        <v>Budget Drainer</v>
      </c>
      <c r="AK123" s="12">
        <f t="shared" si="4"/>
        <v>39</v>
      </c>
      <c r="AL123" s="12" t="str">
        <f t="shared" si="5"/>
        <v/>
      </c>
    </row>
    <row r="124" ht="15.75" customHeight="1">
      <c r="A124" s="10" t="s">
        <v>638</v>
      </c>
      <c r="B124" s="10" t="s">
        <v>639</v>
      </c>
      <c r="C124" s="10" t="s">
        <v>327</v>
      </c>
      <c r="D124" s="10" t="s">
        <v>118</v>
      </c>
      <c r="E124" s="10" t="s">
        <v>118</v>
      </c>
      <c r="F124" s="10" t="s">
        <v>104</v>
      </c>
      <c r="G124" s="10">
        <v>5.0</v>
      </c>
      <c r="H124" s="10">
        <v>7.0</v>
      </c>
      <c r="I124" s="10" t="s">
        <v>2140</v>
      </c>
      <c r="J124" s="10" t="s">
        <v>2136</v>
      </c>
      <c r="K124" s="10"/>
      <c r="L124" s="10">
        <v>229.25</v>
      </c>
      <c r="M124" s="10">
        <v>6.55</v>
      </c>
      <c r="N124" s="10"/>
      <c r="O124" s="10"/>
      <c r="P124" s="12">
        <f>IF($A124="","",IFERROR((IF($O124="",0,$O124)*Settings!$J$4+IF($L124="",0,$L124)*Settings!$J$5+IF($N124="",0,$N124)*Settings!$J$6)/(IF($O124="",0,Settings!$J$4)+IF($L124="",0,Settings!$J$5)+IF($N124="",0,Settings!$J$6)),0))</f>
        <v>229.25</v>
      </c>
      <c r="Q124" s="12">
        <f t="array" ref="Q124">IF($A124="","",XLOOKUP($E124,Settings!$A$19:$A$22,Settings!$G$19:$G$22,0))</f>
        <v>196.25</v>
      </c>
      <c r="R124" s="12">
        <f t="shared" si="1"/>
        <v>33</v>
      </c>
      <c r="S124" s="12">
        <f>IF($A124="","",IF($R124&lt;=0,1,1+$R124/SUMIF($R$4:$R$923,"&gt;0",$R$4:$R$923)*(Settings!$B$5*(Settings!$B$6-Settings!$B$7))))</f>
        <v>5.074527253</v>
      </c>
      <c r="T124" s="12">
        <f t="array" ref="T124">IF($A124="","",XLOOKUP($F124,Settings!$I$15:$I$20,Settings!$J$15:$J$20,1))</f>
        <v>1</v>
      </c>
      <c r="U124" s="12">
        <f>IF($A124="","",1+(($G124-5)/5)*Settings!$J$8)</f>
        <v>1</v>
      </c>
      <c r="V124" s="12">
        <f>IF($A124="","",1+(($H124-5)/5)*Settings!$J$9)</f>
        <v>1.06</v>
      </c>
      <c r="W124" s="12">
        <f t="array" ref="W124">IF($A124="","",XLOOKUP($J124,Lists!$C$3:$C$7,Lists!$D$3:$D$7,1))</f>
        <v>1</v>
      </c>
      <c r="X124" s="12">
        <f>IF($A124="","",IF($I124="Yes",Settings!$J$10,1))</f>
        <v>1</v>
      </c>
      <c r="Y124" s="12">
        <f t="shared" si="2"/>
        <v>5</v>
      </c>
      <c r="Z124" s="12">
        <f>IF($A124="","",IFERROR(ROUND(AVERAGEIFS('Historical Drafts'!$G$4:$G$300,'Historical Drafts'!$D$4:$D$300,$E124,'Historical Drafts'!$J$4:$J$300,"&gt;="&amp;$L124*0.85,'Historical Drafts'!$J$4:$J$300,"&lt;="&amp;$L124*1.15),0),$Y124))</f>
        <v>1</v>
      </c>
      <c r="AA124" s="12" t="str">
        <f>IF($A124="","",IF(COUNTIF('Auction Log'!$B$3:$B$300,$A124)&gt;0,"Sold","Available"))</f>
        <v>Available</v>
      </c>
      <c r="AB124" s="12" t="str">
        <f t="array" ref="AB124">IF($A124="","",IFERROR(XLOOKUP($A124,'Auction Log'!$B$3:$B$300,'Auction Log'!$G$3:$G$300,""),""))</f>
        <v/>
      </c>
      <c r="AC124" s="12" t="str">
        <f t="array" ref="AC124">IF($A124="","",IFERROR(XLOOKUP($A124,'Auction Log'!$B$3:$B$300,'Auction Log'!$F$3:$F$300,""),""))</f>
        <v/>
      </c>
      <c r="AD124" s="12">
        <f t="array" ref="AD124">IF($A124="","",ROUND($Y124*XLOOKUP($F124,Settings!$I$15:$I$20,Settings!$K$15:$K$20,0.4),0))</f>
        <v>2</v>
      </c>
      <c r="AE124" s="12">
        <f t="array" ref="AE124">IF($A124="","",ROUND($Y124*XLOOKUP($F124,Settings!$I$15:$I$20,Settings!$L$15:$L$20,0.8),0))</f>
        <v>4</v>
      </c>
      <c r="AF124" s="12">
        <f t="array" ref="AF124">IF($A124="","",ROUND($Y124*XLOOKUP($F124,Settings!$I$15:$I$20,Settings!$M$15:$M$20,1),0))</f>
        <v>5</v>
      </c>
      <c r="AG124" s="12">
        <f t="array" ref="AG124">IF($A124="","",ROUND($Y124*XLOOKUP($F124,Settings!$I$15:$I$20,Settings!$N$15:$N$20,1.1),0))</f>
        <v>5</v>
      </c>
      <c r="AH124" s="12">
        <f t="array" ref="AH124">IF($A124="","",ROUND($Y124*XLOOKUP($F124,Settings!$I$15:$I$20,Settings!$O$15:$O$20,1.1)*Settings!$J$7,0))</f>
        <v>5</v>
      </c>
      <c r="AI124" s="12">
        <f t="array" ref="AI124">IF($A124="","",IF($AA124="Sold","",MIN($AH124,IFERROR(XLOOKUP(Settings!$B$12,Managers!$B$4:$B$15,Managers!$H$4:$H$15),$AH124))))</f>
        <v>5</v>
      </c>
      <c r="AJ124" s="12" t="str">
        <f t="shared" si="3"/>
        <v>Value Target</v>
      </c>
      <c r="AK124" s="12">
        <f t="shared" si="4"/>
        <v>30</v>
      </c>
      <c r="AL124" s="12" t="str">
        <f t="shared" si="5"/>
        <v/>
      </c>
    </row>
    <row r="125" ht="15.75" customHeight="1">
      <c r="A125" s="10" t="s">
        <v>640</v>
      </c>
      <c r="B125" s="10" t="s">
        <v>641</v>
      </c>
      <c r="C125" s="10" t="s">
        <v>453</v>
      </c>
      <c r="D125" s="10" t="s">
        <v>118</v>
      </c>
      <c r="E125" s="10" t="s">
        <v>118</v>
      </c>
      <c r="F125" s="10" t="s">
        <v>104</v>
      </c>
      <c r="G125" s="10">
        <v>5.0</v>
      </c>
      <c r="H125" s="10">
        <v>7.0</v>
      </c>
      <c r="I125" s="10" t="s">
        <v>2140</v>
      </c>
      <c r="J125" s="10" t="s">
        <v>2136</v>
      </c>
      <c r="K125" s="10"/>
      <c r="L125" s="10">
        <v>227.5</v>
      </c>
      <c r="M125" s="10">
        <v>6.69</v>
      </c>
      <c r="N125" s="10"/>
      <c r="O125" s="10"/>
      <c r="P125" s="12">
        <f>IF($A125="","",IFERROR((IF($O125="",0,$O125)*Settings!$J$4+IF($L125="",0,$L125)*Settings!$J$5+IF($N125="",0,$N125)*Settings!$J$6)/(IF($O125="",0,Settings!$J$4)+IF($L125="",0,Settings!$J$5)+IF($N125="",0,Settings!$J$6)),0))</f>
        <v>227.5</v>
      </c>
      <c r="Q125" s="12">
        <f t="array" ref="Q125">IF($A125="","",XLOOKUP($E125,Settings!$A$19:$A$22,Settings!$G$19:$G$22,0))</f>
        <v>196.25</v>
      </c>
      <c r="R125" s="12">
        <f t="shared" si="1"/>
        <v>31.25</v>
      </c>
      <c r="S125" s="12">
        <f>IF($A125="","",IF($R125&lt;=0,1,1+$R125/SUMIF($R$4:$R$923,"&gt;0",$R$4:$R$923)*(Settings!$B$5*(Settings!$B$6-Settings!$B$7))))</f>
        <v>4.858453838</v>
      </c>
      <c r="T125" s="12">
        <f t="array" ref="T125">IF($A125="","",XLOOKUP($F125,Settings!$I$15:$I$20,Settings!$J$15:$J$20,1))</f>
        <v>1</v>
      </c>
      <c r="U125" s="12">
        <f>IF($A125="","",1+(($G125-5)/5)*Settings!$J$8)</f>
        <v>1</v>
      </c>
      <c r="V125" s="12">
        <f>IF($A125="","",1+(($H125-5)/5)*Settings!$J$9)</f>
        <v>1.06</v>
      </c>
      <c r="W125" s="12">
        <f t="array" ref="W125">IF($A125="","",XLOOKUP($J125,Lists!$C$3:$C$7,Lists!$D$3:$D$7,1))</f>
        <v>1</v>
      </c>
      <c r="X125" s="12">
        <f>IF($A125="","",IF($I125="Yes",Settings!$J$10,1))</f>
        <v>1</v>
      </c>
      <c r="Y125" s="12">
        <f t="shared" si="2"/>
        <v>5</v>
      </c>
      <c r="Z125" s="12">
        <f>IF($A125="","",IFERROR(ROUND(AVERAGEIFS('Historical Drafts'!$G$4:$G$300,'Historical Drafts'!$D$4:$D$300,$E125,'Historical Drafts'!$J$4:$J$300,"&gt;="&amp;$L125*0.85,'Historical Drafts'!$J$4:$J$300,"&lt;="&amp;$L125*1.15),0),$Y125))</f>
        <v>1</v>
      </c>
      <c r="AA125" s="12" t="str">
        <f>IF($A125="","",IF(COUNTIF('Auction Log'!$B$3:$B$300,$A125)&gt;0,"Sold","Available"))</f>
        <v>Available</v>
      </c>
      <c r="AB125" s="12" t="str">
        <f t="array" ref="AB125">IF($A125="","",IFERROR(XLOOKUP($A125,'Auction Log'!$B$3:$B$300,'Auction Log'!$G$3:$G$300,""),""))</f>
        <v/>
      </c>
      <c r="AC125" s="12" t="str">
        <f t="array" ref="AC125">IF($A125="","",IFERROR(XLOOKUP($A125,'Auction Log'!$B$3:$B$300,'Auction Log'!$F$3:$F$300,""),""))</f>
        <v/>
      </c>
      <c r="AD125" s="12">
        <f t="array" ref="AD125">IF($A125="","",ROUND($Y125*XLOOKUP($F125,Settings!$I$15:$I$20,Settings!$K$15:$K$20,0.4),0))</f>
        <v>2</v>
      </c>
      <c r="AE125" s="12">
        <f t="array" ref="AE125">IF($A125="","",ROUND($Y125*XLOOKUP($F125,Settings!$I$15:$I$20,Settings!$L$15:$L$20,0.8),0))</f>
        <v>4</v>
      </c>
      <c r="AF125" s="12">
        <f t="array" ref="AF125">IF($A125="","",ROUND($Y125*XLOOKUP($F125,Settings!$I$15:$I$20,Settings!$M$15:$M$20,1),0))</f>
        <v>5</v>
      </c>
      <c r="AG125" s="12">
        <f t="array" ref="AG125">IF($A125="","",ROUND($Y125*XLOOKUP($F125,Settings!$I$15:$I$20,Settings!$N$15:$N$20,1.1),0))</f>
        <v>5</v>
      </c>
      <c r="AH125" s="12">
        <f t="array" ref="AH125">IF($A125="","",ROUND($Y125*XLOOKUP($F125,Settings!$I$15:$I$20,Settings!$O$15:$O$20,1.1)*Settings!$J$7,0))</f>
        <v>5</v>
      </c>
      <c r="AI125" s="12">
        <f t="array" ref="AI125">IF($A125="","",IF($AA125="Sold","",MIN($AH125,IFERROR(XLOOKUP(Settings!$B$12,Managers!$B$4:$B$15,Managers!$H$4:$H$15),$AH125))))</f>
        <v>5</v>
      </c>
      <c r="AJ125" s="12" t="str">
        <f t="shared" si="3"/>
        <v>Value Target</v>
      </c>
      <c r="AK125" s="12">
        <f t="shared" si="4"/>
        <v>30</v>
      </c>
      <c r="AL125" s="12" t="str">
        <f t="shared" si="5"/>
        <v/>
      </c>
    </row>
    <row r="126" ht="15.75" customHeight="1">
      <c r="A126" s="10" t="s">
        <v>317</v>
      </c>
      <c r="B126" s="10" t="s">
        <v>318</v>
      </c>
      <c r="C126" s="10" t="s">
        <v>236</v>
      </c>
      <c r="D126" s="10" t="s">
        <v>123</v>
      </c>
      <c r="E126" s="10" t="s">
        <v>123</v>
      </c>
      <c r="F126" s="10" t="s">
        <v>104</v>
      </c>
      <c r="G126" s="10">
        <v>5.0</v>
      </c>
      <c r="H126" s="10">
        <v>7.0</v>
      </c>
      <c r="I126" s="10" t="s">
        <v>2140</v>
      </c>
      <c r="J126" s="10" t="s">
        <v>2136</v>
      </c>
      <c r="K126" s="10"/>
      <c r="L126" s="10">
        <v>227.0</v>
      </c>
      <c r="M126" s="10">
        <v>7.57</v>
      </c>
      <c r="N126" s="10"/>
      <c r="O126" s="10"/>
      <c r="P126" s="12">
        <f>IF($A126="","",IFERROR((IF($O126="",0,$O126)*Settings!$J$4+IF($L126="",0,$L126)*Settings!$J$5+IF($N126="",0,$N126)*Settings!$J$6)/(IF($O126="",0,Settings!$J$4)+IF($L126="",0,Settings!$J$5)+IF($N126="",0,Settings!$J$6)),0))</f>
        <v>227</v>
      </c>
      <c r="Q126" s="12">
        <f t="array" ref="Q126">IF($A126="","",XLOOKUP($E126,Settings!$A$19:$A$22,Settings!$G$19:$G$22,0))</f>
        <v>203</v>
      </c>
      <c r="R126" s="12">
        <f t="shared" si="1"/>
        <v>24</v>
      </c>
      <c r="S126" s="12">
        <f>IF($A126="","",IF($R126&lt;=0,1,1+$R126/SUMIF($R$4:$R$923,"&gt;0",$R$4:$R$923)*(Settings!$B$5*(Settings!$B$6-Settings!$B$7))))</f>
        <v>3.963292547</v>
      </c>
      <c r="T126" s="12">
        <f t="array" ref="T126">IF($A126="","",XLOOKUP($F126,Settings!$I$15:$I$20,Settings!$J$15:$J$20,1))</f>
        <v>1</v>
      </c>
      <c r="U126" s="12">
        <f>IF($A126="","",1+(($G126-5)/5)*Settings!$J$8)</f>
        <v>1</v>
      </c>
      <c r="V126" s="12">
        <f>IF($A126="","",1+(($H126-5)/5)*Settings!$J$9)</f>
        <v>1.06</v>
      </c>
      <c r="W126" s="12">
        <f t="array" ref="W126">IF($A126="","",XLOOKUP($J126,Lists!$C$3:$C$7,Lists!$D$3:$D$7,1))</f>
        <v>1</v>
      </c>
      <c r="X126" s="12">
        <f>IF($A126="","",IF($I126="Yes",Settings!$J$10,1))</f>
        <v>1</v>
      </c>
      <c r="Y126" s="12">
        <f t="shared" si="2"/>
        <v>4</v>
      </c>
      <c r="Z126" s="12">
        <f>IF($A126="","",IFERROR(ROUND(AVERAGEIFS('Historical Drafts'!$G$4:$G$300,'Historical Drafts'!$D$4:$D$300,$E126,'Historical Drafts'!$J$4:$J$300,"&gt;="&amp;$L126*0.85,'Historical Drafts'!$J$4:$J$300,"&lt;="&amp;$L126*1.15),0),$Y126))</f>
        <v>14</v>
      </c>
      <c r="AA126" s="12" t="str">
        <f>IF($A126="","",IF(COUNTIF('Auction Log'!$B$3:$B$300,$A126)&gt;0,"Sold","Available"))</f>
        <v>Available</v>
      </c>
      <c r="AB126" s="12" t="str">
        <f t="array" ref="AB126">IF($A126="","",IFERROR(XLOOKUP($A126,'Auction Log'!$B$3:$B$300,'Auction Log'!$G$3:$G$300,""),""))</f>
        <v/>
      </c>
      <c r="AC126" s="12" t="str">
        <f t="array" ref="AC126">IF($A126="","",IFERROR(XLOOKUP($A126,'Auction Log'!$B$3:$B$300,'Auction Log'!$F$3:$F$300,""),""))</f>
        <v/>
      </c>
      <c r="AD126" s="12">
        <f t="array" ref="AD126">IF($A126="","",ROUND($Y126*XLOOKUP($F126,Settings!$I$15:$I$20,Settings!$K$15:$K$20,0.4),0))</f>
        <v>1</v>
      </c>
      <c r="AE126" s="12">
        <f t="array" ref="AE126">IF($A126="","",ROUND($Y126*XLOOKUP($F126,Settings!$I$15:$I$20,Settings!$L$15:$L$20,0.8),0))</f>
        <v>3</v>
      </c>
      <c r="AF126" s="12">
        <f t="array" ref="AF126">IF($A126="","",ROUND($Y126*XLOOKUP($F126,Settings!$I$15:$I$20,Settings!$M$15:$M$20,1),0))</f>
        <v>4</v>
      </c>
      <c r="AG126" s="12">
        <f t="array" ref="AG126">IF($A126="","",ROUND($Y126*XLOOKUP($F126,Settings!$I$15:$I$20,Settings!$N$15:$N$20,1.1),0))</f>
        <v>4</v>
      </c>
      <c r="AH126" s="12">
        <f t="array" ref="AH126">IF($A126="","",ROUND($Y126*XLOOKUP($F126,Settings!$I$15:$I$20,Settings!$O$15:$O$20,1.1)*Settings!$J$7,0))</f>
        <v>4</v>
      </c>
      <c r="AI126" s="12">
        <f t="array" ref="AI126">IF($A126="","",IF($AA126="Sold","",MIN($AH126,IFERROR(XLOOKUP(Settings!$B$12,Managers!$B$4:$B$15,Managers!$H$4:$H$15),$AH126))))</f>
        <v>4</v>
      </c>
      <c r="AJ126" s="12" t="str">
        <f t="shared" si="3"/>
        <v>Budget Drainer</v>
      </c>
      <c r="AK126" s="12">
        <f t="shared" si="4"/>
        <v>39</v>
      </c>
      <c r="AL126" s="12" t="str">
        <f t="shared" si="5"/>
        <v/>
      </c>
    </row>
    <row r="127" ht="15.75" customHeight="1">
      <c r="A127" s="10" t="s">
        <v>642</v>
      </c>
      <c r="B127" s="10" t="s">
        <v>643</v>
      </c>
      <c r="C127" s="10" t="s">
        <v>644</v>
      </c>
      <c r="D127" s="10" t="s">
        <v>123</v>
      </c>
      <c r="E127" s="10" t="s">
        <v>123</v>
      </c>
      <c r="F127" s="10" t="s">
        <v>104</v>
      </c>
      <c r="G127" s="10">
        <v>5.0</v>
      </c>
      <c r="H127" s="10">
        <v>7.0</v>
      </c>
      <c r="I127" s="10" t="s">
        <v>2140</v>
      </c>
      <c r="J127" s="10" t="s">
        <v>2136</v>
      </c>
      <c r="K127" s="10"/>
      <c r="L127" s="10">
        <v>227.0</v>
      </c>
      <c r="M127" s="10">
        <v>7.32</v>
      </c>
      <c r="N127" s="10"/>
      <c r="O127" s="10"/>
      <c r="P127" s="12">
        <f>IF($A127="","",IFERROR((IF($O127="",0,$O127)*Settings!$J$4+IF($L127="",0,$L127)*Settings!$J$5+IF($N127="",0,$N127)*Settings!$J$6)/(IF($O127="",0,Settings!$J$4)+IF($L127="",0,Settings!$J$5)+IF($N127="",0,Settings!$J$6)),0))</f>
        <v>227</v>
      </c>
      <c r="Q127" s="12">
        <f t="array" ref="Q127">IF($A127="","",XLOOKUP($E127,Settings!$A$19:$A$22,Settings!$G$19:$G$22,0))</f>
        <v>203</v>
      </c>
      <c r="R127" s="12">
        <f t="shared" si="1"/>
        <v>24</v>
      </c>
      <c r="S127" s="12">
        <f>IF($A127="","",IF($R127&lt;=0,1,1+$R127/SUMIF($R$4:$R$923,"&gt;0",$R$4:$R$923)*(Settings!$B$5*(Settings!$B$6-Settings!$B$7))))</f>
        <v>3.963292547</v>
      </c>
      <c r="T127" s="12">
        <f t="array" ref="T127">IF($A127="","",XLOOKUP($F127,Settings!$I$15:$I$20,Settings!$J$15:$J$20,1))</f>
        <v>1</v>
      </c>
      <c r="U127" s="12">
        <f>IF($A127="","",1+(($G127-5)/5)*Settings!$J$8)</f>
        <v>1</v>
      </c>
      <c r="V127" s="12">
        <f>IF($A127="","",1+(($H127-5)/5)*Settings!$J$9)</f>
        <v>1.06</v>
      </c>
      <c r="W127" s="12">
        <f t="array" ref="W127">IF($A127="","",XLOOKUP($J127,Lists!$C$3:$C$7,Lists!$D$3:$D$7,1))</f>
        <v>1</v>
      </c>
      <c r="X127" s="12">
        <f>IF($A127="","",IF($I127="Yes",Settings!$J$10,1))</f>
        <v>1</v>
      </c>
      <c r="Y127" s="12">
        <f t="shared" si="2"/>
        <v>4</v>
      </c>
      <c r="Z127" s="12">
        <f>IF($A127="","",IFERROR(ROUND(AVERAGEIFS('Historical Drafts'!$G$4:$G$300,'Historical Drafts'!$D$4:$D$300,$E127,'Historical Drafts'!$J$4:$J$300,"&gt;="&amp;$L127*0.85,'Historical Drafts'!$J$4:$J$300,"&lt;="&amp;$L127*1.15),0),$Y127))</f>
        <v>14</v>
      </c>
      <c r="AA127" s="12" t="str">
        <f>IF($A127="","",IF(COUNTIF('Auction Log'!$B$3:$B$300,$A127)&gt;0,"Sold","Available"))</f>
        <v>Available</v>
      </c>
      <c r="AB127" s="12" t="str">
        <f t="array" ref="AB127">IF($A127="","",IFERROR(XLOOKUP($A127,'Auction Log'!$B$3:$B$300,'Auction Log'!$G$3:$G$300,""),""))</f>
        <v/>
      </c>
      <c r="AC127" s="12" t="str">
        <f t="array" ref="AC127">IF($A127="","",IFERROR(XLOOKUP($A127,'Auction Log'!$B$3:$B$300,'Auction Log'!$F$3:$F$300,""),""))</f>
        <v/>
      </c>
      <c r="AD127" s="12">
        <f t="array" ref="AD127">IF($A127="","",ROUND($Y127*XLOOKUP($F127,Settings!$I$15:$I$20,Settings!$K$15:$K$20,0.4),0))</f>
        <v>1</v>
      </c>
      <c r="AE127" s="12">
        <f t="array" ref="AE127">IF($A127="","",ROUND($Y127*XLOOKUP($F127,Settings!$I$15:$I$20,Settings!$L$15:$L$20,0.8),0))</f>
        <v>3</v>
      </c>
      <c r="AF127" s="12">
        <f t="array" ref="AF127">IF($A127="","",ROUND($Y127*XLOOKUP($F127,Settings!$I$15:$I$20,Settings!$M$15:$M$20,1),0))</f>
        <v>4</v>
      </c>
      <c r="AG127" s="12">
        <f t="array" ref="AG127">IF($A127="","",ROUND($Y127*XLOOKUP($F127,Settings!$I$15:$I$20,Settings!$N$15:$N$20,1.1),0))</f>
        <v>4</v>
      </c>
      <c r="AH127" s="12">
        <f t="array" ref="AH127">IF($A127="","",ROUND($Y127*XLOOKUP($F127,Settings!$I$15:$I$20,Settings!$O$15:$O$20,1.1)*Settings!$J$7,0))</f>
        <v>4</v>
      </c>
      <c r="AI127" s="12">
        <f t="array" ref="AI127">IF($A127="","",IF($AA127="Sold","",MIN($AH127,IFERROR(XLOOKUP(Settings!$B$12,Managers!$B$4:$B$15,Managers!$H$4:$H$15),$AH127))))</f>
        <v>4</v>
      </c>
      <c r="AJ127" s="12" t="str">
        <f t="shared" si="3"/>
        <v>Budget Drainer</v>
      </c>
      <c r="AK127" s="12">
        <f t="shared" si="4"/>
        <v>39</v>
      </c>
      <c r="AL127" s="12" t="str">
        <f t="shared" si="5"/>
        <v/>
      </c>
    </row>
    <row r="128" ht="15.75" customHeight="1">
      <c r="A128" s="10" t="s">
        <v>645</v>
      </c>
      <c r="B128" s="10" t="s">
        <v>646</v>
      </c>
      <c r="C128" s="10" t="s">
        <v>327</v>
      </c>
      <c r="D128" s="10" t="s">
        <v>121</v>
      </c>
      <c r="E128" s="10" t="s">
        <v>121</v>
      </c>
      <c r="F128" s="10" t="s">
        <v>104</v>
      </c>
      <c r="G128" s="10">
        <v>5.0</v>
      </c>
      <c r="H128" s="10">
        <v>7.0</v>
      </c>
      <c r="I128" s="10" t="s">
        <v>2140</v>
      </c>
      <c r="J128" s="10" t="s">
        <v>2136</v>
      </c>
      <c r="K128" s="10"/>
      <c r="L128" s="10">
        <v>226.0</v>
      </c>
      <c r="M128" s="10">
        <v>6.28</v>
      </c>
      <c r="N128" s="10"/>
      <c r="O128" s="10"/>
      <c r="P128" s="12">
        <f>IF($A128="","",IFERROR((IF($O128="",0,$O128)*Settings!$J$4+IF($L128="",0,$L128)*Settings!$J$5+IF($N128="",0,$N128)*Settings!$J$6)/(IF($O128="",0,Settings!$J$4)+IF($L128="",0,Settings!$J$5)+IF($N128="",0,Settings!$J$6)),0))</f>
        <v>226</v>
      </c>
      <c r="Q128" s="12">
        <f t="array" ref="Q128">IF($A128="","",XLOOKUP($E128,Settings!$A$19:$A$22,Settings!$G$19:$G$22,0))</f>
        <v>206</v>
      </c>
      <c r="R128" s="12">
        <f t="shared" si="1"/>
        <v>20</v>
      </c>
      <c r="S128" s="12">
        <f>IF($A128="","",IF($R128&lt;=0,1,1+$R128/SUMIF($R$4:$R$923,"&gt;0",$R$4:$R$923)*(Settings!$B$5*(Settings!$B$6-Settings!$B$7))))</f>
        <v>3.469410456</v>
      </c>
      <c r="T128" s="12">
        <f t="array" ref="T128">IF($A128="","",XLOOKUP($F128,Settings!$I$15:$I$20,Settings!$J$15:$J$20,1))</f>
        <v>1</v>
      </c>
      <c r="U128" s="12">
        <f>IF($A128="","",1+(($G128-5)/5)*Settings!$J$8)</f>
        <v>1</v>
      </c>
      <c r="V128" s="12">
        <f>IF($A128="","",1+(($H128-5)/5)*Settings!$J$9)</f>
        <v>1.06</v>
      </c>
      <c r="W128" s="12">
        <f t="array" ref="W128">IF($A128="","",XLOOKUP($J128,Lists!$C$3:$C$7,Lists!$D$3:$D$7,1))</f>
        <v>1</v>
      </c>
      <c r="X128" s="12">
        <f>IF($A128="","",IF($I128="Yes",Settings!$J$10,1))</f>
        <v>1</v>
      </c>
      <c r="Y128" s="12">
        <f t="shared" si="2"/>
        <v>4</v>
      </c>
      <c r="Z128" s="12">
        <f>IF($A128="","",IFERROR(ROUND(AVERAGEIFS('Historical Drafts'!$G$4:$G$300,'Historical Drafts'!$D$4:$D$300,$E128,'Historical Drafts'!$J$4:$J$300,"&gt;="&amp;$L128*0.85,'Historical Drafts'!$J$4:$J$300,"&lt;="&amp;$L128*1.15),0),$Y128))</f>
        <v>17</v>
      </c>
      <c r="AA128" s="12" t="str">
        <f>IF($A128="","",IF(COUNTIF('Auction Log'!$B$3:$B$300,$A128)&gt;0,"Sold","Available"))</f>
        <v>Available</v>
      </c>
      <c r="AB128" s="12" t="str">
        <f t="array" ref="AB128">IF($A128="","",IFERROR(XLOOKUP($A128,'Auction Log'!$B$3:$B$300,'Auction Log'!$G$3:$G$300,""),""))</f>
        <v/>
      </c>
      <c r="AC128" s="12" t="str">
        <f t="array" ref="AC128">IF($A128="","",IFERROR(XLOOKUP($A128,'Auction Log'!$B$3:$B$300,'Auction Log'!$F$3:$F$300,""),""))</f>
        <v/>
      </c>
      <c r="AD128" s="12">
        <f t="array" ref="AD128">IF($A128="","",ROUND($Y128*XLOOKUP($F128,Settings!$I$15:$I$20,Settings!$K$15:$K$20,0.4),0))</f>
        <v>1</v>
      </c>
      <c r="AE128" s="12">
        <f t="array" ref="AE128">IF($A128="","",ROUND($Y128*XLOOKUP($F128,Settings!$I$15:$I$20,Settings!$L$15:$L$20,0.8),0))</f>
        <v>3</v>
      </c>
      <c r="AF128" s="12">
        <f t="array" ref="AF128">IF($A128="","",ROUND($Y128*XLOOKUP($F128,Settings!$I$15:$I$20,Settings!$M$15:$M$20,1),0))</f>
        <v>4</v>
      </c>
      <c r="AG128" s="12">
        <f t="array" ref="AG128">IF($A128="","",ROUND($Y128*XLOOKUP($F128,Settings!$I$15:$I$20,Settings!$N$15:$N$20,1.1),0))</f>
        <v>4</v>
      </c>
      <c r="AH128" s="12">
        <f t="array" ref="AH128">IF($A128="","",ROUND($Y128*XLOOKUP($F128,Settings!$I$15:$I$20,Settings!$O$15:$O$20,1.1)*Settings!$J$7,0))</f>
        <v>4</v>
      </c>
      <c r="AI128" s="12">
        <f t="array" ref="AI128">IF($A128="","",IF($AA128="Sold","",MIN($AH128,IFERROR(XLOOKUP(Settings!$B$12,Managers!$B$4:$B$15,Managers!$H$4:$H$15),$AH128))))</f>
        <v>4</v>
      </c>
      <c r="AJ128" s="12" t="str">
        <f t="shared" si="3"/>
        <v>Budget Drainer</v>
      </c>
      <c r="AK128" s="12">
        <f t="shared" si="4"/>
        <v>42</v>
      </c>
      <c r="AL128" s="12" t="str">
        <f t="shared" si="5"/>
        <v/>
      </c>
    </row>
    <row r="129" ht="15.75" customHeight="1">
      <c r="A129" s="10" t="s">
        <v>295</v>
      </c>
      <c r="B129" s="10" t="s">
        <v>296</v>
      </c>
      <c r="C129" s="10" t="s">
        <v>221</v>
      </c>
      <c r="D129" s="10" t="s">
        <v>121</v>
      </c>
      <c r="E129" s="10" t="s">
        <v>121</v>
      </c>
      <c r="F129" s="10" t="s">
        <v>104</v>
      </c>
      <c r="G129" s="10">
        <v>5.0</v>
      </c>
      <c r="H129" s="10">
        <v>7.0</v>
      </c>
      <c r="I129" s="10" t="s">
        <v>2140</v>
      </c>
      <c r="J129" s="10" t="s">
        <v>2136</v>
      </c>
      <c r="K129" s="10"/>
      <c r="L129" s="10">
        <v>226.0</v>
      </c>
      <c r="M129" s="10">
        <v>8.07</v>
      </c>
      <c r="N129" s="10"/>
      <c r="O129" s="10"/>
      <c r="P129" s="12">
        <f>IF($A129="","",IFERROR((IF($O129="",0,$O129)*Settings!$J$4+IF($L129="",0,$L129)*Settings!$J$5+IF($N129="",0,$N129)*Settings!$J$6)/(IF($O129="",0,Settings!$J$4)+IF($L129="",0,Settings!$J$5)+IF($N129="",0,Settings!$J$6)),0))</f>
        <v>226</v>
      </c>
      <c r="Q129" s="12">
        <f t="array" ref="Q129">IF($A129="","",XLOOKUP($E129,Settings!$A$19:$A$22,Settings!$G$19:$G$22,0))</f>
        <v>206</v>
      </c>
      <c r="R129" s="12">
        <f t="shared" si="1"/>
        <v>20</v>
      </c>
      <c r="S129" s="12">
        <f>IF($A129="","",IF($R129&lt;=0,1,1+$R129/SUMIF($R$4:$R$923,"&gt;0",$R$4:$R$923)*(Settings!$B$5*(Settings!$B$6-Settings!$B$7))))</f>
        <v>3.469410456</v>
      </c>
      <c r="T129" s="12">
        <f t="array" ref="T129">IF($A129="","",XLOOKUP($F129,Settings!$I$15:$I$20,Settings!$J$15:$J$20,1))</f>
        <v>1</v>
      </c>
      <c r="U129" s="12">
        <f>IF($A129="","",1+(($G129-5)/5)*Settings!$J$8)</f>
        <v>1</v>
      </c>
      <c r="V129" s="12">
        <f>IF($A129="","",1+(($H129-5)/5)*Settings!$J$9)</f>
        <v>1.06</v>
      </c>
      <c r="W129" s="12">
        <f t="array" ref="W129">IF($A129="","",XLOOKUP($J129,Lists!$C$3:$C$7,Lists!$D$3:$D$7,1))</f>
        <v>1</v>
      </c>
      <c r="X129" s="12">
        <f>IF($A129="","",IF($I129="Yes",Settings!$J$10,1))</f>
        <v>1</v>
      </c>
      <c r="Y129" s="12">
        <f t="shared" si="2"/>
        <v>4</v>
      </c>
      <c r="Z129" s="12">
        <f>IF($A129="","",IFERROR(ROUND(AVERAGEIFS('Historical Drafts'!$G$4:$G$300,'Historical Drafts'!$D$4:$D$300,$E129,'Historical Drafts'!$J$4:$J$300,"&gt;="&amp;$L129*0.85,'Historical Drafts'!$J$4:$J$300,"&lt;="&amp;$L129*1.15),0),$Y129))</f>
        <v>17</v>
      </c>
      <c r="AA129" s="12" t="str">
        <f>IF($A129="","",IF(COUNTIF('Auction Log'!$B$3:$B$300,$A129)&gt;0,"Sold","Available"))</f>
        <v>Available</v>
      </c>
      <c r="AB129" s="12" t="str">
        <f t="array" ref="AB129">IF($A129="","",IFERROR(XLOOKUP($A129,'Auction Log'!$B$3:$B$300,'Auction Log'!$G$3:$G$300,""),""))</f>
        <v/>
      </c>
      <c r="AC129" s="12" t="str">
        <f t="array" ref="AC129">IF($A129="","",IFERROR(XLOOKUP($A129,'Auction Log'!$B$3:$B$300,'Auction Log'!$F$3:$F$300,""),""))</f>
        <v/>
      </c>
      <c r="AD129" s="12">
        <f t="array" ref="AD129">IF($A129="","",ROUND($Y129*XLOOKUP($F129,Settings!$I$15:$I$20,Settings!$K$15:$K$20,0.4),0))</f>
        <v>1</v>
      </c>
      <c r="AE129" s="12">
        <f t="array" ref="AE129">IF($A129="","",ROUND($Y129*XLOOKUP($F129,Settings!$I$15:$I$20,Settings!$L$15:$L$20,0.8),0))</f>
        <v>3</v>
      </c>
      <c r="AF129" s="12">
        <f t="array" ref="AF129">IF($A129="","",ROUND($Y129*XLOOKUP($F129,Settings!$I$15:$I$20,Settings!$M$15:$M$20,1),0))</f>
        <v>4</v>
      </c>
      <c r="AG129" s="12">
        <f t="array" ref="AG129">IF($A129="","",ROUND($Y129*XLOOKUP($F129,Settings!$I$15:$I$20,Settings!$N$15:$N$20,1.1),0))</f>
        <v>4</v>
      </c>
      <c r="AH129" s="12">
        <f t="array" ref="AH129">IF($A129="","",ROUND($Y129*XLOOKUP($F129,Settings!$I$15:$I$20,Settings!$O$15:$O$20,1.1)*Settings!$J$7,0))</f>
        <v>4</v>
      </c>
      <c r="AI129" s="12">
        <f t="array" ref="AI129">IF($A129="","",IF($AA129="Sold","",MIN($AH129,IFERROR(XLOOKUP(Settings!$B$12,Managers!$B$4:$B$15,Managers!$H$4:$H$15),$AH129))))</f>
        <v>4</v>
      </c>
      <c r="AJ129" s="12" t="str">
        <f t="shared" si="3"/>
        <v>Budget Drainer</v>
      </c>
      <c r="AK129" s="12">
        <f t="shared" si="4"/>
        <v>42</v>
      </c>
      <c r="AL129" s="12" t="str">
        <f t="shared" si="5"/>
        <v/>
      </c>
    </row>
    <row r="130" ht="15.75" customHeight="1">
      <c r="A130" s="10" t="s">
        <v>279</v>
      </c>
      <c r="B130" s="10" t="s">
        <v>280</v>
      </c>
      <c r="C130" s="10" t="s">
        <v>236</v>
      </c>
      <c r="D130" s="10" t="s">
        <v>115</v>
      </c>
      <c r="E130" s="10" t="s">
        <v>115</v>
      </c>
      <c r="F130" s="10" t="s">
        <v>104</v>
      </c>
      <c r="G130" s="10">
        <v>5.0</v>
      </c>
      <c r="H130" s="10">
        <v>7.0</v>
      </c>
      <c r="I130" s="10" t="s">
        <v>2140</v>
      </c>
      <c r="J130" s="10" t="s">
        <v>2136</v>
      </c>
      <c r="K130" s="10"/>
      <c r="L130" s="10">
        <v>225.5</v>
      </c>
      <c r="M130" s="10">
        <v>7.27</v>
      </c>
      <c r="N130" s="10"/>
      <c r="O130" s="10"/>
      <c r="P130" s="12">
        <f>IF($A130="","",IFERROR((IF($O130="",0,$O130)*Settings!$J$4+IF($L130="",0,$L130)*Settings!$J$5+IF($N130="",0,$N130)*Settings!$J$6)/(IF($O130="",0,Settings!$J$4)+IF($L130="",0,Settings!$J$5)+IF($N130="",0,Settings!$J$6)),0))</f>
        <v>225.5</v>
      </c>
      <c r="Q130" s="12">
        <f t="array" ref="Q130">IF($A130="","",XLOOKUP($E130,Settings!$A$19:$A$22,Settings!$G$19:$G$22,0))</f>
        <v>249.25</v>
      </c>
      <c r="R130" s="12">
        <f t="shared" si="1"/>
        <v>0</v>
      </c>
      <c r="S130" s="12">
        <f>IF($A130="","",IF($R130&lt;=0,1,1+$R130/SUMIF($R$4:$R$923,"&gt;0",$R$4:$R$923)*(Settings!$B$5*(Settings!$B$6-Settings!$B$7))))</f>
        <v>1</v>
      </c>
      <c r="T130" s="12">
        <f t="array" ref="T130">IF($A130="","",XLOOKUP($F130,Settings!$I$15:$I$20,Settings!$J$15:$J$20,1))</f>
        <v>1</v>
      </c>
      <c r="U130" s="12">
        <f>IF($A130="","",1+(($G130-5)/5)*Settings!$J$8)</f>
        <v>1</v>
      </c>
      <c r="V130" s="12">
        <f>IF($A130="","",1+(($H130-5)/5)*Settings!$J$9)</f>
        <v>1.06</v>
      </c>
      <c r="W130" s="12">
        <f t="array" ref="W130">IF($A130="","",XLOOKUP($J130,Lists!$C$3:$C$7,Lists!$D$3:$D$7,1))</f>
        <v>1</v>
      </c>
      <c r="X130" s="12">
        <f>IF($A130="","",IF($I130="Yes",Settings!$J$10,1))</f>
        <v>1</v>
      </c>
      <c r="Y130" s="12">
        <f t="shared" si="2"/>
        <v>1</v>
      </c>
      <c r="Z130" s="12">
        <f>IF($A130="","",IFERROR(ROUND(AVERAGEIFS('Historical Drafts'!$G$4:$G$300,'Historical Drafts'!$D$4:$D$300,$E130,'Historical Drafts'!$J$4:$J$300,"&gt;="&amp;$L130*0.85,'Historical Drafts'!$J$4:$J$300,"&lt;="&amp;$L130*1.15),0),$Y130))</f>
        <v>2</v>
      </c>
      <c r="AA130" s="12" t="str">
        <f>IF($A130="","",IF(COUNTIF('Auction Log'!$B$3:$B$300,$A130)&gt;0,"Sold","Available"))</f>
        <v>Available</v>
      </c>
      <c r="AB130" s="12" t="str">
        <f t="array" ref="AB130">IF($A130="","",IFERROR(XLOOKUP($A130,'Auction Log'!$B$3:$B$300,'Auction Log'!$G$3:$G$300,""),""))</f>
        <v/>
      </c>
      <c r="AC130" s="12" t="str">
        <f t="array" ref="AC130">IF($A130="","",IFERROR(XLOOKUP($A130,'Auction Log'!$B$3:$B$300,'Auction Log'!$F$3:$F$300,""),""))</f>
        <v/>
      </c>
      <c r="AD130" s="12">
        <f t="array" ref="AD130">IF($A130="","",ROUND($Y130*XLOOKUP($F130,Settings!$I$15:$I$20,Settings!$K$15:$K$20,0.4),0))</f>
        <v>0</v>
      </c>
      <c r="AE130" s="12">
        <f t="array" ref="AE130">IF($A130="","",ROUND($Y130*XLOOKUP($F130,Settings!$I$15:$I$20,Settings!$L$15:$L$20,0.8),0))</f>
        <v>1</v>
      </c>
      <c r="AF130" s="12">
        <f t="array" ref="AF130">IF($A130="","",ROUND($Y130*XLOOKUP($F130,Settings!$I$15:$I$20,Settings!$M$15:$M$20,1),0))</f>
        <v>1</v>
      </c>
      <c r="AG130" s="12">
        <f t="array" ref="AG130">IF($A130="","",ROUND($Y130*XLOOKUP($F130,Settings!$I$15:$I$20,Settings!$N$15:$N$20,1.1),0))</f>
        <v>1</v>
      </c>
      <c r="AH130" s="12">
        <f t="array" ref="AH130">IF($A130="","",ROUND($Y130*XLOOKUP($F130,Settings!$I$15:$I$20,Settings!$O$15:$O$20,1.1)*Settings!$J$7,0))</f>
        <v>1</v>
      </c>
      <c r="AI130" s="12">
        <f t="array" ref="AI130">IF($A130="","",IF($AA130="Sold","",MIN($AH130,IFERROR(XLOOKUP(Settings!$B$12,Managers!$B$4:$B$15,Managers!$H$4:$H$15),$AH130))))</f>
        <v>1</v>
      </c>
      <c r="AJ130" s="12" t="str">
        <f t="shared" si="3"/>
        <v>Budget Drainer</v>
      </c>
      <c r="AK130" s="12">
        <f t="shared" si="4"/>
        <v>27</v>
      </c>
      <c r="AL130" s="12" t="str">
        <f t="shared" si="5"/>
        <v/>
      </c>
    </row>
    <row r="131" ht="15.75" customHeight="1">
      <c r="A131" s="10" t="s">
        <v>647</v>
      </c>
      <c r="B131" s="10" t="s">
        <v>648</v>
      </c>
      <c r="C131" s="10" t="s">
        <v>231</v>
      </c>
      <c r="D131" s="10" t="s">
        <v>121</v>
      </c>
      <c r="E131" s="10" t="s">
        <v>121</v>
      </c>
      <c r="F131" s="10" t="s">
        <v>104</v>
      </c>
      <c r="G131" s="10">
        <v>5.0</v>
      </c>
      <c r="H131" s="10">
        <v>7.0</v>
      </c>
      <c r="I131" s="10" t="s">
        <v>2140</v>
      </c>
      <c r="J131" s="10" t="s">
        <v>2136</v>
      </c>
      <c r="K131" s="10"/>
      <c r="L131" s="10">
        <v>223.5</v>
      </c>
      <c r="M131" s="10">
        <v>11.76</v>
      </c>
      <c r="N131" s="10"/>
      <c r="O131" s="10"/>
      <c r="P131" s="12">
        <f>IF($A131="","",IFERROR((IF($O131="",0,$O131)*Settings!$J$4+IF($L131="",0,$L131)*Settings!$J$5+IF($N131="",0,$N131)*Settings!$J$6)/(IF($O131="",0,Settings!$J$4)+IF($L131="",0,Settings!$J$5)+IF($N131="",0,Settings!$J$6)),0))</f>
        <v>223.5</v>
      </c>
      <c r="Q131" s="12">
        <f t="array" ref="Q131">IF($A131="","",XLOOKUP($E131,Settings!$A$19:$A$22,Settings!$G$19:$G$22,0))</f>
        <v>206</v>
      </c>
      <c r="R131" s="12">
        <f t="shared" si="1"/>
        <v>17.5</v>
      </c>
      <c r="S131" s="12">
        <f>IF($A131="","",IF($R131&lt;=0,1,1+$R131/SUMIF($R$4:$R$923,"&gt;0",$R$4:$R$923)*(Settings!$B$5*(Settings!$B$6-Settings!$B$7))))</f>
        <v>3.160734149</v>
      </c>
      <c r="T131" s="12">
        <f t="array" ref="T131">IF($A131="","",XLOOKUP($F131,Settings!$I$15:$I$20,Settings!$J$15:$J$20,1))</f>
        <v>1</v>
      </c>
      <c r="U131" s="12">
        <f>IF($A131="","",1+(($G131-5)/5)*Settings!$J$8)</f>
        <v>1</v>
      </c>
      <c r="V131" s="12">
        <f>IF($A131="","",1+(($H131-5)/5)*Settings!$J$9)</f>
        <v>1.06</v>
      </c>
      <c r="W131" s="12">
        <f t="array" ref="W131">IF($A131="","",XLOOKUP($J131,Lists!$C$3:$C$7,Lists!$D$3:$D$7,1))</f>
        <v>1</v>
      </c>
      <c r="X131" s="12">
        <f>IF($A131="","",IF($I131="Yes",Settings!$J$10,1))</f>
        <v>1</v>
      </c>
      <c r="Y131" s="12">
        <f t="shared" si="2"/>
        <v>3</v>
      </c>
      <c r="Z131" s="12">
        <f>IF($A131="","",IFERROR(ROUND(AVERAGEIFS('Historical Drafts'!$G$4:$G$300,'Historical Drafts'!$D$4:$D$300,$E131,'Historical Drafts'!$J$4:$J$300,"&gt;="&amp;$L131*0.85,'Historical Drafts'!$J$4:$J$300,"&lt;="&amp;$L131*1.15),0),$Y131))</f>
        <v>19</v>
      </c>
      <c r="AA131" s="12" t="str">
        <f>IF($A131="","",IF(COUNTIF('Auction Log'!$B$3:$B$300,$A131)&gt;0,"Sold","Available"))</f>
        <v>Available</v>
      </c>
      <c r="AB131" s="12" t="str">
        <f t="array" ref="AB131">IF($A131="","",IFERROR(XLOOKUP($A131,'Auction Log'!$B$3:$B$300,'Auction Log'!$G$3:$G$300,""),""))</f>
        <v/>
      </c>
      <c r="AC131" s="12" t="str">
        <f t="array" ref="AC131">IF($A131="","",IFERROR(XLOOKUP($A131,'Auction Log'!$B$3:$B$300,'Auction Log'!$F$3:$F$300,""),""))</f>
        <v/>
      </c>
      <c r="AD131" s="12">
        <f t="array" ref="AD131">IF($A131="","",ROUND($Y131*XLOOKUP($F131,Settings!$I$15:$I$20,Settings!$K$15:$K$20,0.4),0))</f>
        <v>1</v>
      </c>
      <c r="AE131" s="12">
        <f t="array" ref="AE131">IF($A131="","",ROUND($Y131*XLOOKUP($F131,Settings!$I$15:$I$20,Settings!$L$15:$L$20,0.8),0))</f>
        <v>2</v>
      </c>
      <c r="AF131" s="12">
        <f t="array" ref="AF131">IF($A131="","",ROUND($Y131*XLOOKUP($F131,Settings!$I$15:$I$20,Settings!$M$15:$M$20,1),0))</f>
        <v>3</v>
      </c>
      <c r="AG131" s="12">
        <f t="array" ref="AG131">IF($A131="","",ROUND($Y131*XLOOKUP($F131,Settings!$I$15:$I$20,Settings!$N$15:$N$20,1.1),0))</f>
        <v>3</v>
      </c>
      <c r="AH131" s="12">
        <f t="array" ref="AH131">IF($A131="","",ROUND($Y131*XLOOKUP($F131,Settings!$I$15:$I$20,Settings!$O$15:$O$20,1.1)*Settings!$J$7,0))</f>
        <v>3</v>
      </c>
      <c r="AI131" s="12">
        <f t="array" ref="AI131">IF($A131="","",IF($AA131="Sold","",MIN($AH131,IFERROR(XLOOKUP(Settings!$B$12,Managers!$B$4:$B$15,Managers!$H$4:$H$15),$AH131))))</f>
        <v>3</v>
      </c>
      <c r="AJ131" s="12" t="str">
        <f t="shared" si="3"/>
        <v>Budget Drainer</v>
      </c>
      <c r="AK131" s="12">
        <f t="shared" si="4"/>
        <v>44</v>
      </c>
      <c r="AL131" s="12" t="str">
        <f t="shared" si="5"/>
        <v/>
      </c>
    </row>
    <row r="132" ht="15.75" customHeight="1">
      <c r="A132" s="10" t="s">
        <v>649</v>
      </c>
      <c r="B132" s="10" t="s">
        <v>650</v>
      </c>
      <c r="C132" s="10" t="s">
        <v>221</v>
      </c>
      <c r="D132" s="10" t="s">
        <v>121</v>
      </c>
      <c r="E132" s="10" t="s">
        <v>121</v>
      </c>
      <c r="F132" s="10" t="s">
        <v>104</v>
      </c>
      <c r="G132" s="10">
        <v>5.0</v>
      </c>
      <c r="H132" s="10">
        <v>7.0</v>
      </c>
      <c r="I132" s="10" t="s">
        <v>2140</v>
      </c>
      <c r="J132" s="10" t="s">
        <v>2136</v>
      </c>
      <c r="K132" s="10"/>
      <c r="L132" s="10">
        <v>220.0</v>
      </c>
      <c r="M132" s="10">
        <v>6.47</v>
      </c>
      <c r="N132" s="10"/>
      <c r="O132" s="10"/>
      <c r="P132" s="12">
        <f>IF($A132="","",IFERROR((IF($O132="",0,$O132)*Settings!$J$4+IF($L132="",0,$L132)*Settings!$J$5+IF($N132="",0,$N132)*Settings!$J$6)/(IF($O132="",0,Settings!$J$4)+IF($L132="",0,Settings!$J$5)+IF($N132="",0,Settings!$J$6)),0))</f>
        <v>220</v>
      </c>
      <c r="Q132" s="12">
        <f t="array" ref="Q132">IF($A132="","",XLOOKUP($E132,Settings!$A$19:$A$22,Settings!$G$19:$G$22,0))</f>
        <v>206</v>
      </c>
      <c r="R132" s="12">
        <f t="shared" si="1"/>
        <v>14</v>
      </c>
      <c r="S132" s="12">
        <f>IF($A132="","",IF($R132&lt;=0,1,1+$R132/SUMIF($R$4:$R$923,"&gt;0",$R$4:$R$923)*(Settings!$B$5*(Settings!$B$6-Settings!$B$7))))</f>
        <v>2.728587319</v>
      </c>
      <c r="T132" s="12">
        <f t="array" ref="T132">IF($A132="","",XLOOKUP($F132,Settings!$I$15:$I$20,Settings!$J$15:$J$20,1))</f>
        <v>1</v>
      </c>
      <c r="U132" s="12">
        <f>IF($A132="","",1+(($G132-5)/5)*Settings!$J$8)</f>
        <v>1</v>
      </c>
      <c r="V132" s="12">
        <f>IF($A132="","",1+(($H132-5)/5)*Settings!$J$9)</f>
        <v>1.06</v>
      </c>
      <c r="W132" s="12">
        <f t="array" ref="W132">IF($A132="","",XLOOKUP($J132,Lists!$C$3:$C$7,Lists!$D$3:$D$7,1))</f>
        <v>1</v>
      </c>
      <c r="X132" s="12">
        <f>IF($A132="","",IF($I132="Yes",Settings!$J$10,1))</f>
        <v>1</v>
      </c>
      <c r="Y132" s="12">
        <f t="shared" si="2"/>
        <v>3</v>
      </c>
      <c r="Z132" s="12">
        <f>IF($A132="","",IFERROR(ROUND(AVERAGEIFS('Historical Drafts'!$G$4:$G$300,'Historical Drafts'!$D$4:$D$300,$E132,'Historical Drafts'!$J$4:$J$300,"&gt;="&amp;$L132*0.85,'Historical Drafts'!$J$4:$J$300,"&lt;="&amp;$L132*1.15),0),$Y132))</f>
        <v>19</v>
      </c>
      <c r="AA132" s="12" t="str">
        <f>IF($A132="","",IF(COUNTIF('Auction Log'!$B$3:$B$300,$A132)&gt;0,"Sold","Available"))</f>
        <v>Available</v>
      </c>
      <c r="AB132" s="12" t="str">
        <f t="array" ref="AB132">IF($A132="","",IFERROR(XLOOKUP($A132,'Auction Log'!$B$3:$B$300,'Auction Log'!$G$3:$G$300,""),""))</f>
        <v/>
      </c>
      <c r="AC132" s="12" t="str">
        <f t="array" ref="AC132">IF($A132="","",IFERROR(XLOOKUP($A132,'Auction Log'!$B$3:$B$300,'Auction Log'!$F$3:$F$300,""),""))</f>
        <v/>
      </c>
      <c r="AD132" s="12">
        <f t="array" ref="AD132">IF($A132="","",ROUND($Y132*XLOOKUP($F132,Settings!$I$15:$I$20,Settings!$K$15:$K$20,0.4),0))</f>
        <v>1</v>
      </c>
      <c r="AE132" s="12">
        <f t="array" ref="AE132">IF($A132="","",ROUND($Y132*XLOOKUP($F132,Settings!$I$15:$I$20,Settings!$L$15:$L$20,0.8),0))</f>
        <v>2</v>
      </c>
      <c r="AF132" s="12">
        <f t="array" ref="AF132">IF($A132="","",ROUND($Y132*XLOOKUP($F132,Settings!$I$15:$I$20,Settings!$M$15:$M$20,1),0))</f>
        <v>3</v>
      </c>
      <c r="AG132" s="12">
        <f t="array" ref="AG132">IF($A132="","",ROUND($Y132*XLOOKUP($F132,Settings!$I$15:$I$20,Settings!$N$15:$N$20,1.1),0))</f>
        <v>3</v>
      </c>
      <c r="AH132" s="12">
        <f t="array" ref="AH132">IF($A132="","",ROUND($Y132*XLOOKUP($F132,Settings!$I$15:$I$20,Settings!$O$15:$O$20,1.1)*Settings!$J$7,0))</f>
        <v>3</v>
      </c>
      <c r="AI132" s="12">
        <f t="array" ref="AI132">IF($A132="","",IF($AA132="Sold","",MIN($AH132,IFERROR(XLOOKUP(Settings!$B$12,Managers!$B$4:$B$15,Managers!$H$4:$H$15),$AH132))))</f>
        <v>3</v>
      </c>
      <c r="AJ132" s="12" t="str">
        <f t="shared" si="3"/>
        <v>Budget Drainer</v>
      </c>
      <c r="AK132" s="12">
        <f t="shared" si="4"/>
        <v>44</v>
      </c>
      <c r="AL132" s="12" t="str">
        <f t="shared" si="5"/>
        <v/>
      </c>
    </row>
    <row r="133" ht="15.75" customHeight="1">
      <c r="A133" s="10" t="s">
        <v>477</v>
      </c>
      <c r="B133" s="10" t="s">
        <v>651</v>
      </c>
      <c r="C133" s="10" t="s">
        <v>180</v>
      </c>
      <c r="D133" s="10" t="s">
        <v>118</v>
      </c>
      <c r="E133" s="10" t="s">
        <v>118</v>
      </c>
      <c r="F133" s="10" t="s">
        <v>104</v>
      </c>
      <c r="G133" s="10">
        <v>5.0</v>
      </c>
      <c r="H133" s="10">
        <v>7.0</v>
      </c>
      <c r="I133" s="10" t="s">
        <v>2140</v>
      </c>
      <c r="J133" s="10" t="s">
        <v>2136</v>
      </c>
      <c r="K133" s="10"/>
      <c r="L133" s="10">
        <v>218.75</v>
      </c>
      <c r="M133" s="10">
        <v>8.41</v>
      </c>
      <c r="N133" s="10"/>
      <c r="O133" s="10"/>
      <c r="P133" s="12">
        <f>IF($A133="","",IFERROR((IF($O133="",0,$O133)*Settings!$J$4+IF($L133="",0,$L133)*Settings!$J$5+IF($N133="",0,$N133)*Settings!$J$6)/(IF($O133="",0,Settings!$J$4)+IF($L133="",0,Settings!$J$5)+IF($N133="",0,Settings!$J$6)),0))</f>
        <v>218.75</v>
      </c>
      <c r="Q133" s="12">
        <f t="array" ref="Q133">IF($A133="","",XLOOKUP($E133,Settings!$A$19:$A$22,Settings!$G$19:$G$22,0))</f>
        <v>196.25</v>
      </c>
      <c r="R133" s="12">
        <f t="shared" si="1"/>
        <v>22.5</v>
      </c>
      <c r="S133" s="12">
        <f>IF($A133="","",IF($R133&lt;=0,1,1+$R133/SUMIF($R$4:$R$923,"&gt;0",$R$4:$R$923)*(Settings!$B$5*(Settings!$B$6-Settings!$B$7))))</f>
        <v>3.778086763</v>
      </c>
      <c r="T133" s="12">
        <f t="array" ref="T133">IF($A133="","",XLOOKUP($F133,Settings!$I$15:$I$20,Settings!$J$15:$J$20,1))</f>
        <v>1</v>
      </c>
      <c r="U133" s="12">
        <f>IF($A133="","",1+(($G133-5)/5)*Settings!$J$8)</f>
        <v>1</v>
      </c>
      <c r="V133" s="12">
        <f>IF($A133="","",1+(($H133-5)/5)*Settings!$J$9)</f>
        <v>1.06</v>
      </c>
      <c r="W133" s="12">
        <f t="array" ref="W133">IF($A133="","",XLOOKUP($J133,Lists!$C$3:$C$7,Lists!$D$3:$D$7,1))</f>
        <v>1</v>
      </c>
      <c r="X133" s="12">
        <f>IF($A133="","",IF($I133="Yes",Settings!$J$10,1))</f>
        <v>1</v>
      </c>
      <c r="Y133" s="12">
        <f t="shared" si="2"/>
        <v>4</v>
      </c>
      <c r="Z133" s="12">
        <f>IF($A133="","",IFERROR(ROUND(AVERAGEIFS('Historical Drafts'!$G$4:$G$300,'Historical Drafts'!$D$4:$D$300,$E133,'Historical Drafts'!$J$4:$J$300,"&gt;="&amp;$L133*0.85,'Historical Drafts'!$J$4:$J$300,"&lt;="&amp;$L133*1.15),0),$Y133))</f>
        <v>2</v>
      </c>
      <c r="AA133" s="12" t="str">
        <f>IF($A133="","",IF(COUNTIF('Auction Log'!$B$3:$B$300,$A133)&gt;0,"Sold","Available"))</f>
        <v>Available</v>
      </c>
      <c r="AB133" s="12" t="str">
        <f t="array" ref="AB133">IF($A133="","",IFERROR(XLOOKUP($A133,'Auction Log'!$B$3:$B$300,'Auction Log'!$G$3:$G$300,""),""))</f>
        <v/>
      </c>
      <c r="AC133" s="12" t="str">
        <f t="array" ref="AC133">IF($A133="","",IFERROR(XLOOKUP($A133,'Auction Log'!$B$3:$B$300,'Auction Log'!$F$3:$F$300,""),""))</f>
        <v/>
      </c>
      <c r="AD133" s="12">
        <f t="array" ref="AD133">IF($A133="","",ROUND($Y133*XLOOKUP($F133,Settings!$I$15:$I$20,Settings!$K$15:$K$20,0.4),0))</f>
        <v>1</v>
      </c>
      <c r="AE133" s="12">
        <f t="array" ref="AE133">IF($A133="","",ROUND($Y133*XLOOKUP($F133,Settings!$I$15:$I$20,Settings!$L$15:$L$20,0.8),0))</f>
        <v>3</v>
      </c>
      <c r="AF133" s="12">
        <f t="array" ref="AF133">IF($A133="","",ROUND($Y133*XLOOKUP($F133,Settings!$I$15:$I$20,Settings!$M$15:$M$20,1),0))</f>
        <v>4</v>
      </c>
      <c r="AG133" s="12">
        <f t="array" ref="AG133">IF($A133="","",ROUND($Y133*XLOOKUP($F133,Settings!$I$15:$I$20,Settings!$N$15:$N$20,1.1),0))</f>
        <v>4</v>
      </c>
      <c r="AH133" s="12">
        <f t="array" ref="AH133">IF($A133="","",ROUND($Y133*XLOOKUP($F133,Settings!$I$15:$I$20,Settings!$O$15:$O$20,1.1)*Settings!$J$7,0))</f>
        <v>4</v>
      </c>
      <c r="AI133" s="12">
        <f t="array" ref="AI133">IF($A133="","",IF($AA133="Sold","",MIN($AH133,IFERROR(XLOOKUP(Settings!$B$12,Managers!$B$4:$B$15,Managers!$H$4:$H$15),$AH133))))</f>
        <v>4</v>
      </c>
      <c r="AJ133" s="12" t="str">
        <f t="shared" si="3"/>
        <v>Value Target</v>
      </c>
      <c r="AK133" s="12">
        <f t="shared" si="4"/>
        <v>29</v>
      </c>
      <c r="AL133" s="12" t="str">
        <f t="shared" si="5"/>
        <v/>
      </c>
    </row>
    <row r="134" ht="15.75" customHeight="1">
      <c r="A134" s="10" t="s">
        <v>652</v>
      </c>
      <c r="B134" s="10" t="s">
        <v>653</v>
      </c>
      <c r="C134" s="10" t="s">
        <v>215</v>
      </c>
      <c r="D134" s="10" t="s">
        <v>118</v>
      </c>
      <c r="E134" s="10" t="s">
        <v>118</v>
      </c>
      <c r="F134" s="10" t="s">
        <v>104</v>
      </c>
      <c r="G134" s="10">
        <v>5.0</v>
      </c>
      <c r="H134" s="10">
        <v>7.0</v>
      </c>
      <c r="I134" s="10" t="s">
        <v>2140</v>
      </c>
      <c r="J134" s="10" t="s">
        <v>2136</v>
      </c>
      <c r="K134" s="10"/>
      <c r="L134" s="10">
        <v>218.75</v>
      </c>
      <c r="M134" s="10">
        <v>7.06</v>
      </c>
      <c r="N134" s="10"/>
      <c r="O134" s="10"/>
      <c r="P134" s="12">
        <f>IF($A134="","",IFERROR((IF($O134="",0,$O134)*Settings!$J$4+IF($L134="",0,$L134)*Settings!$J$5+IF($N134="",0,$N134)*Settings!$J$6)/(IF($O134="",0,Settings!$J$4)+IF($L134="",0,Settings!$J$5)+IF($N134="",0,Settings!$J$6)),0))</f>
        <v>218.75</v>
      </c>
      <c r="Q134" s="12">
        <f t="array" ref="Q134">IF($A134="","",XLOOKUP($E134,Settings!$A$19:$A$22,Settings!$G$19:$G$22,0))</f>
        <v>196.25</v>
      </c>
      <c r="R134" s="12">
        <f t="shared" si="1"/>
        <v>22.5</v>
      </c>
      <c r="S134" s="12">
        <f>IF($A134="","",IF($R134&lt;=0,1,1+$R134/SUMIF($R$4:$R$923,"&gt;0",$R$4:$R$923)*(Settings!$B$5*(Settings!$B$6-Settings!$B$7))))</f>
        <v>3.778086763</v>
      </c>
      <c r="T134" s="12">
        <f t="array" ref="T134">IF($A134="","",XLOOKUP($F134,Settings!$I$15:$I$20,Settings!$J$15:$J$20,1))</f>
        <v>1</v>
      </c>
      <c r="U134" s="12">
        <f>IF($A134="","",1+(($G134-5)/5)*Settings!$J$8)</f>
        <v>1</v>
      </c>
      <c r="V134" s="12">
        <f>IF($A134="","",1+(($H134-5)/5)*Settings!$J$9)</f>
        <v>1.06</v>
      </c>
      <c r="W134" s="12">
        <f t="array" ref="W134">IF($A134="","",XLOOKUP($J134,Lists!$C$3:$C$7,Lists!$D$3:$D$7,1))</f>
        <v>1</v>
      </c>
      <c r="X134" s="12">
        <f>IF($A134="","",IF($I134="Yes",Settings!$J$10,1))</f>
        <v>1</v>
      </c>
      <c r="Y134" s="12">
        <f t="shared" si="2"/>
        <v>4</v>
      </c>
      <c r="Z134" s="12">
        <f>IF($A134="","",IFERROR(ROUND(AVERAGEIFS('Historical Drafts'!$G$4:$G$300,'Historical Drafts'!$D$4:$D$300,$E134,'Historical Drafts'!$J$4:$J$300,"&gt;="&amp;$L134*0.85,'Historical Drafts'!$J$4:$J$300,"&lt;="&amp;$L134*1.15),0),$Y134))</f>
        <v>2</v>
      </c>
      <c r="AA134" s="12" t="str">
        <f>IF($A134="","",IF(COUNTIF('Auction Log'!$B$3:$B$300,$A134)&gt;0,"Sold","Available"))</f>
        <v>Available</v>
      </c>
      <c r="AB134" s="12" t="str">
        <f t="array" ref="AB134">IF($A134="","",IFERROR(XLOOKUP($A134,'Auction Log'!$B$3:$B$300,'Auction Log'!$G$3:$G$300,""),""))</f>
        <v/>
      </c>
      <c r="AC134" s="12" t="str">
        <f t="array" ref="AC134">IF($A134="","",IFERROR(XLOOKUP($A134,'Auction Log'!$B$3:$B$300,'Auction Log'!$F$3:$F$300,""),""))</f>
        <v/>
      </c>
      <c r="AD134" s="12">
        <f t="array" ref="AD134">IF($A134="","",ROUND($Y134*XLOOKUP($F134,Settings!$I$15:$I$20,Settings!$K$15:$K$20,0.4),0))</f>
        <v>1</v>
      </c>
      <c r="AE134" s="12">
        <f t="array" ref="AE134">IF($A134="","",ROUND($Y134*XLOOKUP($F134,Settings!$I$15:$I$20,Settings!$L$15:$L$20,0.8),0))</f>
        <v>3</v>
      </c>
      <c r="AF134" s="12">
        <f t="array" ref="AF134">IF($A134="","",ROUND($Y134*XLOOKUP($F134,Settings!$I$15:$I$20,Settings!$M$15:$M$20,1),0))</f>
        <v>4</v>
      </c>
      <c r="AG134" s="12">
        <f t="array" ref="AG134">IF($A134="","",ROUND($Y134*XLOOKUP($F134,Settings!$I$15:$I$20,Settings!$N$15:$N$20,1.1),0))</f>
        <v>4</v>
      </c>
      <c r="AH134" s="12">
        <f t="array" ref="AH134">IF($A134="","",ROUND($Y134*XLOOKUP($F134,Settings!$I$15:$I$20,Settings!$O$15:$O$20,1.1)*Settings!$J$7,0))</f>
        <v>4</v>
      </c>
      <c r="AI134" s="12">
        <f t="array" ref="AI134">IF($A134="","",IF($AA134="Sold","",MIN($AH134,IFERROR(XLOOKUP(Settings!$B$12,Managers!$B$4:$B$15,Managers!$H$4:$H$15),$AH134))))</f>
        <v>4</v>
      </c>
      <c r="AJ134" s="12" t="str">
        <f t="shared" si="3"/>
        <v>Value Target</v>
      </c>
      <c r="AK134" s="12">
        <f t="shared" si="4"/>
        <v>29</v>
      </c>
      <c r="AL134" s="12" t="str">
        <f t="shared" si="5"/>
        <v/>
      </c>
    </row>
    <row r="135" ht="15.75" customHeight="1">
      <c r="A135" s="10" t="s">
        <v>315</v>
      </c>
      <c r="B135" s="10" t="s">
        <v>316</v>
      </c>
      <c r="C135" s="10" t="s">
        <v>177</v>
      </c>
      <c r="D135" s="10" t="s">
        <v>121</v>
      </c>
      <c r="E135" s="10" t="s">
        <v>121</v>
      </c>
      <c r="F135" s="10" t="s">
        <v>104</v>
      </c>
      <c r="G135" s="10">
        <v>5.0</v>
      </c>
      <c r="H135" s="10">
        <v>7.0</v>
      </c>
      <c r="I135" s="10" t="s">
        <v>2140</v>
      </c>
      <c r="J135" s="10" t="s">
        <v>2136</v>
      </c>
      <c r="K135" s="10"/>
      <c r="L135" s="10">
        <v>216.5</v>
      </c>
      <c r="M135" s="10">
        <v>5.85</v>
      </c>
      <c r="N135" s="10"/>
      <c r="O135" s="10"/>
      <c r="P135" s="12">
        <f>IF($A135="","",IFERROR((IF($O135="",0,$O135)*Settings!$J$4+IF($L135="",0,$L135)*Settings!$J$5+IF($N135="",0,$N135)*Settings!$J$6)/(IF($O135="",0,Settings!$J$4)+IF($L135="",0,Settings!$J$5)+IF($N135="",0,Settings!$J$6)),0))</f>
        <v>216.5</v>
      </c>
      <c r="Q135" s="12">
        <f t="array" ref="Q135">IF($A135="","",XLOOKUP($E135,Settings!$A$19:$A$22,Settings!$G$19:$G$22,0))</f>
        <v>206</v>
      </c>
      <c r="R135" s="12">
        <f t="shared" si="1"/>
        <v>10.5</v>
      </c>
      <c r="S135" s="12">
        <f>IF($A135="","",IF($R135&lt;=0,1,1+$R135/SUMIF($R$4:$R$923,"&gt;0",$R$4:$R$923)*(Settings!$B$5*(Settings!$B$6-Settings!$B$7))))</f>
        <v>2.296440489</v>
      </c>
      <c r="T135" s="12">
        <f t="array" ref="T135">IF($A135="","",XLOOKUP($F135,Settings!$I$15:$I$20,Settings!$J$15:$J$20,1))</f>
        <v>1</v>
      </c>
      <c r="U135" s="12">
        <f>IF($A135="","",1+(($G135-5)/5)*Settings!$J$8)</f>
        <v>1</v>
      </c>
      <c r="V135" s="12">
        <f>IF($A135="","",1+(($H135-5)/5)*Settings!$J$9)</f>
        <v>1.06</v>
      </c>
      <c r="W135" s="12">
        <f t="array" ref="W135">IF($A135="","",XLOOKUP($J135,Lists!$C$3:$C$7,Lists!$D$3:$D$7,1))</f>
        <v>1</v>
      </c>
      <c r="X135" s="12">
        <f>IF($A135="","",IF($I135="Yes",Settings!$J$10,1))</f>
        <v>1</v>
      </c>
      <c r="Y135" s="12">
        <f t="shared" si="2"/>
        <v>2</v>
      </c>
      <c r="Z135" s="12">
        <f>IF($A135="","",IFERROR(ROUND(AVERAGEIFS('Historical Drafts'!$G$4:$G$300,'Historical Drafts'!$D$4:$D$300,$E135,'Historical Drafts'!$J$4:$J$300,"&gt;="&amp;$L135*0.85,'Historical Drafts'!$J$4:$J$300,"&lt;="&amp;$L135*1.15),0),$Y135))</f>
        <v>19</v>
      </c>
      <c r="AA135" s="12" t="str">
        <f>IF($A135="","",IF(COUNTIF('Auction Log'!$B$3:$B$300,$A135)&gt;0,"Sold","Available"))</f>
        <v>Available</v>
      </c>
      <c r="AB135" s="12" t="str">
        <f t="array" ref="AB135">IF($A135="","",IFERROR(XLOOKUP($A135,'Auction Log'!$B$3:$B$300,'Auction Log'!$G$3:$G$300,""),""))</f>
        <v/>
      </c>
      <c r="AC135" s="12" t="str">
        <f t="array" ref="AC135">IF($A135="","",IFERROR(XLOOKUP($A135,'Auction Log'!$B$3:$B$300,'Auction Log'!$F$3:$F$300,""),""))</f>
        <v/>
      </c>
      <c r="AD135" s="12">
        <f t="array" ref="AD135">IF($A135="","",ROUND($Y135*XLOOKUP($F135,Settings!$I$15:$I$20,Settings!$K$15:$K$20,0.4),0))</f>
        <v>1</v>
      </c>
      <c r="AE135" s="12">
        <f t="array" ref="AE135">IF($A135="","",ROUND($Y135*XLOOKUP($F135,Settings!$I$15:$I$20,Settings!$L$15:$L$20,0.8),0))</f>
        <v>1</v>
      </c>
      <c r="AF135" s="12">
        <f t="array" ref="AF135">IF($A135="","",ROUND($Y135*XLOOKUP($F135,Settings!$I$15:$I$20,Settings!$M$15:$M$20,1),0))</f>
        <v>2</v>
      </c>
      <c r="AG135" s="12">
        <f t="array" ref="AG135">IF($A135="","",ROUND($Y135*XLOOKUP($F135,Settings!$I$15:$I$20,Settings!$N$15:$N$20,1.1),0))</f>
        <v>2</v>
      </c>
      <c r="AH135" s="12">
        <f t="array" ref="AH135">IF($A135="","",ROUND($Y135*XLOOKUP($F135,Settings!$I$15:$I$20,Settings!$O$15:$O$20,1.1)*Settings!$J$7,0))</f>
        <v>2</v>
      </c>
      <c r="AI135" s="12">
        <f t="array" ref="AI135">IF($A135="","",IF($AA135="Sold","",MIN($AH135,IFERROR(XLOOKUP(Settings!$B$12,Managers!$B$4:$B$15,Managers!$H$4:$H$15),$AH135))))</f>
        <v>2</v>
      </c>
      <c r="AJ135" s="12" t="str">
        <f t="shared" si="3"/>
        <v>Budget Drainer</v>
      </c>
      <c r="AK135" s="12">
        <f t="shared" si="4"/>
        <v>44</v>
      </c>
      <c r="AL135" s="12" t="str">
        <f t="shared" si="5"/>
        <v/>
      </c>
    </row>
    <row r="136" ht="15.75" customHeight="1">
      <c r="A136" s="10" t="s">
        <v>654</v>
      </c>
      <c r="B136" s="10" t="s">
        <v>655</v>
      </c>
      <c r="C136" s="10" t="s">
        <v>387</v>
      </c>
      <c r="D136" s="10" t="s">
        <v>121</v>
      </c>
      <c r="E136" s="10" t="s">
        <v>121</v>
      </c>
      <c r="F136" s="10" t="s">
        <v>104</v>
      </c>
      <c r="G136" s="10">
        <v>5.0</v>
      </c>
      <c r="H136" s="10">
        <v>7.0</v>
      </c>
      <c r="I136" s="10" t="s">
        <v>2140</v>
      </c>
      <c r="J136" s="10" t="s">
        <v>2136</v>
      </c>
      <c r="K136" s="10"/>
      <c r="L136" s="10">
        <v>216.0</v>
      </c>
      <c r="M136" s="10">
        <v>6.17</v>
      </c>
      <c r="N136" s="10"/>
      <c r="O136" s="10"/>
      <c r="P136" s="12">
        <f>IF($A136="","",IFERROR((IF($O136="",0,$O136)*Settings!$J$4+IF($L136="",0,$L136)*Settings!$J$5+IF($N136="",0,$N136)*Settings!$J$6)/(IF($O136="",0,Settings!$J$4)+IF($L136="",0,Settings!$J$5)+IF($N136="",0,Settings!$J$6)),0))</f>
        <v>216</v>
      </c>
      <c r="Q136" s="12">
        <f t="array" ref="Q136">IF($A136="","",XLOOKUP($E136,Settings!$A$19:$A$22,Settings!$G$19:$G$22,0))</f>
        <v>206</v>
      </c>
      <c r="R136" s="12">
        <f t="shared" si="1"/>
        <v>10</v>
      </c>
      <c r="S136" s="12">
        <f>IF($A136="","",IF($R136&lt;=0,1,1+$R136/SUMIF($R$4:$R$923,"&gt;0",$R$4:$R$923)*(Settings!$B$5*(Settings!$B$6-Settings!$B$7))))</f>
        <v>2.234705228</v>
      </c>
      <c r="T136" s="12">
        <f t="array" ref="T136">IF($A136="","",XLOOKUP($F136,Settings!$I$15:$I$20,Settings!$J$15:$J$20,1))</f>
        <v>1</v>
      </c>
      <c r="U136" s="12">
        <f>IF($A136="","",1+(($G136-5)/5)*Settings!$J$8)</f>
        <v>1</v>
      </c>
      <c r="V136" s="12">
        <f>IF($A136="","",1+(($H136-5)/5)*Settings!$J$9)</f>
        <v>1.06</v>
      </c>
      <c r="W136" s="12">
        <f t="array" ref="W136">IF($A136="","",XLOOKUP($J136,Lists!$C$3:$C$7,Lists!$D$3:$D$7,1))</f>
        <v>1</v>
      </c>
      <c r="X136" s="12">
        <f>IF($A136="","",IF($I136="Yes",Settings!$J$10,1))</f>
        <v>1</v>
      </c>
      <c r="Y136" s="12">
        <f t="shared" si="2"/>
        <v>2</v>
      </c>
      <c r="Z136" s="12">
        <f>IF($A136="","",IFERROR(ROUND(AVERAGEIFS('Historical Drafts'!$G$4:$G$300,'Historical Drafts'!$D$4:$D$300,$E136,'Historical Drafts'!$J$4:$J$300,"&gt;="&amp;$L136*0.85,'Historical Drafts'!$J$4:$J$300,"&lt;="&amp;$L136*1.15),0),$Y136))</f>
        <v>19</v>
      </c>
      <c r="AA136" s="12" t="str">
        <f>IF($A136="","",IF(COUNTIF('Auction Log'!$B$3:$B$300,$A136)&gt;0,"Sold","Available"))</f>
        <v>Available</v>
      </c>
      <c r="AB136" s="12" t="str">
        <f t="array" ref="AB136">IF($A136="","",IFERROR(XLOOKUP($A136,'Auction Log'!$B$3:$B$300,'Auction Log'!$G$3:$G$300,""),""))</f>
        <v/>
      </c>
      <c r="AC136" s="12" t="str">
        <f t="array" ref="AC136">IF($A136="","",IFERROR(XLOOKUP($A136,'Auction Log'!$B$3:$B$300,'Auction Log'!$F$3:$F$300,""),""))</f>
        <v/>
      </c>
      <c r="AD136" s="12">
        <f t="array" ref="AD136">IF($A136="","",ROUND($Y136*XLOOKUP($F136,Settings!$I$15:$I$20,Settings!$K$15:$K$20,0.4),0))</f>
        <v>1</v>
      </c>
      <c r="AE136" s="12">
        <f t="array" ref="AE136">IF($A136="","",ROUND($Y136*XLOOKUP($F136,Settings!$I$15:$I$20,Settings!$L$15:$L$20,0.8),0))</f>
        <v>1</v>
      </c>
      <c r="AF136" s="12">
        <f t="array" ref="AF136">IF($A136="","",ROUND($Y136*XLOOKUP($F136,Settings!$I$15:$I$20,Settings!$M$15:$M$20,1),0))</f>
        <v>2</v>
      </c>
      <c r="AG136" s="12">
        <f t="array" ref="AG136">IF($A136="","",ROUND($Y136*XLOOKUP($F136,Settings!$I$15:$I$20,Settings!$N$15:$N$20,1.1),0))</f>
        <v>2</v>
      </c>
      <c r="AH136" s="12">
        <f t="array" ref="AH136">IF($A136="","",ROUND($Y136*XLOOKUP($F136,Settings!$I$15:$I$20,Settings!$O$15:$O$20,1.1)*Settings!$J$7,0))</f>
        <v>2</v>
      </c>
      <c r="AI136" s="12">
        <f t="array" ref="AI136">IF($A136="","",IF($AA136="Sold","",MIN($AH136,IFERROR(XLOOKUP(Settings!$B$12,Managers!$B$4:$B$15,Managers!$H$4:$H$15),$AH136))))</f>
        <v>2</v>
      </c>
      <c r="AJ136" s="12" t="str">
        <f t="shared" si="3"/>
        <v>Budget Drainer</v>
      </c>
      <c r="AK136" s="12">
        <f t="shared" si="4"/>
        <v>44</v>
      </c>
      <c r="AL136" s="12" t="str">
        <f t="shared" si="5"/>
        <v/>
      </c>
    </row>
    <row r="137" ht="15.75" customHeight="1">
      <c r="A137" s="10" t="s">
        <v>301</v>
      </c>
      <c r="B137" s="10" t="s">
        <v>302</v>
      </c>
      <c r="C137" s="10" t="s">
        <v>226</v>
      </c>
      <c r="D137" s="10" t="s">
        <v>115</v>
      </c>
      <c r="E137" s="10" t="s">
        <v>115</v>
      </c>
      <c r="F137" s="10" t="s">
        <v>104</v>
      </c>
      <c r="G137" s="10">
        <v>5.0</v>
      </c>
      <c r="H137" s="10">
        <v>7.0</v>
      </c>
      <c r="I137" s="10" t="s">
        <v>2140</v>
      </c>
      <c r="J137" s="10" t="s">
        <v>2136</v>
      </c>
      <c r="K137" s="10"/>
      <c r="L137" s="10">
        <v>215.75</v>
      </c>
      <c r="M137" s="10">
        <v>7.99</v>
      </c>
      <c r="N137" s="10"/>
      <c r="O137" s="10"/>
      <c r="P137" s="12">
        <f>IF($A137="","",IFERROR((IF($O137="",0,$O137)*Settings!$J$4+IF($L137="",0,$L137)*Settings!$J$5+IF($N137="",0,$N137)*Settings!$J$6)/(IF($O137="",0,Settings!$J$4)+IF($L137="",0,Settings!$J$5)+IF($N137="",0,Settings!$J$6)),0))</f>
        <v>215.75</v>
      </c>
      <c r="Q137" s="12">
        <f t="array" ref="Q137">IF($A137="","",XLOOKUP($E137,Settings!$A$19:$A$22,Settings!$G$19:$G$22,0))</f>
        <v>249.25</v>
      </c>
      <c r="R137" s="12">
        <f t="shared" si="1"/>
        <v>0</v>
      </c>
      <c r="S137" s="12">
        <f>IF($A137="","",IF($R137&lt;=0,1,1+$R137/SUMIF($R$4:$R$923,"&gt;0",$R$4:$R$923)*(Settings!$B$5*(Settings!$B$6-Settings!$B$7))))</f>
        <v>1</v>
      </c>
      <c r="T137" s="12">
        <f t="array" ref="T137">IF($A137="","",XLOOKUP($F137,Settings!$I$15:$I$20,Settings!$J$15:$J$20,1))</f>
        <v>1</v>
      </c>
      <c r="U137" s="12">
        <f>IF($A137="","",1+(($G137-5)/5)*Settings!$J$8)</f>
        <v>1</v>
      </c>
      <c r="V137" s="12">
        <f>IF($A137="","",1+(($H137-5)/5)*Settings!$J$9)</f>
        <v>1.06</v>
      </c>
      <c r="W137" s="12">
        <f t="array" ref="W137">IF($A137="","",XLOOKUP($J137,Lists!$C$3:$C$7,Lists!$D$3:$D$7,1))</f>
        <v>1</v>
      </c>
      <c r="X137" s="12">
        <f>IF($A137="","",IF($I137="Yes",Settings!$J$10,1))</f>
        <v>1</v>
      </c>
      <c r="Y137" s="12">
        <f t="shared" si="2"/>
        <v>1</v>
      </c>
      <c r="Z137" s="12">
        <f>IF($A137="","",IFERROR(ROUND(AVERAGEIFS('Historical Drafts'!$G$4:$G$300,'Historical Drafts'!$D$4:$D$300,$E137,'Historical Drafts'!$J$4:$J$300,"&gt;="&amp;$L137*0.85,'Historical Drafts'!$J$4:$J$300,"&lt;="&amp;$L137*1.15),0),$Y137))</f>
        <v>2</v>
      </c>
      <c r="AA137" s="12" t="str">
        <f>IF($A137="","",IF(COUNTIF('Auction Log'!$B$3:$B$300,$A137)&gt;0,"Sold","Available"))</f>
        <v>Available</v>
      </c>
      <c r="AB137" s="12" t="str">
        <f t="array" ref="AB137">IF($A137="","",IFERROR(XLOOKUP($A137,'Auction Log'!$B$3:$B$300,'Auction Log'!$G$3:$G$300,""),""))</f>
        <v/>
      </c>
      <c r="AC137" s="12" t="str">
        <f t="array" ref="AC137">IF($A137="","",IFERROR(XLOOKUP($A137,'Auction Log'!$B$3:$B$300,'Auction Log'!$F$3:$F$300,""),""))</f>
        <v/>
      </c>
      <c r="AD137" s="12">
        <f t="array" ref="AD137">IF($A137="","",ROUND($Y137*XLOOKUP($F137,Settings!$I$15:$I$20,Settings!$K$15:$K$20,0.4),0))</f>
        <v>0</v>
      </c>
      <c r="AE137" s="12">
        <f t="array" ref="AE137">IF($A137="","",ROUND($Y137*XLOOKUP($F137,Settings!$I$15:$I$20,Settings!$L$15:$L$20,0.8),0))</f>
        <v>1</v>
      </c>
      <c r="AF137" s="12">
        <f t="array" ref="AF137">IF($A137="","",ROUND($Y137*XLOOKUP($F137,Settings!$I$15:$I$20,Settings!$M$15:$M$20,1),0))</f>
        <v>1</v>
      </c>
      <c r="AG137" s="12">
        <f t="array" ref="AG137">IF($A137="","",ROUND($Y137*XLOOKUP($F137,Settings!$I$15:$I$20,Settings!$N$15:$N$20,1.1),0))</f>
        <v>1</v>
      </c>
      <c r="AH137" s="12">
        <f t="array" ref="AH137">IF($A137="","",ROUND($Y137*XLOOKUP($F137,Settings!$I$15:$I$20,Settings!$O$15:$O$20,1.1)*Settings!$J$7,0))</f>
        <v>1</v>
      </c>
      <c r="AI137" s="12">
        <f t="array" ref="AI137">IF($A137="","",IF($AA137="Sold","",MIN($AH137,IFERROR(XLOOKUP(Settings!$B$12,Managers!$B$4:$B$15,Managers!$H$4:$H$15),$AH137))))</f>
        <v>1</v>
      </c>
      <c r="AJ137" s="12" t="str">
        <f t="shared" si="3"/>
        <v>Budget Drainer</v>
      </c>
      <c r="AK137" s="12">
        <f t="shared" si="4"/>
        <v>27</v>
      </c>
      <c r="AL137" s="12" t="str">
        <f t="shared" si="5"/>
        <v/>
      </c>
    </row>
    <row r="138" ht="15.75" customHeight="1">
      <c r="A138" s="10" t="s">
        <v>656</v>
      </c>
      <c r="B138" s="10" t="s">
        <v>657</v>
      </c>
      <c r="C138" s="10" t="s">
        <v>566</v>
      </c>
      <c r="D138" s="10" t="s">
        <v>658</v>
      </c>
      <c r="E138" s="10" t="s">
        <v>658</v>
      </c>
      <c r="F138" s="10" t="s">
        <v>104</v>
      </c>
      <c r="G138" s="10">
        <v>5.0</v>
      </c>
      <c r="H138" s="10">
        <v>7.0</v>
      </c>
      <c r="I138" s="10" t="s">
        <v>2140</v>
      </c>
      <c r="J138" s="10" t="s">
        <v>2136</v>
      </c>
      <c r="K138" s="10"/>
      <c r="L138" s="10">
        <v>215.0</v>
      </c>
      <c r="M138" s="10">
        <v>7.41</v>
      </c>
      <c r="N138" s="10"/>
      <c r="O138" s="10"/>
      <c r="P138" s="12">
        <f>IF($A138="","",IFERROR((IF($O138="",0,$O138)*Settings!$J$4+IF($L138="",0,$L138)*Settings!$J$5+IF($N138="",0,$N138)*Settings!$J$6)/(IF($O138="",0,Settings!$J$4)+IF($L138="",0,Settings!$J$5)+IF($N138="",0,Settings!$J$6)),0))</f>
        <v>215</v>
      </c>
      <c r="Q138" s="12">
        <f t="array" ref="Q138">IF($A138="","",XLOOKUP($E138,Settings!$A$19:$A$22,Settings!$G$19:$G$22,0))</f>
        <v>0</v>
      </c>
      <c r="R138" s="12">
        <f t="shared" si="1"/>
        <v>215</v>
      </c>
      <c r="S138" s="12">
        <f>IF($A138="","",IF($R138&lt;=0,1,1+$R138/SUMIF($R$4:$R$923,"&gt;0",$R$4:$R$923)*(Settings!$B$5*(Settings!$B$6-Settings!$B$7))))</f>
        <v>27.5461624</v>
      </c>
      <c r="T138" s="12">
        <f t="array" ref="T138">IF($A138="","",XLOOKUP($F138,Settings!$I$15:$I$20,Settings!$J$15:$J$20,1))</f>
        <v>1</v>
      </c>
      <c r="U138" s="12">
        <f>IF($A138="","",1+(($G138-5)/5)*Settings!$J$8)</f>
        <v>1</v>
      </c>
      <c r="V138" s="12">
        <f>IF($A138="","",1+(($H138-5)/5)*Settings!$J$9)</f>
        <v>1.06</v>
      </c>
      <c r="W138" s="12">
        <f t="array" ref="W138">IF($A138="","",XLOOKUP($J138,Lists!$C$3:$C$7,Lists!$D$3:$D$7,1))</f>
        <v>1</v>
      </c>
      <c r="X138" s="12">
        <f>IF($A138="","",IF($I138="Yes",Settings!$J$10,1))</f>
        <v>1</v>
      </c>
      <c r="Y138" s="12">
        <f t="shared" si="2"/>
        <v>29</v>
      </c>
      <c r="Z138" s="12">
        <f>IF($A138="","",IFERROR(ROUND(AVERAGEIFS('Historical Drafts'!$G$4:$G$300,'Historical Drafts'!$D$4:$D$300,$E138,'Historical Drafts'!$J$4:$J$300,"&gt;="&amp;$L138*0.85,'Historical Drafts'!$J$4:$J$300,"&lt;="&amp;$L138*1.15),0),$Y138))</f>
        <v>29</v>
      </c>
      <c r="AA138" s="12" t="str">
        <f>IF($A138="","",IF(COUNTIF('Auction Log'!$B$3:$B$300,$A138)&gt;0,"Sold","Available"))</f>
        <v>Available</v>
      </c>
      <c r="AB138" s="12" t="str">
        <f t="array" ref="AB138">IF($A138="","",IFERROR(XLOOKUP($A138,'Auction Log'!$B$3:$B$300,'Auction Log'!$G$3:$G$300,""),""))</f>
        <v/>
      </c>
      <c r="AC138" s="12" t="str">
        <f t="array" ref="AC138">IF($A138="","",IFERROR(XLOOKUP($A138,'Auction Log'!$B$3:$B$300,'Auction Log'!$F$3:$F$300,""),""))</f>
        <v/>
      </c>
      <c r="AD138" s="12">
        <f t="array" ref="AD138">IF($A138="","",ROUND($Y138*XLOOKUP($F138,Settings!$I$15:$I$20,Settings!$K$15:$K$20,0.4),0))</f>
        <v>9</v>
      </c>
      <c r="AE138" s="12">
        <f t="array" ref="AE138">IF($A138="","",ROUND($Y138*XLOOKUP($F138,Settings!$I$15:$I$20,Settings!$L$15:$L$20,0.8),0))</f>
        <v>20</v>
      </c>
      <c r="AF138" s="12">
        <f t="array" ref="AF138">IF($A138="","",ROUND($Y138*XLOOKUP($F138,Settings!$I$15:$I$20,Settings!$M$15:$M$20,1),0))</f>
        <v>28</v>
      </c>
      <c r="AG138" s="12">
        <f t="array" ref="AG138">IF($A138="","",ROUND($Y138*XLOOKUP($F138,Settings!$I$15:$I$20,Settings!$N$15:$N$20,1.1),0))</f>
        <v>29</v>
      </c>
      <c r="AH138" s="12">
        <f t="array" ref="AH138">IF($A138="","",ROUND($Y138*XLOOKUP($F138,Settings!$I$15:$I$20,Settings!$O$15:$O$20,1.1)*Settings!$J$7,0))</f>
        <v>30</v>
      </c>
      <c r="AI138" s="12">
        <f t="array" ref="AI138">IF($A138="","",IF($AA138="Sold","",MIN($AH138,IFERROR(XLOOKUP(Settings!$B$12,Managers!$B$4:$B$15,Managers!$H$4:$H$15),$AH138))))</f>
        <v>30</v>
      </c>
      <c r="AJ138" s="12" t="str">
        <f t="shared" si="3"/>
        <v>Recommended</v>
      </c>
      <c r="AK138" s="12">
        <f t="shared" si="4"/>
        <v>54</v>
      </c>
      <c r="AL138" s="12" t="str">
        <f t="shared" si="5"/>
        <v/>
      </c>
    </row>
    <row r="139" ht="15.75" customHeight="1">
      <c r="A139" s="10" t="s">
        <v>659</v>
      </c>
      <c r="B139" s="10" t="s">
        <v>660</v>
      </c>
      <c r="C139" s="10" t="s">
        <v>661</v>
      </c>
      <c r="D139" s="10" t="s">
        <v>118</v>
      </c>
      <c r="E139" s="10" t="s">
        <v>118</v>
      </c>
      <c r="F139" s="10" t="s">
        <v>104</v>
      </c>
      <c r="G139" s="10">
        <v>5.0</v>
      </c>
      <c r="H139" s="10">
        <v>7.0</v>
      </c>
      <c r="I139" s="10" t="s">
        <v>2140</v>
      </c>
      <c r="J139" s="10" t="s">
        <v>2136</v>
      </c>
      <c r="K139" s="10"/>
      <c r="L139" s="10">
        <v>209.75</v>
      </c>
      <c r="M139" s="10">
        <v>7.23</v>
      </c>
      <c r="N139" s="10"/>
      <c r="O139" s="10"/>
      <c r="P139" s="12">
        <f>IF($A139="","",IFERROR((IF($O139="",0,$O139)*Settings!$J$4+IF($L139="",0,$L139)*Settings!$J$5+IF($N139="",0,$N139)*Settings!$J$6)/(IF($O139="",0,Settings!$J$4)+IF($L139="",0,Settings!$J$5)+IF($N139="",0,Settings!$J$6)),0))</f>
        <v>209.75</v>
      </c>
      <c r="Q139" s="12">
        <f t="array" ref="Q139">IF($A139="","",XLOOKUP($E139,Settings!$A$19:$A$22,Settings!$G$19:$G$22,0))</f>
        <v>196.25</v>
      </c>
      <c r="R139" s="12">
        <f t="shared" si="1"/>
        <v>13.5</v>
      </c>
      <c r="S139" s="12">
        <f>IF($A139="","",IF($R139&lt;=0,1,1+$R139/SUMIF($R$4:$R$923,"&gt;0",$R$4:$R$923)*(Settings!$B$5*(Settings!$B$6-Settings!$B$7))))</f>
        <v>2.666852058</v>
      </c>
      <c r="T139" s="12">
        <f t="array" ref="T139">IF($A139="","",XLOOKUP($F139,Settings!$I$15:$I$20,Settings!$J$15:$J$20,1))</f>
        <v>1</v>
      </c>
      <c r="U139" s="12">
        <f>IF($A139="","",1+(($G139-5)/5)*Settings!$J$8)</f>
        <v>1</v>
      </c>
      <c r="V139" s="12">
        <f>IF($A139="","",1+(($H139-5)/5)*Settings!$J$9)</f>
        <v>1.06</v>
      </c>
      <c r="W139" s="12">
        <f t="array" ref="W139">IF($A139="","",XLOOKUP($J139,Lists!$C$3:$C$7,Lists!$D$3:$D$7,1))</f>
        <v>1</v>
      </c>
      <c r="X139" s="12">
        <f>IF($A139="","",IF($I139="Yes",Settings!$J$10,1))</f>
        <v>1</v>
      </c>
      <c r="Y139" s="12">
        <f t="shared" si="2"/>
        <v>3</v>
      </c>
      <c r="Z139" s="12">
        <f>IF($A139="","",IFERROR(ROUND(AVERAGEIFS('Historical Drafts'!$G$4:$G$300,'Historical Drafts'!$D$4:$D$300,$E139,'Historical Drafts'!$J$4:$J$300,"&gt;="&amp;$L139*0.85,'Historical Drafts'!$J$4:$J$300,"&lt;="&amp;$L139*1.15),0),$Y139))</f>
        <v>4</v>
      </c>
      <c r="AA139" s="12" t="str">
        <f>IF($A139="","",IF(COUNTIF('Auction Log'!$B$3:$B$300,$A139)&gt;0,"Sold","Available"))</f>
        <v>Available</v>
      </c>
      <c r="AB139" s="12" t="str">
        <f t="array" ref="AB139">IF($A139="","",IFERROR(XLOOKUP($A139,'Auction Log'!$B$3:$B$300,'Auction Log'!$G$3:$G$300,""),""))</f>
        <v/>
      </c>
      <c r="AC139" s="12" t="str">
        <f t="array" ref="AC139">IF($A139="","",IFERROR(XLOOKUP($A139,'Auction Log'!$B$3:$B$300,'Auction Log'!$F$3:$F$300,""),""))</f>
        <v/>
      </c>
      <c r="AD139" s="12">
        <f t="array" ref="AD139">IF($A139="","",ROUND($Y139*XLOOKUP($F139,Settings!$I$15:$I$20,Settings!$K$15:$K$20,0.4),0))</f>
        <v>1</v>
      </c>
      <c r="AE139" s="12">
        <f t="array" ref="AE139">IF($A139="","",ROUND($Y139*XLOOKUP($F139,Settings!$I$15:$I$20,Settings!$L$15:$L$20,0.8),0))</f>
        <v>2</v>
      </c>
      <c r="AF139" s="12">
        <f t="array" ref="AF139">IF($A139="","",ROUND($Y139*XLOOKUP($F139,Settings!$I$15:$I$20,Settings!$M$15:$M$20,1),0))</f>
        <v>3</v>
      </c>
      <c r="AG139" s="12">
        <f t="array" ref="AG139">IF($A139="","",ROUND($Y139*XLOOKUP($F139,Settings!$I$15:$I$20,Settings!$N$15:$N$20,1.1),0))</f>
        <v>3</v>
      </c>
      <c r="AH139" s="12">
        <f t="array" ref="AH139">IF($A139="","",ROUND($Y139*XLOOKUP($F139,Settings!$I$15:$I$20,Settings!$O$15:$O$20,1.1)*Settings!$J$7,0))</f>
        <v>3</v>
      </c>
      <c r="AI139" s="12">
        <f t="array" ref="AI139">IF($A139="","",IF($AA139="Sold","",MIN($AH139,IFERROR(XLOOKUP(Settings!$B$12,Managers!$B$4:$B$15,Managers!$H$4:$H$15),$AH139))))</f>
        <v>3</v>
      </c>
      <c r="AJ139" s="12" t="str">
        <f t="shared" si="3"/>
        <v>Budget Drainer</v>
      </c>
      <c r="AK139" s="12">
        <f t="shared" si="4"/>
        <v>29</v>
      </c>
      <c r="AL139" s="12" t="str">
        <f t="shared" si="5"/>
        <v/>
      </c>
    </row>
    <row r="140" ht="15.75" customHeight="1">
      <c r="A140" s="10" t="s">
        <v>662</v>
      </c>
      <c r="B140" s="10" t="s">
        <v>663</v>
      </c>
      <c r="C140" s="10" t="s">
        <v>305</v>
      </c>
      <c r="D140" s="10" t="s">
        <v>118</v>
      </c>
      <c r="E140" s="10" t="s">
        <v>118</v>
      </c>
      <c r="F140" s="10" t="s">
        <v>104</v>
      </c>
      <c r="G140" s="10">
        <v>5.0</v>
      </c>
      <c r="H140" s="10">
        <v>7.0</v>
      </c>
      <c r="I140" s="10" t="s">
        <v>2140</v>
      </c>
      <c r="J140" s="10" t="s">
        <v>2136</v>
      </c>
      <c r="K140" s="10"/>
      <c r="L140" s="10">
        <v>209.0</v>
      </c>
      <c r="M140" s="10">
        <v>6.33</v>
      </c>
      <c r="N140" s="10"/>
      <c r="O140" s="10"/>
      <c r="P140" s="12">
        <f>IF($A140="","",IFERROR((IF($O140="",0,$O140)*Settings!$J$4+IF($L140="",0,$L140)*Settings!$J$5+IF($N140="",0,$N140)*Settings!$J$6)/(IF($O140="",0,Settings!$J$4)+IF($L140="",0,Settings!$J$5)+IF($N140="",0,Settings!$J$6)),0))</f>
        <v>209</v>
      </c>
      <c r="Q140" s="12">
        <f t="array" ref="Q140">IF($A140="","",XLOOKUP($E140,Settings!$A$19:$A$22,Settings!$G$19:$G$22,0))</f>
        <v>196.25</v>
      </c>
      <c r="R140" s="12">
        <f t="shared" si="1"/>
        <v>12.75</v>
      </c>
      <c r="S140" s="12">
        <f>IF($A140="","",IF($R140&lt;=0,1,1+$R140/SUMIF($R$4:$R$923,"&gt;0",$R$4:$R$923)*(Settings!$B$5*(Settings!$B$6-Settings!$B$7))))</f>
        <v>2.574249166</v>
      </c>
      <c r="T140" s="12">
        <f t="array" ref="T140">IF($A140="","",XLOOKUP($F140,Settings!$I$15:$I$20,Settings!$J$15:$J$20,1))</f>
        <v>1</v>
      </c>
      <c r="U140" s="12">
        <f>IF($A140="","",1+(($G140-5)/5)*Settings!$J$8)</f>
        <v>1</v>
      </c>
      <c r="V140" s="12">
        <f>IF($A140="","",1+(($H140-5)/5)*Settings!$J$9)</f>
        <v>1.06</v>
      </c>
      <c r="W140" s="12">
        <f t="array" ref="W140">IF($A140="","",XLOOKUP($J140,Lists!$C$3:$C$7,Lists!$D$3:$D$7,1))</f>
        <v>1</v>
      </c>
      <c r="X140" s="12">
        <f>IF($A140="","",IF($I140="Yes",Settings!$J$10,1))</f>
        <v>1</v>
      </c>
      <c r="Y140" s="12">
        <f t="shared" si="2"/>
        <v>3</v>
      </c>
      <c r="Z140" s="12">
        <f>IF($A140="","",IFERROR(ROUND(AVERAGEIFS('Historical Drafts'!$G$4:$G$300,'Historical Drafts'!$D$4:$D$300,$E140,'Historical Drafts'!$J$4:$J$300,"&gt;="&amp;$L140*0.85,'Historical Drafts'!$J$4:$J$300,"&lt;="&amp;$L140*1.15),0),$Y140))</f>
        <v>4</v>
      </c>
      <c r="AA140" s="12" t="str">
        <f>IF($A140="","",IF(COUNTIF('Auction Log'!$B$3:$B$300,$A140)&gt;0,"Sold","Available"))</f>
        <v>Available</v>
      </c>
      <c r="AB140" s="12" t="str">
        <f t="array" ref="AB140">IF($A140="","",IFERROR(XLOOKUP($A140,'Auction Log'!$B$3:$B$300,'Auction Log'!$G$3:$G$300,""),""))</f>
        <v/>
      </c>
      <c r="AC140" s="12" t="str">
        <f t="array" ref="AC140">IF($A140="","",IFERROR(XLOOKUP($A140,'Auction Log'!$B$3:$B$300,'Auction Log'!$F$3:$F$300,""),""))</f>
        <v/>
      </c>
      <c r="AD140" s="12">
        <f t="array" ref="AD140">IF($A140="","",ROUND($Y140*XLOOKUP($F140,Settings!$I$15:$I$20,Settings!$K$15:$K$20,0.4),0))</f>
        <v>1</v>
      </c>
      <c r="AE140" s="12">
        <f t="array" ref="AE140">IF($A140="","",ROUND($Y140*XLOOKUP($F140,Settings!$I$15:$I$20,Settings!$L$15:$L$20,0.8),0))</f>
        <v>2</v>
      </c>
      <c r="AF140" s="12">
        <f t="array" ref="AF140">IF($A140="","",ROUND($Y140*XLOOKUP($F140,Settings!$I$15:$I$20,Settings!$M$15:$M$20,1),0))</f>
        <v>3</v>
      </c>
      <c r="AG140" s="12">
        <f t="array" ref="AG140">IF($A140="","",ROUND($Y140*XLOOKUP($F140,Settings!$I$15:$I$20,Settings!$N$15:$N$20,1.1),0))</f>
        <v>3</v>
      </c>
      <c r="AH140" s="12">
        <f t="array" ref="AH140">IF($A140="","",ROUND($Y140*XLOOKUP($F140,Settings!$I$15:$I$20,Settings!$O$15:$O$20,1.1)*Settings!$J$7,0))</f>
        <v>3</v>
      </c>
      <c r="AI140" s="12">
        <f t="array" ref="AI140">IF($A140="","",IF($AA140="Sold","",MIN($AH140,IFERROR(XLOOKUP(Settings!$B$12,Managers!$B$4:$B$15,Managers!$H$4:$H$15),$AH140))))</f>
        <v>3</v>
      </c>
      <c r="AJ140" s="12" t="str">
        <f t="shared" si="3"/>
        <v>Budget Drainer</v>
      </c>
      <c r="AK140" s="12">
        <f t="shared" si="4"/>
        <v>29</v>
      </c>
      <c r="AL140" s="12" t="str">
        <f t="shared" si="5"/>
        <v/>
      </c>
    </row>
    <row r="141" ht="15.75" customHeight="1">
      <c r="A141" s="10" t="s">
        <v>664</v>
      </c>
      <c r="B141" s="10" t="s">
        <v>665</v>
      </c>
      <c r="C141" s="10" t="s">
        <v>226</v>
      </c>
      <c r="D141" s="10" t="s">
        <v>123</v>
      </c>
      <c r="E141" s="10" t="s">
        <v>123</v>
      </c>
      <c r="F141" s="10" t="s">
        <v>104</v>
      </c>
      <c r="G141" s="10">
        <v>5.0</v>
      </c>
      <c r="H141" s="10">
        <v>7.0</v>
      </c>
      <c r="I141" s="10" t="s">
        <v>2140</v>
      </c>
      <c r="J141" s="10" t="s">
        <v>2136</v>
      </c>
      <c r="K141" s="10"/>
      <c r="L141" s="10">
        <v>208.5</v>
      </c>
      <c r="M141" s="10">
        <v>6.32</v>
      </c>
      <c r="N141" s="10"/>
      <c r="O141" s="10"/>
      <c r="P141" s="12">
        <f>IF($A141="","",IFERROR((IF($O141="",0,$O141)*Settings!$J$4+IF($L141="",0,$L141)*Settings!$J$5+IF($N141="",0,$N141)*Settings!$J$6)/(IF($O141="",0,Settings!$J$4)+IF($L141="",0,Settings!$J$5)+IF($N141="",0,Settings!$J$6)),0))</f>
        <v>208.5</v>
      </c>
      <c r="Q141" s="12">
        <f t="array" ref="Q141">IF($A141="","",XLOOKUP($E141,Settings!$A$19:$A$22,Settings!$G$19:$G$22,0))</f>
        <v>203</v>
      </c>
      <c r="R141" s="12">
        <f t="shared" si="1"/>
        <v>5.5</v>
      </c>
      <c r="S141" s="12">
        <f>IF($A141="","",IF($R141&lt;=0,1,1+$R141/SUMIF($R$4:$R$923,"&gt;0",$R$4:$R$923)*(Settings!$B$5*(Settings!$B$6-Settings!$B$7))))</f>
        <v>1.679087875</v>
      </c>
      <c r="T141" s="12">
        <f t="array" ref="T141">IF($A141="","",XLOOKUP($F141,Settings!$I$15:$I$20,Settings!$J$15:$J$20,1))</f>
        <v>1</v>
      </c>
      <c r="U141" s="12">
        <f>IF($A141="","",1+(($G141-5)/5)*Settings!$J$8)</f>
        <v>1</v>
      </c>
      <c r="V141" s="12">
        <f>IF($A141="","",1+(($H141-5)/5)*Settings!$J$9)</f>
        <v>1.06</v>
      </c>
      <c r="W141" s="12">
        <f t="array" ref="W141">IF($A141="","",XLOOKUP($J141,Lists!$C$3:$C$7,Lists!$D$3:$D$7,1))</f>
        <v>1</v>
      </c>
      <c r="X141" s="12">
        <f>IF($A141="","",IF($I141="Yes",Settings!$J$10,1))</f>
        <v>1</v>
      </c>
      <c r="Y141" s="12">
        <f t="shared" si="2"/>
        <v>2</v>
      </c>
      <c r="Z141" s="12">
        <f>IF($A141="","",IFERROR(ROUND(AVERAGEIFS('Historical Drafts'!$G$4:$G$300,'Historical Drafts'!$D$4:$D$300,$E141,'Historical Drafts'!$J$4:$J$300,"&gt;="&amp;$L141*0.85,'Historical Drafts'!$J$4:$J$300,"&lt;="&amp;$L141*1.15),0),$Y141))</f>
        <v>3</v>
      </c>
      <c r="AA141" s="12" t="str">
        <f>IF($A141="","",IF(COUNTIF('Auction Log'!$B$3:$B$300,$A141)&gt;0,"Sold","Available"))</f>
        <v>Available</v>
      </c>
      <c r="AB141" s="12" t="str">
        <f t="array" ref="AB141">IF($A141="","",IFERROR(XLOOKUP($A141,'Auction Log'!$B$3:$B$300,'Auction Log'!$G$3:$G$300,""),""))</f>
        <v/>
      </c>
      <c r="AC141" s="12" t="str">
        <f t="array" ref="AC141">IF($A141="","",IFERROR(XLOOKUP($A141,'Auction Log'!$B$3:$B$300,'Auction Log'!$F$3:$F$300,""),""))</f>
        <v/>
      </c>
      <c r="AD141" s="12">
        <f t="array" ref="AD141">IF($A141="","",ROUND($Y141*XLOOKUP($F141,Settings!$I$15:$I$20,Settings!$K$15:$K$20,0.4),0))</f>
        <v>1</v>
      </c>
      <c r="AE141" s="12">
        <f t="array" ref="AE141">IF($A141="","",ROUND($Y141*XLOOKUP($F141,Settings!$I$15:$I$20,Settings!$L$15:$L$20,0.8),0))</f>
        <v>1</v>
      </c>
      <c r="AF141" s="12">
        <f t="array" ref="AF141">IF($A141="","",ROUND($Y141*XLOOKUP($F141,Settings!$I$15:$I$20,Settings!$M$15:$M$20,1),0))</f>
        <v>2</v>
      </c>
      <c r="AG141" s="12">
        <f t="array" ref="AG141">IF($A141="","",ROUND($Y141*XLOOKUP($F141,Settings!$I$15:$I$20,Settings!$N$15:$N$20,1.1),0))</f>
        <v>2</v>
      </c>
      <c r="AH141" s="12">
        <f t="array" ref="AH141">IF($A141="","",ROUND($Y141*XLOOKUP($F141,Settings!$I$15:$I$20,Settings!$O$15:$O$20,1.1)*Settings!$J$7,0))</f>
        <v>2</v>
      </c>
      <c r="AI141" s="12">
        <f t="array" ref="AI141">IF($A141="","",IF($AA141="Sold","",MIN($AH141,IFERROR(XLOOKUP(Settings!$B$12,Managers!$B$4:$B$15,Managers!$H$4:$H$15),$AH141))))</f>
        <v>2</v>
      </c>
      <c r="AJ141" s="12" t="str">
        <f t="shared" si="3"/>
        <v>Budget Drainer</v>
      </c>
      <c r="AK141" s="12">
        <f t="shared" si="4"/>
        <v>28</v>
      </c>
      <c r="AL141" s="12" t="str">
        <f t="shared" si="5"/>
        <v/>
      </c>
    </row>
    <row r="142" ht="15.75" customHeight="1">
      <c r="A142" s="10" t="s">
        <v>458</v>
      </c>
      <c r="B142" s="10" t="s">
        <v>459</v>
      </c>
      <c r="C142" s="10" t="s">
        <v>226</v>
      </c>
      <c r="D142" s="10" t="s">
        <v>121</v>
      </c>
      <c r="E142" s="10" t="s">
        <v>121</v>
      </c>
      <c r="F142" s="10" t="s">
        <v>104</v>
      </c>
      <c r="G142" s="10">
        <v>5.0</v>
      </c>
      <c r="H142" s="10">
        <v>7.0</v>
      </c>
      <c r="I142" s="10" t="s">
        <v>2140</v>
      </c>
      <c r="J142" s="10" t="s">
        <v>2136</v>
      </c>
      <c r="K142" s="10"/>
      <c r="L142" s="10">
        <v>208.0</v>
      </c>
      <c r="M142" s="10">
        <v>5.62</v>
      </c>
      <c r="N142" s="10"/>
      <c r="O142" s="10"/>
      <c r="P142" s="12">
        <f>IF($A142="","",IFERROR((IF($O142="",0,$O142)*Settings!$J$4+IF($L142="",0,$L142)*Settings!$J$5+IF($N142="",0,$N142)*Settings!$J$6)/(IF($O142="",0,Settings!$J$4)+IF($L142="",0,Settings!$J$5)+IF($N142="",0,Settings!$J$6)),0))</f>
        <v>208</v>
      </c>
      <c r="Q142" s="12">
        <f t="array" ref="Q142">IF($A142="","",XLOOKUP($E142,Settings!$A$19:$A$22,Settings!$G$19:$G$22,0))</f>
        <v>206</v>
      </c>
      <c r="R142" s="12">
        <f t="shared" si="1"/>
        <v>2</v>
      </c>
      <c r="S142" s="12">
        <f>IF($A142="","",IF($R142&lt;=0,1,1+$R142/SUMIF($R$4:$R$923,"&gt;0",$R$4:$R$923)*(Settings!$B$5*(Settings!$B$6-Settings!$B$7))))</f>
        <v>1.246941046</v>
      </c>
      <c r="T142" s="12">
        <f t="array" ref="T142">IF($A142="","",XLOOKUP($F142,Settings!$I$15:$I$20,Settings!$J$15:$J$20,1))</f>
        <v>1</v>
      </c>
      <c r="U142" s="12">
        <f>IF($A142="","",1+(($G142-5)/5)*Settings!$J$8)</f>
        <v>1</v>
      </c>
      <c r="V142" s="12">
        <f>IF($A142="","",1+(($H142-5)/5)*Settings!$J$9)</f>
        <v>1.06</v>
      </c>
      <c r="W142" s="12">
        <f t="array" ref="W142">IF($A142="","",XLOOKUP($J142,Lists!$C$3:$C$7,Lists!$D$3:$D$7,1))</f>
        <v>1</v>
      </c>
      <c r="X142" s="12">
        <f>IF($A142="","",IF($I142="Yes",Settings!$J$10,1))</f>
        <v>1</v>
      </c>
      <c r="Y142" s="12">
        <f t="shared" si="2"/>
        <v>1</v>
      </c>
      <c r="Z142" s="12">
        <f>IF($A142="","",IFERROR(ROUND(AVERAGEIFS('Historical Drafts'!$G$4:$G$300,'Historical Drafts'!$D$4:$D$300,$E142,'Historical Drafts'!$J$4:$J$300,"&gt;="&amp;$L142*0.85,'Historical Drafts'!$J$4:$J$300,"&lt;="&amp;$L142*1.15),0),$Y142))</f>
        <v>15</v>
      </c>
      <c r="AA142" s="12" t="str">
        <f>IF($A142="","",IF(COUNTIF('Auction Log'!$B$3:$B$300,$A142)&gt;0,"Sold","Available"))</f>
        <v>Available</v>
      </c>
      <c r="AB142" s="12" t="str">
        <f t="array" ref="AB142">IF($A142="","",IFERROR(XLOOKUP($A142,'Auction Log'!$B$3:$B$300,'Auction Log'!$G$3:$G$300,""),""))</f>
        <v/>
      </c>
      <c r="AC142" s="12" t="str">
        <f t="array" ref="AC142">IF($A142="","",IFERROR(XLOOKUP($A142,'Auction Log'!$B$3:$B$300,'Auction Log'!$F$3:$F$300,""),""))</f>
        <v/>
      </c>
      <c r="AD142" s="12">
        <f t="array" ref="AD142">IF($A142="","",ROUND($Y142*XLOOKUP($F142,Settings!$I$15:$I$20,Settings!$K$15:$K$20,0.4),0))</f>
        <v>0</v>
      </c>
      <c r="AE142" s="12">
        <f t="array" ref="AE142">IF($A142="","",ROUND($Y142*XLOOKUP($F142,Settings!$I$15:$I$20,Settings!$L$15:$L$20,0.8),0))</f>
        <v>1</v>
      </c>
      <c r="AF142" s="12">
        <f t="array" ref="AF142">IF($A142="","",ROUND($Y142*XLOOKUP($F142,Settings!$I$15:$I$20,Settings!$M$15:$M$20,1),0))</f>
        <v>1</v>
      </c>
      <c r="AG142" s="12">
        <f t="array" ref="AG142">IF($A142="","",ROUND($Y142*XLOOKUP($F142,Settings!$I$15:$I$20,Settings!$N$15:$N$20,1.1),0))</f>
        <v>1</v>
      </c>
      <c r="AH142" s="12">
        <f t="array" ref="AH142">IF($A142="","",ROUND($Y142*XLOOKUP($F142,Settings!$I$15:$I$20,Settings!$O$15:$O$20,1.1)*Settings!$J$7,0))</f>
        <v>1</v>
      </c>
      <c r="AI142" s="12">
        <f t="array" ref="AI142">IF($A142="","",IF($AA142="Sold","",MIN($AH142,IFERROR(XLOOKUP(Settings!$B$12,Managers!$B$4:$B$15,Managers!$H$4:$H$15),$AH142))))</f>
        <v>1</v>
      </c>
      <c r="AJ142" s="12" t="str">
        <f t="shared" si="3"/>
        <v>Budget Drainer</v>
      </c>
      <c r="AK142" s="12">
        <f t="shared" si="4"/>
        <v>40</v>
      </c>
      <c r="AL142" s="12" t="str">
        <f t="shared" si="5"/>
        <v/>
      </c>
    </row>
    <row r="143" ht="15.75" customHeight="1">
      <c r="A143" s="10" t="s">
        <v>485</v>
      </c>
      <c r="B143" s="10" t="s">
        <v>486</v>
      </c>
      <c r="C143" s="10" t="s">
        <v>257</v>
      </c>
      <c r="D143" s="10" t="s">
        <v>123</v>
      </c>
      <c r="E143" s="10" t="s">
        <v>123</v>
      </c>
      <c r="F143" s="10" t="s">
        <v>104</v>
      </c>
      <c r="G143" s="10">
        <v>5.0</v>
      </c>
      <c r="H143" s="10">
        <v>7.0</v>
      </c>
      <c r="I143" s="10" t="s">
        <v>2140</v>
      </c>
      <c r="J143" s="10" t="s">
        <v>2136</v>
      </c>
      <c r="K143" s="10"/>
      <c r="L143" s="10">
        <v>208.0</v>
      </c>
      <c r="M143" s="10">
        <v>5.47</v>
      </c>
      <c r="N143" s="10"/>
      <c r="O143" s="10"/>
      <c r="P143" s="12">
        <f>IF($A143="","",IFERROR((IF($O143="",0,$O143)*Settings!$J$4+IF($L143="",0,$L143)*Settings!$J$5+IF($N143="",0,$N143)*Settings!$J$6)/(IF($O143="",0,Settings!$J$4)+IF($L143="",0,Settings!$J$5)+IF($N143="",0,Settings!$J$6)),0))</f>
        <v>208</v>
      </c>
      <c r="Q143" s="12">
        <f t="array" ref="Q143">IF($A143="","",XLOOKUP($E143,Settings!$A$19:$A$22,Settings!$G$19:$G$22,0))</f>
        <v>203</v>
      </c>
      <c r="R143" s="12">
        <f t="shared" si="1"/>
        <v>5</v>
      </c>
      <c r="S143" s="12">
        <f>IF($A143="","",IF($R143&lt;=0,1,1+$R143/SUMIF($R$4:$R$923,"&gt;0",$R$4:$R$923)*(Settings!$B$5*(Settings!$B$6-Settings!$B$7))))</f>
        <v>1.617352614</v>
      </c>
      <c r="T143" s="12">
        <f t="array" ref="T143">IF($A143="","",XLOOKUP($F143,Settings!$I$15:$I$20,Settings!$J$15:$J$20,1))</f>
        <v>1</v>
      </c>
      <c r="U143" s="12">
        <f>IF($A143="","",1+(($G143-5)/5)*Settings!$J$8)</f>
        <v>1</v>
      </c>
      <c r="V143" s="12">
        <f>IF($A143="","",1+(($H143-5)/5)*Settings!$J$9)</f>
        <v>1.06</v>
      </c>
      <c r="W143" s="12">
        <f t="array" ref="W143">IF($A143="","",XLOOKUP($J143,Lists!$C$3:$C$7,Lists!$D$3:$D$7,1))</f>
        <v>1</v>
      </c>
      <c r="X143" s="12">
        <f>IF($A143="","",IF($I143="Yes",Settings!$J$10,1))</f>
        <v>1</v>
      </c>
      <c r="Y143" s="12">
        <f t="shared" si="2"/>
        <v>2</v>
      </c>
      <c r="Z143" s="12">
        <f>IF($A143="","",IFERROR(ROUND(AVERAGEIFS('Historical Drafts'!$G$4:$G$300,'Historical Drafts'!$D$4:$D$300,$E143,'Historical Drafts'!$J$4:$J$300,"&gt;="&amp;$L143*0.85,'Historical Drafts'!$J$4:$J$300,"&lt;="&amp;$L143*1.15),0),$Y143))</f>
        <v>3</v>
      </c>
      <c r="AA143" s="12" t="str">
        <f>IF($A143="","",IF(COUNTIF('Auction Log'!$B$3:$B$300,$A143)&gt;0,"Sold","Available"))</f>
        <v>Available</v>
      </c>
      <c r="AB143" s="12" t="str">
        <f t="array" ref="AB143">IF($A143="","",IFERROR(XLOOKUP($A143,'Auction Log'!$B$3:$B$300,'Auction Log'!$G$3:$G$300,""),""))</f>
        <v/>
      </c>
      <c r="AC143" s="12" t="str">
        <f t="array" ref="AC143">IF($A143="","",IFERROR(XLOOKUP($A143,'Auction Log'!$B$3:$B$300,'Auction Log'!$F$3:$F$300,""),""))</f>
        <v/>
      </c>
      <c r="AD143" s="12">
        <f t="array" ref="AD143">IF($A143="","",ROUND($Y143*XLOOKUP($F143,Settings!$I$15:$I$20,Settings!$K$15:$K$20,0.4),0))</f>
        <v>1</v>
      </c>
      <c r="AE143" s="12">
        <f t="array" ref="AE143">IF($A143="","",ROUND($Y143*XLOOKUP($F143,Settings!$I$15:$I$20,Settings!$L$15:$L$20,0.8),0))</f>
        <v>1</v>
      </c>
      <c r="AF143" s="12">
        <f t="array" ref="AF143">IF($A143="","",ROUND($Y143*XLOOKUP($F143,Settings!$I$15:$I$20,Settings!$M$15:$M$20,1),0))</f>
        <v>2</v>
      </c>
      <c r="AG143" s="12">
        <f t="array" ref="AG143">IF($A143="","",ROUND($Y143*XLOOKUP($F143,Settings!$I$15:$I$20,Settings!$N$15:$N$20,1.1),0))</f>
        <v>2</v>
      </c>
      <c r="AH143" s="12">
        <f t="array" ref="AH143">IF($A143="","",ROUND($Y143*XLOOKUP($F143,Settings!$I$15:$I$20,Settings!$O$15:$O$20,1.1)*Settings!$J$7,0))</f>
        <v>2</v>
      </c>
      <c r="AI143" s="12">
        <f t="array" ref="AI143">IF($A143="","",IF($AA143="Sold","",MIN($AH143,IFERROR(XLOOKUP(Settings!$B$12,Managers!$B$4:$B$15,Managers!$H$4:$H$15),$AH143))))</f>
        <v>2</v>
      </c>
      <c r="AJ143" s="12" t="str">
        <f t="shared" si="3"/>
        <v>Budget Drainer</v>
      </c>
      <c r="AK143" s="12">
        <f t="shared" si="4"/>
        <v>28</v>
      </c>
      <c r="AL143" s="12" t="str">
        <f t="shared" si="5"/>
        <v/>
      </c>
    </row>
    <row r="144" ht="15.75" customHeight="1">
      <c r="A144" s="10" t="s">
        <v>666</v>
      </c>
      <c r="B144" s="10" t="s">
        <v>667</v>
      </c>
      <c r="C144" s="10" t="s">
        <v>243</v>
      </c>
      <c r="D144" s="10" t="s">
        <v>121</v>
      </c>
      <c r="E144" s="10" t="s">
        <v>121</v>
      </c>
      <c r="F144" s="10" t="s">
        <v>104</v>
      </c>
      <c r="G144" s="10">
        <v>5.0</v>
      </c>
      <c r="H144" s="10">
        <v>7.0</v>
      </c>
      <c r="I144" s="10" t="s">
        <v>2140</v>
      </c>
      <c r="J144" s="10" t="s">
        <v>2136</v>
      </c>
      <c r="K144" s="10"/>
      <c r="L144" s="10">
        <v>206.0</v>
      </c>
      <c r="M144" s="10">
        <v>7.36</v>
      </c>
      <c r="N144" s="10"/>
      <c r="O144" s="10"/>
      <c r="P144" s="12">
        <f>IF($A144="","",IFERROR((IF($O144="",0,$O144)*Settings!$J$4+IF($L144="",0,$L144)*Settings!$J$5+IF($N144="",0,$N144)*Settings!$J$6)/(IF($O144="",0,Settings!$J$4)+IF($L144="",0,Settings!$J$5)+IF($N144="",0,Settings!$J$6)),0))</f>
        <v>206</v>
      </c>
      <c r="Q144" s="12">
        <f t="array" ref="Q144">IF($A144="","",XLOOKUP($E144,Settings!$A$19:$A$22,Settings!$G$19:$G$22,0))</f>
        <v>206</v>
      </c>
      <c r="R144" s="12">
        <f t="shared" si="1"/>
        <v>0</v>
      </c>
      <c r="S144" s="12">
        <f>IF($A144="","",IF($R144&lt;=0,1,1+$R144/SUMIF($R$4:$R$923,"&gt;0",$R$4:$R$923)*(Settings!$B$5*(Settings!$B$6-Settings!$B$7))))</f>
        <v>1</v>
      </c>
      <c r="T144" s="12">
        <f t="array" ref="T144">IF($A144="","",XLOOKUP($F144,Settings!$I$15:$I$20,Settings!$J$15:$J$20,1))</f>
        <v>1</v>
      </c>
      <c r="U144" s="12">
        <f>IF($A144="","",1+(($G144-5)/5)*Settings!$J$8)</f>
        <v>1</v>
      </c>
      <c r="V144" s="12">
        <f>IF($A144="","",1+(($H144-5)/5)*Settings!$J$9)</f>
        <v>1.06</v>
      </c>
      <c r="W144" s="12">
        <f t="array" ref="W144">IF($A144="","",XLOOKUP($J144,Lists!$C$3:$C$7,Lists!$D$3:$D$7,1))</f>
        <v>1</v>
      </c>
      <c r="X144" s="12">
        <f>IF($A144="","",IF($I144="Yes",Settings!$J$10,1))</f>
        <v>1</v>
      </c>
      <c r="Y144" s="12">
        <f t="shared" si="2"/>
        <v>1</v>
      </c>
      <c r="Z144" s="12">
        <f>IF($A144="","",IFERROR(ROUND(AVERAGEIFS('Historical Drafts'!$G$4:$G$300,'Historical Drafts'!$D$4:$D$300,$E144,'Historical Drafts'!$J$4:$J$300,"&gt;="&amp;$L144*0.85,'Historical Drafts'!$J$4:$J$300,"&lt;="&amp;$L144*1.15),0),$Y144))</f>
        <v>13</v>
      </c>
      <c r="AA144" s="12" t="str">
        <f>IF($A144="","",IF(COUNTIF('Auction Log'!$B$3:$B$300,$A144)&gt;0,"Sold","Available"))</f>
        <v>Available</v>
      </c>
      <c r="AB144" s="12" t="str">
        <f t="array" ref="AB144">IF($A144="","",IFERROR(XLOOKUP($A144,'Auction Log'!$B$3:$B$300,'Auction Log'!$G$3:$G$300,""),""))</f>
        <v/>
      </c>
      <c r="AC144" s="12" t="str">
        <f t="array" ref="AC144">IF($A144="","",IFERROR(XLOOKUP($A144,'Auction Log'!$B$3:$B$300,'Auction Log'!$F$3:$F$300,""),""))</f>
        <v/>
      </c>
      <c r="AD144" s="12">
        <f t="array" ref="AD144">IF($A144="","",ROUND($Y144*XLOOKUP($F144,Settings!$I$15:$I$20,Settings!$K$15:$K$20,0.4),0))</f>
        <v>0</v>
      </c>
      <c r="AE144" s="12">
        <f t="array" ref="AE144">IF($A144="","",ROUND($Y144*XLOOKUP($F144,Settings!$I$15:$I$20,Settings!$L$15:$L$20,0.8),0))</f>
        <v>1</v>
      </c>
      <c r="AF144" s="12">
        <f t="array" ref="AF144">IF($A144="","",ROUND($Y144*XLOOKUP($F144,Settings!$I$15:$I$20,Settings!$M$15:$M$20,1),0))</f>
        <v>1</v>
      </c>
      <c r="AG144" s="12">
        <f t="array" ref="AG144">IF($A144="","",ROUND($Y144*XLOOKUP($F144,Settings!$I$15:$I$20,Settings!$N$15:$N$20,1.1),0))</f>
        <v>1</v>
      </c>
      <c r="AH144" s="12">
        <f t="array" ref="AH144">IF($A144="","",ROUND($Y144*XLOOKUP($F144,Settings!$I$15:$I$20,Settings!$O$15:$O$20,1.1)*Settings!$J$7,0))</f>
        <v>1</v>
      </c>
      <c r="AI144" s="12">
        <f t="array" ref="AI144">IF($A144="","",IF($AA144="Sold","",MIN($AH144,IFERROR(XLOOKUP(Settings!$B$12,Managers!$B$4:$B$15,Managers!$H$4:$H$15),$AH144))))</f>
        <v>1</v>
      </c>
      <c r="AJ144" s="12" t="str">
        <f t="shared" si="3"/>
        <v>Budget Drainer</v>
      </c>
      <c r="AK144" s="12">
        <f t="shared" si="4"/>
        <v>38</v>
      </c>
      <c r="AL144" s="12" t="str">
        <f t="shared" si="5"/>
        <v/>
      </c>
    </row>
    <row r="145" ht="15.75" customHeight="1">
      <c r="A145" s="10" t="s">
        <v>401</v>
      </c>
      <c r="B145" s="10" t="s">
        <v>402</v>
      </c>
      <c r="C145" s="10" t="s">
        <v>257</v>
      </c>
      <c r="D145" s="10" t="s">
        <v>121</v>
      </c>
      <c r="E145" s="10" t="s">
        <v>121</v>
      </c>
      <c r="F145" s="10" t="s">
        <v>104</v>
      </c>
      <c r="G145" s="10">
        <v>5.0</v>
      </c>
      <c r="H145" s="10">
        <v>7.0</v>
      </c>
      <c r="I145" s="10" t="s">
        <v>2140</v>
      </c>
      <c r="J145" s="10" t="s">
        <v>2136</v>
      </c>
      <c r="K145" s="10"/>
      <c r="L145" s="10">
        <v>205.5</v>
      </c>
      <c r="M145" s="10">
        <v>10.28</v>
      </c>
      <c r="N145" s="10"/>
      <c r="O145" s="10"/>
      <c r="P145" s="12">
        <f>IF($A145="","",IFERROR((IF($O145="",0,$O145)*Settings!$J$4+IF($L145="",0,$L145)*Settings!$J$5+IF($N145="",0,$N145)*Settings!$J$6)/(IF($O145="",0,Settings!$J$4)+IF($L145="",0,Settings!$J$5)+IF($N145="",0,Settings!$J$6)),0))</f>
        <v>205.5</v>
      </c>
      <c r="Q145" s="12">
        <f t="array" ref="Q145">IF($A145="","",XLOOKUP($E145,Settings!$A$19:$A$22,Settings!$G$19:$G$22,0))</f>
        <v>206</v>
      </c>
      <c r="R145" s="12">
        <f t="shared" si="1"/>
        <v>0</v>
      </c>
      <c r="S145" s="12">
        <f>IF($A145="","",IF($R145&lt;=0,1,1+$R145/SUMIF($R$4:$R$923,"&gt;0",$R$4:$R$923)*(Settings!$B$5*(Settings!$B$6-Settings!$B$7))))</f>
        <v>1</v>
      </c>
      <c r="T145" s="12">
        <f t="array" ref="T145">IF($A145="","",XLOOKUP($F145,Settings!$I$15:$I$20,Settings!$J$15:$J$20,1))</f>
        <v>1</v>
      </c>
      <c r="U145" s="12">
        <f>IF($A145="","",1+(($G145-5)/5)*Settings!$J$8)</f>
        <v>1</v>
      </c>
      <c r="V145" s="12">
        <f>IF($A145="","",1+(($H145-5)/5)*Settings!$J$9)</f>
        <v>1.06</v>
      </c>
      <c r="W145" s="12">
        <f t="array" ref="W145">IF($A145="","",XLOOKUP($J145,Lists!$C$3:$C$7,Lists!$D$3:$D$7,1))</f>
        <v>1</v>
      </c>
      <c r="X145" s="12">
        <f>IF($A145="","",IF($I145="Yes",Settings!$J$10,1))</f>
        <v>1</v>
      </c>
      <c r="Y145" s="12">
        <f t="shared" si="2"/>
        <v>1</v>
      </c>
      <c r="Z145" s="12">
        <f>IF($A145="","",IFERROR(ROUND(AVERAGEIFS('Historical Drafts'!$G$4:$G$300,'Historical Drafts'!$D$4:$D$300,$E145,'Historical Drafts'!$J$4:$J$300,"&gt;="&amp;$L145*0.85,'Historical Drafts'!$J$4:$J$300,"&lt;="&amp;$L145*1.15),0),$Y145))</f>
        <v>13</v>
      </c>
      <c r="AA145" s="12" t="str">
        <f>IF($A145="","",IF(COUNTIF('Auction Log'!$B$3:$B$300,$A145)&gt;0,"Sold","Available"))</f>
        <v>Available</v>
      </c>
      <c r="AB145" s="12" t="str">
        <f t="array" ref="AB145">IF($A145="","",IFERROR(XLOOKUP($A145,'Auction Log'!$B$3:$B$300,'Auction Log'!$G$3:$G$300,""),""))</f>
        <v/>
      </c>
      <c r="AC145" s="12" t="str">
        <f t="array" ref="AC145">IF($A145="","",IFERROR(XLOOKUP($A145,'Auction Log'!$B$3:$B$300,'Auction Log'!$F$3:$F$300,""),""))</f>
        <v/>
      </c>
      <c r="AD145" s="12">
        <f t="array" ref="AD145">IF($A145="","",ROUND($Y145*XLOOKUP($F145,Settings!$I$15:$I$20,Settings!$K$15:$K$20,0.4),0))</f>
        <v>0</v>
      </c>
      <c r="AE145" s="12">
        <f t="array" ref="AE145">IF($A145="","",ROUND($Y145*XLOOKUP($F145,Settings!$I$15:$I$20,Settings!$L$15:$L$20,0.8),0))</f>
        <v>1</v>
      </c>
      <c r="AF145" s="12">
        <f t="array" ref="AF145">IF($A145="","",ROUND($Y145*XLOOKUP($F145,Settings!$I$15:$I$20,Settings!$M$15:$M$20,1),0))</f>
        <v>1</v>
      </c>
      <c r="AG145" s="12">
        <f t="array" ref="AG145">IF($A145="","",ROUND($Y145*XLOOKUP($F145,Settings!$I$15:$I$20,Settings!$N$15:$N$20,1.1),0))</f>
        <v>1</v>
      </c>
      <c r="AH145" s="12">
        <f t="array" ref="AH145">IF($A145="","",ROUND($Y145*XLOOKUP($F145,Settings!$I$15:$I$20,Settings!$O$15:$O$20,1.1)*Settings!$J$7,0))</f>
        <v>1</v>
      </c>
      <c r="AI145" s="12">
        <f t="array" ref="AI145">IF($A145="","",IF($AA145="Sold","",MIN($AH145,IFERROR(XLOOKUP(Settings!$B$12,Managers!$B$4:$B$15,Managers!$H$4:$H$15),$AH145))))</f>
        <v>1</v>
      </c>
      <c r="AJ145" s="12" t="str">
        <f t="shared" si="3"/>
        <v>Budget Drainer</v>
      </c>
      <c r="AK145" s="12">
        <f t="shared" si="4"/>
        <v>38</v>
      </c>
      <c r="AL145" s="12" t="str">
        <f t="shared" si="5"/>
        <v/>
      </c>
    </row>
    <row r="146" ht="15.75" customHeight="1">
      <c r="A146" s="10" t="s">
        <v>260</v>
      </c>
      <c r="B146" s="10" t="s">
        <v>261</v>
      </c>
      <c r="C146" s="10" t="s">
        <v>243</v>
      </c>
      <c r="D146" s="10" t="s">
        <v>121</v>
      </c>
      <c r="E146" s="10" t="s">
        <v>121</v>
      </c>
      <c r="F146" s="10" t="s">
        <v>104</v>
      </c>
      <c r="G146" s="10">
        <v>5.0</v>
      </c>
      <c r="H146" s="10">
        <v>7.0</v>
      </c>
      <c r="I146" s="10" t="s">
        <v>2140</v>
      </c>
      <c r="J146" s="10" t="s">
        <v>2136</v>
      </c>
      <c r="K146" s="10"/>
      <c r="L146" s="10">
        <v>205.5</v>
      </c>
      <c r="M146" s="10">
        <v>10.82</v>
      </c>
      <c r="N146" s="10"/>
      <c r="O146" s="10"/>
      <c r="P146" s="12">
        <f>IF($A146="","",IFERROR((IF($O146="",0,$O146)*Settings!$J$4+IF($L146="",0,$L146)*Settings!$J$5+IF($N146="",0,$N146)*Settings!$J$6)/(IF($O146="",0,Settings!$J$4)+IF($L146="",0,Settings!$J$5)+IF($N146="",0,Settings!$J$6)),0))</f>
        <v>205.5</v>
      </c>
      <c r="Q146" s="12">
        <f t="array" ref="Q146">IF($A146="","",XLOOKUP($E146,Settings!$A$19:$A$22,Settings!$G$19:$G$22,0))</f>
        <v>206</v>
      </c>
      <c r="R146" s="12">
        <f t="shared" si="1"/>
        <v>0</v>
      </c>
      <c r="S146" s="12">
        <f>IF($A146="","",IF($R146&lt;=0,1,1+$R146/SUMIF($R$4:$R$923,"&gt;0",$R$4:$R$923)*(Settings!$B$5*(Settings!$B$6-Settings!$B$7))))</f>
        <v>1</v>
      </c>
      <c r="T146" s="12">
        <f t="array" ref="T146">IF($A146="","",XLOOKUP($F146,Settings!$I$15:$I$20,Settings!$J$15:$J$20,1))</f>
        <v>1</v>
      </c>
      <c r="U146" s="12">
        <f>IF($A146="","",1+(($G146-5)/5)*Settings!$J$8)</f>
        <v>1</v>
      </c>
      <c r="V146" s="12">
        <f>IF($A146="","",1+(($H146-5)/5)*Settings!$J$9)</f>
        <v>1.06</v>
      </c>
      <c r="W146" s="12">
        <f t="array" ref="W146">IF($A146="","",XLOOKUP($J146,Lists!$C$3:$C$7,Lists!$D$3:$D$7,1))</f>
        <v>1</v>
      </c>
      <c r="X146" s="12">
        <f>IF($A146="","",IF($I146="Yes",Settings!$J$10,1))</f>
        <v>1</v>
      </c>
      <c r="Y146" s="12">
        <f t="shared" si="2"/>
        <v>1</v>
      </c>
      <c r="Z146" s="12">
        <f>IF($A146="","",IFERROR(ROUND(AVERAGEIFS('Historical Drafts'!$G$4:$G$300,'Historical Drafts'!$D$4:$D$300,$E146,'Historical Drafts'!$J$4:$J$300,"&gt;="&amp;$L146*0.85,'Historical Drafts'!$J$4:$J$300,"&lt;="&amp;$L146*1.15),0),$Y146))</f>
        <v>13</v>
      </c>
      <c r="AA146" s="12" t="str">
        <f>IF($A146="","",IF(COUNTIF('Auction Log'!$B$3:$B$300,$A146)&gt;0,"Sold","Available"))</f>
        <v>Available</v>
      </c>
      <c r="AB146" s="12" t="str">
        <f t="array" ref="AB146">IF($A146="","",IFERROR(XLOOKUP($A146,'Auction Log'!$B$3:$B$300,'Auction Log'!$G$3:$G$300,""),""))</f>
        <v/>
      </c>
      <c r="AC146" s="12" t="str">
        <f t="array" ref="AC146">IF($A146="","",IFERROR(XLOOKUP($A146,'Auction Log'!$B$3:$B$300,'Auction Log'!$F$3:$F$300,""),""))</f>
        <v/>
      </c>
      <c r="AD146" s="12">
        <f t="array" ref="AD146">IF($A146="","",ROUND($Y146*XLOOKUP($F146,Settings!$I$15:$I$20,Settings!$K$15:$K$20,0.4),0))</f>
        <v>0</v>
      </c>
      <c r="AE146" s="12">
        <f t="array" ref="AE146">IF($A146="","",ROUND($Y146*XLOOKUP($F146,Settings!$I$15:$I$20,Settings!$L$15:$L$20,0.8),0))</f>
        <v>1</v>
      </c>
      <c r="AF146" s="12">
        <f t="array" ref="AF146">IF($A146="","",ROUND($Y146*XLOOKUP($F146,Settings!$I$15:$I$20,Settings!$M$15:$M$20,1),0))</f>
        <v>1</v>
      </c>
      <c r="AG146" s="12">
        <f t="array" ref="AG146">IF($A146="","",ROUND($Y146*XLOOKUP($F146,Settings!$I$15:$I$20,Settings!$N$15:$N$20,1.1),0))</f>
        <v>1</v>
      </c>
      <c r="AH146" s="12">
        <f t="array" ref="AH146">IF($A146="","",ROUND($Y146*XLOOKUP($F146,Settings!$I$15:$I$20,Settings!$O$15:$O$20,1.1)*Settings!$J$7,0))</f>
        <v>1</v>
      </c>
      <c r="AI146" s="12">
        <f t="array" ref="AI146">IF($A146="","",IF($AA146="Sold","",MIN($AH146,IFERROR(XLOOKUP(Settings!$B$12,Managers!$B$4:$B$15,Managers!$H$4:$H$15),$AH146))))</f>
        <v>1</v>
      </c>
      <c r="AJ146" s="12" t="str">
        <f t="shared" si="3"/>
        <v>Budget Drainer</v>
      </c>
      <c r="AK146" s="12">
        <f t="shared" si="4"/>
        <v>38</v>
      </c>
      <c r="AL146" s="12" t="str">
        <f t="shared" si="5"/>
        <v/>
      </c>
    </row>
    <row r="147" ht="15.75" customHeight="1">
      <c r="A147" s="10" t="s">
        <v>668</v>
      </c>
      <c r="B147" s="10" t="s">
        <v>669</v>
      </c>
      <c r="C147" s="10" t="s">
        <v>199</v>
      </c>
      <c r="D147" s="10" t="s">
        <v>121</v>
      </c>
      <c r="E147" s="10" t="s">
        <v>121</v>
      </c>
      <c r="F147" s="10" t="s">
        <v>104</v>
      </c>
      <c r="G147" s="10">
        <v>5.0</v>
      </c>
      <c r="H147" s="10">
        <v>7.0</v>
      </c>
      <c r="I147" s="10" t="s">
        <v>2140</v>
      </c>
      <c r="J147" s="10" t="s">
        <v>2136</v>
      </c>
      <c r="K147" s="10"/>
      <c r="L147" s="10">
        <v>203.5</v>
      </c>
      <c r="M147" s="10">
        <v>5.65</v>
      </c>
      <c r="N147" s="10"/>
      <c r="O147" s="10"/>
      <c r="P147" s="12">
        <f>IF($A147="","",IFERROR((IF($O147="",0,$O147)*Settings!$J$4+IF($L147="",0,$L147)*Settings!$J$5+IF($N147="",0,$N147)*Settings!$J$6)/(IF($O147="",0,Settings!$J$4)+IF($L147="",0,Settings!$J$5)+IF($N147="",0,Settings!$J$6)),0))</f>
        <v>203.5</v>
      </c>
      <c r="Q147" s="12">
        <f t="array" ref="Q147">IF($A147="","",XLOOKUP($E147,Settings!$A$19:$A$22,Settings!$G$19:$G$22,0))</f>
        <v>206</v>
      </c>
      <c r="R147" s="12">
        <f t="shared" si="1"/>
        <v>0</v>
      </c>
      <c r="S147" s="12">
        <f>IF($A147="","",IF($R147&lt;=0,1,1+$R147/SUMIF($R$4:$R$923,"&gt;0",$R$4:$R$923)*(Settings!$B$5*(Settings!$B$6-Settings!$B$7))))</f>
        <v>1</v>
      </c>
      <c r="T147" s="12">
        <f t="array" ref="T147">IF($A147="","",XLOOKUP($F147,Settings!$I$15:$I$20,Settings!$J$15:$J$20,1))</f>
        <v>1</v>
      </c>
      <c r="U147" s="12">
        <f>IF($A147="","",1+(($G147-5)/5)*Settings!$J$8)</f>
        <v>1</v>
      </c>
      <c r="V147" s="12">
        <f>IF($A147="","",1+(($H147-5)/5)*Settings!$J$9)</f>
        <v>1.06</v>
      </c>
      <c r="W147" s="12">
        <f t="array" ref="W147">IF($A147="","",XLOOKUP($J147,Lists!$C$3:$C$7,Lists!$D$3:$D$7,1))</f>
        <v>1</v>
      </c>
      <c r="X147" s="12">
        <f>IF($A147="","",IF($I147="Yes",Settings!$J$10,1))</f>
        <v>1</v>
      </c>
      <c r="Y147" s="12">
        <f t="shared" si="2"/>
        <v>1</v>
      </c>
      <c r="Z147" s="12">
        <f>IF($A147="","",IFERROR(ROUND(AVERAGEIFS('Historical Drafts'!$G$4:$G$300,'Historical Drafts'!$D$4:$D$300,$E147,'Historical Drafts'!$J$4:$J$300,"&gt;="&amp;$L147*0.85,'Historical Drafts'!$J$4:$J$300,"&lt;="&amp;$L147*1.15),0),$Y147))</f>
        <v>13</v>
      </c>
      <c r="AA147" s="12" t="str">
        <f>IF($A147="","",IF(COUNTIF('Auction Log'!$B$3:$B$300,$A147)&gt;0,"Sold","Available"))</f>
        <v>Available</v>
      </c>
      <c r="AB147" s="12" t="str">
        <f t="array" ref="AB147">IF($A147="","",IFERROR(XLOOKUP($A147,'Auction Log'!$B$3:$B$300,'Auction Log'!$G$3:$G$300,""),""))</f>
        <v/>
      </c>
      <c r="AC147" s="12" t="str">
        <f t="array" ref="AC147">IF($A147="","",IFERROR(XLOOKUP($A147,'Auction Log'!$B$3:$B$300,'Auction Log'!$F$3:$F$300,""),""))</f>
        <v/>
      </c>
      <c r="AD147" s="12">
        <f t="array" ref="AD147">IF($A147="","",ROUND($Y147*XLOOKUP($F147,Settings!$I$15:$I$20,Settings!$K$15:$K$20,0.4),0))</f>
        <v>0</v>
      </c>
      <c r="AE147" s="12">
        <f t="array" ref="AE147">IF($A147="","",ROUND($Y147*XLOOKUP($F147,Settings!$I$15:$I$20,Settings!$L$15:$L$20,0.8),0))</f>
        <v>1</v>
      </c>
      <c r="AF147" s="12">
        <f t="array" ref="AF147">IF($A147="","",ROUND($Y147*XLOOKUP($F147,Settings!$I$15:$I$20,Settings!$M$15:$M$20,1),0))</f>
        <v>1</v>
      </c>
      <c r="AG147" s="12">
        <f t="array" ref="AG147">IF($A147="","",ROUND($Y147*XLOOKUP($F147,Settings!$I$15:$I$20,Settings!$N$15:$N$20,1.1),0))</f>
        <v>1</v>
      </c>
      <c r="AH147" s="12">
        <f t="array" ref="AH147">IF($A147="","",ROUND($Y147*XLOOKUP($F147,Settings!$I$15:$I$20,Settings!$O$15:$O$20,1.1)*Settings!$J$7,0))</f>
        <v>1</v>
      </c>
      <c r="AI147" s="12">
        <f t="array" ref="AI147">IF($A147="","",IF($AA147="Sold","",MIN($AH147,IFERROR(XLOOKUP(Settings!$B$12,Managers!$B$4:$B$15,Managers!$H$4:$H$15),$AH147))))</f>
        <v>1</v>
      </c>
      <c r="AJ147" s="12" t="str">
        <f t="shared" si="3"/>
        <v>Budget Drainer</v>
      </c>
      <c r="AK147" s="12">
        <f t="shared" si="4"/>
        <v>38</v>
      </c>
      <c r="AL147" s="12" t="str">
        <f t="shared" si="5"/>
        <v/>
      </c>
    </row>
    <row r="148" ht="15.75" customHeight="1">
      <c r="A148" s="10" t="s">
        <v>670</v>
      </c>
      <c r="B148" s="10" t="s">
        <v>671</v>
      </c>
      <c r="C148" s="10" t="s">
        <v>185</v>
      </c>
      <c r="D148" s="10" t="s">
        <v>115</v>
      </c>
      <c r="E148" s="10" t="s">
        <v>115</v>
      </c>
      <c r="F148" s="10" t="s">
        <v>104</v>
      </c>
      <c r="G148" s="10">
        <v>5.0</v>
      </c>
      <c r="H148" s="10">
        <v>7.0</v>
      </c>
      <c r="I148" s="10" t="s">
        <v>2140</v>
      </c>
      <c r="J148" s="10" t="s">
        <v>2136</v>
      </c>
      <c r="K148" s="10"/>
      <c r="L148" s="10">
        <v>203.5</v>
      </c>
      <c r="M148" s="10">
        <v>6.36</v>
      </c>
      <c r="N148" s="10"/>
      <c r="O148" s="10"/>
      <c r="P148" s="12">
        <f>IF($A148="","",IFERROR((IF($O148="",0,$O148)*Settings!$J$4+IF($L148="",0,$L148)*Settings!$J$5+IF($N148="",0,$N148)*Settings!$J$6)/(IF($O148="",0,Settings!$J$4)+IF($L148="",0,Settings!$J$5)+IF($N148="",0,Settings!$J$6)),0))</f>
        <v>203.5</v>
      </c>
      <c r="Q148" s="12">
        <f t="array" ref="Q148">IF($A148="","",XLOOKUP($E148,Settings!$A$19:$A$22,Settings!$G$19:$G$22,0))</f>
        <v>249.25</v>
      </c>
      <c r="R148" s="12">
        <f t="shared" si="1"/>
        <v>0</v>
      </c>
      <c r="S148" s="12">
        <f>IF($A148="","",IF($R148&lt;=0,1,1+$R148/SUMIF($R$4:$R$923,"&gt;0",$R$4:$R$923)*(Settings!$B$5*(Settings!$B$6-Settings!$B$7))))</f>
        <v>1</v>
      </c>
      <c r="T148" s="12">
        <f t="array" ref="T148">IF($A148="","",XLOOKUP($F148,Settings!$I$15:$I$20,Settings!$J$15:$J$20,1))</f>
        <v>1</v>
      </c>
      <c r="U148" s="12">
        <f>IF($A148="","",1+(($G148-5)/5)*Settings!$J$8)</f>
        <v>1</v>
      </c>
      <c r="V148" s="12">
        <f>IF($A148="","",1+(($H148-5)/5)*Settings!$J$9)</f>
        <v>1.06</v>
      </c>
      <c r="W148" s="12">
        <f t="array" ref="W148">IF($A148="","",XLOOKUP($J148,Lists!$C$3:$C$7,Lists!$D$3:$D$7,1))</f>
        <v>1</v>
      </c>
      <c r="X148" s="12">
        <f>IF($A148="","",IF($I148="Yes",Settings!$J$10,1))</f>
        <v>1</v>
      </c>
      <c r="Y148" s="12">
        <f t="shared" si="2"/>
        <v>1</v>
      </c>
      <c r="Z148" s="12">
        <f>IF($A148="","",IFERROR(ROUND(AVERAGEIFS('Historical Drafts'!$G$4:$G$300,'Historical Drafts'!$D$4:$D$300,$E148,'Historical Drafts'!$J$4:$J$300,"&gt;="&amp;$L148*0.85,'Historical Drafts'!$J$4:$J$300,"&lt;="&amp;$L148*1.15),0),$Y148))</f>
        <v>2</v>
      </c>
      <c r="AA148" s="12" t="str">
        <f>IF($A148="","",IF(COUNTIF('Auction Log'!$B$3:$B$300,$A148)&gt;0,"Sold","Available"))</f>
        <v>Available</v>
      </c>
      <c r="AB148" s="12" t="str">
        <f t="array" ref="AB148">IF($A148="","",IFERROR(XLOOKUP($A148,'Auction Log'!$B$3:$B$300,'Auction Log'!$G$3:$G$300,""),""))</f>
        <v/>
      </c>
      <c r="AC148" s="12" t="str">
        <f t="array" ref="AC148">IF($A148="","",IFERROR(XLOOKUP($A148,'Auction Log'!$B$3:$B$300,'Auction Log'!$F$3:$F$300,""),""))</f>
        <v/>
      </c>
      <c r="AD148" s="12">
        <f t="array" ref="AD148">IF($A148="","",ROUND($Y148*XLOOKUP($F148,Settings!$I$15:$I$20,Settings!$K$15:$K$20,0.4),0))</f>
        <v>0</v>
      </c>
      <c r="AE148" s="12">
        <f t="array" ref="AE148">IF($A148="","",ROUND($Y148*XLOOKUP($F148,Settings!$I$15:$I$20,Settings!$L$15:$L$20,0.8),0))</f>
        <v>1</v>
      </c>
      <c r="AF148" s="12">
        <f t="array" ref="AF148">IF($A148="","",ROUND($Y148*XLOOKUP($F148,Settings!$I$15:$I$20,Settings!$M$15:$M$20,1),0))</f>
        <v>1</v>
      </c>
      <c r="AG148" s="12">
        <f t="array" ref="AG148">IF($A148="","",ROUND($Y148*XLOOKUP($F148,Settings!$I$15:$I$20,Settings!$N$15:$N$20,1.1),0))</f>
        <v>1</v>
      </c>
      <c r="AH148" s="12">
        <f t="array" ref="AH148">IF($A148="","",ROUND($Y148*XLOOKUP($F148,Settings!$I$15:$I$20,Settings!$O$15:$O$20,1.1)*Settings!$J$7,0))</f>
        <v>1</v>
      </c>
      <c r="AI148" s="12">
        <f t="array" ref="AI148">IF($A148="","",IF($AA148="Sold","",MIN($AH148,IFERROR(XLOOKUP(Settings!$B$12,Managers!$B$4:$B$15,Managers!$H$4:$H$15),$AH148))))</f>
        <v>1</v>
      </c>
      <c r="AJ148" s="12" t="str">
        <f t="shared" si="3"/>
        <v>Budget Drainer</v>
      </c>
      <c r="AK148" s="12">
        <f t="shared" si="4"/>
        <v>27</v>
      </c>
      <c r="AL148" s="12" t="str">
        <f t="shared" si="5"/>
        <v/>
      </c>
    </row>
    <row r="149" ht="15.75" customHeight="1">
      <c r="A149" s="10" t="s">
        <v>672</v>
      </c>
      <c r="B149" s="10" t="s">
        <v>673</v>
      </c>
      <c r="C149" s="10" t="s">
        <v>243</v>
      </c>
      <c r="D149" s="10" t="s">
        <v>121</v>
      </c>
      <c r="E149" s="10" t="s">
        <v>121</v>
      </c>
      <c r="F149" s="10" t="s">
        <v>104</v>
      </c>
      <c r="G149" s="10">
        <v>5.0</v>
      </c>
      <c r="H149" s="10">
        <v>7.0</v>
      </c>
      <c r="I149" s="10" t="s">
        <v>2140</v>
      </c>
      <c r="J149" s="10" t="s">
        <v>2136</v>
      </c>
      <c r="K149" s="10"/>
      <c r="L149" s="10">
        <v>203.5</v>
      </c>
      <c r="M149" s="10">
        <v>6.17</v>
      </c>
      <c r="N149" s="10"/>
      <c r="O149" s="10"/>
      <c r="P149" s="12">
        <f>IF($A149="","",IFERROR((IF($O149="",0,$O149)*Settings!$J$4+IF($L149="",0,$L149)*Settings!$J$5+IF($N149="",0,$N149)*Settings!$J$6)/(IF($O149="",0,Settings!$J$4)+IF($L149="",0,Settings!$J$5)+IF($N149="",0,Settings!$J$6)),0))</f>
        <v>203.5</v>
      </c>
      <c r="Q149" s="12">
        <f t="array" ref="Q149">IF($A149="","",XLOOKUP($E149,Settings!$A$19:$A$22,Settings!$G$19:$G$22,0))</f>
        <v>206</v>
      </c>
      <c r="R149" s="12">
        <f t="shared" si="1"/>
        <v>0</v>
      </c>
      <c r="S149" s="12">
        <f>IF($A149="","",IF($R149&lt;=0,1,1+$R149/SUMIF($R$4:$R$923,"&gt;0",$R$4:$R$923)*(Settings!$B$5*(Settings!$B$6-Settings!$B$7))))</f>
        <v>1</v>
      </c>
      <c r="T149" s="12">
        <f t="array" ref="T149">IF($A149="","",XLOOKUP($F149,Settings!$I$15:$I$20,Settings!$J$15:$J$20,1))</f>
        <v>1</v>
      </c>
      <c r="U149" s="12">
        <f>IF($A149="","",1+(($G149-5)/5)*Settings!$J$8)</f>
        <v>1</v>
      </c>
      <c r="V149" s="12">
        <f>IF($A149="","",1+(($H149-5)/5)*Settings!$J$9)</f>
        <v>1.06</v>
      </c>
      <c r="W149" s="12">
        <f t="array" ref="W149">IF($A149="","",XLOOKUP($J149,Lists!$C$3:$C$7,Lists!$D$3:$D$7,1))</f>
        <v>1</v>
      </c>
      <c r="X149" s="12">
        <f>IF($A149="","",IF($I149="Yes",Settings!$J$10,1))</f>
        <v>1</v>
      </c>
      <c r="Y149" s="12">
        <f t="shared" si="2"/>
        <v>1</v>
      </c>
      <c r="Z149" s="12">
        <f>IF($A149="","",IFERROR(ROUND(AVERAGEIFS('Historical Drafts'!$G$4:$G$300,'Historical Drafts'!$D$4:$D$300,$E149,'Historical Drafts'!$J$4:$J$300,"&gt;="&amp;$L149*0.85,'Historical Drafts'!$J$4:$J$300,"&lt;="&amp;$L149*1.15),0),$Y149))</f>
        <v>13</v>
      </c>
      <c r="AA149" s="12" t="str">
        <f>IF($A149="","",IF(COUNTIF('Auction Log'!$B$3:$B$300,$A149)&gt;0,"Sold","Available"))</f>
        <v>Available</v>
      </c>
      <c r="AB149" s="12" t="str">
        <f t="array" ref="AB149">IF($A149="","",IFERROR(XLOOKUP($A149,'Auction Log'!$B$3:$B$300,'Auction Log'!$G$3:$G$300,""),""))</f>
        <v/>
      </c>
      <c r="AC149" s="12" t="str">
        <f t="array" ref="AC149">IF($A149="","",IFERROR(XLOOKUP($A149,'Auction Log'!$B$3:$B$300,'Auction Log'!$F$3:$F$300,""),""))</f>
        <v/>
      </c>
      <c r="AD149" s="12">
        <f t="array" ref="AD149">IF($A149="","",ROUND($Y149*XLOOKUP($F149,Settings!$I$15:$I$20,Settings!$K$15:$K$20,0.4),0))</f>
        <v>0</v>
      </c>
      <c r="AE149" s="12">
        <f t="array" ref="AE149">IF($A149="","",ROUND($Y149*XLOOKUP($F149,Settings!$I$15:$I$20,Settings!$L$15:$L$20,0.8),0))</f>
        <v>1</v>
      </c>
      <c r="AF149" s="12">
        <f t="array" ref="AF149">IF($A149="","",ROUND($Y149*XLOOKUP($F149,Settings!$I$15:$I$20,Settings!$M$15:$M$20,1),0))</f>
        <v>1</v>
      </c>
      <c r="AG149" s="12">
        <f t="array" ref="AG149">IF($A149="","",ROUND($Y149*XLOOKUP($F149,Settings!$I$15:$I$20,Settings!$N$15:$N$20,1.1),0))</f>
        <v>1</v>
      </c>
      <c r="AH149" s="12">
        <f t="array" ref="AH149">IF($A149="","",ROUND($Y149*XLOOKUP($F149,Settings!$I$15:$I$20,Settings!$O$15:$O$20,1.1)*Settings!$J$7,0))</f>
        <v>1</v>
      </c>
      <c r="AI149" s="12">
        <f t="array" ref="AI149">IF($A149="","",IF($AA149="Sold","",MIN($AH149,IFERROR(XLOOKUP(Settings!$B$12,Managers!$B$4:$B$15,Managers!$H$4:$H$15),$AH149))))</f>
        <v>1</v>
      </c>
      <c r="AJ149" s="12" t="str">
        <f t="shared" si="3"/>
        <v>Budget Drainer</v>
      </c>
      <c r="AK149" s="12">
        <f t="shared" si="4"/>
        <v>38</v>
      </c>
      <c r="AL149" s="12" t="str">
        <f t="shared" si="5"/>
        <v/>
      </c>
    </row>
    <row r="150" ht="15.75" customHeight="1">
      <c r="A150" s="10" t="s">
        <v>330</v>
      </c>
      <c r="B150" s="10" t="s">
        <v>331</v>
      </c>
      <c r="C150" s="10" t="s">
        <v>199</v>
      </c>
      <c r="D150" s="10" t="s">
        <v>121</v>
      </c>
      <c r="E150" s="10" t="s">
        <v>121</v>
      </c>
      <c r="F150" s="10" t="s">
        <v>104</v>
      </c>
      <c r="G150" s="10">
        <v>5.0</v>
      </c>
      <c r="H150" s="10">
        <v>7.0</v>
      </c>
      <c r="I150" s="10" t="s">
        <v>2140</v>
      </c>
      <c r="J150" s="10" t="s">
        <v>2136</v>
      </c>
      <c r="K150" s="10"/>
      <c r="L150" s="10">
        <v>203.5</v>
      </c>
      <c r="M150" s="10">
        <v>8.14</v>
      </c>
      <c r="N150" s="10"/>
      <c r="O150" s="10"/>
      <c r="P150" s="12">
        <f>IF($A150="","",IFERROR((IF($O150="",0,$O150)*Settings!$J$4+IF($L150="",0,$L150)*Settings!$J$5+IF($N150="",0,$N150)*Settings!$J$6)/(IF($O150="",0,Settings!$J$4)+IF($L150="",0,Settings!$J$5)+IF($N150="",0,Settings!$J$6)),0))</f>
        <v>203.5</v>
      </c>
      <c r="Q150" s="12">
        <f t="array" ref="Q150">IF($A150="","",XLOOKUP($E150,Settings!$A$19:$A$22,Settings!$G$19:$G$22,0))</f>
        <v>206</v>
      </c>
      <c r="R150" s="12">
        <f t="shared" si="1"/>
        <v>0</v>
      </c>
      <c r="S150" s="12">
        <f>IF($A150="","",IF($R150&lt;=0,1,1+$R150/SUMIF($R$4:$R$923,"&gt;0",$R$4:$R$923)*(Settings!$B$5*(Settings!$B$6-Settings!$B$7))))</f>
        <v>1</v>
      </c>
      <c r="T150" s="12">
        <f t="array" ref="T150">IF($A150="","",XLOOKUP($F150,Settings!$I$15:$I$20,Settings!$J$15:$J$20,1))</f>
        <v>1</v>
      </c>
      <c r="U150" s="12">
        <f>IF($A150="","",1+(($G150-5)/5)*Settings!$J$8)</f>
        <v>1</v>
      </c>
      <c r="V150" s="12">
        <f>IF($A150="","",1+(($H150-5)/5)*Settings!$J$9)</f>
        <v>1.06</v>
      </c>
      <c r="W150" s="12">
        <f t="array" ref="W150">IF($A150="","",XLOOKUP($J150,Lists!$C$3:$C$7,Lists!$D$3:$D$7,1))</f>
        <v>1</v>
      </c>
      <c r="X150" s="12">
        <f>IF($A150="","",IF($I150="Yes",Settings!$J$10,1))</f>
        <v>1</v>
      </c>
      <c r="Y150" s="12">
        <f t="shared" si="2"/>
        <v>1</v>
      </c>
      <c r="Z150" s="12">
        <f>IF($A150="","",IFERROR(ROUND(AVERAGEIFS('Historical Drafts'!$G$4:$G$300,'Historical Drafts'!$D$4:$D$300,$E150,'Historical Drafts'!$J$4:$J$300,"&gt;="&amp;$L150*0.85,'Historical Drafts'!$J$4:$J$300,"&lt;="&amp;$L150*1.15),0),$Y150))</f>
        <v>13</v>
      </c>
      <c r="AA150" s="12" t="str">
        <f>IF($A150="","",IF(COUNTIF('Auction Log'!$B$3:$B$300,$A150)&gt;0,"Sold","Available"))</f>
        <v>Available</v>
      </c>
      <c r="AB150" s="12" t="str">
        <f t="array" ref="AB150">IF($A150="","",IFERROR(XLOOKUP($A150,'Auction Log'!$B$3:$B$300,'Auction Log'!$G$3:$G$300,""),""))</f>
        <v/>
      </c>
      <c r="AC150" s="12" t="str">
        <f t="array" ref="AC150">IF($A150="","",IFERROR(XLOOKUP($A150,'Auction Log'!$B$3:$B$300,'Auction Log'!$F$3:$F$300,""),""))</f>
        <v/>
      </c>
      <c r="AD150" s="12">
        <f t="array" ref="AD150">IF($A150="","",ROUND($Y150*XLOOKUP($F150,Settings!$I$15:$I$20,Settings!$K$15:$K$20,0.4),0))</f>
        <v>0</v>
      </c>
      <c r="AE150" s="12">
        <f t="array" ref="AE150">IF($A150="","",ROUND($Y150*XLOOKUP($F150,Settings!$I$15:$I$20,Settings!$L$15:$L$20,0.8),0))</f>
        <v>1</v>
      </c>
      <c r="AF150" s="12">
        <f t="array" ref="AF150">IF($A150="","",ROUND($Y150*XLOOKUP($F150,Settings!$I$15:$I$20,Settings!$M$15:$M$20,1),0))</f>
        <v>1</v>
      </c>
      <c r="AG150" s="12">
        <f t="array" ref="AG150">IF($A150="","",ROUND($Y150*XLOOKUP($F150,Settings!$I$15:$I$20,Settings!$N$15:$N$20,1.1),0))</f>
        <v>1</v>
      </c>
      <c r="AH150" s="12">
        <f t="array" ref="AH150">IF($A150="","",ROUND($Y150*XLOOKUP($F150,Settings!$I$15:$I$20,Settings!$O$15:$O$20,1.1)*Settings!$J$7,0))</f>
        <v>1</v>
      </c>
      <c r="AI150" s="12">
        <f t="array" ref="AI150">IF($A150="","",IF($AA150="Sold","",MIN($AH150,IFERROR(XLOOKUP(Settings!$B$12,Managers!$B$4:$B$15,Managers!$H$4:$H$15),$AH150))))</f>
        <v>1</v>
      </c>
      <c r="AJ150" s="12" t="str">
        <f t="shared" si="3"/>
        <v>Budget Drainer</v>
      </c>
      <c r="AK150" s="12">
        <f t="shared" si="4"/>
        <v>38</v>
      </c>
      <c r="AL150" s="12" t="str">
        <f t="shared" si="5"/>
        <v/>
      </c>
    </row>
    <row r="151" ht="15.75" customHeight="1">
      <c r="A151" s="10" t="s">
        <v>399</v>
      </c>
      <c r="B151" s="10" t="s">
        <v>400</v>
      </c>
      <c r="C151" s="10" t="s">
        <v>226</v>
      </c>
      <c r="D151" s="10" t="s">
        <v>121</v>
      </c>
      <c r="E151" s="10" t="s">
        <v>121</v>
      </c>
      <c r="F151" s="10" t="s">
        <v>104</v>
      </c>
      <c r="G151" s="10">
        <v>5.0</v>
      </c>
      <c r="H151" s="10">
        <v>7.0</v>
      </c>
      <c r="I151" s="10" t="s">
        <v>2140</v>
      </c>
      <c r="J151" s="10" t="s">
        <v>2136</v>
      </c>
      <c r="K151" s="10"/>
      <c r="L151" s="10">
        <v>203.5</v>
      </c>
      <c r="M151" s="10">
        <v>5.81</v>
      </c>
      <c r="N151" s="10"/>
      <c r="O151" s="10"/>
      <c r="P151" s="12">
        <f>IF($A151="","",IFERROR((IF($O151="",0,$O151)*Settings!$J$4+IF($L151="",0,$L151)*Settings!$J$5+IF($N151="",0,$N151)*Settings!$J$6)/(IF($O151="",0,Settings!$J$4)+IF($L151="",0,Settings!$J$5)+IF($N151="",0,Settings!$J$6)),0))</f>
        <v>203.5</v>
      </c>
      <c r="Q151" s="12">
        <f t="array" ref="Q151">IF($A151="","",XLOOKUP($E151,Settings!$A$19:$A$22,Settings!$G$19:$G$22,0))</f>
        <v>206</v>
      </c>
      <c r="R151" s="12">
        <f t="shared" si="1"/>
        <v>0</v>
      </c>
      <c r="S151" s="12">
        <f>IF($A151="","",IF($R151&lt;=0,1,1+$R151/SUMIF($R$4:$R$923,"&gt;0",$R$4:$R$923)*(Settings!$B$5*(Settings!$B$6-Settings!$B$7))))</f>
        <v>1</v>
      </c>
      <c r="T151" s="12">
        <f t="array" ref="T151">IF($A151="","",XLOOKUP($F151,Settings!$I$15:$I$20,Settings!$J$15:$J$20,1))</f>
        <v>1</v>
      </c>
      <c r="U151" s="12">
        <f>IF($A151="","",1+(($G151-5)/5)*Settings!$J$8)</f>
        <v>1</v>
      </c>
      <c r="V151" s="12">
        <f>IF($A151="","",1+(($H151-5)/5)*Settings!$J$9)</f>
        <v>1.06</v>
      </c>
      <c r="W151" s="12">
        <f t="array" ref="W151">IF($A151="","",XLOOKUP($J151,Lists!$C$3:$C$7,Lists!$D$3:$D$7,1))</f>
        <v>1</v>
      </c>
      <c r="X151" s="12">
        <f>IF($A151="","",IF($I151="Yes",Settings!$J$10,1))</f>
        <v>1</v>
      </c>
      <c r="Y151" s="12">
        <f t="shared" si="2"/>
        <v>1</v>
      </c>
      <c r="Z151" s="12">
        <f>IF($A151="","",IFERROR(ROUND(AVERAGEIFS('Historical Drafts'!$G$4:$G$300,'Historical Drafts'!$D$4:$D$300,$E151,'Historical Drafts'!$J$4:$J$300,"&gt;="&amp;$L151*0.85,'Historical Drafts'!$J$4:$J$300,"&lt;="&amp;$L151*1.15),0),$Y151))</f>
        <v>13</v>
      </c>
      <c r="AA151" s="12" t="str">
        <f>IF($A151="","",IF(COUNTIF('Auction Log'!$B$3:$B$300,$A151)&gt;0,"Sold","Available"))</f>
        <v>Available</v>
      </c>
      <c r="AB151" s="12" t="str">
        <f t="array" ref="AB151">IF($A151="","",IFERROR(XLOOKUP($A151,'Auction Log'!$B$3:$B$300,'Auction Log'!$G$3:$G$300,""),""))</f>
        <v/>
      </c>
      <c r="AC151" s="12" t="str">
        <f t="array" ref="AC151">IF($A151="","",IFERROR(XLOOKUP($A151,'Auction Log'!$B$3:$B$300,'Auction Log'!$F$3:$F$300,""),""))</f>
        <v/>
      </c>
      <c r="AD151" s="12">
        <f t="array" ref="AD151">IF($A151="","",ROUND($Y151*XLOOKUP($F151,Settings!$I$15:$I$20,Settings!$K$15:$K$20,0.4),0))</f>
        <v>0</v>
      </c>
      <c r="AE151" s="12">
        <f t="array" ref="AE151">IF($A151="","",ROUND($Y151*XLOOKUP($F151,Settings!$I$15:$I$20,Settings!$L$15:$L$20,0.8),0))</f>
        <v>1</v>
      </c>
      <c r="AF151" s="12">
        <f t="array" ref="AF151">IF($A151="","",ROUND($Y151*XLOOKUP($F151,Settings!$I$15:$I$20,Settings!$M$15:$M$20,1),0))</f>
        <v>1</v>
      </c>
      <c r="AG151" s="12">
        <f t="array" ref="AG151">IF($A151="","",ROUND($Y151*XLOOKUP($F151,Settings!$I$15:$I$20,Settings!$N$15:$N$20,1.1),0))</f>
        <v>1</v>
      </c>
      <c r="AH151" s="12">
        <f t="array" ref="AH151">IF($A151="","",ROUND($Y151*XLOOKUP($F151,Settings!$I$15:$I$20,Settings!$O$15:$O$20,1.1)*Settings!$J$7,0))</f>
        <v>1</v>
      </c>
      <c r="AI151" s="12">
        <f t="array" ref="AI151">IF($A151="","",IF($AA151="Sold","",MIN($AH151,IFERROR(XLOOKUP(Settings!$B$12,Managers!$B$4:$B$15,Managers!$H$4:$H$15),$AH151))))</f>
        <v>1</v>
      </c>
      <c r="AJ151" s="12" t="str">
        <f t="shared" si="3"/>
        <v>Budget Drainer</v>
      </c>
      <c r="AK151" s="12">
        <f t="shared" si="4"/>
        <v>38</v>
      </c>
      <c r="AL151" s="12" t="str">
        <f t="shared" si="5"/>
        <v/>
      </c>
    </row>
    <row r="152" ht="15.75" customHeight="1">
      <c r="A152" s="10" t="s">
        <v>356</v>
      </c>
      <c r="B152" s="10" t="s">
        <v>357</v>
      </c>
      <c r="C152" s="10" t="s">
        <v>188</v>
      </c>
      <c r="D152" s="10" t="s">
        <v>121</v>
      </c>
      <c r="E152" s="10" t="s">
        <v>121</v>
      </c>
      <c r="F152" s="10" t="s">
        <v>104</v>
      </c>
      <c r="G152" s="10">
        <v>5.0</v>
      </c>
      <c r="H152" s="10">
        <v>7.0</v>
      </c>
      <c r="I152" s="10" t="s">
        <v>2140</v>
      </c>
      <c r="J152" s="10" t="s">
        <v>2136</v>
      </c>
      <c r="K152" s="10"/>
      <c r="L152" s="10">
        <v>203.0</v>
      </c>
      <c r="M152" s="10">
        <v>6.15</v>
      </c>
      <c r="N152" s="10"/>
      <c r="O152" s="10"/>
      <c r="P152" s="12">
        <f>IF($A152="","",IFERROR((IF($O152="",0,$O152)*Settings!$J$4+IF($L152="",0,$L152)*Settings!$J$5+IF($N152="",0,$N152)*Settings!$J$6)/(IF($O152="",0,Settings!$J$4)+IF($L152="",0,Settings!$J$5)+IF($N152="",0,Settings!$J$6)),0))</f>
        <v>203</v>
      </c>
      <c r="Q152" s="12">
        <f t="array" ref="Q152">IF($A152="","",XLOOKUP($E152,Settings!$A$19:$A$22,Settings!$G$19:$G$22,0))</f>
        <v>206</v>
      </c>
      <c r="R152" s="12">
        <f t="shared" si="1"/>
        <v>0</v>
      </c>
      <c r="S152" s="12">
        <f>IF($A152="","",IF($R152&lt;=0,1,1+$R152/SUMIF($R$4:$R$923,"&gt;0",$R$4:$R$923)*(Settings!$B$5*(Settings!$B$6-Settings!$B$7))))</f>
        <v>1</v>
      </c>
      <c r="T152" s="12">
        <f t="array" ref="T152">IF($A152="","",XLOOKUP($F152,Settings!$I$15:$I$20,Settings!$J$15:$J$20,1))</f>
        <v>1</v>
      </c>
      <c r="U152" s="12">
        <f>IF($A152="","",1+(($G152-5)/5)*Settings!$J$8)</f>
        <v>1</v>
      </c>
      <c r="V152" s="12">
        <f>IF($A152="","",1+(($H152-5)/5)*Settings!$J$9)</f>
        <v>1.06</v>
      </c>
      <c r="W152" s="12">
        <f t="array" ref="W152">IF($A152="","",XLOOKUP($J152,Lists!$C$3:$C$7,Lists!$D$3:$D$7,1))</f>
        <v>1</v>
      </c>
      <c r="X152" s="12">
        <f>IF($A152="","",IF($I152="Yes",Settings!$J$10,1))</f>
        <v>1</v>
      </c>
      <c r="Y152" s="12">
        <f t="shared" si="2"/>
        <v>1</v>
      </c>
      <c r="Z152" s="12">
        <f>IF($A152="","",IFERROR(ROUND(AVERAGEIFS('Historical Drafts'!$G$4:$G$300,'Historical Drafts'!$D$4:$D$300,$E152,'Historical Drafts'!$J$4:$J$300,"&gt;="&amp;$L152*0.85,'Historical Drafts'!$J$4:$J$300,"&lt;="&amp;$L152*1.15),0),$Y152))</f>
        <v>13</v>
      </c>
      <c r="AA152" s="12" t="str">
        <f>IF($A152="","",IF(COUNTIF('Auction Log'!$B$3:$B$300,$A152)&gt;0,"Sold","Available"))</f>
        <v>Available</v>
      </c>
      <c r="AB152" s="12" t="str">
        <f t="array" ref="AB152">IF($A152="","",IFERROR(XLOOKUP($A152,'Auction Log'!$B$3:$B$300,'Auction Log'!$G$3:$G$300,""),""))</f>
        <v/>
      </c>
      <c r="AC152" s="12" t="str">
        <f t="array" ref="AC152">IF($A152="","",IFERROR(XLOOKUP($A152,'Auction Log'!$B$3:$B$300,'Auction Log'!$F$3:$F$300,""),""))</f>
        <v/>
      </c>
      <c r="AD152" s="12">
        <f t="array" ref="AD152">IF($A152="","",ROUND($Y152*XLOOKUP($F152,Settings!$I$15:$I$20,Settings!$K$15:$K$20,0.4),0))</f>
        <v>0</v>
      </c>
      <c r="AE152" s="12">
        <f t="array" ref="AE152">IF($A152="","",ROUND($Y152*XLOOKUP($F152,Settings!$I$15:$I$20,Settings!$L$15:$L$20,0.8),0))</f>
        <v>1</v>
      </c>
      <c r="AF152" s="12">
        <f t="array" ref="AF152">IF($A152="","",ROUND($Y152*XLOOKUP($F152,Settings!$I$15:$I$20,Settings!$M$15:$M$20,1),0))</f>
        <v>1</v>
      </c>
      <c r="AG152" s="12">
        <f t="array" ref="AG152">IF($A152="","",ROUND($Y152*XLOOKUP($F152,Settings!$I$15:$I$20,Settings!$N$15:$N$20,1.1),0))</f>
        <v>1</v>
      </c>
      <c r="AH152" s="12">
        <f t="array" ref="AH152">IF($A152="","",ROUND($Y152*XLOOKUP($F152,Settings!$I$15:$I$20,Settings!$O$15:$O$20,1.1)*Settings!$J$7,0))</f>
        <v>1</v>
      </c>
      <c r="AI152" s="12">
        <f t="array" ref="AI152">IF($A152="","",IF($AA152="Sold","",MIN($AH152,IFERROR(XLOOKUP(Settings!$B$12,Managers!$B$4:$B$15,Managers!$H$4:$H$15),$AH152))))</f>
        <v>1</v>
      </c>
      <c r="AJ152" s="12" t="str">
        <f t="shared" si="3"/>
        <v>Budget Drainer</v>
      </c>
      <c r="AK152" s="12">
        <f t="shared" si="4"/>
        <v>38</v>
      </c>
      <c r="AL152" s="12" t="str">
        <f t="shared" si="5"/>
        <v/>
      </c>
    </row>
    <row r="153" ht="15.75" customHeight="1">
      <c r="A153" s="10" t="s">
        <v>674</v>
      </c>
      <c r="B153" s="10" t="s">
        <v>675</v>
      </c>
      <c r="C153" s="10" t="s">
        <v>257</v>
      </c>
      <c r="D153" s="10" t="s">
        <v>123</v>
      </c>
      <c r="E153" s="10" t="s">
        <v>123</v>
      </c>
      <c r="F153" s="10" t="s">
        <v>104</v>
      </c>
      <c r="G153" s="10">
        <v>5.0</v>
      </c>
      <c r="H153" s="10">
        <v>7.0</v>
      </c>
      <c r="I153" s="10" t="s">
        <v>2140</v>
      </c>
      <c r="J153" s="10" t="s">
        <v>2136</v>
      </c>
      <c r="K153" s="10"/>
      <c r="L153" s="10">
        <v>203.0</v>
      </c>
      <c r="M153" s="10">
        <v>5.49</v>
      </c>
      <c r="N153" s="10"/>
      <c r="O153" s="10"/>
      <c r="P153" s="12">
        <f>IF($A153="","",IFERROR((IF($O153="",0,$O153)*Settings!$J$4+IF($L153="",0,$L153)*Settings!$J$5+IF($N153="",0,$N153)*Settings!$J$6)/(IF($O153="",0,Settings!$J$4)+IF($L153="",0,Settings!$J$5)+IF($N153="",0,Settings!$J$6)),0))</f>
        <v>203</v>
      </c>
      <c r="Q153" s="12">
        <f t="array" ref="Q153">IF($A153="","",XLOOKUP($E153,Settings!$A$19:$A$22,Settings!$G$19:$G$22,0))</f>
        <v>203</v>
      </c>
      <c r="R153" s="12">
        <f t="shared" si="1"/>
        <v>0</v>
      </c>
      <c r="S153" s="12">
        <f>IF($A153="","",IF($R153&lt;=0,1,1+$R153/SUMIF($R$4:$R$923,"&gt;0",$R$4:$R$923)*(Settings!$B$5*(Settings!$B$6-Settings!$B$7))))</f>
        <v>1</v>
      </c>
      <c r="T153" s="12">
        <f t="array" ref="T153">IF($A153="","",XLOOKUP($F153,Settings!$I$15:$I$20,Settings!$J$15:$J$20,1))</f>
        <v>1</v>
      </c>
      <c r="U153" s="12">
        <f>IF($A153="","",1+(($G153-5)/5)*Settings!$J$8)</f>
        <v>1</v>
      </c>
      <c r="V153" s="12">
        <f>IF($A153="","",1+(($H153-5)/5)*Settings!$J$9)</f>
        <v>1.06</v>
      </c>
      <c r="W153" s="12">
        <f t="array" ref="W153">IF($A153="","",XLOOKUP($J153,Lists!$C$3:$C$7,Lists!$D$3:$D$7,1))</f>
        <v>1</v>
      </c>
      <c r="X153" s="12">
        <f>IF($A153="","",IF($I153="Yes",Settings!$J$10,1))</f>
        <v>1</v>
      </c>
      <c r="Y153" s="12">
        <f t="shared" si="2"/>
        <v>1</v>
      </c>
      <c r="Z153" s="12">
        <f>IF($A153="","",IFERROR(ROUND(AVERAGEIFS('Historical Drafts'!$G$4:$G$300,'Historical Drafts'!$D$4:$D$300,$E153,'Historical Drafts'!$J$4:$J$300,"&gt;="&amp;$L153*0.85,'Historical Drafts'!$J$4:$J$300,"&lt;="&amp;$L153*1.15),0),$Y153))</f>
        <v>3</v>
      </c>
      <c r="AA153" s="12" t="str">
        <f>IF($A153="","",IF(COUNTIF('Auction Log'!$B$3:$B$300,$A153)&gt;0,"Sold","Available"))</f>
        <v>Available</v>
      </c>
      <c r="AB153" s="12" t="str">
        <f t="array" ref="AB153">IF($A153="","",IFERROR(XLOOKUP($A153,'Auction Log'!$B$3:$B$300,'Auction Log'!$G$3:$G$300,""),""))</f>
        <v/>
      </c>
      <c r="AC153" s="12" t="str">
        <f t="array" ref="AC153">IF($A153="","",IFERROR(XLOOKUP($A153,'Auction Log'!$B$3:$B$300,'Auction Log'!$F$3:$F$300,""),""))</f>
        <v/>
      </c>
      <c r="AD153" s="12">
        <f t="array" ref="AD153">IF($A153="","",ROUND($Y153*XLOOKUP($F153,Settings!$I$15:$I$20,Settings!$K$15:$K$20,0.4),0))</f>
        <v>0</v>
      </c>
      <c r="AE153" s="12">
        <f t="array" ref="AE153">IF($A153="","",ROUND($Y153*XLOOKUP($F153,Settings!$I$15:$I$20,Settings!$L$15:$L$20,0.8),0))</f>
        <v>1</v>
      </c>
      <c r="AF153" s="12">
        <f t="array" ref="AF153">IF($A153="","",ROUND($Y153*XLOOKUP($F153,Settings!$I$15:$I$20,Settings!$M$15:$M$20,1),0))</f>
        <v>1</v>
      </c>
      <c r="AG153" s="12">
        <f t="array" ref="AG153">IF($A153="","",ROUND($Y153*XLOOKUP($F153,Settings!$I$15:$I$20,Settings!$N$15:$N$20,1.1),0))</f>
        <v>1</v>
      </c>
      <c r="AH153" s="12">
        <f t="array" ref="AH153">IF($A153="","",ROUND($Y153*XLOOKUP($F153,Settings!$I$15:$I$20,Settings!$O$15:$O$20,1.1)*Settings!$J$7,0))</f>
        <v>1</v>
      </c>
      <c r="AI153" s="12">
        <f t="array" ref="AI153">IF($A153="","",IF($AA153="Sold","",MIN($AH153,IFERROR(XLOOKUP(Settings!$B$12,Managers!$B$4:$B$15,Managers!$H$4:$H$15),$AH153))))</f>
        <v>1</v>
      </c>
      <c r="AJ153" s="12" t="str">
        <f t="shared" si="3"/>
        <v>Budget Drainer</v>
      </c>
      <c r="AK153" s="12">
        <f t="shared" si="4"/>
        <v>28</v>
      </c>
      <c r="AL153" s="12" t="str">
        <f t="shared" si="5"/>
        <v/>
      </c>
    </row>
    <row r="154" ht="15.75" customHeight="1">
      <c r="A154" s="10" t="s">
        <v>676</v>
      </c>
      <c r="B154" s="10" t="s">
        <v>677</v>
      </c>
      <c r="C154" s="10" t="s">
        <v>387</v>
      </c>
      <c r="D154" s="10" t="s">
        <v>123</v>
      </c>
      <c r="E154" s="10" t="s">
        <v>123</v>
      </c>
      <c r="F154" s="10" t="s">
        <v>114</v>
      </c>
      <c r="G154" s="10">
        <v>5.0</v>
      </c>
      <c r="H154" s="10">
        <v>7.0</v>
      </c>
      <c r="I154" s="10" t="s">
        <v>2140</v>
      </c>
      <c r="J154" s="10" t="s">
        <v>2136</v>
      </c>
      <c r="K154" s="10"/>
      <c r="L154" s="10">
        <v>201.0</v>
      </c>
      <c r="M154" s="10">
        <v>7.44</v>
      </c>
      <c r="N154" s="10"/>
      <c r="O154" s="10"/>
      <c r="P154" s="12">
        <f>IF($A154="","",IFERROR((IF($O154="",0,$O154)*Settings!$J$4+IF($L154="",0,$L154)*Settings!$J$5+IF($N154="",0,$N154)*Settings!$J$6)/(IF($O154="",0,Settings!$J$4)+IF($L154="",0,Settings!$J$5)+IF($N154="",0,Settings!$J$6)),0))</f>
        <v>201</v>
      </c>
      <c r="Q154" s="12">
        <f t="array" ref="Q154">IF($A154="","",XLOOKUP($E154,Settings!$A$19:$A$22,Settings!$G$19:$G$22,0))</f>
        <v>203</v>
      </c>
      <c r="R154" s="12">
        <f t="shared" si="1"/>
        <v>0</v>
      </c>
      <c r="S154" s="12">
        <f>IF($A154="","",IF($R154&lt;=0,1,1+$R154/SUMIF($R$4:$R$923,"&gt;0",$R$4:$R$923)*(Settings!$B$5*(Settings!$B$6-Settings!$B$7))))</f>
        <v>1</v>
      </c>
      <c r="T154" s="12">
        <f t="array" ref="T154">IF($A154="","",XLOOKUP($F154,Settings!$I$15:$I$20,Settings!$J$15:$J$20,1))</f>
        <v>0.9</v>
      </c>
      <c r="U154" s="12">
        <f>IF($A154="","",1+(($G154-5)/5)*Settings!$J$8)</f>
        <v>1</v>
      </c>
      <c r="V154" s="12">
        <f>IF($A154="","",1+(($H154-5)/5)*Settings!$J$9)</f>
        <v>1.06</v>
      </c>
      <c r="W154" s="12">
        <f t="array" ref="W154">IF($A154="","",XLOOKUP($J154,Lists!$C$3:$C$7,Lists!$D$3:$D$7,1))</f>
        <v>1</v>
      </c>
      <c r="X154" s="12">
        <f>IF($A154="","",IF($I154="Yes",Settings!$J$10,1))</f>
        <v>1</v>
      </c>
      <c r="Y154" s="12">
        <f t="shared" si="2"/>
        <v>1</v>
      </c>
      <c r="Z154" s="12">
        <f>IF($A154="","",IFERROR(ROUND(AVERAGEIFS('Historical Drafts'!$G$4:$G$300,'Historical Drafts'!$D$4:$D$300,$E154,'Historical Drafts'!$J$4:$J$300,"&gt;="&amp;$L154*0.85,'Historical Drafts'!$J$4:$J$300,"&lt;="&amp;$L154*1.15),0),$Y154))</f>
        <v>3</v>
      </c>
      <c r="AA154" s="12" t="str">
        <f>IF($A154="","",IF(COUNTIF('Auction Log'!$B$3:$B$300,$A154)&gt;0,"Sold","Available"))</f>
        <v>Available</v>
      </c>
      <c r="AB154" s="12" t="str">
        <f t="array" ref="AB154">IF($A154="","",IFERROR(XLOOKUP($A154,'Auction Log'!$B$3:$B$300,'Auction Log'!$G$3:$G$300,""),""))</f>
        <v/>
      </c>
      <c r="AC154" s="12" t="str">
        <f t="array" ref="AC154">IF($A154="","",IFERROR(XLOOKUP($A154,'Auction Log'!$B$3:$B$300,'Auction Log'!$F$3:$F$300,""),""))</f>
        <v/>
      </c>
      <c r="AD154" s="12">
        <f t="array" ref="AD154">IF($A154="","",ROUND($Y154*XLOOKUP($F154,Settings!$I$15:$I$20,Settings!$K$15:$K$20,0.4),0))</f>
        <v>0</v>
      </c>
      <c r="AE154" s="12">
        <f t="array" ref="AE154">IF($A154="","",ROUND($Y154*XLOOKUP($F154,Settings!$I$15:$I$20,Settings!$L$15:$L$20,0.8),0))</f>
        <v>1</v>
      </c>
      <c r="AF154" s="12">
        <f t="array" ref="AF154">IF($A154="","",ROUND($Y154*XLOOKUP($F154,Settings!$I$15:$I$20,Settings!$M$15:$M$20,1),0))</f>
        <v>1</v>
      </c>
      <c r="AG154" s="12">
        <f t="array" ref="AG154">IF($A154="","",ROUND($Y154*XLOOKUP($F154,Settings!$I$15:$I$20,Settings!$N$15:$N$20,1.1),0))</f>
        <v>1</v>
      </c>
      <c r="AH154" s="12">
        <f t="array" ref="AH154">IF($A154="","",ROUND($Y154*XLOOKUP($F154,Settings!$I$15:$I$20,Settings!$O$15:$O$20,1.1)*Settings!$J$7,0))</f>
        <v>1</v>
      </c>
      <c r="AI154" s="12">
        <f t="array" ref="AI154">IF($A154="","",IF($AA154="Sold","",MIN($AH154,IFERROR(XLOOKUP(Settings!$B$12,Managers!$B$4:$B$15,Managers!$H$4:$H$15),$AH154))))</f>
        <v>1</v>
      </c>
      <c r="AJ154" s="12" t="str">
        <f t="shared" si="3"/>
        <v>Budget Drainer</v>
      </c>
      <c r="AK154" s="12">
        <f t="shared" si="4"/>
        <v>28</v>
      </c>
      <c r="AL154" s="12" t="str">
        <f t="shared" si="5"/>
        <v/>
      </c>
    </row>
    <row r="155" ht="15.75" customHeight="1">
      <c r="A155" s="10" t="s">
        <v>460</v>
      </c>
      <c r="B155" s="10" t="s">
        <v>461</v>
      </c>
      <c r="C155" s="10" t="s">
        <v>231</v>
      </c>
      <c r="D155" s="10" t="s">
        <v>118</v>
      </c>
      <c r="E155" s="10" t="s">
        <v>118</v>
      </c>
      <c r="F155" s="10" t="s">
        <v>114</v>
      </c>
      <c r="G155" s="10">
        <v>5.0</v>
      </c>
      <c r="H155" s="10">
        <v>7.0</v>
      </c>
      <c r="I155" s="10" t="s">
        <v>2140</v>
      </c>
      <c r="J155" s="10" t="s">
        <v>2136</v>
      </c>
      <c r="K155" s="10"/>
      <c r="L155" s="10">
        <v>200.75</v>
      </c>
      <c r="M155" s="10">
        <v>6.69</v>
      </c>
      <c r="N155" s="10"/>
      <c r="O155" s="10"/>
      <c r="P155" s="12">
        <f>IF($A155="","",IFERROR((IF($O155="",0,$O155)*Settings!$J$4+IF($L155="",0,$L155)*Settings!$J$5+IF($N155="",0,$N155)*Settings!$J$6)/(IF($O155="",0,Settings!$J$4)+IF($L155="",0,Settings!$J$5)+IF($N155="",0,Settings!$J$6)),0))</f>
        <v>200.75</v>
      </c>
      <c r="Q155" s="12">
        <f t="array" ref="Q155">IF($A155="","",XLOOKUP($E155,Settings!$A$19:$A$22,Settings!$G$19:$G$22,0))</f>
        <v>196.25</v>
      </c>
      <c r="R155" s="12">
        <f t="shared" si="1"/>
        <v>4.5</v>
      </c>
      <c r="S155" s="12">
        <f>IF($A155="","",IF($R155&lt;=0,1,1+$R155/SUMIF($R$4:$R$923,"&gt;0",$R$4:$R$923)*(Settings!$B$5*(Settings!$B$6-Settings!$B$7))))</f>
        <v>1.555617353</v>
      </c>
      <c r="T155" s="12">
        <f t="array" ref="T155">IF($A155="","",XLOOKUP($F155,Settings!$I$15:$I$20,Settings!$J$15:$J$20,1))</f>
        <v>0.9</v>
      </c>
      <c r="U155" s="12">
        <f>IF($A155="","",1+(($G155-5)/5)*Settings!$J$8)</f>
        <v>1</v>
      </c>
      <c r="V155" s="12">
        <f>IF($A155="","",1+(($H155-5)/5)*Settings!$J$9)</f>
        <v>1.06</v>
      </c>
      <c r="W155" s="12">
        <f t="array" ref="W155">IF($A155="","",XLOOKUP($J155,Lists!$C$3:$C$7,Lists!$D$3:$D$7,1))</f>
        <v>1</v>
      </c>
      <c r="X155" s="12">
        <f>IF($A155="","",IF($I155="Yes",Settings!$J$10,1))</f>
        <v>1</v>
      </c>
      <c r="Y155" s="12">
        <f t="shared" si="2"/>
        <v>1</v>
      </c>
      <c r="Z155" s="12">
        <f>IF($A155="","",IFERROR(ROUND(AVERAGEIFS('Historical Drafts'!$G$4:$G$300,'Historical Drafts'!$D$4:$D$300,$E155,'Historical Drafts'!$J$4:$J$300,"&gt;="&amp;$L155*0.85,'Historical Drafts'!$J$4:$J$300,"&lt;="&amp;$L155*1.15),0),$Y155))</f>
        <v>4</v>
      </c>
      <c r="AA155" s="12" t="str">
        <f>IF($A155="","",IF(COUNTIF('Auction Log'!$B$3:$B$300,$A155)&gt;0,"Sold","Available"))</f>
        <v>Available</v>
      </c>
      <c r="AB155" s="12" t="str">
        <f t="array" ref="AB155">IF($A155="","",IFERROR(XLOOKUP($A155,'Auction Log'!$B$3:$B$300,'Auction Log'!$G$3:$G$300,""),""))</f>
        <v/>
      </c>
      <c r="AC155" s="12" t="str">
        <f t="array" ref="AC155">IF($A155="","",IFERROR(XLOOKUP($A155,'Auction Log'!$B$3:$B$300,'Auction Log'!$F$3:$F$300,""),""))</f>
        <v/>
      </c>
      <c r="AD155" s="12">
        <f t="array" ref="AD155">IF($A155="","",ROUND($Y155*XLOOKUP($F155,Settings!$I$15:$I$20,Settings!$K$15:$K$20,0.4),0))</f>
        <v>0</v>
      </c>
      <c r="AE155" s="12">
        <f t="array" ref="AE155">IF($A155="","",ROUND($Y155*XLOOKUP($F155,Settings!$I$15:$I$20,Settings!$L$15:$L$20,0.8),0))</f>
        <v>1</v>
      </c>
      <c r="AF155" s="12">
        <f t="array" ref="AF155">IF($A155="","",ROUND($Y155*XLOOKUP($F155,Settings!$I$15:$I$20,Settings!$M$15:$M$20,1),0))</f>
        <v>1</v>
      </c>
      <c r="AG155" s="12">
        <f t="array" ref="AG155">IF($A155="","",ROUND($Y155*XLOOKUP($F155,Settings!$I$15:$I$20,Settings!$N$15:$N$20,1.1),0))</f>
        <v>1</v>
      </c>
      <c r="AH155" s="12">
        <f t="array" ref="AH155">IF($A155="","",ROUND($Y155*XLOOKUP($F155,Settings!$I$15:$I$20,Settings!$O$15:$O$20,1.1)*Settings!$J$7,0))</f>
        <v>1</v>
      </c>
      <c r="AI155" s="12">
        <f t="array" ref="AI155">IF($A155="","",IF($AA155="Sold","",MIN($AH155,IFERROR(XLOOKUP(Settings!$B$12,Managers!$B$4:$B$15,Managers!$H$4:$H$15),$AH155))))</f>
        <v>1</v>
      </c>
      <c r="AJ155" s="12" t="str">
        <f t="shared" si="3"/>
        <v>Budget Drainer</v>
      </c>
      <c r="AK155" s="12">
        <f t="shared" si="4"/>
        <v>29</v>
      </c>
      <c r="AL155" s="12" t="str">
        <f t="shared" si="5"/>
        <v/>
      </c>
    </row>
    <row r="156" ht="15.75" customHeight="1">
      <c r="A156" s="10" t="s">
        <v>678</v>
      </c>
      <c r="B156" s="10" t="s">
        <v>679</v>
      </c>
      <c r="C156" s="10" t="s">
        <v>215</v>
      </c>
      <c r="D156" s="10" t="s">
        <v>121</v>
      </c>
      <c r="E156" s="10" t="s">
        <v>121</v>
      </c>
      <c r="F156" s="10" t="s">
        <v>114</v>
      </c>
      <c r="G156" s="10">
        <v>5.0</v>
      </c>
      <c r="H156" s="10">
        <v>7.0</v>
      </c>
      <c r="I156" s="10" t="s">
        <v>2140</v>
      </c>
      <c r="J156" s="10" t="s">
        <v>2136</v>
      </c>
      <c r="K156" s="10"/>
      <c r="L156" s="10">
        <v>199.5</v>
      </c>
      <c r="M156" s="10">
        <v>5.7</v>
      </c>
      <c r="N156" s="10"/>
      <c r="O156" s="10"/>
      <c r="P156" s="12">
        <f>IF($A156="","",IFERROR((IF($O156="",0,$O156)*Settings!$J$4+IF($L156="",0,$L156)*Settings!$J$5+IF($N156="",0,$N156)*Settings!$J$6)/(IF($O156="",0,Settings!$J$4)+IF($L156="",0,Settings!$J$5)+IF($N156="",0,Settings!$J$6)),0))</f>
        <v>199.5</v>
      </c>
      <c r="Q156" s="12">
        <f t="array" ref="Q156">IF($A156="","",XLOOKUP($E156,Settings!$A$19:$A$22,Settings!$G$19:$G$22,0))</f>
        <v>206</v>
      </c>
      <c r="R156" s="12">
        <f t="shared" si="1"/>
        <v>0</v>
      </c>
      <c r="S156" s="12">
        <f>IF($A156="","",IF($R156&lt;=0,1,1+$R156/SUMIF($R$4:$R$923,"&gt;0",$R$4:$R$923)*(Settings!$B$5*(Settings!$B$6-Settings!$B$7))))</f>
        <v>1</v>
      </c>
      <c r="T156" s="12">
        <f t="array" ref="T156">IF($A156="","",XLOOKUP($F156,Settings!$I$15:$I$20,Settings!$J$15:$J$20,1))</f>
        <v>0.9</v>
      </c>
      <c r="U156" s="12">
        <f>IF($A156="","",1+(($G156-5)/5)*Settings!$J$8)</f>
        <v>1</v>
      </c>
      <c r="V156" s="12">
        <f>IF($A156="","",1+(($H156-5)/5)*Settings!$J$9)</f>
        <v>1.06</v>
      </c>
      <c r="W156" s="12">
        <f t="array" ref="W156">IF($A156="","",XLOOKUP($J156,Lists!$C$3:$C$7,Lists!$D$3:$D$7,1))</f>
        <v>1</v>
      </c>
      <c r="X156" s="12">
        <f>IF($A156="","",IF($I156="Yes",Settings!$J$10,1))</f>
        <v>1</v>
      </c>
      <c r="Y156" s="12">
        <f t="shared" si="2"/>
        <v>1</v>
      </c>
      <c r="Z156" s="12">
        <f>IF($A156="","",IFERROR(ROUND(AVERAGEIFS('Historical Drafts'!$G$4:$G$300,'Historical Drafts'!$D$4:$D$300,$E156,'Historical Drafts'!$J$4:$J$300,"&gt;="&amp;$L156*0.85,'Historical Drafts'!$J$4:$J$300,"&lt;="&amp;$L156*1.15),0),$Y156))</f>
        <v>13</v>
      </c>
      <c r="AA156" s="12" t="str">
        <f>IF($A156="","",IF(COUNTIF('Auction Log'!$B$3:$B$300,$A156)&gt;0,"Sold","Available"))</f>
        <v>Available</v>
      </c>
      <c r="AB156" s="12" t="str">
        <f t="array" ref="AB156">IF($A156="","",IFERROR(XLOOKUP($A156,'Auction Log'!$B$3:$B$300,'Auction Log'!$G$3:$G$300,""),""))</f>
        <v/>
      </c>
      <c r="AC156" s="12" t="str">
        <f t="array" ref="AC156">IF($A156="","",IFERROR(XLOOKUP($A156,'Auction Log'!$B$3:$B$300,'Auction Log'!$F$3:$F$300,""),""))</f>
        <v/>
      </c>
      <c r="AD156" s="12">
        <f t="array" ref="AD156">IF($A156="","",ROUND($Y156*XLOOKUP($F156,Settings!$I$15:$I$20,Settings!$K$15:$K$20,0.4),0))</f>
        <v>0</v>
      </c>
      <c r="AE156" s="12">
        <f t="array" ref="AE156">IF($A156="","",ROUND($Y156*XLOOKUP($F156,Settings!$I$15:$I$20,Settings!$L$15:$L$20,0.8),0))</f>
        <v>1</v>
      </c>
      <c r="AF156" s="12">
        <f t="array" ref="AF156">IF($A156="","",ROUND($Y156*XLOOKUP($F156,Settings!$I$15:$I$20,Settings!$M$15:$M$20,1),0))</f>
        <v>1</v>
      </c>
      <c r="AG156" s="12">
        <f t="array" ref="AG156">IF($A156="","",ROUND($Y156*XLOOKUP($F156,Settings!$I$15:$I$20,Settings!$N$15:$N$20,1.1),0))</f>
        <v>1</v>
      </c>
      <c r="AH156" s="12">
        <f t="array" ref="AH156">IF($A156="","",ROUND($Y156*XLOOKUP($F156,Settings!$I$15:$I$20,Settings!$O$15:$O$20,1.1)*Settings!$J$7,0))</f>
        <v>1</v>
      </c>
      <c r="AI156" s="12">
        <f t="array" ref="AI156">IF($A156="","",IF($AA156="Sold","",MIN($AH156,IFERROR(XLOOKUP(Settings!$B$12,Managers!$B$4:$B$15,Managers!$H$4:$H$15),$AH156))))</f>
        <v>1</v>
      </c>
      <c r="AJ156" s="12" t="str">
        <f t="shared" si="3"/>
        <v>Budget Drainer</v>
      </c>
      <c r="AK156" s="12">
        <f t="shared" si="4"/>
        <v>38</v>
      </c>
      <c r="AL156" s="12" t="str">
        <f t="shared" si="5"/>
        <v/>
      </c>
    </row>
    <row r="157" ht="15.75" customHeight="1">
      <c r="A157" s="10" t="s">
        <v>680</v>
      </c>
      <c r="B157" s="10" t="s">
        <v>681</v>
      </c>
      <c r="C157" s="10" t="s">
        <v>453</v>
      </c>
      <c r="D157" s="10" t="s">
        <v>118</v>
      </c>
      <c r="E157" s="10" t="s">
        <v>118</v>
      </c>
      <c r="F157" s="10" t="s">
        <v>114</v>
      </c>
      <c r="G157" s="10">
        <v>5.0</v>
      </c>
      <c r="H157" s="10">
        <v>7.0</v>
      </c>
      <c r="I157" s="10" t="s">
        <v>2140</v>
      </c>
      <c r="J157" s="10" t="s">
        <v>2136</v>
      </c>
      <c r="K157" s="10"/>
      <c r="L157" s="10">
        <v>198.25</v>
      </c>
      <c r="M157" s="10">
        <v>7.93</v>
      </c>
      <c r="N157" s="10"/>
      <c r="O157" s="10"/>
      <c r="P157" s="12">
        <f>IF($A157="","",IFERROR((IF($O157="",0,$O157)*Settings!$J$4+IF($L157="",0,$L157)*Settings!$J$5+IF($N157="",0,$N157)*Settings!$J$6)/(IF($O157="",0,Settings!$J$4)+IF($L157="",0,Settings!$J$5)+IF($N157="",0,Settings!$J$6)),0))</f>
        <v>198.25</v>
      </c>
      <c r="Q157" s="12">
        <f t="array" ref="Q157">IF($A157="","",XLOOKUP($E157,Settings!$A$19:$A$22,Settings!$G$19:$G$22,0))</f>
        <v>196.25</v>
      </c>
      <c r="R157" s="12">
        <f t="shared" si="1"/>
        <v>2</v>
      </c>
      <c r="S157" s="12">
        <f>IF($A157="","",IF($R157&lt;=0,1,1+$R157/SUMIF($R$4:$R$923,"&gt;0",$R$4:$R$923)*(Settings!$B$5*(Settings!$B$6-Settings!$B$7))))</f>
        <v>1.246941046</v>
      </c>
      <c r="T157" s="12">
        <f t="array" ref="T157">IF($A157="","",XLOOKUP($F157,Settings!$I$15:$I$20,Settings!$J$15:$J$20,1))</f>
        <v>0.9</v>
      </c>
      <c r="U157" s="12">
        <f>IF($A157="","",1+(($G157-5)/5)*Settings!$J$8)</f>
        <v>1</v>
      </c>
      <c r="V157" s="12">
        <f>IF($A157="","",1+(($H157-5)/5)*Settings!$J$9)</f>
        <v>1.06</v>
      </c>
      <c r="W157" s="12">
        <f t="array" ref="W157">IF($A157="","",XLOOKUP($J157,Lists!$C$3:$C$7,Lists!$D$3:$D$7,1))</f>
        <v>1</v>
      </c>
      <c r="X157" s="12">
        <f>IF($A157="","",IF($I157="Yes",Settings!$J$10,1))</f>
        <v>1</v>
      </c>
      <c r="Y157" s="12">
        <f t="shared" si="2"/>
        <v>1</v>
      </c>
      <c r="Z157" s="12">
        <f>IF($A157="","",IFERROR(ROUND(AVERAGEIFS('Historical Drafts'!$G$4:$G$300,'Historical Drafts'!$D$4:$D$300,$E157,'Historical Drafts'!$J$4:$J$300,"&gt;="&amp;$L157*0.85,'Historical Drafts'!$J$4:$J$300,"&lt;="&amp;$L157*1.15),0),$Y157))</f>
        <v>5</v>
      </c>
      <c r="AA157" s="12" t="str">
        <f>IF($A157="","",IF(COUNTIF('Auction Log'!$B$3:$B$300,$A157)&gt;0,"Sold","Available"))</f>
        <v>Available</v>
      </c>
      <c r="AB157" s="12" t="str">
        <f t="array" ref="AB157">IF($A157="","",IFERROR(XLOOKUP($A157,'Auction Log'!$B$3:$B$300,'Auction Log'!$G$3:$G$300,""),""))</f>
        <v/>
      </c>
      <c r="AC157" s="12" t="str">
        <f t="array" ref="AC157">IF($A157="","",IFERROR(XLOOKUP($A157,'Auction Log'!$B$3:$B$300,'Auction Log'!$F$3:$F$300,""),""))</f>
        <v/>
      </c>
      <c r="AD157" s="12">
        <f t="array" ref="AD157">IF($A157="","",ROUND($Y157*XLOOKUP($F157,Settings!$I$15:$I$20,Settings!$K$15:$K$20,0.4),0))</f>
        <v>0</v>
      </c>
      <c r="AE157" s="12">
        <f t="array" ref="AE157">IF($A157="","",ROUND($Y157*XLOOKUP($F157,Settings!$I$15:$I$20,Settings!$L$15:$L$20,0.8),0))</f>
        <v>1</v>
      </c>
      <c r="AF157" s="12">
        <f t="array" ref="AF157">IF($A157="","",ROUND($Y157*XLOOKUP($F157,Settings!$I$15:$I$20,Settings!$M$15:$M$20,1),0))</f>
        <v>1</v>
      </c>
      <c r="AG157" s="12">
        <f t="array" ref="AG157">IF($A157="","",ROUND($Y157*XLOOKUP($F157,Settings!$I$15:$I$20,Settings!$N$15:$N$20,1.1),0))</f>
        <v>1</v>
      </c>
      <c r="AH157" s="12">
        <f t="array" ref="AH157">IF($A157="","",ROUND($Y157*XLOOKUP($F157,Settings!$I$15:$I$20,Settings!$O$15:$O$20,1.1)*Settings!$J$7,0))</f>
        <v>1</v>
      </c>
      <c r="AI157" s="12">
        <f t="array" ref="AI157">IF($A157="","",IF($AA157="Sold","",MIN($AH157,IFERROR(XLOOKUP(Settings!$B$12,Managers!$B$4:$B$15,Managers!$H$4:$H$15),$AH157))))</f>
        <v>1</v>
      </c>
      <c r="AJ157" s="12" t="str">
        <f t="shared" si="3"/>
        <v>Budget Drainer</v>
      </c>
      <c r="AK157" s="12">
        <f t="shared" si="4"/>
        <v>30</v>
      </c>
      <c r="AL157" s="12" t="str">
        <f t="shared" si="5"/>
        <v/>
      </c>
    </row>
    <row r="158" ht="15.75" customHeight="1">
      <c r="A158" s="10" t="s">
        <v>682</v>
      </c>
      <c r="B158" s="10" t="s">
        <v>683</v>
      </c>
      <c r="C158" s="10" t="s">
        <v>226</v>
      </c>
      <c r="D158" s="10" t="s">
        <v>118</v>
      </c>
      <c r="E158" s="10" t="s">
        <v>118</v>
      </c>
      <c r="F158" s="10" t="s">
        <v>114</v>
      </c>
      <c r="G158" s="10">
        <v>5.0</v>
      </c>
      <c r="H158" s="10">
        <v>7.0</v>
      </c>
      <c r="I158" s="10" t="s">
        <v>2140</v>
      </c>
      <c r="J158" s="10" t="s">
        <v>2136</v>
      </c>
      <c r="K158" s="10"/>
      <c r="L158" s="10">
        <v>197.75</v>
      </c>
      <c r="M158" s="10">
        <v>6.82</v>
      </c>
      <c r="N158" s="10"/>
      <c r="O158" s="10"/>
      <c r="P158" s="12">
        <f>IF($A158="","",IFERROR((IF($O158="",0,$O158)*Settings!$J$4+IF($L158="",0,$L158)*Settings!$J$5+IF($N158="",0,$N158)*Settings!$J$6)/(IF($O158="",0,Settings!$J$4)+IF($L158="",0,Settings!$J$5)+IF($N158="",0,Settings!$J$6)),0))</f>
        <v>197.75</v>
      </c>
      <c r="Q158" s="12">
        <f t="array" ref="Q158">IF($A158="","",XLOOKUP($E158,Settings!$A$19:$A$22,Settings!$G$19:$G$22,0))</f>
        <v>196.25</v>
      </c>
      <c r="R158" s="12">
        <f t="shared" si="1"/>
        <v>1.5</v>
      </c>
      <c r="S158" s="12">
        <f>IF($A158="","",IF($R158&lt;=0,1,1+$R158/SUMIF($R$4:$R$923,"&gt;0",$R$4:$R$923)*(Settings!$B$5*(Settings!$B$6-Settings!$B$7))))</f>
        <v>1.185205784</v>
      </c>
      <c r="T158" s="12">
        <f t="array" ref="T158">IF($A158="","",XLOOKUP($F158,Settings!$I$15:$I$20,Settings!$J$15:$J$20,1))</f>
        <v>0.9</v>
      </c>
      <c r="U158" s="12">
        <f>IF($A158="","",1+(($G158-5)/5)*Settings!$J$8)</f>
        <v>1</v>
      </c>
      <c r="V158" s="12">
        <f>IF($A158="","",1+(($H158-5)/5)*Settings!$J$9)</f>
        <v>1.06</v>
      </c>
      <c r="W158" s="12">
        <f t="array" ref="W158">IF($A158="","",XLOOKUP($J158,Lists!$C$3:$C$7,Lists!$D$3:$D$7,1))</f>
        <v>1</v>
      </c>
      <c r="X158" s="12">
        <f>IF($A158="","",IF($I158="Yes",Settings!$J$10,1))</f>
        <v>1</v>
      </c>
      <c r="Y158" s="12">
        <f t="shared" si="2"/>
        <v>1</v>
      </c>
      <c r="Z158" s="12">
        <f>IF($A158="","",IFERROR(ROUND(AVERAGEIFS('Historical Drafts'!$G$4:$G$300,'Historical Drafts'!$D$4:$D$300,$E158,'Historical Drafts'!$J$4:$J$300,"&gt;="&amp;$L158*0.85,'Historical Drafts'!$J$4:$J$300,"&lt;="&amp;$L158*1.15),0),$Y158))</f>
        <v>5</v>
      </c>
      <c r="AA158" s="12" t="str">
        <f>IF($A158="","",IF(COUNTIF('Auction Log'!$B$3:$B$300,$A158)&gt;0,"Sold","Available"))</f>
        <v>Available</v>
      </c>
      <c r="AB158" s="12" t="str">
        <f t="array" ref="AB158">IF($A158="","",IFERROR(XLOOKUP($A158,'Auction Log'!$B$3:$B$300,'Auction Log'!$G$3:$G$300,""),""))</f>
        <v/>
      </c>
      <c r="AC158" s="12" t="str">
        <f t="array" ref="AC158">IF($A158="","",IFERROR(XLOOKUP($A158,'Auction Log'!$B$3:$B$300,'Auction Log'!$F$3:$F$300,""),""))</f>
        <v/>
      </c>
      <c r="AD158" s="12">
        <f t="array" ref="AD158">IF($A158="","",ROUND($Y158*XLOOKUP($F158,Settings!$I$15:$I$20,Settings!$K$15:$K$20,0.4),0))</f>
        <v>0</v>
      </c>
      <c r="AE158" s="12">
        <f t="array" ref="AE158">IF($A158="","",ROUND($Y158*XLOOKUP($F158,Settings!$I$15:$I$20,Settings!$L$15:$L$20,0.8),0))</f>
        <v>1</v>
      </c>
      <c r="AF158" s="12">
        <f t="array" ref="AF158">IF($A158="","",ROUND($Y158*XLOOKUP($F158,Settings!$I$15:$I$20,Settings!$M$15:$M$20,1),0))</f>
        <v>1</v>
      </c>
      <c r="AG158" s="12">
        <f t="array" ref="AG158">IF($A158="","",ROUND($Y158*XLOOKUP($F158,Settings!$I$15:$I$20,Settings!$N$15:$N$20,1.1),0))</f>
        <v>1</v>
      </c>
      <c r="AH158" s="12">
        <f t="array" ref="AH158">IF($A158="","",ROUND($Y158*XLOOKUP($F158,Settings!$I$15:$I$20,Settings!$O$15:$O$20,1.1)*Settings!$J$7,0))</f>
        <v>1</v>
      </c>
      <c r="AI158" s="12">
        <f t="array" ref="AI158">IF($A158="","",IF($AA158="Sold","",MIN($AH158,IFERROR(XLOOKUP(Settings!$B$12,Managers!$B$4:$B$15,Managers!$H$4:$H$15),$AH158))))</f>
        <v>1</v>
      </c>
      <c r="AJ158" s="12" t="str">
        <f t="shared" si="3"/>
        <v>Budget Drainer</v>
      </c>
      <c r="AK158" s="12">
        <f t="shared" si="4"/>
        <v>30</v>
      </c>
      <c r="AL158" s="12" t="str">
        <f t="shared" si="5"/>
        <v/>
      </c>
    </row>
    <row r="159" ht="15.75" customHeight="1">
      <c r="A159" s="10" t="s">
        <v>465</v>
      </c>
      <c r="B159" s="10" t="s">
        <v>466</v>
      </c>
      <c r="C159" s="10" t="s">
        <v>243</v>
      </c>
      <c r="D159" s="10" t="s">
        <v>118</v>
      </c>
      <c r="E159" s="10" t="s">
        <v>118</v>
      </c>
      <c r="F159" s="10" t="s">
        <v>114</v>
      </c>
      <c r="G159" s="10">
        <v>5.0</v>
      </c>
      <c r="H159" s="10">
        <v>7.0</v>
      </c>
      <c r="I159" s="10" t="s">
        <v>2140</v>
      </c>
      <c r="J159" s="10" t="s">
        <v>2136</v>
      </c>
      <c r="K159" s="10"/>
      <c r="L159" s="10">
        <v>196.25</v>
      </c>
      <c r="M159" s="10">
        <v>8.53</v>
      </c>
      <c r="N159" s="10"/>
      <c r="O159" s="10"/>
      <c r="P159" s="12">
        <f>IF($A159="","",IFERROR((IF($O159="",0,$O159)*Settings!$J$4+IF($L159="",0,$L159)*Settings!$J$5+IF($N159="",0,$N159)*Settings!$J$6)/(IF($O159="",0,Settings!$J$4)+IF($L159="",0,Settings!$J$5)+IF($N159="",0,Settings!$J$6)),0))</f>
        <v>196.25</v>
      </c>
      <c r="Q159" s="12">
        <f t="array" ref="Q159">IF($A159="","",XLOOKUP($E159,Settings!$A$19:$A$22,Settings!$G$19:$G$22,0))</f>
        <v>196.25</v>
      </c>
      <c r="R159" s="12">
        <f t="shared" si="1"/>
        <v>0</v>
      </c>
      <c r="S159" s="12">
        <f>IF($A159="","",IF($R159&lt;=0,1,1+$R159/SUMIF($R$4:$R$923,"&gt;0",$R$4:$R$923)*(Settings!$B$5*(Settings!$B$6-Settings!$B$7))))</f>
        <v>1</v>
      </c>
      <c r="T159" s="12">
        <f t="array" ref="T159">IF($A159="","",XLOOKUP($F159,Settings!$I$15:$I$20,Settings!$J$15:$J$20,1))</f>
        <v>0.9</v>
      </c>
      <c r="U159" s="12">
        <f>IF($A159="","",1+(($G159-5)/5)*Settings!$J$8)</f>
        <v>1</v>
      </c>
      <c r="V159" s="12">
        <f>IF($A159="","",1+(($H159-5)/5)*Settings!$J$9)</f>
        <v>1.06</v>
      </c>
      <c r="W159" s="12">
        <f t="array" ref="W159">IF($A159="","",XLOOKUP($J159,Lists!$C$3:$C$7,Lists!$D$3:$D$7,1))</f>
        <v>1</v>
      </c>
      <c r="X159" s="12">
        <f>IF($A159="","",IF($I159="Yes",Settings!$J$10,1))</f>
        <v>1</v>
      </c>
      <c r="Y159" s="12">
        <f t="shared" si="2"/>
        <v>1</v>
      </c>
      <c r="Z159" s="12">
        <f>IF($A159="","",IFERROR(ROUND(AVERAGEIFS('Historical Drafts'!$G$4:$G$300,'Historical Drafts'!$D$4:$D$300,$E159,'Historical Drafts'!$J$4:$J$300,"&gt;="&amp;$L159*0.85,'Historical Drafts'!$J$4:$J$300,"&lt;="&amp;$L159*1.15),0),$Y159))</f>
        <v>5</v>
      </c>
      <c r="AA159" s="12" t="str">
        <f>IF($A159="","",IF(COUNTIF('Auction Log'!$B$3:$B$300,$A159)&gt;0,"Sold","Available"))</f>
        <v>Available</v>
      </c>
      <c r="AB159" s="12" t="str">
        <f t="array" ref="AB159">IF($A159="","",IFERROR(XLOOKUP($A159,'Auction Log'!$B$3:$B$300,'Auction Log'!$G$3:$G$300,""),""))</f>
        <v/>
      </c>
      <c r="AC159" s="12" t="str">
        <f t="array" ref="AC159">IF($A159="","",IFERROR(XLOOKUP($A159,'Auction Log'!$B$3:$B$300,'Auction Log'!$F$3:$F$300,""),""))</f>
        <v/>
      </c>
      <c r="AD159" s="12">
        <f t="array" ref="AD159">IF($A159="","",ROUND($Y159*XLOOKUP($F159,Settings!$I$15:$I$20,Settings!$K$15:$K$20,0.4),0))</f>
        <v>0</v>
      </c>
      <c r="AE159" s="12">
        <f t="array" ref="AE159">IF($A159="","",ROUND($Y159*XLOOKUP($F159,Settings!$I$15:$I$20,Settings!$L$15:$L$20,0.8),0))</f>
        <v>1</v>
      </c>
      <c r="AF159" s="12">
        <f t="array" ref="AF159">IF($A159="","",ROUND($Y159*XLOOKUP($F159,Settings!$I$15:$I$20,Settings!$M$15:$M$20,1),0))</f>
        <v>1</v>
      </c>
      <c r="AG159" s="12">
        <f t="array" ref="AG159">IF($A159="","",ROUND($Y159*XLOOKUP($F159,Settings!$I$15:$I$20,Settings!$N$15:$N$20,1.1),0))</f>
        <v>1</v>
      </c>
      <c r="AH159" s="12">
        <f t="array" ref="AH159">IF($A159="","",ROUND($Y159*XLOOKUP($F159,Settings!$I$15:$I$20,Settings!$O$15:$O$20,1.1)*Settings!$J$7,0))</f>
        <v>1</v>
      </c>
      <c r="AI159" s="12">
        <f t="array" ref="AI159">IF($A159="","",IF($AA159="Sold","",MIN($AH159,IFERROR(XLOOKUP(Settings!$B$12,Managers!$B$4:$B$15,Managers!$H$4:$H$15),$AH159))))</f>
        <v>1</v>
      </c>
      <c r="AJ159" s="12" t="str">
        <f t="shared" si="3"/>
        <v>Budget Drainer</v>
      </c>
      <c r="AK159" s="12">
        <f t="shared" si="4"/>
        <v>30</v>
      </c>
      <c r="AL159" s="12" t="str">
        <f t="shared" si="5"/>
        <v/>
      </c>
    </row>
    <row r="160" ht="15.75" customHeight="1">
      <c r="A160" s="10" t="s">
        <v>392</v>
      </c>
      <c r="B160" s="10" t="s">
        <v>393</v>
      </c>
      <c r="C160" s="10" t="s">
        <v>257</v>
      </c>
      <c r="D160" s="10" t="s">
        <v>118</v>
      </c>
      <c r="E160" s="10" t="s">
        <v>118</v>
      </c>
      <c r="F160" s="10" t="s">
        <v>114</v>
      </c>
      <c r="G160" s="10">
        <v>5.0</v>
      </c>
      <c r="H160" s="10">
        <v>7.0</v>
      </c>
      <c r="I160" s="10" t="s">
        <v>2140</v>
      </c>
      <c r="J160" s="10" t="s">
        <v>2136</v>
      </c>
      <c r="K160" s="10"/>
      <c r="L160" s="10">
        <v>195.5</v>
      </c>
      <c r="M160" s="10">
        <v>5.92</v>
      </c>
      <c r="N160" s="10"/>
      <c r="O160" s="10"/>
      <c r="P160" s="12">
        <f>IF($A160="","",IFERROR((IF($O160="",0,$O160)*Settings!$J$4+IF($L160="",0,$L160)*Settings!$J$5+IF($N160="",0,$N160)*Settings!$J$6)/(IF($O160="",0,Settings!$J$4)+IF($L160="",0,Settings!$J$5)+IF($N160="",0,Settings!$J$6)),0))</f>
        <v>195.5</v>
      </c>
      <c r="Q160" s="12">
        <f t="array" ref="Q160">IF($A160="","",XLOOKUP($E160,Settings!$A$19:$A$22,Settings!$G$19:$G$22,0))</f>
        <v>196.25</v>
      </c>
      <c r="R160" s="12">
        <f t="shared" si="1"/>
        <v>0</v>
      </c>
      <c r="S160" s="12">
        <f>IF($A160="","",IF($R160&lt;=0,1,1+$R160/SUMIF($R$4:$R$923,"&gt;0",$R$4:$R$923)*(Settings!$B$5*(Settings!$B$6-Settings!$B$7))))</f>
        <v>1</v>
      </c>
      <c r="T160" s="12">
        <f t="array" ref="T160">IF($A160="","",XLOOKUP($F160,Settings!$I$15:$I$20,Settings!$J$15:$J$20,1))</f>
        <v>0.9</v>
      </c>
      <c r="U160" s="12">
        <f>IF($A160="","",1+(($G160-5)/5)*Settings!$J$8)</f>
        <v>1</v>
      </c>
      <c r="V160" s="12">
        <f>IF($A160="","",1+(($H160-5)/5)*Settings!$J$9)</f>
        <v>1.06</v>
      </c>
      <c r="W160" s="12">
        <f t="array" ref="W160">IF($A160="","",XLOOKUP($J160,Lists!$C$3:$C$7,Lists!$D$3:$D$7,1))</f>
        <v>1</v>
      </c>
      <c r="X160" s="12">
        <f>IF($A160="","",IF($I160="Yes",Settings!$J$10,1))</f>
        <v>1</v>
      </c>
      <c r="Y160" s="12">
        <f t="shared" si="2"/>
        <v>1</v>
      </c>
      <c r="Z160" s="12">
        <f>IF($A160="","",IFERROR(ROUND(AVERAGEIFS('Historical Drafts'!$G$4:$G$300,'Historical Drafts'!$D$4:$D$300,$E160,'Historical Drafts'!$J$4:$J$300,"&gt;="&amp;$L160*0.85,'Historical Drafts'!$J$4:$J$300,"&lt;="&amp;$L160*1.15),0),$Y160))</f>
        <v>5</v>
      </c>
      <c r="AA160" s="12" t="str">
        <f>IF($A160="","",IF(COUNTIF('Auction Log'!$B$3:$B$300,$A160)&gt;0,"Sold","Available"))</f>
        <v>Available</v>
      </c>
      <c r="AB160" s="12" t="str">
        <f t="array" ref="AB160">IF($A160="","",IFERROR(XLOOKUP($A160,'Auction Log'!$B$3:$B$300,'Auction Log'!$G$3:$G$300,""),""))</f>
        <v/>
      </c>
      <c r="AC160" s="12" t="str">
        <f t="array" ref="AC160">IF($A160="","",IFERROR(XLOOKUP($A160,'Auction Log'!$B$3:$B$300,'Auction Log'!$F$3:$F$300,""),""))</f>
        <v/>
      </c>
      <c r="AD160" s="12">
        <f t="array" ref="AD160">IF($A160="","",ROUND($Y160*XLOOKUP($F160,Settings!$I$15:$I$20,Settings!$K$15:$K$20,0.4),0))</f>
        <v>0</v>
      </c>
      <c r="AE160" s="12">
        <f t="array" ref="AE160">IF($A160="","",ROUND($Y160*XLOOKUP($F160,Settings!$I$15:$I$20,Settings!$L$15:$L$20,0.8),0))</f>
        <v>1</v>
      </c>
      <c r="AF160" s="12">
        <f t="array" ref="AF160">IF($A160="","",ROUND($Y160*XLOOKUP($F160,Settings!$I$15:$I$20,Settings!$M$15:$M$20,1),0))</f>
        <v>1</v>
      </c>
      <c r="AG160" s="12">
        <f t="array" ref="AG160">IF($A160="","",ROUND($Y160*XLOOKUP($F160,Settings!$I$15:$I$20,Settings!$N$15:$N$20,1.1),0))</f>
        <v>1</v>
      </c>
      <c r="AH160" s="12">
        <f t="array" ref="AH160">IF($A160="","",ROUND($Y160*XLOOKUP($F160,Settings!$I$15:$I$20,Settings!$O$15:$O$20,1.1)*Settings!$J$7,0))</f>
        <v>1</v>
      </c>
      <c r="AI160" s="12">
        <f t="array" ref="AI160">IF($A160="","",IF($AA160="Sold","",MIN($AH160,IFERROR(XLOOKUP(Settings!$B$12,Managers!$B$4:$B$15,Managers!$H$4:$H$15),$AH160))))</f>
        <v>1</v>
      </c>
      <c r="AJ160" s="12" t="str">
        <f t="shared" si="3"/>
        <v>Budget Drainer</v>
      </c>
      <c r="AK160" s="12">
        <f t="shared" si="4"/>
        <v>30</v>
      </c>
      <c r="AL160" s="12" t="str">
        <f t="shared" si="5"/>
        <v/>
      </c>
    </row>
    <row r="161" ht="15.75" customHeight="1">
      <c r="A161" s="10" t="s">
        <v>684</v>
      </c>
      <c r="B161" s="10" t="s">
        <v>685</v>
      </c>
      <c r="C161" s="10" t="s">
        <v>453</v>
      </c>
      <c r="D161" s="10" t="s">
        <v>118</v>
      </c>
      <c r="E161" s="10" t="s">
        <v>118</v>
      </c>
      <c r="F161" s="10" t="s">
        <v>114</v>
      </c>
      <c r="G161" s="10">
        <v>5.0</v>
      </c>
      <c r="H161" s="10">
        <v>7.0</v>
      </c>
      <c r="I161" s="10" t="s">
        <v>2140</v>
      </c>
      <c r="J161" s="10" t="s">
        <v>2136</v>
      </c>
      <c r="K161" s="10"/>
      <c r="L161" s="10">
        <v>194.25</v>
      </c>
      <c r="M161" s="10">
        <v>5.55</v>
      </c>
      <c r="N161" s="10"/>
      <c r="O161" s="10"/>
      <c r="P161" s="12">
        <f>IF($A161="","",IFERROR((IF($O161="",0,$O161)*Settings!$J$4+IF($L161="",0,$L161)*Settings!$J$5+IF($N161="",0,$N161)*Settings!$J$6)/(IF($O161="",0,Settings!$J$4)+IF($L161="",0,Settings!$J$5)+IF($N161="",0,Settings!$J$6)),0))</f>
        <v>194.25</v>
      </c>
      <c r="Q161" s="12">
        <f t="array" ref="Q161">IF($A161="","",XLOOKUP($E161,Settings!$A$19:$A$22,Settings!$G$19:$G$22,0))</f>
        <v>196.25</v>
      </c>
      <c r="R161" s="12">
        <f t="shared" si="1"/>
        <v>0</v>
      </c>
      <c r="S161" s="12">
        <f>IF($A161="","",IF($R161&lt;=0,1,1+$R161/SUMIF($R$4:$R$923,"&gt;0",$R$4:$R$923)*(Settings!$B$5*(Settings!$B$6-Settings!$B$7))))</f>
        <v>1</v>
      </c>
      <c r="T161" s="12">
        <f t="array" ref="T161">IF($A161="","",XLOOKUP($F161,Settings!$I$15:$I$20,Settings!$J$15:$J$20,1))</f>
        <v>0.9</v>
      </c>
      <c r="U161" s="12">
        <f>IF($A161="","",1+(($G161-5)/5)*Settings!$J$8)</f>
        <v>1</v>
      </c>
      <c r="V161" s="12">
        <f>IF($A161="","",1+(($H161-5)/5)*Settings!$J$9)</f>
        <v>1.06</v>
      </c>
      <c r="W161" s="12">
        <f t="array" ref="W161">IF($A161="","",XLOOKUP($J161,Lists!$C$3:$C$7,Lists!$D$3:$D$7,1))</f>
        <v>1</v>
      </c>
      <c r="X161" s="12">
        <f>IF($A161="","",IF($I161="Yes",Settings!$J$10,1))</f>
        <v>1</v>
      </c>
      <c r="Y161" s="12">
        <f t="shared" si="2"/>
        <v>1</v>
      </c>
      <c r="Z161" s="12">
        <f>IF($A161="","",IFERROR(ROUND(AVERAGEIFS('Historical Drafts'!$G$4:$G$300,'Historical Drafts'!$D$4:$D$300,$E161,'Historical Drafts'!$J$4:$J$300,"&gt;="&amp;$L161*0.85,'Historical Drafts'!$J$4:$J$300,"&lt;="&amp;$L161*1.15),0),$Y161))</f>
        <v>5</v>
      </c>
      <c r="AA161" s="12" t="str">
        <f>IF($A161="","",IF(COUNTIF('Auction Log'!$B$3:$B$300,$A161)&gt;0,"Sold","Available"))</f>
        <v>Available</v>
      </c>
      <c r="AB161" s="12" t="str">
        <f t="array" ref="AB161">IF($A161="","",IFERROR(XLOOKUP($A161,'Auction Log'!$B$3:$B$300,'Auction Log'!$G$3:$G$300,""),""))</f>
        <v/>
      </c>
      <c r="AC161" s="12" t="str">
        <f t="array" ref="AC161">IF($A161="","",IFERROR(XLOOKUP($A161,'Auction Log'!$B$3:$B$300,'Auction Log'!$F$3:$F$300,""),""))</f>
        <v/>
      </c>
      <c r="AD161" s="12">
        <f t="array" ref="AD161">IF($A161="","",ROUND($Y161*XLOOKUP($F161,Settings!$I$15:$I$20,Settings!$K$15:$K$20,0.4),0))</f>
        <v>0</v>
      </c>
      <c r="AE161" s="12">
        <f t="array" ref="AE161">IF($A161="","",ROUND($Y161*XLOOKUP($F161,Settings!$I$15:$I$20,Settings!$L$15:$L$20,0.8),0))</f>
        <v>1</v>
      </c>
      <c r="AF161" s="12">
        <f t="array" ref="AF161">IF($A161="","",ROUND($Y161*XLOOKUP($F161,Settings!$I$15:$I$20,Settings!$M$15:$M$20,1),0))</f>
        <v>1</v>
      </c>
      <c r="AG161" s="12">
        <f t="array" ref="AG161">IF($A161="","",ROUND($Y161*XLOOKUP($F161,Settings!$I$15:$I$20,Settings!$N$15:$N$20,1.1),0))</f>
        <v>1</v>
      </c>
      <c r="AH161" s="12">
        <f t="array" ref="AH161">IF($A161="","",ROUND($Y161*XLOOKUP($F161,Settings!$I$15:$I$20,Settings!$O$15:$O$20,1.1)*Settings!$J$7,0))</f>
        <v>1</v>
      </c>
      <c r="AI161" s="12">
        <f t="array" ref="AI161">IF($A161="","",IF($AA161="Sold","",MIN($AH161,IFERROR(XLOOKUP(Settings!$B$12,Managers!$B$4:$B$15,Managers!$H$4:$H$15),$AH161))))</f>
        <v>1</v>
      </c>
      <c r="AJ161" s="12" t="str">
        <f t="shared" si="3"/>
        <v>Budget Drainer</v>
      </c>
      <c r="AK161" s="12">
        <f t="shared" si="4"/>
        <v>30</v>
      </c>
      <c r="AL161" s="12" t="str">
        <f t="shared" si="5"/>
        <v/>
      </c>
    </row>
    <row r="162" ht="15.75" customHeight="1">
      <c r="A162" s="10" t="s">
        <v>686</v>
      </c>
      <c r="B162" s="10" t="s">
        <v>687</v>
      </c>
      <c r="C162" s="10" t="s">
        <v>243</v>
      </c>
      <c r="D162" s="10" t="s">
        <v>115</v>
      </c>
      <c r="E162" s="10" t="s">
        <v>115</v>
      </c>
      <c r="F162" s="10" t="s">
        <v>114</v>
      </c>
      <c r="G162" s="10">
        <v>5.0</v>
      </c>
      <c r="H162" s="10">
        <v>7.0</v>
      </c>
      <c r="I162" s="10" t="s">
        <v>2140</v>
      </c>
      <c r="J162" s="10" t="s">
        <v>2136</v>
      </c>
      <c r="K162" s="10"/>
      <c r="L162" s="10">
        <v>194.25</v>
      </c>
      <c r="M162" s="10">
        <v>6.27</v>
      </c>
      <c r="N162" s="10"/>
      <c r="O162" s="10"/>
      <c r="P162" s="12">
        <f>IF($A162="","",IFERROR((IF($O162="",0,$O162)*Settings!$J$4+IF($L162="",0,$L162)*Settings!$J$5+IF($N162="",0,$N162)*Settings!$J$6)/(IF($O162="",0,Settings!$J$4)+IF($L162="",0,Settings!$J$5)+IF($N162="",0,Settings!$J$6)),0))</f>
        <v>194.25</v>
      </c>
      <c r="Q162" s="12">
        <f t="array" ref="Q162">IF($A162="","",XLOOKUP($E162,Settings!$A$19:$A$22,Settings!$G$19:$G$22,0))</f>
        <v>249.25</v>
      </c>
      <c r="R162" s="12">
        <f t="shared" si="1"/>
        <v>0</v>
      </c>
      <c r="S162" s="12">
        <f>IF($A162="","",IF($R162&lt;=0,1,1+$R162/SUMIF($R$4:$R$923,"&gt;0",$R$4:$R$923)*(Settings!$B$5*(Settings!$B$6-Settings!$B$7))))</f>
        <v>1</v>
      </c>
      <c r="T162" s="12">
        <f t="array" ref="T162">IF($A162="","",XLOOKUP($F162,Settings!$I$15:$I$20,Settings!$J$15:$J$20,1))</f>
        <v>0.9</v>
      </c>
      <c r="U162" s="12">
        <f>IF($A162="","",1+(($G162-5)/5)*Settings!$J$8)</f>
        <v>1</v>
      </c>
      <c r="V162" s="12">
        <f>IF($A162="","",1+(($H162-5)/5)*Settings!$J$9)</f>
        <v>1.06</v>
      </c>
      <c r="W162" s="12">
        <f t="array" ref="W162">IF($A162="","",XLOOKUP($J162,Lists!$C$3:$C$7,Lists!$D$3:$D$7,1))</f>
        <v>1</v>
      </c>
      <c r="X162" s="12">
        <f>IF($A162="","",IF($I162="Yes",Settings!$J$10,1))</f>
        <v>1</v>
      </c>
      <c r="Y162" s="12">
        <f t="shared" si="2"/>
        <v>1</v>
      </c>
      <c r="Z162" s="12">
        <f>IF($A162="","",IFERROR(ROUND(AVERAGEIFS('Historical Drafts'!$G$4:$G$300,'Historical Drafts'!$D$4:$D$300,$E162,'Historical Drafts'!$J$4:$J$300,"&gt;="&amp;$L162*0.85,'Historical Drafts'!$J$4:$J$300,"&lt;="&amp;$L162*1.15),0),$Y162))</f>
        <v>2</v>
      </c>
      <c r="AA162" s="12" t="str">
        <f>IF($A162="","",IF(COUNTIF('Auction Log'!$B$3:$B$300,$A162)&gt;0,"Sold","Available"))</f>
        <v>Available</v>
      </c>
      <c r="AB162" s="12" t="str">
        <f t="array" ref="AB162">IF($A162="","",IFERROR(XLOOKUP($A162,'Auction Log'!$B$3:$B$300,'Auction Log'!$G$3:$G$300,""),""))</f>
        <v/>
      </c>
      <c r="AC162" s="12" t="str">
        <f t="array" ref="AC162">IF($A162="","",IFERROR(XLOOKUP($A162,'Auction Log'!$B$3:$B$300,'Auction Log'!$F$3:$F$300,""),""))</f>
        <v/>
      </c>
      <c r="AD162" s="12">
        <f t="array" ref="AD162">IF($A162="","",ROUND($Y162*XLOOKUP($F162,Settings!$I$15:$I$20,Settings!$K$15:$K$20,0.4),0))</f>
        <v>0</v>
      </c>
      <c r="AE162" s="12">
        <f t="array" ref="AE162">IF($A162="","",ROUND($Y162*XLOOKUP($F162,Settings!$I$15:$I$20,Settings!$L$15:$L$20,0.8),0))</f>
        <v>1</v>
      </c>
      <c r="AF162" s="12">
        <f t="array" ref="AF162">IF($A162="","",ROUND($Y162*XLOOKUP($F162,Settings!$I$15:$I$20,Settings!$M$15:$M$20,1),0))</f>
        <v>1</v>
      </c>
      <c r="AG162" s="12">
        <f t="array" ref="AG162">IF($A162="","",ROUND($Y162*XLOOKUP($F162,Settings!$I$15:$I$20,Settings!$N$15:$N$20,1.1),0))</f>
        <v>1</v>
      </c>
      <c r="AH162" s="12">
        <f t="array" ref="AH162">IF($A162="","",ROUND($Y162*XLOOKUP($F162,Settings!$I$15:$I$20,Settings!$O$15:$O$20,1.1)*Settings!$J$7,0))</f>
        <v>1</v>
      </c>
      <c r="AI162" s="12">
        <f t="array" ref="AI162">IF($A162="","",IF($AA162="Sold","",MIN($AH162,IFERROR(XLOOKUP(Settings!$B$12,Managers!$B$4:$B$15,Managers!$H$4:$H$15),$AH162))))</f>
        <v>1</v>
      </c>
      <c r="AJ162" s="12" t="str">
        <f t="shared" si="3"/>
        <v>Budget Drainer</v>
      </c>
      <c r="AK162" s="12">
        <f t="shared" si="4"/>
        <v>27</v>
      </c>
      <c r="AL162" s="12" t="str">
        <f t="shared" si="5"/>
        <v/>
      </c>
    </row>
    <row r="163" ht="15.75" customHeight="1">
      <c r="A163" s="10" t="s">
        <v>688</v>
      </c>
      <c r="B163" s="10" t="s">
        <v>689</v>
      </c>
      <c r="C163" s="10" t="s">
        <v>231</v>
      </c>
      <c r="D163" s="10" t="s">
        <v>121</v>
      </c>
      <c r="E163" s="10" t="s">
        <v>121</v>
      </c>
      <c r="F163" s="10" t="s">
        <v>114</v>
      </c>
      <c r="G163" s="10">
        <v>5.0</v>
      </c>
      <c r="H163" s="10">
        <v>7.0</v>
      </c>
      <c r="I163" s="10" t="s">
        <v>2140</v>
      </c>
      <c r="J163" s="10" t="s">
        <v>2136</v>
      </c>
      <c r="K163" s="10"/>
      <c r="L163" s="10">
        <v>193.0</v>
      </c>
      <c r="M163" s="10">
        <v>6.66</v>
      </c>
      <c r="N163" s="10"/>
      <c r="O163" s="10"/>
      <c r="P163" s="12">
        <f>IF($A163="","",IFERROR((IF($O163="",0,$O163)*Settings!$J$4+IF($L163="",0,$L163)*Settings!$J$5+IF($N163="",0,$N163)*Settings!$J$6)/(IF($O163="",0,Settings!$J$4)+IF($L163="",0,Settings!$J$5)+IF($N163="",0,Settings!$J$6)),0))</f>
        <v>193</v>
      </c>
      <c r="Q163" s="12">
        <f t="array" ref="Q163">IF($A163="","",XLOOKUP($E163,Settings!$A$19:$A$22,Settings!$G$19:$G$22,0))</f>
        <v>206</v>
      </c>
      <c r="R163" s="12">
        <f t="shared" si="1"/>
        <v>0</v>
      </c>
      <c r="S163" s="12">
        <f>IF($A163="","",IF($R163&lt;=0,1,1+$R163/SUMIF($R$4:$R$923,"&gt;0",$R$4:$R$923)*(Settings!$B$5*(Settings!$B$6-Settings!$B$7))))</f>
        <v>1</v>
      </c>
      <c r="T163" s="12">
        <f t="array" ref="T163">IF($A163="","",XLOOKUP($F163,Settings!$I$15:$I$20,Settings!$J$15:$J$20,1))</f>
        <v>0.9</v>
      </c>
      <c r="U163" s="12">
        <f>IF($A163="","",1+(($G163-5)/5)*Settings!$J$8)</f>
        <v>1</v>
      </c>
      <c r="V163" s="12">
        <f>IF($A163="","",1+(($H163-5)/5)*Settings!$J$9)</f>
        <v>1.06</v>
      </c>
      <c r="W163" s="12">
        <f t="array" ref="W163">IF($A163="","",XLOOKUP($J163,Lists!$C$3:$C$7,Lists!$D$3:$D$7,1))</f>
        <v>1</v>
      </c>
      <c r="X163" s="12">
        <f>IF($A163="","",IF($I163="Yes",Settings!$J$10,1))</f>
        <v>1</v>
      </c>
      <c r="Y163" s="12">
        <f t="shared" si="2"/>
        <v>1</v>
      </c>
      <c r="Z163" s="12">
        <f>IF($A163="","",IFERROR(ROUND(AVERAGEIFS('Historical Drafts'!$G$4:$G$300,'Historical Drafts'!$D$4:$D$300,$E163,'Historical Drafts'!$J$4:$J$300,"&gt;="&amp;$L163*0.85,'Historical Drafts'!$J$4:$J$300,"&lt;="&amp;$L163*1.15),0),$Y163))</f>
        <v>11</v>
      </c>
      <c r="AA163" s="12" t="str">
        <f>IF($A163="","",IF(COUNTIF('Auction Log'!$B$3:$B$300,$A163)&gt;0,"Sold","Available"))</f>
        <v>Available</v>
      </c>
      <c r="AB163" s="12" t="str">
        <f t="array" ref="AB163">IF($A163="","",IFERROR(XLOOKUP($A163,'Auction Log'!$B$3:$B$300,'Auction Log'!$G$3:$G$300,""),""))</f>
        <v/>
      </c>
      <c r="AC163" s="12" t="str">
        <f t="array" ref="AC163">IF($A163="","",IFERROR(XLOOKUP($A163,'Auction Log'!$B$3:$B$300,'Auction Log'!$F$3:$F$300,""),""))</f>
        <v/>
      </c>
      <c r="AD163" s="12">
        <f t="array" ref="AD163">IF($A163="","",ROUND($Y163*XLOOKUP($F163,Settings!$I$15:$I$20,Settings!$K$15:$K$20,0.4),0))</f>
        <v>0</v>
      </c>
      <c r="AE163" s="12">
        <f t="array" ref="AE163">IF($A163="","",ROUND($Y163*XLOOKUP($F163,Settings!$I$15:$I$20,Settings!$L$15:$L$20,0.8),0))</f>
        <v>1</v>
      </c>
      <c r="AF163" s="12">
        <f t="array" ref="AF163">IF($A163="","",ROUND($Y163*XLOOKUP($F163,Settings!$I$15:$I$20,Settings!$M$15:$M$20,1),0))</f>
        <v>1</v>
      </c>
      <c r="AG163" s="12">
        <f t="array" ref="AG163">IF($A163="","",ROUND($Y163*XLOOKUP($F163,Settings!$I$15:$I$20,Settings!$N$15:$N$20,1.1),0))</f>
        <v>1</v>
      </c>
      <c r="AH163" s="12">
        <f t="array" ref="AH163">IF($A163="","",ROUND($Y163*XLOOKUP($F163,Settings!$I$15:$I$20,Settings!$O$15:$O$20,1.1)*Settings!$J$7,0))</f>
        <v>1</v>
      </c>
      <c r="AI163" s="12">
        <f t="array" ref="AI163">IF($A163="","",IF($AA163="Sold","",MIN($AH163,IFERROR(XLOOKUP(Settings!$B$12,Managers!$B$4:$B$15,Managers!$H$4:$H$15),$AH163))))</f>
        <v>1</v>
      </c>
      <c r="AJ163" s="12" t="str">
        <f t="shared" si="3"/>
        <v>Budget Drainer</v>
      </c>
      <c r="AK163" s="12">
        <f t="shared" si="4"/>
        <v>36</v>
      </c>
      <c r="AL163" s="12" t="str">
        <f t="shared" si="5"/>
        <v/>
      </c>
    </row>
    <row r="164" ht="15.75" customHeight="1">
      <c r="A164" s="10" t="s">
        <v>481</v>
      </c>
      <c r="B164" s="10" t="s">
        <v>482</v>
      </c>
      <c r="C164" s="10" t="s">
        <v>226</v>
      </c>
      <c r="D164" s="10" t="s">
        <v>121</v>
      </c>
      <c r="E164" s="10" t="s">
        <v>121</v>
      </c>
      <c r="F164" s="10" t="s">
        <v>114</v>
      </c>
      <c r="G164" s="10">
        <v>5.0</v>
      </c>
      <c r="H164" s="10">
        <v>7.0</v>
      </c>
      <c r="I164" s="10" t="s">
        <v>2140</v>
      </c>
      <c r="J164" s="10" t="s">
        <v>2136</v>
      </c>
      <c r="K164" s="10"/>
      <c r="L164" s="10">
        <v>192.0</v>
      </c>
      <c r="M164" s="10">
        <v>5.82</v>
      </c>
      <c r="N164" s="10"/>
      <c r="O164" s="10"/>
      <c r="P164" s="12">
        <f>IF($A164="","",IFERROR((IF($O164="",0,$O164)*Settings!$J$4+IF($L164="",0,$L164)*Settings!$J$5+IF($N164="",0,$N164)*Settings!$J$6)/(IF($O164="",0,Settings!$J$4)+IF($L164="",0,Settings!$J$5)+IF($N164="",0,Settings!$J$6)),0))</f>
        <v>192</v>
      </c>
      <c r="Q164" s="12">
        <f t="array" ref="Q164">IF($A164="","",XLOOKUP($E164,Settings!$A$19:$A$22,Settings!$G$19:$G$22,0))</f>
        <v>206</v>
      </c>
      <c r="R164" s="12">
        <f t="shared" si="1"/>
        <v>0</v>
      </c>
      <c r="S164" s="12">
        <f>IF($A164="","",IF($R164&lt;=0,1,1+$R164/SUMIF($R$4:$R$923,"&gt;0",$R$4:$R$923)*(Settings!$B$5*(Settings!$B$6-Settings!$B$7))))</f>
        <v>1</v>
      </c>
      <c r="T164" s="12">
        <f t="array" ref="T164">IF($A164="","",XLOOKUP($F164,Settings!$I$15:$I$20,Settings!$J$15:$J$20,1))</f>
        <v>0.9</v>
      </c>
      <c r="U164" s="12">
        <f>IF($A164="","",1+(($G164-5)/5)*Settings!$J$8)</f>
        <v>1</v>
      </c>
      <c r="V164" s="12">
        <f>IF($A164="","",1+(($H164-5)/5)*Settings!$J$9)</f>
        <v>1.06</v>
      </c>
      <c r="W164" s="12">
        <f t="array" ref="W164">IF($A164="","",XLOOKUP($J164,Lists!$C$3:$C$7,Lists!$D$3:$D$7,1))</f>
        <v>1</v>
      </c>
      <c r="X164" s="12">
        <f>IF($A164="","",IF($I164="Yes",Settings!$J$10,1))</f>
        <v>1</v>
      </c>
      <c r="Y164" s="12">
        <f t="shared" si="2"/>
        <v>1</v>
      </c>
      <c r="Z164" s="12">
        <f>IF($A164="","",IFERROR(ROUND(AVERAGEIFS('Historical Drafts'!$G$4:$G$300,'Historical Drafts'!$D$4:$D$300,$E164,'Historical Drafts'!$J$4:$J$300,"&gt;="&amp;$L164*0.85,'Historical Drafts'!$J$4:$J$300,"&lt;="&amp;$L164*1.15),0),$Y164))</f>
        <v>10</v>
      </c>
      <c r="AA164" s="12" t="str">
        <f>IF($A164="","",IF(COUNTIF('Auction Log'!$B$3:$B$300,$A164)&gt;0,"Sold","Available"))</f>
        <v>Available</v>
      </c>
      <c r="AB164" s="12" t="str">
        <f t="array" ref="AB164">IF($A164="","",IFERROR(XLOOKUP($A164,'Auction Log'!$B$3:$B$300,'Auction Log'!$G$3:$G$300,""),""))</f>
        <v/>
      </c>
      <c r="AC164" s="12" t="str">
        <f t="array" ref="AC164">IF($A164="","",IFERROR(XLOOKUP($A164,'Auction Log'!$B$3:$B$300,'Auction Log'!$F$3:$F$300,""),""))</f>
        <v/>
      </c>
      <c r="AD164" s="12">
        <f t="array" ref="AD164">IF($A164="","",ROUND($Y164*XLOOKUP($F164,Settings!$I$15:$I$20,Settings!$K$15:$K$20,0.4),0))</f>
        <v>0</v>
      </c>
      <c r="AE164" s="12">
        <f t="array" ref="AE164">IF($A164="","",ROUND($Y164*XLOOKUP($F164,Settings!$I$15:$I$20,Settings!$L$15:$L$20,0.8),0))</f>
        <v>1</v>
      </c>
      <c r="AF164" s="12">
        <f t="array" ref="AF164">IF($A164="","",ROUND($Y164*XLOOKUP($F164,Settings!$I$15:$I$20,Settings!$M$15:$M$20,1),0))</f>
        <v>1</v>
      </c>
      <c r="AG164" s="12">
        <f t="array" ref="AG164">IF($A164="","",ROUND($Y164*XLOOKUP($F164,Settings!$I$15:$I$20,Settings!$N$15:$N$20,1.1),0))</f>
        <v>1</v>
      </c>
      <c r="AH164" s="12">
        <f t="array" ref="AH164">IF($A164="","",ROUND($Y164*XLOOKUP($F164,Settings!$I$15:$I$20,Settings!$O$15:$O$20,1.1)*Settings!$J$7,0))</f>
        <v>1</v>
      </c>
      <c r="AI164" s="12">
        <f t="array" ref="AI164">IF($A164="","",IF($AA164="Sold","",MIN($AH164,IFERROR(XLOOKUP(Settings!$B$12,Managers!$B$4:$B$15,Managers!$H$4:$H$15),$AH164))))</f>
        <v>1</v>
      </c>
      <c r="AJ164" s="12" t="str">
        <f t="shared" si="3"/>
        <v>Budget Drainer</v>
      </c>
      <c r="AK164" s="12">
        <f t="shared" si="4"/>
        <v>35</v>
      </c>
      <c r="AL164" s="12" t="str">
        <f t="shared" si="5"/>
        <v/>
      </c>
    </row>
    <row r="165" ht="15.75" customHeight="1">
      <c r="A165" s="10" t="s">
        <v>204</v>
      </c>
      <c r="B165" s="10" t="s">
        <v>205</v>
      </c>
      <c r="C165" s="10" t="s">
        <v>191</v>
      </c>
      <c r="D165" s="10" t="s">
        <v>121</v>
      </c>
      <c r="E165" s="10" t="s">
        <v>121</v>
      </c>
      <c r="F165" s="10" t="s">
        <v>114</v>
      </c>
      <c r="G165" s="10">
        <v>5.0</v>
      </c>
      <c r="H165" s="10">
        <v>7.0</v>
      </c>
      <c r="I165" s="10" t="s">
        <v>2140</v>
      </c>
      <c r="J165" s="10" t="s">
        <v>2136</v>
      </c>
      <c r="K165" s="10"/>
      <c r="L165" s="10">
        <v>192.0</v>
      </c>
      <c r="M165" s="10">
        <v>8.0</v>
      </c>
      <c r="N165" s="10"/>
      <c r="O165" s="10"/>
      <c r="P165" s="12">
        <f>IF($A165="","",IFERROR((IF($O165="",0,$O165)*Settings!$J$4+IF($L165="",0,$L165)*Settings!$J$5+IF($N165="",0,$N165)*Settings!$J$6)/(IF($O165="",0,Settings!$J$4)+IF($L165="",0,Settings!$J$5)+IF($N165="",0,Settings!$J$6)),0))</f>
        <v>192</v>
      </c>
      <c r="Q165" s="12">
        <f t="array" ref="Q165">IF($A165="","",XLOOKUP($E165,Settings!$A$19:$A$22,Settings!$G$19:$G$22,0))</f>
        <v>206</v>
      </c>
      <c r="R165" s="12">
        <f t="shared" si="1"/>
        <v>0</v>
      </c>
      <c r="S165" s="12">
        <f>IF($A165="","",IF($R165&lt;=0,1,1+$R165/SUMIF($R$4:$R$923,"&gt;0",$R$4:$R$923)*(Settings!$B$5*(Settings!$B$6-Settings!$B$7))))</f>
        <v>1</v>
      </c>
      <c r="T165" s="12">
        <f t="array" ref="T165">IF($A165="","",XLOOKUP($F165,Settings!$I$15:$I$20,Settings!$J$15:$J$20,1))</f>
        <v>0.9</v>
      </c>
      <c r="U165" s="12">
        <f>IF($A165="","",1+(($G165-5)/5)*Settings!$J$8)</f>
        <v>1</v>
      </c>
      <c r="V165" s="12">
        <f>IF($A165="","",1+(($H165-5)/5)*Settings!$J$9)</f>
        <v>1.06</v>
      </c>
      <c r="W165" s="12">
        <f t="array" ref="W165">IF($A165="","",XLOOKUP($J165,Lists!$C$3:$C$7,Lists!$D$3:$D$7,1))</f>
        <v>1</v>
      </c>
      <c r="X165" s="12">
        <f>IF($A165="","",IF($I165="Yes",Settings!$J$10,1))</f>
        <v>1</v>
      </c>
      <c r="Y165" s="12">
        <f t="shared" si="2"/>
        <v>1</v>
      </c>
      <c r="Z165" s="12">
        <f>IF($A165="","",IFERROR(ROUND(AVERAGEIFS('Historical Drafts'!$G$4:$G$300,'Historical Drafts'!$D$4:$D$300,$E165,'Historical Drafts'!$J$4:$J$300,"&gt;="&amp;$L165*0.85,'Historical Drafts'!$J$4:$J$300,"&lt;="&amp;$L165*1.15),0),$Y165))</f>
        <v>10</v>
      </c>
      <c r="AA165" s="12" t="str">
        <f>IF($A165="","",IF(COUNTIF('Auction Log'!$B$3:$B$300,$A165)&gt;0,"Sold","Available"))</f>
        <v>Available</v>
      </c>
      <c r="AB165" s="12" t="str">
        <f t="array" ref="AB165">IF($A165="","",IFERROR(XLOOKUP($A165,'Auction Log'!$B$3:$B$300,'Auction Log'!$G$3:$G$300,""),""))</f>
        <v/>
      </c>
      <c r="AC165" s="12" t="str">
        <f t="array" ref="AC165">IF($A165="","",IFERROR(XLOOKUP($A165,'Auction Log'!$B$3:$B$300,'Auction Log'!$F$3:$F$300,""),""))</f>
        <v/>
      </c>
      <c r="AD165" s="12">
        <f t="array" ref="AD165">IF($A165="","",ROUND($Y165*XLOOKUP($F165,Settings!$I$15:$I$20,Settings!$K$15:$K$20,0.4),0))</f>
        <v>0</v>
      </c>
      <c r="AE165" s="12">
        <f t="array" ref="AE165">IF($A165="","",ROUND($Y165*XLOOKUP($F165,Settings!$I$15:$I$20,Settings!$L$15:$L$20,0.8),0))</f>
        <v>1</v>
      </c>
      <c r="AF165" s="12">
        <f t="array" ref="AF165">IF($A165="","",ROUND($Y165*XLOOKUP($F165,Settings!$I$15:$I$20,Settings!$M$15:$M$20,1),0))</f>
        <v>1</v>
      </c>
      <c r="AG165" s="12">
        <f t="array" ref="AG165">IF($A165="","",ROUND($Y165*XLOOKUP($F165,Settings!$I$15:$I$20,Settings!$N$15:$N$20,1.1),0))</f>
        <v>1</v>
      </c>
      <c r="AH165" s="12">
        <f t="array" ref="AH165">IF($A165="","",ROUND($Y165*XLOOKUP($F165,Settings!$I$15:$I$20,Settings!$O$15:$O$20,1.1)*Settings!$J$7,0))</f>
        <v>1</v>
      </c>
      <c r="AI165" s="12">
        <f t="array" ref="AI165">IF($A165="","",IF($AA165="Sold","",MIN($AH165,IFERROR(XLOOKUP(Settings!$B$12,Managers!$B$4:$B$15,Managers!$H$4:$H$15),$AH165))))</f>
        <v>1</v>
      </c>
      <c r="AJ165" s="12" t="str">
        <f t="shared" si="3"/>
        <v>Budget Drainer</v>
      </c>
      <c r="AK165" s="12">
        <f t="shared" si="4"/>
        <v>35</v>
      </c>
      <c r="AL165" s="12" t="str">
        <f t="shared" si="5"/>
        <v/>
      </c>
    </row>
    <row r="166" ht="15.75" customHeight="1">
      <c r="A166" s="10" t="s">
        <v>690</v>
      </c>
      <c r="B166" s="10" t="s">
        <v>691</v>
      </c>
      <c r="C166" s="10" t="s">
        <v>453</v>
      </c>
      <c r="D166" s="10" t="s">
        <v>118</v>
      </c>
      <c r="E166" s="10" t="s">
        <v>118</v>
      </c>
      <c r="F166" s="10" t="s">
        <v>114</v>
      </c>
      <c r="G166" s="10">
        <v>5.0</v>
      </c>
      <c r="H166" s="10">
        <v>7.0</v>
      </c>
      <c r="I166" s="10" t="s">
        <v>2140</v>
      </c>
      <c r="J166" s="10" t="s">
        <v>2136</v>
      </c>
      <c r="K166" s="10"/>
      <c r="L166" s="10">
        <v>191.5</v>
      </c>
      <c r="M166" s="10">
        <v>5.98</v>
      </c>
      <c r="N166" s="10"/>
      <c r="O166" s="10"/>
      <c r="P166" s="12">
        <f>IF($A166="","",IFERROR((IF($O166="",0,$O166)*Settings!$J$4+IF($L166="",0,$L166)*Settings!$J$5+IF($N166="",0,$N166)*Settings!$J$6)/(IF($O166="",0,Settings!$J$4)+IF($L166="",0,Settings!$J$5)+IF($N166="",0,Settings!$J$6)),0))</f>
        <v>191.5</v>
      </c>
      <c r="Q166" s="12">
        <f t="array" ref="Q166">IF($A166="","",XLOOKUP($E166,Settings!$A$19:$A$22,Settings!$G$19:$G$22,0))</f>
        <v>196.25</v>
      </c>
      <c r="R166" s="12">
        <f t="shared" si="1"/>
        <v>0</v>
      </c>
      <c r="S166" s="12">
        <f>IF($A166="","",IF($R166&lt;=0,1,1+$R166/SUMIF($R$4:$R$923,"&gt;0",$R$4:$R$923)*(Settings!$B$5*(Settings!$B$6-Settings!$B$7))))</f>
        <v>1</v>
      </c>
      <c r="T166" s="12">
        <f t="array" ref="T166">IF($A166="","",XLOOKUP($F166,Settings!$I$15:$I$20,Settings!$J$15:$J$20,1))</f>
        <v>0.9</v>
      </c>
      <c r="U166" s="12">
        <f>IF($A166="","",1+(($G166-5)/5)*Settings!$J$8)</f>
        <v>1</v>
      </c>
      <c r="V166" s="12">
        <f>IF($A166="","",1+(($H166-5)/5)*Settings!$J$9)</f>
        <v>1.06</v>
      </c>
      <c r="W166" s="12">
        <f t="array" ref="W166">IF($A166="","",XLOOKUP($J166,Lists!$C$3:$C$7,Lists!$D$3:$D$7,1))</f>
        <v>1</v>
      </c>
      <c r="X166" s="12">
        <f>IF($A166="","",IF($I166="Yes",Settings!$J$10,1))</f>
        <v>1</v>
      </c>
      <c r="Y166" s="12">
        <f t="shared" si="2"/>
        <v>1</v>
      </c>
      <c r="Z166" s="12">
        <f>IF($A166="","",IFERROR(ROUND(AVERAGEIFS('Historical Drafts'!$G$4:$G$300,'Historical Drafts'!$D$4:$D$300,$E166,'Historical Drafts'!$J$4:$J$300,"&gt;="&amp;$L166*0.85,'Historical Drafts'!$J$4:$J$300,"&lt;="&amp;$L166*1.15),0),$Y166))</f>
        <v>5</v>
      </c>
      <c r="AA166" s="12" t="str">
        <f>IF($A166="","",IF(COUNTIF('Auction Log'!$B$3:$B$300,$A166)&gt;0,"Sold","Available"))</f>
        <v>Available</v>
      </c>
      <c r="AB166" s="12" t="str">
        <f t="array" ref="AB166">IF($A166="","",IFERROR(XLOOKUP($A166,'Auction Log'!$B$3:$B$300,'Auction Log'!$G$3:$G$300,""),""))</f>
        <v/>
      </c>
      <c r="AC166" s="12" t="str">
        <f t="array" ref="AC166">IF($A166="","",IFERROR(XLOOKUP($A166,'Auction Log'!$B$3:$B$300,'Auction Log'!$F$3:$F$300,""),""))</f>
        <v/>
      </c>
      <c r="AD166" s="12">
        <f t="array" ref="AD166">IF($A166="","",ROUND($Y166*XLOOKUP($F166,Settings!$I$15:$I$20,Settings!$K$15:$K$20,0.4),0))</f>
        <v>0</v>
      </c>
      <c r="AE166" s="12">
        <f t="array" ref="AE166">IF($A166="","",ROUND($Y166*XLOOKUP($F166,Settings!$I$15:$I$20,Settings!$L$15:$L$20,0.8),0))</f>
        <v>1</v>
      </c>
      <c r="AF166" s="12">
        <f t="array" ref="AF166">IF($A166="","",ROUND($Y166*XLOOKUP($F166,Settings!$I$15:$I$20,Settings!$M$15:$M$20,1),0))</f>
        <v>1</v>
      </c>
      <c r="AG166" s="12">
        <f t="array" ref="AG166">IF($A166="","",ROUND($Y166*XLOOKUP($F166,Settings!$I$15:$I$20,Settings!$N$15:$N$20,1.1),0))</f>
        <v>1</v>
      </c>
      <c r="AH166" s="12">
        <f t="array" ref="AH166">IF($A166="","",ROUND($Y166*XLOOKUP($F166,Settings!$I$15:$I$20,Settings!$O$15:$O$20,1.1)*Settings!$J$7,0))</f>
        <v>1</v>
      </c>
      <c r="AI166" s="12">
        <f t="array" ref="AI166">IF($A166="","",IF($AA166="Sold","",MIN($AH166,IFERROR(XLOOKUP(Settings!$B$12,Managers!$B$4:$B$15,Managers!$H$4:$H$15),$AH166))))</f>
        <v>1</v>
      </c>
      <c r="AJ166" s="12" t="str">
        <f t="shared" si="3"/>
        <v>Budget Drainer</v>
      </c>
      <c r="AK166" s="12">
        <f t="shared" si="4"/>
        <v>30</v>
      </c>
      <c r="AL166" s="12" t="str">
        <f t="shared" si="5"/>
        <v/>
      </c>
    </row>
    <row r="167" ht="15.75" customHeight="1">
      <c r="A167" s="10" t="s">
        <v>288</v>
      </c>
      <c r="B167" s="10" t="s">
        <v>289</v>
      </c>
      <c r="C167" s="10" t="s">
        <v>226</v>
      </c>
      <c r="D167" s="10" t="s">
        <v>118</v>
      </c>
      <c r="E167" s="10" t="s">
        <v>118</v>
      </c>
      <c r="F167" s="10" t="s">
        <v>114</v>
      </c>
      <c r="G167" s="10">
        <v>5.0</v>
      </c>
      <c r="H167" s="10">
        <v>7.0</v>
      </c>
      <c r="I167" s="10" t="s">
        <v>2140</v>
      </c>
      <c r="J167" s="10" t="s">
        <v>2136</v>
      </c>
      <c r="K167" s="10"/>
      <c r="L167" s="10">
        <v>191.0</v>
      </c>
      <c r="M167" s="10">
        <v>6.37</v>
      </c>
      <c r="N167" s="10"/>
      <c r="O167" s="10"/>
      <c r="P167" s="12">
        <f>IF($A167="","",IFERROR((IF($O167="",0,$O167)*Settings!$J$4+IF($L167="",0,$L167)*Settings!$J$5+IF($N167="",0,$N167)*Settings!$J$6)/(IF($O167="",0,Settings!$J$4)+IF($L167="",0,Settings!$J$5)+IF($N167="",0,Settings!$J$6)),0))</f>
        <v>191</v>
      </c>
      <c r="Q167" s="12">
        <f t="array" ref="Q167">IF($A167="","",XLOOKUP($E167,Settings!$A$19:$A$22,Settings!$G$19:$G$22,0))</f>
        <v>196.25</v>
      </c>
      <c r="R167" s="12">
        <f t="shared" si="1"/>
        <v>0</v>
      </c>
      <c r="S167" s="12">
        <f>IF($A167="","",IF($R167&lt;=0,1,1+$R167/SUMIF($R$4:$R$923,"&gt;0",$R$4:$R$923)*(Settings!$B$5*(Settings!$B$6-Settings!$B$7))))</f>
        <v>1</v>
      </c>
      <c r="T167" s="12">
        <f t="array" ref="T167">IF($A167="","",XLOOKUP($F167,Settings!$I$15:$I$20,Settings!$J$15:$J$20,1))</f>
        <v>0.9</v>
      </c>
      <c r="U167" s="12">
        <f>IF($A167="","",1+(($G167-5)/5)*Settings!$J$8)</f>
        <v>1</v>
      </c>
      <c r="V167" s="12">
        <f>IF($A167="","",1+(($H167-5)/5)*Settings!$J$9)</f>
        <v>1.06</v>
      </c>
      <c r="W167" s="12">
        <f t="array" ref="W167">IF($A167="","",XLOOKUP($J167,Lists!$C$3:$C$7,Lists!$D$3:$D$7,1))</f>
        <v>1</v>
      </c>
      <c r="X167" s="12">
        <f>IF($A167="","",IF($I167="Yes",Settings!$J$10,1))</f>
        <v>1</v>
      </c>
      <c r="Y167" s="12">
        <f t="shared" si="2"/>
        <v>1</v>
      </c>
      <c r="Z167" s="12">
        <f>IF($A167="","",IFERROR(ROUND(AVERAGEIFS('Historical Drafts'!$G$4:$G$300,'Historical Drafts'!$D$4:$D$300,$E167,'Historical Drafts'!$J$4:$J$300,"&gt;="&amp;$L167*0.85,'Historical Drafts'!$J$4:$J$300,"&lt;="&amp;$L167*1.15),0),$Y167))</f>
        <v>5</v>
      </c>
      <c r="AA167" s="12" t="str">
        <f>IF($A167="","",IF(COUNTIF('Auction Log'!$B$3:$B$300,$A167)&gt;0,"Sold","Available"))</f>
        <v>Available</v>
      </c>
      <c r="AB167" s="12" t="str">
        <f t="array" ref="AB167">IF($A167="","",IFERROR(XLOOKUP($A167,'Auction Log'!$B$3:$B$300,'Auction Log'!$G$3:$G$300,""),""))</f>
        <v/>
      </c>
      <c r="AC167" s="12" t="str">
        <f t="array" ref="AC167">IF($A167="","",IFERROR(XLOOKUP($A167,'Auction Log'!$B$3:$B$300,'Auction Log'!$F$3:$F$300,""),""))</f>
        <v/>
      </c>
      <c r="AD167" s="12">
        <f t="array" ref="AD167">IF($A167="","",ROUND($Y167*XLOOKUP($F167,Settings!$I$15:$I$20,Settings!$K$15:$K$20,0.4),0))</f>
        <v>0</v>
      </c>
      <c r="AE167" s="12">
        <f t="array" ref="AE167">IF($A167="","",ROUND($Y167*XLOOKUP($F167,Settings!$I$15:$I$20,Settings!$L$15:$L$20,0.8),0))</f>
        <v>1</v>
      </c>
      <c r="AF167" s="12">
        <f t="array" ref="AF167">IF($A167="","",ROUND($Y167*XLOOKUP($F167,Settings!$I$15:$I$20,Settings!$M$15:$M$20,1),0))</f>
        <v>1</v>
      </c>
      <c r="AG167" s="12">
        <f t="array" ref="AG167">IF($A167="","",ROUND($Y167*XLOOKUP($F167,Settings!$I$15:$I$20,Settings!$N$15:$N$20,1.1),0))</f>
        <v>1</v>
      </c>
      <c r="AH167" s="12">
        <f t="array" ref="AH167">IF($A167="","",ROUND($Y167*XLOOKUP($F167,Settings!$I$15:$I$20,Settings!$O$15:$O$20,1.1)*Settings!$J$7,0))</f>
        <v>1</v>
      </c>
      <c r="AI167" s="12">
        <f t="array" ref="AI167">IF($A167="","",IF($AA167="Sold","",MIN($AH167,IFERROR(XLOOKUP(Settings!$B$12,Managers!$B$4:$B$15,Managers!$H$4:$H$15),$AH167))))</f>
        <v>1</v>
      </c>
      <c r="AJ167" s="12" t="str">
        <f t="shared" si="3"/>
        <v>Budget Drainer</v>
      </c>
      <c r="AK167" s="12">
        <f t="shared" si="4"/>
        <v>30</v>
      </c>
      <c r="AL167" s="12" t="str">
        <f t="shared" si="5"/>
        <v/>
      </c>
    </row>
    <row r="168" ht="15.75" customHeight="1">
      <c r="A168" s="10" t="s">
        <v>692</v>
      </c>
      <c r="B168" s="10" t="s">
        <v>693</v>
      </c>
      <c r="C168" s="10" t="s">
        <v>188</v>
      </c>
      <c r="D168" s="10" t="s">
        <v>118</v>
      </c>
      <c r="E168" s="10" t="s">
        <v>118</v>
      </c>
      <c r="F168" s="10" t="s">
        <v>114</v>
      </c>
      <c r="G168" s="10">
        <v>5.0</v>
      </c>
      <c r="H168" s="10">
        <v>7.0</v>
      </c>
      <c r="I168" s="10" t="s">
        <v>2140</v>
      </c>
      <c r="J168" s="10" t="s">
        <v>2136</v>
      </c>
      <c r="K168" s="10"/>
      <c r="L168" s="10">
        <v>189.75</v>
      </c>
      <c r="M168" s="10">
        <v>5.58</v>
      </c>
      <c r="N168" s="10"/>
      <c r="O168" s="10"/>
      <c r="P168" s="12">
        <f>IF($A168="","",IFERROR((IF($O168="",0,$O168)*Settings!$J$4+IF($L168="",0,$L168)*Settings!$J$5+IF($N168="",0,$N168)*Settings!$J$6)/(IF($O168="",0,Settings!$J$4)+IF($L168="",0,Settings!$J$5)+IF($N168="",0,Settings!$J$6)),0))</f>
        <v>189.75</v>
      </c>
      <c r="Q168" s="12">
        <f t="array" ref="Q168">IF($A168="","",XLOOKUP($E168,Settings!$A$19:$A$22,Settings!$G$19:$G$22,0))</f>
        <v>196.25</v>
      </c>
      <c r="R168" s="12">
        <f t="shared" si="1"/>
        <v>0</v>
      </c>
      <c r="S168" s="12">
        <f>IF($A168="","",IF($R168&lt;=0,1,1+$R168/SUMIF($R$4:$R$923,"&gt;0",$R$4:$R$923)*(Settings!$B$5*(Settings!$B$6-Settings!$B$7))))</f>
        <v>1</v>
      </c>
      <c r="T168" s="12">
        <f t="array" ref="T168">IF($A168="","",XLOOKUP($F168,Settings!$I$15:$I$20,Settings!$J$15:$J$20,1))</f>
        <v>0.9</v>
      </c>
      <c r="U168" s="12">
        <f>IF($A168="","",1+(($G168-5)/5)*Settings!$J$8)</f>
        <v>1</v>
      </c>
      <c r="V168" s="12">
        <f>IF($A168="","",1+(($H168-5)/5)*Settings!$J$9)</f>
        <v>1.06</v>
      </c>
      <c r="W168" s="12">
        <f t="array" ref="W168">IF($A168="","",XLOOKUP($J168,Lists!$C$3:$C$7,Lists!$D$3:$D$7,1))</f>
        <v>1</v>
      </c>
      <c r="X168" s="12">
        <f>IF($A168="","",IF($I168="Yes",Settings!$J$10,1))</f>
        <v>1</v>
      </c>
      <c r="Y168" s="12">
        <f t="shared" si="2"/>
        <v>1</v>
      </c>
      <c r="Z168" s="12">
        <f>IF($A168="","",IFERROR(ROUND(AVERAGEIFS('Historical Drafts'!$G$4:$G$300,'Historical Drafts'!$D$4:$D$300,$E168,'Historical Drafts'!$J$4:$J$300,"&gt;="&amp;$L168*0.85,'Historical Drafts'!$J$4:$J$300,"&lt;="&amp;$L168*1.15),0),$Y168))</f>
        <v>5</v>
      </c>
      <c r="AA168" s="12" t="str">
        <f>IF($A168="","",IF(COUNTIF('Auction Log'!$B$3:$B$300,$A168)&gt;0,"Sold","Available"))</f>
        <v>Available</v>
      </c>
      <c r="AB168" s="12" t="str">
        <f t="array" ref="AB168">IF($A168="","",IFERROR(XLOOKUP($A168,'Auction Log'!$B$3:$B$300,'Auction Log'!$G$3:$G$300,""),""))</f>
        <v/>
      </c>
      <c r="AC168" s="12" t="str">
        <f t="array" ref="AC168">IF($A168="","",IFERROR(XLOOKUP($A168,'Auction Log'!$B$3:$B$300,'Auction Log'!$F$3:$F$300,""),""))</f>
        <v/>
      </c>
      <c r="AD168" s="12">
        <f t="array" ref="AD168">IF($A168="","",ROUND($Y168*XLOOKUP($F168,Settings!$I$15:$I$20,Settings!$K$15:$K$20,0.4),0))</f>
        <v>0</v>
      </c>
      <c r="AE168" s="12">
        <f t="array" ref="AE168">IF($A168="","",ROUND($Y168*XLOOKUP($F168,Settings!$I$15:$I$20,Settings!$L$15:$L$20,0.8),0))</f>
        <v>1</v>
      </c>
      <c r="AF168" s="12">
        <f t="array" ref="AF168">IF($A168="","",ROUND($Y168*XLOOKUP($F168,Settings!$I$15:$I$20,Settings!$M$15:$M$20,1),0))</f>
        <v>1</v>
      </c>
      <c r="AG168" s="12">
        <f t="array" ref="AG168">IF($A168="","",ROUND($Y168*XLOOKUP($F168,Settings!$I$15:$I$20,Settings!$N$15:$N$20,1.1),0))</f>
        <v>1</v>
      </c>
      <c r="AH168" s="12">
        <f t="array" ref="AH168">IF($A168="","",ROUND($Y168*XLOOKUP($F168,Settings!$I$15:$I$20,Settings!$O$15:$O$20,1.1)*Settings!$J$7,0))</f>
        <v>1</v>
      </c>
      <c r="AI168" s="12">
        <f t="array" ref="AI168">IF($A168="","",IF($AA168="Sold","",MIN($AH168,IFERROR(XLOOKUP(Settings!$B$12,Managers!$B$4:$B$15,Managers!$H$4:$H$15),$AH168))))</f>
        <v>1</v>
      </c>
      <c r="AJ168" s="12" t="str">
        <f t="shared" si="3"/>
        <v>Budget Drainer</v>
      </c>
      <c r="AK168" s="12">
        <f t="shared" si="4"/>
        <v>30</v>
      </c>
      <c r="AL168" s="12" t="str">
        <f t="shared" si="5"/>
        <v/>
      </c>
    </row>
    <row r="169" ht="15.75" customHeight="1">
      <c r="A169" s="10" t="s">
        <v>694</v>
      </c>
      <c r="B169" s="10" t="s">
        <v>695</v>
      </c>
      <c r="C169" s="10" t="s">
        <v>226</v>
      </c>
      <c r="D169" s="10" t="s">
        <v>118</v>
      </c>
      <c r="E169" s="10" t="s">
        <v>118</v>
      </c>
      <c r="F169" s="10" t="s">
        <v>114</v>
      </c>
      <c r="G169" s="10">
        <v>5.0</v>
      </c>
      <c r="H169" s="10">
        <v>7.0</v>
      </c>
      <c r="I169" s="10" t="s">
        <v>2140</v>
      </c>
      <c r="J169" s="10" t="s">
        <v>2136</v>
      </c>
      <c r="K169" s="10"/>
      <c r="L169" s="10">
        <v>187.5</v>
      </c>
      <c r="M169" s="10">
        <v>7.5</v>
      </c>
      <c r="N169" s="10"/>
      <c r="O169" s="10"/>
      <c r="P169" s="12">
        <f>IF($A169="","",IFERROR((IF($O169="",0,$O169)*Settings!$J$4+IF($L169="",0,$L169)*Settings!$J$5+IF($N169="",0,$N169)*Settings!$J$6)/(IF($O169="",0,Settings!$J$4)+IF($L169="",0,Settings!$J$5)+IF($N169="",0,Settings!$J$6)),0))</f>
        <v>187.5</v>
      </c>
      <c r="Q169" s="12">
        <f t="array" ref="Q169">IF($A169="","",XLOOKUP($E169,Settings!$A$19:$A$22,Settings!$G$19:$G$22,0))</f>
        <v>196.25</v>
      </c>
      <c r="R169" s="12">
        <f t="shared" si="1"/>
        <v>0</v>
      </c>
      <c r="S169" s="12">
        <f>IF($A169="","",IF($R169&lt;=0,1,1+$R169/SUMIF($R$4:$R$923,"&gt;0",$R$4:$R$923)*(Settings!$B$5*(Settings!$B$6-Settings!$B$7))))</f>
        <v>1</v>
      </c>
      <c r="T169" s="12">
        <f t="array" ref="T169">IF($A169="","",XLOOKUP($F169,Settings!$I$15:$I$20,Settings!$J$15:$J$20,1))</f>
        <v>0.9</v>
      </c>
      <c r="U169" s="12">
        <f>IF($A169="","",1+(($G169-5)/5)*Settings!$J$8)</f>
        <v>1</v>
      </c>
      <c r="V169" s="12">
        <f>IF($A169="","",1+(($H169-5)/5)*Settings!$J$9)</f>
        <v>1.06</v>
      </c>
      <c r="W169" s="12">
        <f t="array" ref="W169">IF($A169="","",XLOOKUP($J169,Lists!$C$3:$C$7,Lists!$D$3:$D$7,1))</f>
        <v>1</v>
      </c>
      <c r="X169" s="12">
        <f>IF($A169="","",IF($I169="Yes",Settings!$J$10,1))</f>
        <v>1</v>
      </c>
      <c r="Y169" s="12">
        <f t="shared" si="2"/>
        <v>1</v>
      </c>
      <c r="Z169" s="12">
        <f>IF($A169="","",IFERROR(ROUND(AVERAGEIFS('Historical Drafts'!$G$4:$G$300,'Historical Drafts'!$D$4:$D$300,$E169,'Historical Drafts'!$J$4:$J$300,"&gt;="&amp;$L169*0.85,'Historical Drafts'!$J$4:$J$300,"&lt;="&amp;$L169*1.15),0),$Y169))</f>
        <v>5</v>
      </c>
      <c r="AA169" s="12" t="str">
        <f>IF($A169="","",IF(COUNTIF('Auction Log'!$B$3:$B$300,$A169)&gt;0,"Sold","Available"))</f>
        <v>Available</v>
      </c>
      <c r="AB169" s="12" t="str">
        <f t="array" ref="AB169">IF($A169="","",IFERROR(XLOOKUP($A169,'Auction Log'!$B$3:$B$300,'Auction Log'!$G$3:$G$300,""),""))</f>
        <v/>
      </c>
      <c r="AC169" s="12" t="str">
        <f t="array" ref="AC169">IF($A169="","",IFERROR(XLOOKUP($A169,'Auction Log'!$B$3:$B$300,'Auction Log'!$F$3:$F$300,""),""))</f>
        <v/>
      </c>
      <c r="AD169" s="12">
        <f t="array" ref="AD169">IF($A169="","",ROUND($Y169*XLOOKUP($F169,Settings!$I$15:$I$20,Settings!$K$15:$K$20,0.4),0))</f>
        <v>0</v>
      </c>
      <c r="AE169" s="12">
        <f t="array" ref="AE169">IF($A169="","",ROUND($Y169*XLOOKUP($F169,Settings!$I$15:$I$20,Settings!$L$15:$L$20,0.8),0))</f>
        <v>1</v>
      </c>
      <c r="AF169" s="12">
        <f t="array" ref="AF169">IF($A169="","",ROUND($Y169*XLOOKUP($F169,Settings!$I$15:$I$20,Settings!$M$15:$M$20,1),0))</f>
        <v>1</v>
      </c>
      <c r="AG169" s="12">
        <f t="array" ref="AG169">IF($A169="","",ROUND($Y169*XLOOKUP($F169,Settings!$I$15:$I$20,Settings!$N$15:$N$20,1.1),0))</f>
        <v>1</v>
      </c>
      <c r="AH169" s="12">
        <f t="array" ref="AH169">IF($A169="","",ROUND($Y169*XLOOKUP($F169,Settings!$I$15:$I$20,Settings!$O$15:$O$20,1.1)*Settings!$J$7,0))</f>
        <v>1</v>
      </c>
      <c r="AI169" s="12">
        <f t="array" ref="AI169">IF($A169="","",IF($AA169="Sold","",MIN($AH169,IFERROR(XLOOKUP(Settings!$B$12,Managers!$B$4:$B$15,Managers!$H$4:$H$15),$AH169))))</f>
        <v>1</v>
      </c>
      <c r="AJ169" s="12" t="str">
        <f t="shared" si="3"/>
        <v>Budget Drainer</v>
      </c>
      <c r="AK169" s="12">
        <f t="shared" si="4"/>
        <v>30</v>
      </c>
      <c r="AL169" s="12" t="str">
        <f t="shared" si="5"/>
        <v/>
      </c>
    </row>
    <row r="170" ht="15.75" customHeight="1">
      <c r="A170" s="10" t="s">
        <v>323</v>
      </c>
      <c r="B170" s="10" t="s">
        <v>324</v>
      </c>
      <c r="C170" s="10" t="s">
        <v>243</v>
      </c>
      <c r="D170" s="10" t="s">
        <v>123</v>
      </c>
      <c r="E170" s="10" t="s">
        <v>123</v>
      </c>
      <c r="F170" s="10" t="s">
        <v>114</v>
      </c>
      <c r="G170" s="10">
        <v>5.0</v>
      </c>
      <c r="H170" s="10">
        <v>7.0</v>
      </c>
      <c r="I170" s="10" t="s">
        <v>2140</v>
      </c>
      <c r="J170" s="10" t="s">
        <v>2136</v>
      </c>
      <c r="K170" s="10"/>
      <c r="L170" s="10">
        <v>185.5</v>
      </c>
      <c r="M170" s="10">
        <v>5.98</v>
      </c>
      <c r="N170" s="10"/>
      <c r="O170" s="10"/>
      <c r="P170" s="12">
        <f>IF($A170="","",IFERROR((IF($O170="",0,$O170)*Settings!$J$4+IF($L170="",0,$L170)*Settings!$J$5+IF($N170="",0,$N170)*Settings!$J$6)/(IF($O170="",0,Settings!$J$4)+IF($L170="",0,Settings!$J$5)+IF($N170="",0,Settings!$J$6)),0))</f>
        <v>185.5</v>
      </c>
      <c r="Q170" s="12">
        <f t="array" ref="Q170">IF($A170="","",XLOOKUP($E170,Settings!$A$19:$A$22,Settings!$G$19:$G$22,0))</f>
        <v>203</v>
      </c>
      <c r="R170" s="12">
        <f t="shared" si="1"/>
        <v>0</v>
      </c>
      <c r="S170" s="12">
        <f>IF($A170="","",IF($R170&lt;=0,1,1+$R170/SUMIF($R$4:$R$923,"&gt;0",$R$4:$R$923)*(Settings!$B$5*(Settings!$B$6-Settings!$B$7))))</f>
        <v>1</v>
      </c>
      <c r="T170" s="12">
        <f t="array" ref="T170">IF($A170="","",XLOOKUP($F170,Settings!$I$15:$I$20,Settings!$J$15:$J$20,1))</f>
        <v>0.9</v>
      </c>
      <c r="U170" s="12">
        <f>IF($A170="","",1+(($G170-5)/5)*Settings!$J$8)</f>
        <v>1</v>
      </c>
      <c r="V170" s="12">
        <f>IF($A170="","",1+(($H170-5)/5)*Settings!$J$9)</f>
        <v>1.06</v>
      </c>
      <c r="W170" s="12">
        <f t="array" ref="W170">IF($A170="","",XLOOKUP($J170,Lists!$C$3:$C$7,Lists!$D$3:$D$7,1))</f>
        <v>1</v>
      </c>
      <c r="X170" s="12">
        <f>IF($A170="","",IF($I170="Yes",Settings!$J$10,1))</f>
        <v>1</v>
      </c>
      <c r="Y170" s="12">
        <f t="shared" si="2"/>
        <v>1</v>
      </c>
      <c r="Z170" s="12">
        <f>IF($A170="","",IFERROR(ROUND(AVERAGEIFS('Historical Drafts'!$G$4:$G$300,'Historical Drafts'!$D$4:$D$300,$E170,'Historical Drafts'!$J$4:$J$300,"&gt;="&amp;$L170*0.85,'Historical Drafts'!$J$4:$J$300,"&lt;="&amp;$L170*1.15),0),$Y170))</f>
        <v>3</v>
      </c>
      <c r="AA170" s="12" t="str">
        <f>IF($A170="","",IF(COUNTIF('Auction Log'!$B$3:$B$300,$A170)&gt;0,"Sold","Available"))</f>
        <v>Available</v>
      </c>
      <c r="AB170" s="12" t="str">
        <f t="array" ref="AB170">IF($A170="","",IFERROR(XLOOKUP($A170,'Auction Log'!$B$3:$B$300,'Auction Log'!$G$3:$G$300,""),""))</f>
        <v/>
      </c>
      <c r="AC170" s="12" t="str">
        <f t="array" ref="AC170">IF($A170="","",IFERROR(XLOOKUP($A170,'Auction Log'!$B$3:$B$300,'Auction Log'!$F$3:$F$300,""),""))</f>
        <v/>
      </c>
      <c r="AD170" s="12">
        <f t="array" ref="AD170">IF($A170="","",ROUND($Y170*XLOOKUP($F170,Settings!$I$15:$I$20,Settings!$K$15:$K$20,0.4),0))</f>
        <v>0</v>
      </c>
      <c r="AE170" s="12">
        <f t="array" ref="AE170">IF($A170="","",ROUND($Y170*XLOOKUP($F170,Settings!$I$15:$I$20,Settings!$L$15:$L$20,0.8),0))</f>
        <v>1</v>
      </c>
      <c r="AF170" s="12">
        <f t="array" ref="AF170">IF($A170="","",ROUND($Y170*XLOOKUP($F170,Settings!$I$15:$I$20,Settings!$M$15:$M$20,1),0))</f>
        <v>1</v>
      </c>
      <c r="AG170" s="12">
        <f t="array" ref="AG170">IF($A170="","",ROUND($Y170*XLOOKUP($F170,Settings!$I$15:$I$20,Settings!$N$15:$N$20,1.1),0))</f>
        <v>1</v>
      </c>
      <c r="AH170" s="12">
        <f t="array" ref="AH170">IF($A170="","",ROUND($Y170*XLOOKUP($F170,Settings!$I$15:$I$20,Settings!$O$15:$O$20,1.1)*Settings!$J$7,0))</f>
        <v>1</v>
      </c>
      <c r="AI170" s="12">
        <f t="array" ref="AI170">IF($A170="","",IF($AA170="Sold","",MIN($AH170,IFERROR(XLOOKUP(Settings!$B$12,Managers!$B$4:$B$15,Managers!$H$4:$H$15),$AH170))))</f>
        <v>1</v>
      </c>
      <c r="AJ170" s="12" t="str">
        <f t="shared" si="3"/>
        <v>Budget Drainer</v>
      </c>
      <c r="AK170" s="12">
        <f t="shared" si="4"/>
        <v>28</v>
      </c>
      <c r="AL170" s="12" t="str">
        <f t="shared" si="5"/>
        <v/>
      </c>
    </row>
    <row r="171" ht="15.75" customHeight="1">
      <c r="A171" s="10" t="s">
        <v>696</v>
      </c>
      <c r="B171" s="10" t="s">
        <v>697</v>
      </c>
      <c r="C171" s="10" t="s">
        <v>387</v>
      </c>
      <c r="D171" s="10" t="s">
        <v>118</v>
      </c>
      <c r="E171" s="10" t="s">
        <v>118</v>
      </c>
      <c r="F171" s="10" t="s">
        <v>114</v>
      </c>
      <c r="G171" s="10">
        <v>5.0</v>
      </c>
      <c r="H171" s="10">
        <v>7.0</v>
      </c>
      <c r="I171" s="10" t="s">
        <v>2140</v>
      </c>
      <c r="J171" s="10" t="s">
        <v>2136</v>
      </c>
      <c r="K171" s="10"/>
      <c r="L171" s="10">
        <v>185.25</v>
      </c>
      <c r="M171" s="10">
        <v>6.62</v>
      </c>
      <c r="N171" s="10"/>
      <c r="O171" s="10"/>
      <c r="P171" s="12">
        <f>IF($A171="","",IFERROR((IF($O171="",0,$O171)*Settings!$J$4+IF($L171="",0,$L171)*Settings!$J$5+IF($N171="",0,$N171)*Settings!$J$6)/(IF($O171="",0,Settings!$J$4)+IF($L171="",0,Settings!$J$5)+IF($N171="",0,Settings!$J$6)),0))</f>
        <v>185.25</v>
      </c>
      <c r="Q171" s="12">
        <f t="array" ref="Q171">IF($A171="","",XLOOKUP($E171,Settings!$A$19:$A$22,Settings!$G$19:$G$22,0))</f>
        <v>196.25</v>
      </c>
      <c r="R171" s="12">
        <f t="shared" si="1"/>
        <v>0</v>
      </c>
      <c r="S171" s="12">
        <f>IF($A171="","",IF($R171&lt;=0,1,1+$R171/SUMIF($R$4:$R$923,"&gt;0",$R$4:$R$923)*(Settings!$B$5*(Settings!$B$6-Settings!$B$7))))</f>
        <v>1</v>
      </c>
      <c r="T171" s="12">
        <f t="array" ref="T171">IF($A171="","",XLOOKUP($F171,Settings!$I$15:$I$20,Settings!$J$15:$J$20,1))</f>
        <v>0.9</v>
      </c>
      <c r="U171" s="12">
        <f>IF($A171="","",1+(($G171-5)/5)*Settings!$J$8)</f>
        <v>1</v>
      </c>
      <c r="V171" s="12">
        <f>IF($A171="","",1+(($H171-5)/5)*Settings!$J$9)</f>
        <v>1.06</v>
      </c>
      <c r="W171" s="12">
        <f t="array" ref="W171">IF($A171="","",XLOOKUP($J171,Lists!$C$3:$C$7,Lists!$D$3:$D$7,1))</f>
        <v>1</v>
      </c>
      <c r="X171" s="12">
        <f>IF($A171="","",IF($I171="Yes",Settings!$J$10,1))</f>
        <v>1</v>
      </c>
      <c r="Y171" s="12">
        <f t="shared" si="2"/>
        <v>1</v>
      </c>
      <c r="Z171" s="12">
        <f>IF($A171="","",IFERROR(ROUND(AVERAGEIFS('Historical Drafts'!$G$4:$G$300,'Historical Drafts'!$D$4:$D$300,$E171,'Historical Drafts'!$J$4:$J$300,"&gt;="&amp;$L171*0.85,'Historical Drafts'!$J$4:$J$300,"&lt;="&amp;$L171*1.15),0),$Y171))</f>
        <v>5</v>
      </c>
      <c r="AA171" s="12" t="str">
        <f>IF($A171="","",IF(COUNTIF('Auction Log'!$B$3:$B$300,$A171)&gt;0,"Sold","Available"))</f>
        <v>Available</v>
      </c>
      <c r="AB171" s="12" t="str">
        <f t="array" ref="AB171">IF($A171="","",IFERROR(XLOOKUP($A171,'Auction Log'!$B$3:$B$300,'Auction Log'!$G$3:$G$300,""),""))</f>
        <v/>
      </c>
      <c r="AC171" s="12" t="str">
        <f t="array" ref="AC171">IF($A171="","",IFERROR(XLOOKUP($A171,'Auction Log'!$B$3:$B$300,'Auction Log'!$F$3:$F$300,""),""))</f>
        <v/>
      </c>
      <c r="AD171" s="12">
        <f t="array" ref="AD171">IF($A171="","",ROUND($Y171*XLOOKUP($F171,Settings!$I$15:$I$20,Settings!$K$15:$K$20,0.4),0))</f>
        <v>0</v>
      </c>
      <c r="AE171" s="12">
        <f t="array" ref="AE171">IF($A171="","",ROUND($Y171*XLOOKUP($F171,Settings!$I$15:$I$20,Settings!$L$15:$L$20,0.8),0))</f>
        <v>1</v>
      </c>
      <c r="AF171" s="12">
        <f t="array" ref="AF171">IF($A171="","",ROUND($Y171*XLOOKUP($F171,Settings!$I$15:$I$20,Settings!$M$15:$M$20,1),0))</f>
        <v>1</v>
      </c>
      <c r="AG171" s="12">
        <f t="array" ref="AG171">IF($A171="","",ROUND($Y171*XLOOKUP($F171,Settings!$I$15:$I$20,Settings!$N$15:$N$20,1.1),0))</f>
        <v>1</v>
      </c>
      <c r="AH171" s="12">
        <f t="array" ref="AH171">IF($A171="","",ROUND($Y171*XLOOKUP($F171,Settings!$I$15:$I$20,Settings!$O$15:$O$20,1.1)*Settings!$J$7,0))</f>
        <v>1</v>
      </c>
      <c r="AI171" s="12">
        <f t="array" ref="AI171">IF($A171="","",IF($AA171="Sold","",MIN($AH171,IFERROR(XLOOKUP(Settings!$B$12,Managers!$B$4:$B$15,Managers!$H$4:$H$15),$AH171))))</f>
        <v>1</v>
      </c>
      <c r="AJ171" s="12" t="str">
        <f t="shared" si="3"/>
        <v>Budget Drainer</v>
      </c>
      <c r="AK171" s="12">
        <f t="shared" si="4"/>
        <v>30</v>
      </c>
      <c r="AL171" s="12" t="str">
        <f t="shared" si="5"/>
        <v/>
      </c>
    </row>
    <row r="172" ht="15.75" customHeight="1">
      <c r="A172" s="10" t="s">
        <v>698</v>
      </c>
      <c r="B172" s="10" t="s">
        <v>699</v>
      </c>
      <c r="C172" s="10" t="s">
        <v>327</v>
      </c>
      <c r="D172" s="10" t="s">
        <v>121</v>
      </c>
      <c r="E172" s="10" t="s">
        <v>121</v>
      </c>
      <c r="F172" s="10" t="s">
        <v>114</v>
      </c>
      <c r="G172" s="10">
        <v>5.0</v>
      </c>
      <c r="H172" s="10">
        <v>7.0</v>
      </c>
      <c r="I172" s="10" t="s">
        <v>2140</v>
      </c>
      <c r="J172" s="10" t="s">
        <v>2136</v>
      </c>
      <c r="K172" s="10"/>
      <c r="L172" s="10">
        <v>184.5</v>
      </c>
      <c r="M172" s="10">
        <v>4.99</v>
      </c>
      <c r="N172" s="10"/>
      <c r="O172" s="10"/>
      <c r="P172" s="12">
        <f>IF($A172="","",IFERROR((IF($O172="",0,$O172)*Settings!$J$4+IF($L172="",0,$L172)*Settings!$J$5+IF($N172="",0,$N172)*Settings!$J$6)/(IF($O172="",0,Settings!$J$4)+IF($L172="",0,Settings!$J$5)+IF($N172="",0,Settings!$J$6)),0))</f>
        <v>184.5</v>
      </c>
      <c r="Q172" s="12">
        <f t="array" ref="Q172">IF($A172="","",XLOOKUP($E172,Settings!$A$19:$A$22,Settings!$G$19:$G$22,0))</f>
        <v>206</v>
      </c>
      <c r="R172" s="12">
        <f t="shared" si="1"/>
        <v>0</v>
      </c>
      <c r="S172" s="12">
        <f>IF($A172="","",IF($R172&lt;=0,1,1+$R172/SUMIF($R$4:$R$923,"&gt;0",$R$4:$R$923)*(Settings!$B$5*(Settings!$B$6-Settings!$B$7))))</f>
        <v>1</v>
      </c>
      <c r="T172" s="12">
        <f t="array" ref="T172">IF($A172="","",XLOOKUP($F172,Settings!$I$15:$I$20,Settings!$J$15:$J$20,1))</f>
        <v>0.9</v>
      </c>
      <c r="U172" s="12">
        <f>IF($A172="","",1+(($G172-5)/5)*Settings!$J$8)</f>
        <v>1</v>
      </c>
      <c r="V172" s="12">
        <f>IF($A172="","",1+(($H172-5)/5)*Settings!$J$9)</f>
        <v>1.06</v>
      </c>
      <c r="W172" s="12">
        <f t="array" ref="W172">IF($A172="","",XLOOKUP($J172,Lists!$C$3:$C$7,Lists!$D$3:$D$7,1))</f>
        <v>1</v>
      </c>
      <c r="X172" s="12">
        <f>IF($A172="","",IF($I172="Yes",Settings!$J$10,1))</f>
        <v>1</v>
      </c>
      <c r="Y172" s="12">
        <f t="shared" si="2"/>
        <v>1</v>
      </c>
      <c r="Z172" s="12">
        <f>IF($A172="","",IFERROR(ROUND(AVERAGEIFS('Historical Drafts'!$G$4:$G$300,'Historical Drafts'!$D$4:$D$300,$E172,'Historical Drafts'!$J$4:$J$300,"&gt;="&amp;$L172*0.85,'Historical Drafts'!$J$4:$J$300,"&lt;="&amp;$L172*1.15),0),$Y172))</f>
        <v>11</v>
      </c>
      <c r="AA172" s="12" t="str">
        <f>IF($A172="","",IF(COUNTIF('Auction Log'!$B$3:$B$300,$A172)&gt;0,"Sold","Available"))</f>
        <v>Available</v>
      </c>
      <c r="AB172" s="12" t="str">
        <f t="array" ref="AB172">IF($A172="","",IFERROR(XLOOKUP($A172,'Auction Log'!$B$3:$B$300,'Auction Log'!$G$3:$G$300,""),""))</f>
        <v/>
      </c>
      <c r="AC172" s="12" t="str">
        <f t="array" ref="AC172">IF($A172="","",IFERROR(XLOOKUP($A172,'Auction Log'!$B$3:$B$300,'Auction Log'!$F$3:$F$300,""),""))</f>
        <v/>
      </c>
      <c r="AD172" s="12">
        <f t="array" ref="AD172">IF($A172="","",ROUND($Y172*XLOOKUP($F172,Settings!$I$15:$I$20,Settings!$K$15:$K$20,0.4),0))</f>
        <v>0</v>
      </c>
      <c r="AE172" s="12">
        <f t="array" ref="AE172">IF($A172="","",ROUND($Y172*XLOOKUP($F172,Settings!$I$15:$I$20,Settings!$L$15:$L$20,0.8),0))</f>
        <v>1</v>
      </c>
      <c r="AF172" s="12">
        <f t="array" ref="AF172">IF($A172="","",ROUND($Y172*XLOOKUP($F172,Settings!$I$15:$I$20,Settings!$M$15:$M$20,1),0))</f>
        <v>1</v>
      </c>
      <c r="AG172" s="12">
        <f t="array" ref="AG172">IF($A172="","",ROUND($Y172*XLOOKUP($F172,Settings!$I$15:$I$20,Settings!$N$15:$N$20,1.1),0))</f>
        <v>1</v>
      </c>
      <c r="AH172" s="12">
        <f t="array" ref="AH172">IF($A172="","",ROUND($Y172*XLOOKUP($F172,Settings!$I$15:$I$20,Settings!$O$15:$O$20,1.1)*Settings!$J$7,0))</f>
        <v>1</v>
      </c>
      <c r="AI172" s="12">
        <f t="array" ref="AI172">IF($A172="","",IF($AA172="Sold","",MIN($AH172,IFERROR(XLOOKUP(Settings!$B$12,Managers!$B$4:$B$15,Managers!$H$4:$H$15),$AH172))))</f>
        <v>1</v>
      </c>
      <c r="AJ172" s="12" t="str">
        <f t="shared" si="3"/>
        <v>Budget Drainer</v>
      </c>
      <c r="AK172" s="12">
        <f t="shared" si="4"/>
        <v>36</v>
      </c>
      <c r="AL172" s="12" t="str">
        <f t="shared" si="5"/>
        <v/>
      </c>
    </row>
    <row r="173" ht="15.75" customHeight="1">
      <c r="A173" s="10" t="s">
        <v>700</v>
      </c>
      <c r="B173" s="10" t="s">
        <v>701</v>
      </c>
      <c r="C173" s="10" t="s">
        <v>305</v>
      </c>
      <c r="D173" s="10" t="s">
        <v>121</v>
      </c>
      <c r="E173" s="10" t="s">
        <v>121</v>
      </c>
      <c r="F173" s="10" t="s">
        <v>114</v>
      </c>
      <c r="G173" s="10">
        <v>5.0</v>
      </c>
      <c r="H173" s="10">
        <v>7.0</v>
      </c>
      <c r="I173" s="10" t="s">
        <v>2140</v>
      </c>
      <c r="J173" s="10" t="s">
        <v>2136</v>
      </c>
      <c r="K173" s="10"/>
      <c r="L173" s="10">
        <v>182.0</v>
      </c>
      <c r="M173" s="10">
        <v>5.2</v>
      </c>
      <c r="N173" s="10"/>
      <c r="O173" s="10"/>
      <c r="P173" s="12">
        <f>IF($A173="","",IFERROR((IF($O173="",0,$O173)*Settings!$J$4+IF($L173="",0,$L173)*Settings!$J$5+IF($N173="",0,$N173)*Settings!$J$6)/(IF($O173="",0,Settings!$J$4)+IF($L173="",0,Settings!$J$5)+IF($N173="",0,Settings!$J$6)),0))</f>
        <v>182</v>
      </c>
      <c r="Q173" s="12">
        <f t="array" ref="Q173">IF($A173="","",XLOOKUP($E173,Settings!$A$19:$A$22,Settings!$G$19:$G$22,0))</f>
        <v>206</v>
      </c>
      <c r="R173" s="12">
        <f t="shared" si="1"/>
        <v>0</v>
      </c>
      <c r="S173" s="12">
        <f>IF($A173="","",IF($R173&lt;=0,1,1+$R173/SUMIF($R$4:$R$923,"&gt;0",$R$4:$R$923)*(Settings!$B$5*(Settings!$B$6-Settings!$B$7))))</f>
        <v>1</v>
      </c>
      <c r="T173" s="12">
        <f t="array" ref="T173">IF($A173="","",XLOOKUP($F173,Settings!$I$15:$I$20,Settings!$J$15:$J$20,1))</f>
        <v>0.9</v>
      </c>
      <c r="U173" s="12">
        <f>IF($A173="","",1+(($G173-5)/5)*Settings!$J$8)</f>
        <v>1</v>
      </c>
      <c r="V173" s="12">
        <f>IF($A173="","",1+(($H173-5)/5)*Settings!$J$9)</f>
        <v>1.06</v>
      </c>
      <c r="W173" s="12">
        <f t="array" ref="W173">IF($A173="","",XLOOKUP($J173,Lists!$C$3:$C$7,Lists!$D$3:$D$7,1))</f>
        <v>1</v>
      </c>
      <c r="X173" s="12">
        <f>IF($A173="","",IF($I173="Yes",Settings!$J$10,1))</f>
        <v>1</v>
      </c>
      <c r="Y173" s="12">
        <f t="shared" si="2"/>
        <v>1</v>
      </c>
      <c r="Z173" s="12">
        <f>IF($A173="","",IFERROR(ROUND(AVERAGEIFS('Historical Drafts'!$G$4:$G$300,'Historical Drafts'!$D$4:$D$300,$E173,'Historical Drafts'!$J$4:$J$300,"&gt;="&amp;$L173*0.85,'Historical Drafts'!$J$4:$J$300,"&lt;="&amp;$L173*1.15),0),$Y173))</f>
        <v>11</v>
      </c>
      <c r="AA173" s="12" t="str">
        <f>IF($A173="","",IF(COUNTIF('Auction Log'!$B$3:$B$300,$A173)&gt;0,"Sold","Available"))</f>
        <v>Available</v>
      </c>
      <c r="AB173" s="12" t="str">
        <f t="array" ref="AB173">IF($A173="","",IFERROR(XLOOKUP($A173,'Auction Log'!$B$3:$B$300,'Auction Log'!$G$3:$G$300,""),""))</f>
        <v/>
      </c>
      <c r="AC173" s="12" t="str">
        <f t="array" ref="AC173">IF($A173="","",IFERROR(XLOOKUP($A173,'Auction Log'!$B$3:$B$300,'Auction Log'!$F$3:$F$300,""),""))</f>
        <v/>
      </c>
      <c r="AD173" s="12">
        <f t="array" ref="AD173">IF($A173="","",ROUND($Y173*XLOOKUP($F173,Settings!$I$15:$I$20,Settings!$K$15:$K$20,0.4),0))</f>
        <v>0</v>
      </c>
      <c r="AE173" s="12">
        <f t="array" ref="AE173">IF($A173="","",ROUND($Y173*XLOOKUP($F173,Settings!$I$15:$I$20,Settings!$L$15:$L$20,0.8),0))</f>
        <v>1</v>
      </c>
      <c r="AF173" s="12">
        <f t="array" ref="AF173">IF($A173="","",ROUND($Y173*XLOOKUP($F173,Settings!$I$15:$I$20,Settings!$M$15:$M$20,1),0))</f>
        <v>1</v>
      </c>
      <c r="AG173" s="12">
        <f t="array" ref="AG173">IF($A173="","",ROUND($Y173*XLOOKUP($F173,Settings!$I$15:$I$20,Settings!$N$15:$N$20,1.1),0))</f>
        <v>1</v>
      </c>
      <c r="AH173" s="12">
        <f t="array" ref="AH173">IF($A173="","",ROUND($Y173*XLOOKUP($F173,Settings!$I$15:$I$20,Settings!$O$15:$O$20,1.1)*Settings!$J$7,0))</f>
        <v>1</v>
      </c>
      <c r="AI173" s="12">
        <f t="array" ref="AI173">IF($A173="","",IF($AA173="Sold","",MIN($AH173,IFERROR(XLOOKUP(Settings!$B$12,Managers!$B$4:$B$15,Managers!$H$4:$H$15),$AH173))))</f>
        <v>1</v>
      </c>
      <c r="AJ173" s="12" t="str">
        <f t="shared" si="3"/>
        <v>Budget Drainer</v>
      </c>
      <c r="AK173" s="12">
        <f t="shared" si="4"/>
        <v>36</v>
      </c>
      <c r="AL173" s="12" t="str">
        <f t="shared" si="5"/>
        <v/>
      </c>
    </row>
    <row r="174" ht="15.75" customHeight="1">
      <c r="A174" s="10" t="s">
        <v>321</v>
      </c>
      <c r="B174" s="10" t="s">
        <v>322</v>
      </c>
      <c r="C174" s="10" t="s">
        <v>180</v>
      </c>
      <c r="D174" s="10" t="s">
        <v>121</v>
      </c>
      <c r="E174" s="10" t="s">
        <v>121</v>
      </c>
      <c r="F174" s="10" t="s">
        <v>114</v>
      </c>
      <c r="G174" s="10">
        <v>5.0</v>
      </c>
      <c r="H174" s="10">
        <v>7.0</v>
      </c>
      <c r="I174" s="10" t="s">
        <v>2140</v>
      </c>
      <c r="J174" s="10" t="s">
        <v>2136</v>
      </c>
      <c r="K174" s="10"/>
      <c r="L174" s="10">
        <v>181.5</v>
      </c>
      <c r="M174" s="10">
        <v>6.48</v>
      </c>
      <c r="N174" s="10"/>
      <c r="O174" s="10"/>
      <c r="P174" s="12">
        <f>IF($A174="","",IFERROR((IF($O174="",0,$O174)*Settings!$J$4+IF($L174="",0,$L174)*Settings!$J$5+IF($N174="",0,$N174)*Settings!$J$6)/(IF($O174="",0,Settings!$J$4)+IF($L174="",0,Settings!$J$5)+IF($N174="",0,Settings!$J$6)),0))</f>
        <v>181.5</v>
      </c>
      <c r="Q174" s="12">
        <f t="array" ref="Q174">IF($A174="","",XLOOKUP($E174,Settings!$A$19:$A$22,Settings!$G$19:$G$22,0))</f>
        <v>206</v>
      </c>
      <c r="R174" s="12">
        <f t="shared" si="1"/>
        <v>0</v>
      </c>
      <c r="S174" s="12">
        <f>IF($A174="","",IF($R174&lt;=0,1,1+$R174/SUMIF($R$4:$R$923,"&gt;0",$R$4:$R$923)*(Settings!$B$5*(Settings!$B$6-Settings!$B$7))))</f>
        <v>1</v>
      </c>
      <c r="T174" s="12">
        <f t="array" ref="T174">IF($A174="","",XLOOKUP($F174,Settings!$I$15:$I$20,Settings!$J$15:$J$20,1))</f>
        <v>0.9</v>
      </c>
      <c r="U174" s="12">
        <f>IF($A174="","",1+(($G174-5)/5)*Settings!$J$8)</f>
        <v>1</v>
      </c>
      <c r="V174" s="12">
        <f>IF($A174="","",1+(($H174-5)/5)*Settings!$J$9)</f>
        <v>1.06</v>
      </c>
      <c r="W174" s="12">
        <f t="array" ref="W174">IF($A174="","",XLOOKUP($J174,Lists!$C$3:$C$7,Lists!$D$3:$D$7,1))</f>
        <v>1</v>
      </c>
      <c r="X174" s="12">
        <f>IF($A174="","",IF($I174="Yes",Settings!$J$10,1))</f>
        <v>1</v>
      </c>
      <c r="Y174" s="12">
        <f t="shared" si="2"/>
        <v>1</v>
      </c>
      <c r="Z174" s="12">
        <f>IF($A174="","",IFERROR(ROUND(AVERAGEIFS('Historical Drafts'!$G$4:$G$300,'Historical Drafts'!$D$4:$D$300,$E174,'Historical Drafts'!$J$4:$J$300,"&gt;="&amp;$L174*0.85,'Historical Drafts'!$J$4:$J$300,"&lt;="&amp;$L174*1.15),0),$Y174))</f>
        <v>11</v>
      </c>
      <c r="AA174" s="12" t="str">
        <f>IF($A174="","",IF(COUNTIF('Auction Log'!$B$3:$B$300,$A174)&gt;0,"Sold","Available"))</f>
        <v>Available</v>
      </c>
      <c r="AB174" s="12" t="str">
        <f t="array" ref="AB174">IF($A174="","",IFERROR(XLOOKUP($A174,'Auction Log'!$B$3:$B$300,'Auction Log'!$G$3:$G$300,""),""))</f>
        <v/>
      </c>
      <c r="AC174" s="12" t="str">
        <f t="array" ref="AC174">IF($A174="","",IFERROR(XLOOKUP($A174,'Auction Log'!$B$3:$B$300,'Auction Log'!$F$3:$F$300,""),""))</f>
        <v/>
      </c>
      <c r="AD174" s="12">
        <f t="array" ref="AD174">IF($A174="","",ROUND($Y174*XLOOKUP($F174,Settings!$I$15:$I$20,Settings!$K$15:$K$20,0.4),0))</f>
        <v>0</v>
      </c>
      <c r="AE174" s="12">
        <f t="array" ref="AE174">IF($A174="","",ROUND($Y174*XLOOKUP($F174,Settings!$I$15:$I$20,Settings!$L$15:$L$20,0.8),0))</f>
        <v>1</v>
      </c>
      <c r="AF174" s="12">
        <f t="array" ref="AF174">IF($A174="","",ROUND($Y174*XLOOKUP($F174,Settings!$I$15:$I$20,Settings!$M$15:$M$20,1),0))</f>
        <v>1</v>
      </c>
      <c r="AG174" s="12">
        <f t="array" ref="AG174">IF($A174="","",ROUND($Y174*XLOOKUP($F174,Settings!$I$15:$I$20,Settings!$N$15:$N$20,1.1),0))</f>
        <v>1</v>
      </c>
      <c r="AH174" s="12">
        <f t="array" ref="AH174">IF($A174="","",ROUND($Y174*XLOOKUP($F174,Settings!$I$15:$I$20,Settings!$O$15:$O$20,1.1)*Settings!$J$7,0))</f>
        <v>1</v>
      </c>
      <c r="AI174" s="12">
        <f t="array" ref="AI174">IF($A174="","",IF($AA174="Sold","",MIN($AH174,IFERROR(XLOOKUP(Settings!$B$12,Managers!$B$4:$B$15,Managers!$H$4:$H$15),$AH174))))</f>
        <v>1</v>
      </c>
      <c r="AJ174" s="12" t="str">
        <f t="shared" si="3"/>
        <v>Budget Drainer</v>
      </c>
      <c r="AK174" s="12">
        <f t="shared" si="4"/>
        <v>36</v>
      </c>
      <c r="AL174" s="12" t="str">
        <f t="shared" si="5"/>
        <v/>
      </c>
    </row>
    <row r="175" ht="15.75" customHeight="1">
      <c r="A175" s="10" t="s">
        <v>244</v>
      </c>
      <c r="B175" s="10" t="s">
        <v>245</v>
      </c>
      <c r="C175" s="10" t="s">
        <v>177</v>
      </c>
      <c r="D175" s="10" t="s">
        <v>118</v>
      </c>
      <c r="E175" s="10" t="s">
        <v>118</v>
      </c>
      <c r="F175" s="10" t="s">
        <v>114</v>
      </c>
      <c r="G175" s="10">
        <v>5.0</v>
      </c>
      <c r="H175" s="10">
        <v>7.0</v>
      </c>
      <c r="I175" s="10" t="s">
        <v>2140</v>
      </c>
      <c r="J175" s="10" t="s">
        <v>2136</v>
      </c>
      <c r="K175" s="10"/>
      <c r="L175" s="10">
        <v>181.25</v>
      </c>
      <c r="M175" s="10">
        <v>5.33</v>
      </c>
      <c r="N175" s="10"/>
      <c r="O175" s="10"/>
      <c r="P175" s="12">
        <f>IF($A175="","",IFERROR((IF($O175="",0,$O175)*Settings!$J$4+IF($L175="",0,$L175)*Settings!$J$5+IF($N175="",0,$N175)*Settings!$J$6)/(IF($O175="",0,Settings!$J$4)+IF($L175="",0,Settings!$J$5)+IF($N175="",0,Settings!$J$6)),0))</f>
        <v>181.25</v>
      </c>
      <c r="Q175" s="12">
        <f t="array" ref="Q175">IF($A175="","",XLOOKUP($E175,Settings!$A$19:$A$22,Settings!$G$19:$G$22,0))</f>
        <v>196.25</v>
      </c>
      <c r="R175" s="12">
        <f t="shared" si="1"/>
        <v>0</v>
      </c>
      <c r="S175" s="12">
        <f>IF($A175="","",IF($R175&lt;=0,1,1+$R175/SUMIF($R$4:$R$923,"&gt;0",$R$4:$R$923)*(Settings!$B$5*(Settings!$B$6-Settings!$B$7))))</f>
        <v>1</v>
      </c>
      <c r="T175" s="12">
        <f t="array" ref="T175">IF($A175="","",XLOOKUP($F175,Settings!$I$15:$I$20,Settings!$J$15:$J$20,1))</f>
        <v>0.9</v>
      </c>
      <c r="U175" s="12">
        <f>IF($A175="","",1+(($G175-5)/5)*Settings!$J$8)</f>
        <v>1</v>
      </c>
      <c r="V175" s="12">
        <f>IF($A175="","",1+(($H175-5)/5)*Settings!$J$9)</f>
        <v>1.06</v>
      </c>
      <c r="W175" s="12">
        <f t="array" ref="W175">IF($A175="","",XLOOKUP($J175,Lists!$C$3:$C$7,Lists!$D$3:$D$7,1))</f>
        <v>1</v>
      </c>
      <c r="X175" s="12">
        <f>IF($A175="","",IF($I175="Yes",Settings!$J$10,1))</f>
        <v>1</v>
      </c>
      <c r="Y175" s="12">
        <f t="shared" si="2"/>
        <v>1</v>
      </c>
      <c r="Z175" s="12">
        <f>IF($A175="","",IFERROR(ROUND(AVERAGEIFS('Historical Drafts'!$G$4:$G$300,'Historical Drafts'!$D$4:$D$300,$E175,'Historical Drafts'!$J$4:$J$300,"&gt;="&amp;$L175*0.85,'Historical Drafts'!$J$4:$J$300,"&lt;="&amp;$L175*1.15),0),$Y175))</f>
        <v>6</v>
      </c>
      <c r="AA175" s="12" t="str">
        <f>IF($A175="","",IF(COUNTIF('Auction Log'!$B$3:$B$300,$A175)&gt;0,"Sold","Available"))</f>
        <v>Available</v>
      </c>
      <c r="AB175" s="12" t="str">
        <f t="array" ref="AB175">IF($A175="","",IFERROR(XLOOKUP($A175,'Auction Log'!$B$3:$B$300,'Auction Log'!$G$3:$G$300,""),""))</f>
        <v/>
      </c>
      <c r="AC175" s="12" t="str">
        <f t="array" ref="AC175">IF($A175="","",IFERROR(XLOOKUP($A175,'Auction Log'!$B$3:$B$300,'Auction Log'!$F$3:$F$300,""),""))</f>
        <v/>
      </c>
      <c r="AD175" s="12">
        <f t="array" ref="AD175">IF($A175="","",ROUND($Y175*XLOOKUP($F175,Settings!$I$15:$I$20,Settings!$K$15:$K$20,0.4),0))</f>
        <v>0</v>
      </c>
      <c r="AE175" s="12">
        <f t="array" ref="AE175">IF($A175="","",ROUND($Y175*XLOOKUP($F175,Settings!$I$15:$I$20,Settings!$L$15:$L$20,0.8),0))</f>
        <v>1</v>
      </c>
      <c r="AF175" s="12">
        <f t="array" ref="AF175">IF($A175="","",ROUND($Y175*XLOOKUP($F175,Settings!$I$15:$I$20,Settings!$M$15:$M$20,1),0))</f>
        <v>1</v>
      </c>
      <c r="AG175" s="12">
        <f t="array" ref="AG175">IF($A175="","",ROUND($Y175*XLOOKUP($F175,Settings!$I$15:$I$20,Settings!$N$15:$N$20,1.1),0))</f>
        <v>1</v>
      </c>
      <c r="AH175" s="12">
        <f t="array" ref="AH175">IF($A175="","",ROUND($Y175*XLOOKUP($F175,Settings!$I$15:$I$20,Settings!$O$15:$O$20,1.1)*Settings!$J$7,0))</f>
        <v>1</v>
      </c>
      <c r="AI175" s="12">
        <f t="array" ref="AI175">IF($A175="","",IF($AA175="Sold","",MIN($AH175,IFERROR(XLOOKUP(Settings!$B$12,Managers!$B$4:$B$15,Managers!$H$4:$H$15),$AH175))))</f>
        <v>1</v>
      </c>
      <c r="AJ175" s="12" t="str">
        <f t="shared" si="3"/>
        <v>Budget Drainer</v>
      </c>
      <c r="AK175" s="12">
        <f t="shared" si="4"/>
        <v>31</v>
      </c>
      <c r="AL175" s="12" t="str">
        <f t="shared" si="5"/>
        <v/>
      </c>
    </row>
    <row r="176" ht="15.75" customHeight="1">
      <c r="A176" s="10" t="s">
        <v>229</v>
      </c>
      <c r="B176" s="10" t="s">
        <v>230</v>
      </c>
      <c r="C176" s="10" t="s">
        <v>231</v>
      </c>
      <c r="D176" s="10" t="s">
        <v>121</v>
      </c>
      <c r="E176" s="10" t="s">
        <v>121</v>
      </c>
      <c r="F176" s="10" t="s">
        <v>114</v>
      </c>
      <c r="G176" s="10">
        <v>5.0</v>
      </c>
      <c r="H176" s="10">
        <v>7.0</v>
      </c>
      <c r="I176" s="10" t="s">
        <v>2140</v>
      </c>
      <c r="J176" s="10" t="s">
        <v>2136</v>
      </c>
      <c r="K176" s="10"/>
      <c r="L176" s="10">
        <v>180.0</v>
      </c>
      <c r="M176" s="10">
        <v>7.2</v>
      </c>
      <c r="N176" s="10"/>
      <c r="O176" s="10"/>
      <c r="P176" s="12">
        <f>IF($A176="","",IFERROR((IF($O176="",0,$O176)*Settings!$J$4+IF($L176="",0,$L176)*Settings!$J$5+IF($N176="",0,$N176)*Settings!$J$6)/(IF($O176="",0,Settings!$J$4)+IF($L176="",0,Settings!$J$5)+IF($N176="",0,Settings!$J$6)),0))</f>
        <v>180</v>
      </c>
      <c r="Q176" s="12">
        <f t="array" ref="Q176">IF($A176="","",XLOOKUP($E176,Settings!$A$19:$A$22,Settings!$G$19:$G$22,0))</f>
        <v>206</v>
      </c>
      <c r="R176" s="12">
        <f t="shared" si="1"/>
        <v>0</v>
      </c>
      <c r="S176" s="12">
        <f>IF($A176="","",IF($R176&lt;=0,1,1+$R176/SUMIF($R$4:$R$923,"&gt;0",$R$4:$R$923)*(Settings!$B$5*(Settings!$B$6-Settings!$B$7))))</f>
        <v>1</v>
      </c>
      <c r="T176" s="12">
        <f t="array" ref="T176">IF($A176="","",XLOOKUP($F176,Settings!$I$15:$I$20,Settings!$J$15:$J$20,1))</f>
        <v>0.9</v>
      </c>
      <c r="U176" s="12">
        <f>IF($A176="","",1+(($G176-5)/5)*Settings!$J$8)</f>
        <v>1</v>
      </c>
      <c r="V176" s="12">
        <f>IF($A176="","",1+(($H176-5)/5)*Settings!$J$9)</f>
        <v>1.06</v>
      </c>
      <c r="W176" s="12">
        <f t="array" ref="W176">IF($A176="","",XLOOKUP($J176,Lists!$C$3:$C$7,Lists!$D$3:$D$7,1))</f>
        <v>1</v>
      </c>
      <c r="X176" s="12">
        <f>IF($A176="","",IF($I176="Yes",Settings!$J$10,1))</f>
        <v>1</v>
      </c>
      <c r="Y176" s="12">
        <f t="shared" si="2"/>
        <v>1</v>
      </c>
      <c r="Z176" s="12">
        <f>IF($A176="","",IFERROR(ROUND(AVERAGEIFS('Historical Drafts'!$G$4:$G$300,'Historical Drafts'!$D$4:$D$300,$E176,'Historical Drafts'!$J$4:$J$300,"&gt;="&amp;$L176*0.85,'Historical Drafts'!$J$4:$J$300,"&lt;="&amp;$L176*1.15),0),$Y176))</f>
        <v>11</v>
      </c>
      <c r="AA176" s="12" t="str">
        <f>IF($A176="","",IF(COUNTIF('Auction Log'!$B$3:$B$300,$A176)&gt;0,"Sold","Available"))</f>
        <v>Available</v>
      </c>
      <c r="AB176" s="12" t="str">
        <f t="array" ref="AB176">IF($A176="","",IFERROR(XLOOKUP($A176,'Auction Log'!$B$3:$B$300,'Auction Log'!$G$3:$G$300,""),""))</f>
        <v/>
      </c>
      <c r="AC176" s="12" t="str">
        <f t="array" ref="AC176">IF($A176="","",IFERROR(XLOOKUP($A176,'Auction Log'!$B$3:$B$300,'Auction Log'!$F$3:$F$300,""),""))</f>
        <v/>
      </c>
      <c r="AD176" s="12">
        <f t="array" ref="AD176">IF($A176="","",ROUND($Y176*XLOOKUP($F176,Settings!$I$15:$I$20,Settings!$K$15:$K$20,0.4),0))</f>
        <v>0</v>
      </c>
      <c r="AE176" s="12">
        <f t="array" ref="AE176">IF($A176="","",ROUND($Y176*XLOOKUP($F176,Settings!$I$15:$I$20,Settings!$L$15:$L$20,0.8),0))</f>
        <v>1</v>
      </c>
      <c r="AF176" s="12">
        <f t="array" ref="AF176">IF($A176="","",ROUND($Y176*XLOOKUP($F176,Settings!$I$15:$I$20,Settings!$M$15:$M$20,1),0))</f>
        <v>1</v>
      </c>
      <c r="AG176" s="12">
        <f t="array" ref="AG176">IF($A176="","",ROUND($Y176*XLOOKUP($F176,Settings!$I$15:$I$20,Settings!$N$15:$N$20,1.1),0))</f>
        <v>1</v>
      </c>
      <c r="AH176" s="12">
        <f t="array" ref="AH176">IF($A176="","",ROUND($Y176*XLOOKUP($F176,Settings!$I$15:$I$20,Settings!$O$15:$O$20,1.1)*Settings!$J$7,0))</f>
        <v>1</v>
      </c>
      <c r="AI176" s="12">
        <f t="array" ref="AI176">IF($A176="","",IF($AA176="Sold","",MIN($AH176,IFERROR(XLOOKUP(Settings!$B$12,Managers!$B$4:$B$15,Managers!$H$4:$H$15),$AH176))))</f>
        <v>1</v>
      </c>
      <c r="AJ176" s="12" t="str">
        <f t="shared" si="3"/>
        <v>Budget Drainer</v>
      </c>
      <c r="AK176" s="12">
        <f t="shared" si="4"/>
        <v>36</v>
      </c>
      <c r="AL176" s="12" t="str">
        <f t="shared" si="5"/>
        <v/>
      </c>
    </row>
    <row r="177" ht="15.75" customHeight="1">
      <c r="A177" s="10" t="s">
        <v>702</v>
      </c>
      <c r="B177" s="10" t="s">
        <v>703</v>
      </c>
      <c r="C177" s="10" t="s">
        <v>285</v>
      </c>
      <c r="D177" s="10" t="s">
        <v>118</v>
      </c>
      <c r="E177" s="10" t="s">
        <v>118</v>
      </c>
      <c r="F177" s="10" t="s">
        <v>114</v>
      </c>
      <c r="G177" s="10">
        <v>5.0</v>
      </c>
      <c r="H177" s="10">
        <v>7.0</v>
      </c>
      <c r="I177" s="10" t="s">
        <v>2140</v>
      </c>
      <c r="J177" s="10" t="s">
        <v>2136</v>
      </c>
      <c r="K177" s="10"/>
      <c r="L177" s="10">
        <v>179.75</v>
      </c>
      <c r="M177" s="10">
        <v>5.8</v>
      </c>
      <c r="N177" s="10"/>
      <c r="O177" s="10"/>
      <c r="P177" s="12">
        <f>IF($A177="","",IFERROR((IF($O177="",0,$O177)*Settings!$J$4+IF($L177="",0,$L177)*Settings!$J$5+IF($N177="",0,$N177)*Settings!$J$6)/(IF($O177="",0,Settings!$J$4)+IF($L177="",0,Settings!$J$5)+IF($N177="",0,Settings!$J$6)),0))</f>
        <v>179.75</v>
      </c>
      <c r="Q177" s="12">
        <f t="array" ref="Q177">IF($A177="","",XLOOKUP($E177,Settings!$A$19:$A$22,Settings!$G$19:$G$22,0))</f>
        <v>196.25</v>
      </c>
      <c r="R177" s="12">
        <f t="shared" si="1"/>
        <v>0</v>
      </c>
      <c r="S177" s="12">
        <f>IF($A177="","",IF($R177&lt;=0,1,1+$R177/SUMIF($R$4:$R$923,"&gt;0",$R$4:$R$923)*(Settings!$B$5*(Settings!$B$6-Settings!$B$7))))</f>
        <v>1</v>
      </c>
      <c r="T177" s="12">
        <f t="array" ref="T177">IF($A177="","",XLOOKUP($F177,Settings!$I$15:$I$20,Settings!$J$15:$J$20,1))</f>
        <v>0.9</v>
      </c>
      <c r="U177" s="12">
        <f>IF($A177="","",1+(($G177-5)/5)*Settings!$J$8)</f>
        <v>1</v>
      </c>
      <c r="V177" s="12">
        <f>IF($A177="","",1+(($H177-5)/5)*Settings!$J$9)</f>
        <v>1.06</v>
      </c>
      <c r="W177" s="12">
        <f t="array" ref="W177">IF($A177="","",XLOOKUP($J177,Lists!$C$3:$C$7,Lists!$D$3:$D$7,1))</f>
        <v>1</v>
      </c>
      <c r="X177" s="12">
        <f>IF($A177="","",IF($I177="Yes",Settings!$J$10,1))</f>
        <v>1</v>
      </c>
      <c r="Y177" s="12">
        <f t="shared" si="2"/>
        <v>1</v>
      </c>
      <c r="Z177" s="12">
        <f>IF($A177="","",IFERROR(ROUND(AVERAGEIFS('Historical Drafts'!$G$4:$G$300,'Historical Drafts'!$D$4:$D$300,$E177,'Historical Drafts'!$J$4:$J$300,"&gt;="&amp;$L177*0.85,'Historical Drafts'!$J$4:$J$300,"&lt;="&amp;$L177*1.15),0),$Y177))</f>
        <v>5</v>
      </c>
      <c r="AA177" s="12" t="str">
        <f>IF($A177="","",IF(COUNTIF('Auction Log'!$B$3:$B$300,$A177)&gt;0,"Sold","Available"))</f>
        <v>Available</v>
      </c>
      <c r="AB177" s="12" t="str">
        <f t="array" ref="AB177">IF($A177="","",IFERROR(XLOOKUP($A177,'Auction Log'!$B$3:$B$300,'Auction Log'!$G$3:$G$300,""),""))</f>
        <v/>
      </c>
      <c r="AC177" s="12" t="str">
        <f t="array" ref="AC177">IF($A177="","",IFERROR(XLOOKUP($A177,'Auction Log'!$B$3:$B$300,'Auction Log'!$F$3:$F$300,""),""))</f>
        <v/>
      </c>
      <c r="AD177" s="12">
        <f t="array" ref="AD177">IF($A177="","",ROUND($Y177*XLOOKUP($F177,Settings!$I$15:$I$20,Settings!$K$15:$K$20,0.4),0))</f>
        <v>0</v>
      </c>
      <c r="AE177" s="12">
        <f t="array" ref="AE177">IF($A177="","",ROUND($Y177*XLOOKUP($F177,Settings!$I$15:$I$20,Settings!$L$15:$L$20,0.8),0))</f>
        <v>1</v>
      </c>
      <c r="AF177" s="12">
        <f t="array" ref="AF177">IF($A177="","",ROUND($Y177*XLOOKUP($F177,Settings!$I$15:$I$20,Settings!$M$15:$M$20,1),0))</f>
        <v>1</v>
      </c>
      <c r="AG177" s="12">
        <f t="array" ref="AG177">IF($A177="","",ROUND($Y177*XLOOKUP($F177,Settings!$I$15:$I$20,Settings!$N$15:$N$20,1.1),0))</f>
        <v>1</v>
      </c>
      <c r="AH177" s="12">
        <f t="array" ref="AH177">IF($A177="","",ROUND($Y177*XLOOKUP($F177,Settings!$I$15:$I$20,Settings!$O$15:$O$20,1.1)*Settings!$J$7,0))</f>
        <v>1</v>
      </c>
      <c r="AI177" s="12">
        <f t="array" ref="AI177">IF($A177="","",IF($AA177="Sold","",MIN($AH177,IFERROR(XLOOKUP(Settings!$B$12,Managers!$B$4:$B$15,Managers!$H$4:$H$15),$AH177))))</f>
        <v>1</v>
      </c>
      <c r="AJ177" s="12" t="str">
        <f t="shared" si="3"/>
        <v>Budget Drainer</v>
      </c>
      <c r="AK177" s="12">
        <f t="shared" si="4"/>
        <v>30</v>
      </c>
      <c r="AL177" s="12" t="str">
        <f t="shared" si="5"/>
        <v/>
      </c>
    </row>
    <row r="178" ht="15.75" customHeight="1">
      <c r="A178" s="10" t="s">
        <v>417</v>
      </c>
      <c r="B178" s="10" t="s">
        <v>418</v>
      </c>
      <c r="C178" s="10" t="s">
        <v>231</v>
      </c>
      <c r="D178" s="10" t="s">
        <v>123</v>
      </c>
      <c r="E178" s="10" t="s">
        <v>123</v>
      </c>
      <c r="F178" s="10" t="s">
        <v>114</v>
      </c>
      <c r="G178" s="10">
        <v>5.0</v>
      </c>
      <c r="H178" s="10">
        <v>7.0</v>
      </c>
      <c r="I178" s="10" t="s">
        <v>2140</v>
      </c>
      <c r="J178" s="10" t="s">
        <v>2136</v>
      </c>
      <c r="K178" s="10"/>
      <c r="L178" s="10">
        <v>179.5</v>
      </c>
      <c r="M178" s="10">
        <v>5.61</v>
      </c>
      <c r="N178" s="10"/>
      <c r="O178" s="10"/>
      <c r="P178" s="12">
        <f>IF($A178="","",IFERROR((IF($O178="",0,$O178)*Settings!$J$4+IF($L178="",0,$L178)*Settings!$J$5+IF($N178="",0,$N178)*Settings!$J$6)/(IF($O178="",0,Settings!$J$4)+IF($L178="",0,Settings!$J$5)+IF($N178="",0,Settings!$J$6)),0))</f>
        <v>179.5</v>
      </c>
      <c r="Q178" s="12">
        <f t="array" ref="Q178">IF($A178="","",XLOOKUP($E178,Settings!$A$19:$A$22,Settings!$G$19:$G$22,0))</f>
        <v>203</v>
      </c>
      <c r="R178" s="12">
        <f t="shared" si="1"/>
        <v>0</v>
      </c>
      <c r="S178" s="12">
        <f>IF($A178="","",IF($R178&lt;=0,1,1+$R178/SUMIF($R$4:$R$923,"&gt;0",$R$4:$R$923)*(Settings!$B$5*(Settings!$B$6-Settings!$B$7))))</f>
        <v>1</v>
      </c>
      <c r="T178" s="12">
        <f t="array" ref="T178">IF($A178="","",XLOOKUP($F178,Settings!$I$15:$I$20,Settings!$J$15:$J$20,1))</f>
        <v>0.9</v>
      </c>
      <c r="U178" s="12">
        <f>IF($A178="","",1+(($G178-5)/5)*Settings!$J$8)</f>
        <v>1</v>
      </c>
      <c r="V178" s="12">
        <f>IF($A178="","",1+(($H178-5)/5)*Settings!$J$9)</f>
        <v>1.06</v>
      </c>
      <c r="W178" s="12">
        <f t="array" ref="W178">IF($A178="","",XLOOKUP($J178,Lists!$C$3:$C$7,Lists!$D$3:$D$7,1))</f>
        <v>1</v>
      </c>
      <c r="X178" s="12">
        <f>IF($A178="","",IF($I178="Yes",Settings!$J$10,1))</f>
        <v>1</v>
      </c>
      <c r="Y178" s="12">
        <f t="shared" si="2"/>
        <v>1</v>
      </c>
      <c r="Z178" s="12">
        <f>IF($A178="","",IFERROR(ROUND(AVERAGEIFS('Historical Drafts'!$G$4:$G$300,'Historical Drafts'!$D$4:$D$300,$E178,'Historical Drafts'!$J$4:$J$300,"&gt;="&amp;$L178*0.85,'Historical Drafts'!$J$4:$J$300,"&lt;="&amp;$L178*1.15),0),$Y178))</f>
        <v>4</v>
      </c>
      <c r="AA178" s="12" t="str">
        <f>IF($A178="","",IF(COUNTIF('Auction Log'!$B$3:$B$300,$A178)&gt;0,"Sold","Available"))</f>
        <v>Available</v>
      </c>
      <c r="AB178" s="12" t="str">
        <f t="array" ref="AB178">IF($A178="","",IFERROR(XLOOKUP($A178,'Auction Log'!$B$3:$B$300,'Auction Log'!$G$3:$G$300,""),""))</f>
        <v/>
      </c>
      <c r="AC178" s="12" t="str">
        <f t="array" ref="AC178">IF($A178="","",IFERROR(XLOOKUP($A178,'Auction Log'!$B$3:$B$300,'Auction Log'!$F$3:$F$300,""),""))</f>
        <v/>
      </c>
      <c r="AD178" s="12">
        <f t="array" ref="AD178">IF($A178="","",ROUND($Y178*XLOOKUP($F178,Settings!$I$15:$I$20,Settings!$K$15:$K$20,0.4),0))</f>
        <v>0</v>
      </c>
      <c r="AE178" s="12">
        <f t="array" ref="AE178">IF($A178="","",ROUND($Y178*XLOOKUP($F178,Settings!$I$15:$I$20,Settings!$L$15:$L$20,0.8),0))</f>
        <v>1</v>
      </c>
      <c r="AF178" s="12">
        <f t="array" ref="AF178">IF($A178="","",ROUND($Y178*XLOOKUP($F178,Settings!$I$15:$I$20,Settings!$M$15:$M$20,1),0))</f>
        <v>1</v>
      </c>
      <c r="AG178" s="12">
        <f t="array" ref="AG178">IF($A178="","",ROUND($Y178*XLOOKUP($F178,Settings!$I$15:$I$20,Settings!$N$15:$N$20,1.1),0))</f>
        <v>1</v>
      </c>
      <c r="AH178" s="12">
        <f t="array" ref="AH178">IF($A178="","",ROUND($Y178*XLOOKUP($F178,Settings!$I$15:$I$20,Settings!$O$15:$O$20,1.1)*Settings!$J$7,0))</f>
        <v>1</v>
      </c>
      <c r="AI178" s="12">
        <f t="array" ref="AI178">IF($A178="","",IF($AA178="Sold","",MIN($AH178,IFERROR(XLOOKUP(Settings!$B$12,Managers!$B$4:$B$15,Managers!$H$4:$H$15),$AH178))))</f>
        <v>1</v>
      </c>
      <c r="AJ178" s="12" t="str">
        <f t="shared" si="3"/>
        <v>Budget Drainer</v>
      </c>
      <c r="AK178" s="12">
        <f t="shared" si="4"/>
        <v>29</v>
      </c>
      <c r="AL178" s="12" t="str">
        <f t="shared" si="5"/>
        <v/>
      </c>
    </row>
    <row r="179" ht="15.75" customHeight="1">
      <c r="A179" s="10" t="s">
        <v>407</v>
      </c>
      <c r="B179" s="10" t="s">
        <v>704</v>
      </c>
      <c r="C179" s="10" t="s">
        <v>177</v>
      </c>
      <c r="D179" s="10" t="s">
        <v>115</v>
      </c>
      <c r="E179" s="10" t="s">
        <v>115</v>
      </c>
      <c r="F179" s="10" t="s">
        <v>114</v>
      </c>
      <c r="G179" s="10">
        <v>5.0</v>
      </c>
      <c r="H179" s="10">
        <v>7.0</v>
      </c>
      <c r="I179" s="10" t="s">
        <v>2140</v>
      </c>
      <c r="J179" s="10" t="s">
        <v>2136</v>
      </c>
      <c r="K179" s="10"/>
      <c r="L179" s="10">
        <v>175.25</v>
      </c>
      <c r="M179" s="10">
        <v>6.74</v>
      </c>
      <c r="N179" s="10"/>
      <c r="O179" s="10"/>
      <c r="P179" s="12">
        <f>IF($A179="","",IFERROR((IF($O179="",0,$O179)*Settings!$J$4+IF($L179="",0,$L179)*Settings!$J$5+IF($N179="",0,$N179)*Settings!$J$6)/(IF($O179="",0,Settings!$J$4)+IF($L179="",0,Settings!$J$5)+IF($N179="",0,Settings!$J$6)),0))</f>
        <v>175.25</v>
      </c>
      <c r="Q179" s="12">
        <f t="array" ref="Q179">IF($A179="","",XLOOKUP($E179,Settings!$A$19:$A$22,Settings!$G$19:$G$22,0))</f>
        <v>249.25</v>
      </c>
      <c r="R179" s="12">
        <f t="shared" si="1"/>
        <v>0</v>
      </c>
      <c r="S179" s="12">
        <f>IF($A179="","",IF($R179&lt;=0,1,1+$R179/SUMIF($R$4:$R$923,"&gt;0",$R$4:$R$923)*(Settings!$B$5*(Settings!$B$6-Settings!$B$7))))</f>
        <v>1</v>
      </c>
      <c r="T179" s="12">
        <f t="array" ref="T179">IF($A179="","",XLOOKUP($F179,Settings!$I$15:$I$20,Settings!$J$15:$J$20,1))</f>
        <v>0.9</v>
      </c>
      <c r="U179" s="12">
        <f>IF($A179="","",1+(($G179-5)/5)*Settings!$J$8)</f>
        <v>1</v>
      </c>
      <c r="V179" s="12">
        <f>IF($A179="","",1+(($H179-5)/5)*Settings!$J$9)</f>
        <v>1.06</v>
      </c>
      <c r="W179" s="12">
        <f t="array" ref="W179">IF($A179="","",XLOOKUP($J179,Lists!$C$3:$C$7,Lists!$D$3:$D$7,1))</f>
        <v>1</v>
      </c>
      <c r="X179" s="12">
        <f>IF($A179="","",IF($I179="Yes",Settings!$J$10,1))</f>
        <v>1</v>
      </c>
      <c r="Y179" s="12">
        <f t="shared" si="2"/>
        <v>1</v>
      </c>
      <c r="Z179" s="12">
        <f>IF($A179="","",IFERROR(ROUND(AVERAGEIFS('Historical Drafts'!$G$4:$G$300,'Historical Drafts'!$D$4:$D$300,$E179,'Historical Drafts'!$J$4:$J$300,"&gt;="&amp;$L179*0.85,'Historical Drafts'!$J$4:$J$300,"&lt;="&amp;$L179*1.15),0),$Y179))</f>
        <v>2</v>
      </c>
      <c r="AA179" s="12" t="str">
        <f>IF($A179="","",IF(COUNTIF('Auction Log'!$B$3:$B$300,$A179)&gt;0,"Sold","Available"))</f>
        <v>Available</v>
      </c>
      <c r="AB179" s="12" t="str">
        <f t="array" ref="AB179">IF($A179="","",IFERROR(XLOOKUP($A179,'Auction Log'!$B$3:$B$300,'Auction Log'!$G$3:$G$300,""),""))</f>
        <v/>
      </c>
      <c r="AC179" s="12" t="str">
        <f t="array" ref="AC179">IF($A179="","",IFERROR(XLOOKUP($A179,'Auction Log'!$B$3:$B$300,'Auction Log'!$F$3:$F$300,""),""))</f>
        <v/>
      </c>
      <c r="AD179" s="12">
        <f t="array" ref="AD179">IF($A179="","",ROUND($Y179*XLOOKUP($F179,Settings!$I$15:$I$20,Settings!$K$15:$K$20,0.4),0))</f>
        <v>0</v>
      </c>
      <c r="AE179" s="12">
        <f t="array" ref="AE179">IF($A179="","",ROUND($Y179*XLOOKUP($F179,Settings!$I$15:$I$20,Settings!$L$15:$L$20,0.8),0))</f>
        <v>1</v>
      </c>
      <c r="AF179" s="12">
        <f t="array" ref="AF179">IF($A179="","",ROUND($Y179*XLOOKUP($F179,Settings!$I$15:$I$20,Settings!$M$15:$M$20,1),0))</f>
        <v>1</v>
      </c>
      <c r="AG179" s="12">
        <f t="array" ref="AG179">IF($A179="","",ROUND($Y179*XLOOKUP($F179,Settings!$I$15:$I$20,Settings!$N$15:$N$20,1.1),0))</f>
        <v>1</v>
      </c>
      <c r="AH179" s="12">
        <f t="array" ref="AH179">IF($A179="","",ROUND($Y179*XLOOKUP($F179,Settings!$I$15:$I$20,Settings!$O$15:$O$20,1.1)*Settings!$J$7,0))</f>
        <v>1</v>
      </c>
      <c r="AI179" s="12">
        <f t="array" ref="AI179">IF($A179="","",IF($AA179="Sold","",MIN($AH179,IFERROR(XLOOKUP(Settings!$B$12,Managers!$B$4:$B$15,Managers!$H$4:$H$15),$AH179))))</f>
        <v>1</v>
      </c>
      <c r="AJ179" s="12" t="str">
        <f t="shared" si="3"/>
        <v>Budget Drainer</v>
      </c>
      <c r="AK179" s="12">
        <f t="shared" si="4"/>
        <v>27</v>
      </c>
      <c r="AL179" s="12" t="str">
        <f t="shared" si="5"/>
        <v/>
      </c>
    </row>
    <row r="180" ht="15.75" customHeight="1">
      <c r="A180" s="10" t="s">
        <v>705</v>
      </c>
      <c r="B180" s="10" t="s">
        <v>706</v>
      </c>
      <c r="C180" s="10" t="s">
        <v>231</v>
      </c>
      <c r="D180" s="10" t="s">
        <v>118</v>
      </c>
      <c r="E180" s="10" t="s">
        <v>118</v>
      </c>
      <c r="F180" s="10" t="s">
        <v>114</v>
      </c>
      <c r="G180" s="10">
        <v>5.0</v>
      </c>
      <c r="H180" s="10">
        <v>7.0</v>
      </c>
      <c r="I180" s="10" t="s">
        <v>2140</v>
      </c>
      <c r="J180" s="10" t="s">
        <v>2136</v>
      </c>
      <c r="K180" s="10"/>
      <c r="L180" s="10">
        <v>175.0</v>
      </c>
      <c r="M180" s="10">
        <v>5.3</v>
      </c>
      <c r="N180" s="10"/>
      <c r="O180" s="10"/>
      <c r="P180" s="12">
        <f>IF($A180="","",IFERROR((IF($O180="",0,$O180)*Settings!$J$4+IF($L180="",0,$L180)*Settings!$J$5+IF($N180="",0,$N180)*Settings!$J$6)/(IF($O180="",0,Settings!$J$4)+IF($L180="",0,Settings!$J$5)+IF($N180="",0,Settings!$J$6)),0))</f>
        <v>175</v>
      </c>
      <c r="Q180" s="12">
        <f t="array" ref="Q180">IF($A180="","",XLOOKUP($E180,Settings!$A$19:$A$22,Settings!$G$19:$G$22,0))</f>
        <v>196.25</v>
      </c>
      <c r="R180" s="12">
        <f t="shared" si="1"/>
        <v>0</v>
      </c>
      <c r="S180" s="12">
        <f>IF($A180="","",IF($R180&lt;=0,1,1+$R180/SUMIF($R$4:$R$923,"&gt;0",$R$4:$R$923)*(Settings!$B$5*(Settings!$B$6-Settings!$B$7))))</f>
        <v>1</v>
      </c>
      <c r="T180" s="12">
        <f t="array" ref="T180">IF($A180="","",XLOOKUP($F180,Settings!$I$15:$I$20,Settings!$J$15:$J$20,1))</f>
        <v>0.9</v>
      </c>
      <c r="U180" s="12">
        <f>IF($A180="","",1+(($G180-5)/5)*Settings!$J$8)</f>
        <v>1</v>
      </c>
      <c r="V180" s="12">
        <f>IF($A180="","",1+(($H180-5)/5)*Settings!$J$9)</f>
        <v>1.06</v>
      </c>
      <c r="W180" s="12">
        <f t="array" ref="W180">IF($A180="","",XLOOKUP($J180,Lists!$C$3:$C$7,Lists!$D$3:$D$7,1))</f>
        <v>1</v>
      </c>
      <c r="X180" s="12">
        <f>IF($A180="","",IF($I180="Yes",Settings!$J$10,1))</f>
        <v>1</v>
      </c>
      <c r="Y180" s="12">
        <f t="shared" si="2"/>
        <v>1</v>
      </c>
      <c r="Z180" s="12">
        <f>IF($A180="","",IFERROR(ROUND(AVERAGEIFS('Historical Drafts'!$G$4:$G$300,'Historical Drafts'!$D$4:$D$300,$E180,'Historical Drafts'!$J$4:$J$300,"&gt;="&amp;$L180*0.85,'Historical Drafts'!$J$4:$J$300,"&lt;="&amp;$L180*1.15),0),$Y180))</f>
        <v>5</v>
      </c>
      <c r="AA180" s="12" t="str">
        <f>IF($A180="","",IF(COUNTIF('Auction Log'!$B$3:$B$300,$A180)&gt;0,"Sold","Available"))</f>
        <v>Available</v>
      </c>
      <c r="AB180" s="12" t="str">
        <f t="array" ref="AB180">IF($A180="","",IFERROR(XLOOKUP($A180,'Auction Log'!$B$3:$B$300,'Auction Log'!$G$3:$G$300,""),""))</f>
        <v/>
      </c>
      <c r="AC180" s="12" t="str">
        <f t="array" ref="AC180">IF($A180="","",IFERROR(XLOOKUP($A180,'Auction Log'!$B$3:$B$300,'Auction Log'!$F$3:$F$300,""),""))</f>
        <v/>
      </c>
      <c r="AD180" s="12">
        <f t="array" ref="AD180">IF($A180="","",ROUND($Y180*XLOOKUP($F180,Settings!$I$15:$I$20,Settings!$K$15:$K$20,0.4),0))</f>
        <v>0</v>
      </c>
      <c r="AE180" s="12">
        <f t="array" ref="AE180">IF($A180="","",ROUND($Y180*XLOOKUP($F180,Settings!$I$15:$I$20,Settings!$L$15:$L$20,0.8),0))</f>
        <v>1</v>
      </c>
      <c r="AF180" s="12">
        <f t="array" ref="AF180">IF($A180="","",ROUND($Y180*XLOOKUP($F180,Settings!$I$15:$I$20,Settings!$M$15:$M$20,1),0))</f>
        <v>1</v>
      </c>
      <c r="AG180" s="12">
        <f t="array" ref="AG180">IF($A180="","",ROUND($Y180*XLOOKUP($F180,Settings!$I$15:$I$20,Settings!$N$15:$N$20,1.1),0))</f>
        <v>1</v>
      </c>
      <c r="AH180" s="12">
        <f t="array" ref="AH180">IF($A180="","",ROUND($Y180*XLOOKUP($F180,Settings!$I$15:$I$20,Settings!$O$15:$O$20,1.1)*Settings!$J$7,0))</f>
        <v>1</v>
      </c>
      <c r="AI180" s="12">
        <f t="array" ref="AI180">IF($A180="","",IF($AA180="Sold","",MIN($AH180,IFERROR(XLOOKUP(Settings!$B$12,Managers!$B$4:$B$15,Managers!$H$4:$H$15),$AH180))))</f>
        <v>1</v>
      </c>
      <c r="AJ180" s="12" t="str">
        <f t="shared" si="3"/>
        <v>Budget Drainer</v>
      </c>
      <c r="AK180" s="12">
        <f t="shared" si="4"/>
        <v>30</v>
      </c>
      <c r="AL180" s="12" t="str">
        <f t="shared" si="5"/>
        <v/>
      </c>
    </row>
    <row r="181" ht="15.75" customHeight="1">
      <c r="A181" s="10" t="s">
        <v>377</v>
      </c>
      <c r="B181" s="10" t="s">
        <v>378</v>
      </c>
      <c r="C181" s="10" t="s">
        <v>236</v>
      </c>
      <c r="D181" s="10" t="s">
        <v>118</v>
      </c>
      <c r="E181" s="10" t="s">
        <v>118</v>
      </c>
      <c r="F181" s="10" t="s">
        <v>114</v>
      </c>
      <c r="G181" s="10">
        <v>5.0</v>
      </c>
      <c r="H181" s="10">
        <v>7.0</v>
      </c>
      <c r="I181" s="10" t="s">
        <v>2140</v>
      </c>
      <c r="J181" s="10" t="s">
        <v>2136</v>
      </c>
      <c r="K181" s="10"/>
      <c r="L181" s="10">
        <v>174.75</v>
      </c>
      <c r="M181" s="10">
        <v>4.6</v>
      </c>
      <c r="N181" s="10"/>
      <c r="O181" s="10"/>
      <c r="P181" s="12">
        <f>IF($A181="","",IFERROR((IF($O181="",0,$O181)*Settings!$J$4+IF($L181="",0,$L181)*Settings!$J$5+IF($N181="",0,$N181)*Settings!$J$6)/(IF($O181="",0,Settings!$J$4)+IF($L181="",0,Settings!$J$5)+IF($N181="",0,Settings!$J$6)),0))</f>
        <v>174.75</v>
      </c>
      <c r="Q181" s="12">
        <f t="array" ref="Q181">IF($A181="","",XLOOKUP($E181,Settings!$A$19:$A$22,Settings!$G$19:$G$22,0))</f>
        <v>196.25</v>
      </c>
      <c r="R181" s="12">
        <f t="shared" si="1"/>
        <v>0</v>
      </c>
      <c r="S181" s="12">
        <f>IF($A181="","",IF($R181&lt;=0,1,1+$R181/SUMIF($R$4:$R$923,"&gt;0",$R$4:$R$923)*(Settings!$B$5*(Settings!$B$6-Settings!$B$7))))</f>
        <v>1</v>
      </c>
      <c r="T181" s="12">
        <f t="array" ref="T181">IF($A181="","",XLOOKUP($F181,Settings!$I$15:$I$20,Settings!$J$15:$J$20,1))</f>
        <v>0.9</v>
      </c>
      <c r="U181" s="12">
        <f>IF($A181="","",1+(($G181-5)/5)*Settings!$J$8)</f>
        <v>1</v>
      </c>
      <c r="V181" s="12">
        <f>IF($A181="","",1+(($H181-5)/5)*Settings!$J$9)</f>
        <v>1.06</v>
      </c>
      <c r="W181" s="12">
        <f t="array" ref="W181">IF($A181="","",XLOOKUP($J181,Lists!$C$3:$C$7,Lists!$D$3:$D$7,1))</f>
        <v>1</v>
      </c>
      <c r="X181" s="12">
        <f>IF($A181="","",IF($I181="Yes",Settings!$J$10,1))</f>
        <v>1</v>
      </c>
      <c r="Y181" s="12">
        <f t="shared" si="2"/>
        <v>1</v>
      </c>
      <c r="Z181" s="12">
        <f>IF($A181="","",IFERROR(ROUND(AVERAGEIFS('Historical Drafts'!$G$4:$G$300,'Historical Drafts'!$D$4:$D$300,$E181,'Historical Drafts'!$J$4:$J$300,"&gt;="&amp;$L181*0.85,'Historical Drafts'!$J$4:$J$300,"&lt;="&amp;$L181*1.15),0),$Y181))</f>
        <v>5</v>
      </c>
      <c r="AA181" s="12" t="str">
        <f>IF($A181="","",IF(COUNTIF('Auction Log'!$B$3:$B$300,$A181)&gt;0,"Sold","Available"))</f>
        <v>Available</v>
      </c>
      <c r="AB181" s="12" t="str">
        <f t="array" ref="AB181">IF($A181="","",IFERROR(XLOOKUP($A181,'Auction Log'!$B$3:$B$300,'Auction Log'!$G$3:$G$300,""),""))</f>
        <v/>
      </c>
      <c r="AC181" s="12" t="str">
        <f t="array" ref="AC181">IF($A181="","",IFERROR(XLOOKUP($A181,'Auction Log'!$B$3:$B$300,'Auction Log'!$F$3:$F$300,""),""))</f>
        <v/>
      </c>
      <c r="AD181" s="12">
        <f t="array" ref="AD181">IF($A181="","",ROUND($Y181*XLOOKUP($F181,Settings!$I$15:$I$20,Settings!$K$15:$K$20,0.4),0))</f>
        <v>0</v>
      </c>
      <c r="AE181" s="12">
        <f t="array" ref="AE181">IF($A181="","",ROUND($Y181*XLOOKUP($F181,Settings!$I$15:$I$20,Settings!$L$15:$L$20,0.8),0))</f>
        <v>1</v>
      </c>
      <c r="AF181" s="12">
        <f t="array" ref="AF181">IF($A181="","",ROUND($Y181*XLOOKUP($F181,Settings!$I$15:$I$20,Settings!$M$15:$M$20,1),0))</f>
        <v>1</v>
      </c>
      <c r="AG181" s="12">
        <f t="array" ref="AG181">IF($A181="","",ROUND($Y181*XLOOKUP($F181,Settings!$I$15:$I$20,Settings!$N$15:$N$20,1.1),0))</f>
        <v>1</v>
      </c>
      <c r="AH181" s="12">
        <f t="array" ref="AH181">IF($A181="","",ROUND($Y181*XLOOKUP($F181,Settings!$I$15:$I$20,Settings!$O$15:$O$20,1.1)*Settings!$J$7,0))</f>
        <v>1</v>
      </c>
      <c r="AI181" s="12">
        <f t="array" ref="AI181">IF($A181="","",IF($AA181="Sold","",MIN($AH181,IFERROR(XLOOKUP(Settings!$B$12,Managers!$B$4:$B$15,Managers!$H$4:$H$15),$AH181))))</f>
        <v>1</v>
      </c>
      <c r="AJ181" s="12" t="str">
        <f t="shared" si="3"/>
        <v>Budget Drainer</v>
      </c>
      <c r="AK181" s="12">
        <f t="shared" si="4"/>
        <v>30</v>
      </c>
      <c r="AL181" s="12" t="str">
        <f t="shared" si="5"/>
        <v/>
      </c>
    </row>
    <row r="182" ht="15.75" customHeight="1">
      <c r="A182" s="10" t="s">
        <v>707</v>
      </c>
      <c r="B182" s="10" t="s">
        <v>708</v>
      </c>
      <c r="C182" s="10" t="s">
        <v>191</v>
      </c>
      <c r="D182" s="10" t="s">
        <v>118</v>
      </c>
      <c r="E182" s="10" t="s">
        <v>118</v>
      </c>
      <c r="F182" s="10" t="s">
        <v>114</v>
      </c>
      <c r="G182" s="10">
        <v>5.0</v>
      </c>
      <c r="H182" s="10">
        <v>7.0</v>
      </c>
      <c r="I182" s="10" t="s">
        <v>2140</v>
      </c>
      <c r="J182" s="10" t="s">
        <v>2136</v>
      </c>
      <c r="K182" s="10"/>
      <c r="L182" s="10">
        <v>172.5</v>
      </c>
      <c r="M182" s="10">
        <v>6.9</v>
      </c>
      <c r="N182" s="10"/>
      <c r="O182" s="10"/>
      <c r="P182" s="12">
        <f>IF($A182="","",IFERROR((IF($O182="",0,$O182)*Settings!$J$4+IF($L182="",0,$L182)*Settings!$J$5+IF($N182="",0,$N182)*Settings!$J$6)/(IF($O182="",0,Settings!$J$4)+IF($L182="",0,Settings!$J$5)+IF($N182="",0,Settings!$J$6)),0))</f>
        <v>172.5</v>
      </c>
      <c r="Q182" s="12">
        <f t="array" ref="Q182">IF($A182="","",XLOOKUP($E182,Settings!$A$19:$A$22,Settings!$G$19:$G$22,0))</f>
        <v>196.25</v>
      </c>
      <c r="R182" s="12">
        <f t="shared" si="1"/>
        <v>0</v>
      </c>
      <c r="S182" s="12">
        <f>IF($A182="","",IF($R182&lt;=0,1,1+$R182/SUMIF($R$4:$R$923,"&gt;0",$R$4:$R$923)*(Settings!$B$5*(Settings!$B$6-Settings!$B$7))))</f>
        <v>1</v>
      </c>
      <c r="T182" s="12">
        <f t="array" ref="T182">IF($A182="","",XLOOKUP($F182,Settings!$I$15:$I$20,Settings!$J$15:$J$20,1))</f>
        <v>0.9</v>
      </c>
      <c r="U182" s="12">
        <f>IF($A182="","",1+(($G182-5)/5)*Settings!$J$8)</f>
        <v>1</v>
      </c>
      <c r="V182" s="12">
        <f>IF($A182="","",1+(($H182-5)/5)*Settings!$J$9)</f>
        <v>1.06</v>
      </c>
      <c r="W182" s="12">
        <f t="array" ref="W182">IF($A182="","",XLOOKUP($J182,Lists!$C$3:$C$7,Lists!$D$3:$D$7,1))</f>
        <v>1</v>
      </c>
      <c r="X182" s="12">
        <f>IF($A182="","",IF($I182="Yes",Settings!$J$10,1))</f>
        <v>1</v>
      </c>
      <c r="Y182" s="12">
        <f t="shared" si="2"/>
        <v>1</v>
      </c>
      <c r="Z182" s="12">
        <f>IF($A182="","",IFERROR(ROUND(AVERAGEIFS('Historical Drafts'!$G$4:$G$300,'Historical Drafts'!$D$4:$D$300,$E182,'Historical Drafts'!$J$4:$J$300,"&gt;="&amp;$L182*0.85,'Historical Drafts'!$J$4:$J$300,"&lt;="&amp;$L182*1.15),0),$Y182))</f>
        <v>6</v>
      </c>
      <c r="AA182" s="12" t="str">
        <f>IF($A182="","",IF(COUNTIF('Auction Log'!$B$3:$B$300,$A182)&gt;0,"Sold","Available"))</f>
        <v>Available</v>
      </c>
      <c r="AB182" s="12" t="str">
        <f t="array" ref="AB182">IF($A182="","",IFERROR(XLOOKUP($A182,'Auction Log'!$B$3:$B$300,'Auction Log'!$G$3:$G$300,""),""))</f>
        <v/>
      </c>
      <c r="AC182" s="12" t="str">
        <f t="array" ref="AC182">IF($A182="","",IFERROR(XLOOKUP($A182,'Auction Log'!$B$3:$B$300,'Auction Log'!$F$3:$F$300,""),""))</f>
        <v/>
      </c>
      <c r="AD182" s="12">
        <f t="array" ref="AD182">IF($A182="","",ROUND($Y182*XLOOKUP($F182,Settings!$I$15:$I$20,Settings!$K$15:$K$20,0.4),0))</f>
        <v>0</v>
      </c>
      <c r="AE182" s="12">
        <f t="array" ref="AE182">IF($A182="","",ROUND($Y182*XLOOKUP($F182,Settings!$I$15:$I$20,Settings!$L$15:$L$20,0.8),0))</f>
        <v>1</v>
      </c>
      <c r="AF182" s="12">
        <f t="array" ref="AF182">IF($A182="","",ROUND($Y182*XLOOKUP($F182,Settings!$I$15:$I$20,Settings!$M$15:$M$20,1),0))</f>
        <v>1</v>
      </c>
      <c r="AG182" s="12">
        <f t="array" ref="AG182">IF($A182="","",ROUND($Y182*XLOOKUP($F182,Settings!$I$15:$I$20,Settings!$N$15:$N$20,1.1),0))</f>
        <v>1</v>
      </c>
      <c r="AH182" s="12">
        <f t="array" ref="AH182">IF($A182="","",ROUND($Y182*XLOOKUP($F182,Settings!$I$15:$I$20,Settings!$O$15:$O$20,1.1)*Settings!$J$7,0))</f>
        <v>1</v>
      </c>
      <c r="AI182" s="12">
        <f t="array" ref="AI182">IF($A182="","",IF($AA182="Sold","",MIN($AH182,IFERROR(XLOOKUP(Settings!$B$12,Managers!$B$4:$B$15,Managers!$H$4:$H$15),$AH182))))</f>
        <v>1</v>
      </c>
      <c r="AJ182" s="12" t="str">
        <f t="shared" si="3"/>
        <v>Budget Drainer</v>
      </c>
      <c r="AK182" s="12">
        <f t="shared" si="4"/>
        <v>31</v>
      </c>
      <c r="AL182" s="12" t="str">
        <f t="shared" si="5"/>
        <v/>
      </c>
    </row>
    <row r="183" ht="15.75" customHeight="1">
      <c r="A183" s="10" t="s">
        <v>421</v>
      </c>
      <c r="B183" s="10" t="s">
        <v>709</v>
      </c>
      <c r="C183" s="10" t="s">
        <v>215</v>
      </c>
      <c r="D183" s="10" t="s">
        <v>121</v>
      </c>
      <c r="E183" s="10" t="s">
        <v>121</v>
      </c>
      <c r="F183" s="10" t="s">
        <v>114</v>
      </c>
      <c r="G183" s="10">
        <v>5.0</v>
      </c>
      <c r="H183" s="10">
        <v>7.0</v>
      </c>
      <c r="I183" s="10" t="s">
        <v>2140</v>
      </c>
      <c r="J183" s="10" t="s">
        <v>2136</v>
      </c>
      <c r="K183" s="10"/>
      <c r="L183" s="10">
        <v>172.0</v>
      </c>
      <c r="M183" s="10">
        <v>9.56</v>
      </c>
      <c r="N183" s="10"/>
      <c r="O183" s="10"/>
      <c r="P183" s="12">
        <f>IF($A183="","",IFERROR((IF($O183="",0,$O183)*Settings!$J$4+IF($L183="",0,$L183)*Settings!$J$5+IF($N183="",0,$N183)*Settings!$J$6)/(IF($O183="",0,Settings!$J$4)+IF($L183="",0,Settings!$J$5)+IF($N183="",0,Settings!$J$6)),0))</f>
        <v>172</v>
      </c>
      <c r="Q183" s="12">
        <f t="array" ref="Q183">IF($A183="","",XLOOKUP($E183,Settings!$A$19:$A$22,Settings!$G$19:$G$22,0))</f>
        <v>206</v>
      </c>
      <c r="R183" s="12">
        <f t="shared" si="1"/>
        <v>0</v>
      </c>
      <c r="S183" s="12">
        <f>IF($A183="","",IF($R183&lt;=0,1,1+$R183/SUMIF($R$4:$R$923,"&gt;0",$R$4:$R$923)*(Settings!$B$5*(Settings!$B$6-Settings!$B$7))))</f>
        <v>1</v>
      </c>
      <c r="T183" s="12">
        <f t="array" ref="T183">IF($A183="","",XLOOKUP($F183,Settings!$I$15:$I$20,Settings!$J$15:$J$20,1))</f>
        <v>0.9</v>
      </c>
      <c r="U183" s="12">
        <f>IF($A183="","",1+(($G183-5)/5)*Settings!$J$8)</f>
        <v>1</v>
      </c>
      <c r="V183" s="12">
        <f>IF($A183="","",1+(($H183-5)/5)*Settings!$J$9)</f>
        <v>1.06</v>
      </c>
      <c r="W183" s="12">
        <f t="array" ref="W183">IF($A183="","",XLOOKUP($J183,Lists!$C$3:$C$7,Lists!$D$3:$D$7,1))</f>
        <v>1</v>
      </c>
      <c r="X183" s="12">
        <f>IF($A183="","",IF($I183="Yes",Settings!$J$10,1))</f>
        <v>1</v>
      </c>
      <c r="Y183" s="12">
        <f t="shared" si="2"/>
        <v>1</v>
      </c>
      <c r="Z183" s="12">
        <f>IF($A183="","",IFERROR(ROUND(AVERAGEIFS('Historical Drafts'!$G$4:$G$300,'Historical Drafts'!$D$4:$D$300,$E183,'Historical Drafts'!$J$4:$J$300,"&gt;="&amp;$L183*0.85,'Historical Drafts'!$J$4:$J$300,"&lt;="&amp;$L183*1.15),0),$Y183))</f>
        <v>11</v>
      </c>
      <c r="AA183" s="12" t="str">
        <f>IF($A183="","",IF(COUNTIF('Auction Log'!$B$3:$B$300,$A183)&gt;0,"Sold","Available"))</f>
        <v>Available</v>
      </c>
      <c r="AB183" s="12" t="str">
        <f t="array" ref="AB183">IF($A183="","",IFERROR(XLOOKUP($A183,'Auction Log'!$B$3:$B$300,'Auction Log'!$G$3:$G$300,""),""))</f>
        <v/>
      </c>
      <c r="AC183" s="12" t="str">
        <f t="array" ref="AC183">IF($A183="","",IFERROR(XLOOKUP($A183,'Auction Log'!$B$3:$B$300,'Auction Log'!$F$3:$F$300,""),""))</f>
        <v/>
      </c>
      <c r="AD183" s="12">
        <f t="array" ref="AD183">IF($A183="","",ROUND($Y183*XLOOKUP($F183,Settings!$I$15:$I$20,Settings!$K$15:$K$20,0.4),0))</f>
        <v>0</v>
      </c>
      <c r="AE183" s="12">
        <f t="array" ref="AE183">IF($A183="","",ROUND($Y183*XLOOKUP($F183,Settings!$I$15:$I$20,Settings!$L$15:$L$20,0.8),0))</f>
        <v>1</v>
      </c>
      <c r="AF183" s="12">
        <f t="array" ref="AF183">IF($A183="","",ROUND($Y183*XLOOKUP($F183,Settings!$I$15:$I$20,Settings!$M$15:$M$20,1),0))</f>
        <v>1</v>
      </c>
      <c r="AG183" s="12">
        <f t="array" ref="AG183">IF($A183="","",ROUND($Y183*XLOOKUP($F183,Settings!$I$15:$I$20,Settings!$N$15:$N$20,1.1),0))</f>
        <v>1</v>
      </c>
      <c r="AH183" s="12">
        <f t="array" ref="AH183">IF($A183="","",ROUND($Y183*XLOOKUP($F183,Settings!$I$15:$I$20,Settings!$O$15:$O$20,1.1)*Settings!$J$7,0))</f>
        <v>1</v>
      </c>
      <c r="AI183" s="12">
        <f t="array" ref="AI183">IF($A183="","",IF($AA183="Sold","",MIN($AH183,IFERROR(XLOOKUP(Settings!$B$12,Managers!$B$4:$B$15,Managers!$H$4:$H$15),$AH183))))</f>
        <v>1</v>
      </c>
      <c r="AJ183" s="12" t="str">
        <f t="shared" si="3"/>
        <v>Budget Drainer</v>
      </c>
      <c r="AK183" s="12">
        <f t="shared" si="4"/>
        <v>36</v>
      </c>
      <c r="AL183" s="12" t="str">
        <f t="shared" si="5"/>
        <v/>
      </c>
    </row>
    <row r="184" ht="15.75" customHeight="1">
      <c r="A184" s="10" t="s">
        <v>710</v>
      </c>
      <c r="B184" s="10" t="s">
        <v>711</v>
      </c>
      <c r="C184" s="10" t="s">
        <v>185</v>
      </c>
      <c r="D184" s="10" t="s">
        <v>118</v>
      </c>
      <c r="E184" s="10" t="s">
        <v>118</v>
      </c>
      <c r="F184" s="10" t="s">
        <v>114</v>
      </c>
      <c r="G184" s="10">
        <v>5.0</v>
      </c>
      <c r="H184" s="10">
        <v>7.0</v>
      </c>
      <c r="I184" s="10" t="s">
        <v>2140</v>
      </c>
      <c r="J184" s="10" t="s">
        <v>2136</v>
      </c>
      <c r="K184" s="10"/>
      <c r="L184" s="10">
        <v>171.75</v>
      </c>
      <c r="M184" s="10">
        <v>7.47</v>
      </c>
      <c r="N184" s="10"/>
      <c r="O184" s="10"/>
      <c r="P184" s="12">
        <f>IF($A184="","",IFERROR((IF($O184="",0,$O184)*Settings!$J$4+IF($L184="",0,$L184)*Settings!$J$5+IF($N184="",0,$N184)*Settings!$J$6)/(IF($O184="",0,Settings!$J$4)+IF($L184="",0,Settings!$J$5)+IF($N184="",0,Settings!$J$6)),0))</f>
        <v>171.75</v>
      </c>
      <c r="Q184" s="12">
        <f t="array" ref="Q184">IF($A184="","",XLOOKUP($E184,Settings!$A$19:$A$22,Settings!$G$19:$G$22,0))</f>
        <v>196.25</v>
      </c>
      <c r="R184" s="12">
        <f t="shared" si="1"/>
        <v>0</v>
      </c>
      <c r="S184" s="12">
        <f>IF($A184="","",IF($R184&lt;=0,1,1+$R184/SUMIF($R$4:$R$923,"&gt;0",$R$4:$R$923)*(Settings!$B$5*(Settings!$B$6-Settings!$B$7))))</f>
        <v>1</v>
      </c>
      <c r="T184" s="12">
        <f t="array" ref="T184">IF($A184="","",XLOOKUP($F184,Settings!$I$15:$I$20,Settings!$J$15:$J$20,1))</f>
        <v>0.9</v>
      </c>
      <c r="U184" s="12">
        <f>IF($A184="","",1+(($G184-5)/5)*Settings!$J$8)</f>
        <v>1</v>
      </c>
      <c r="V184" s="12">
        <f>IF($A184="","",1+(($H184-5)/5)*Settings!$J$9)</f>
        <v>1.06</v>
      </c>
      <c r="W184" s="12">
        <f t="array" ref="W184">IF($A184="","",XLOOKUP($J184,Lists!$C$3:$C$7,Lists!$D$3:$D$7,1))</f>
        <v>1</v>
      </c>
      <c r="X184" s="12">
        <f>IF($A184="","",IF($I184="Yes",Settings!$J$10,1))</f>
        <v>1</v>
      </c>
      <c r="Y184" s="12">
        <f t="shared" si="2"/>
        <v>1</v>
      </c>
      <c r="Z184" s="12">
        <f>IF($A184="","",IFERROR(ROUND(AVERAGEIFS('Historical Drafts'!$G$4:$G$300,'Historical Drafts'!$D$4:$D$300,$E184,'Historical Drafts'!$J$4:$J$300,"&gt;="&amp;$L184*0.85,'Historical Drafts'!$J$4:$J$300,"&lt;="&amp;$L184*1.15),0),$Y184))</f>
        <v>6</v>
      </c>
      <c r="AA184" s="12" t="str">
        <f>IF($A184="","",IF(COUNTIF('Auction Log'!$B$3:$B$300,$A184)&gt;0,"Sold","Available"))</f>
        <v>Available</v>
      </c>
      <c r="AB184" s="12" t="str">
        <f t="array" ref="AB184">IF($A184="","",IFERROR(XLOOKUP($A184,'Auction Log'!$B$3:$B$300,'Auction Log'!$G$3:$G$300,""),""))</f>
        <v/>
      </c>
      <c r="AC184" s="12" t="str">
        <f t="array" ref="AC184">IF($A184="","",IFERROR(XLOOKUP($A184,'Auction Log'!$B$3:$B$300,'Auction Log'!$F$3:$F$300,""),""))</f>
        <v/>
      </c>
      <c r="AD184" s="12">
        <f t="array" ref="AD184">IF($A184="","",ROUND($Y184*XLOOKUP($F184,Settings!$I$15:$I$20,Settings!$K$15:$K$20,0.4),0))</f>
        <v>0</v>
      </c>
      <c r="AE184" s="12">
        <f t="array" ref="AE184">IF($A184="","",ROUND($Y184*XLOOKUP($F184,Settings!$I$15:$I$20,Settings!$L$15:$L$20,0.8),0))</f>
        <v>1</v>
      </c>
      <c r="AF184" s="12">
        <f t="array" ref="AF184">IF($A184="","",ROUND($Y184*XLOOKUP($F184,Settings!$I$15:$I$20,Settings!$M$15:$M$20,1),0))</f>
        <v>1</v>
      </c>
      <c r="AG184" s="12">
        <f t="array" ref="AG184">IF($A184="","",ROUND($Y184*XLOOKUP($F184,Settings!$I$15:$I$20,Settings!$N$15:$N$20,1.1),0))</f>
        <v>1</v>
      </c>
      <c r="AH184" s="12">
        <f t="array" ref="AH184">IF($A184="","",ROUND($Y184*XLOOKUP($F184,Settings!$I$15:$I$20,Settings!$O$15:$O$20,1.1)*Settings!$J$7,0))</f>
        <v>1</v>
      </c>
      <c r="AI184" s="12">
        <f t="array" ref="AI184">IF($A184="","",IF($AA184="Sold","",MIN($AH184,IFERROR(XLOOKUP(Settings!$B$12,Managers!$B$4:$B$15,Managers!$H$4:$H$15),$AH184))))</f>
        <v>1</v>
      </c>
      <c r="AJ184" s="12" t="str">
        <f t="shared" si="3"/>
        <v>Budget Drainer</v>
      </c>
      <c r="AK184" s="12">
        <f t="shared" si="4"/>
        <v>31</v>
      </c>
      <c r="AL184" s="12" t="str">
        <f t="shared" si="5"/>
        <v/>
      </c>
    </row>
    <row r="185" ht="15.75" customHeight="1">
      <c r="A185" s="10" t="s">
        <v>712</v>
      </c>
      <c r="B185" s="10" t="s">
        <v>713</v>
      </c>
      <c r="C185" s="10" t="s">
        <v>243</v>
      </c>
      <c r="D185" s="10" t="s">
        <v>118</v>
      </c>
      <c r="E185" s="10" t="s">
        <v>118</v>
      </c>
      <c r="F185" s="10" t="s">
        <v>114</v>
      </c>
      <c r="G185" s="10">
        <v>5.0</v>
      </c>
      <c r="H185" s="10">
        <v>7.0</v>
      </c>
      <c r="I185" s="10" t="s">
        <v>2140</v>
      </c>
      <c r="J185" s="10" t="s">
        <v>2136</v>
      </c>
      <c r="K185" s="10"/>
      <c r="L185" s="10">
        <v>171.25</v>
      </c>
      <c r="M185" s="10">
        <v>4.89</v>
      </c>
      <c r="N185" s="10"/>
      <c r="O185" s="10"/>
      <c r="P185" s="12">
        <f>IF($A185="","",IFERROR((IF($O185="",0,$O185)*Settings!$J$4+IF($L185="",0,$L185)*Settings!$J$5+IF($N185="",0,$N185)*Settings!$J$6)/(IF($O185="",0,Settings!$J$4)+IF($L185="",0,Settings!$J$5)+IF($N185="",0,Settings!$J$6)),0))</f>
        <v>171.25</v>
      </c>
      <c r="Q185" s="12">
        <f t="array" ref="Q185">IF($A185="","",XLOOKUP($E185,Settings!$A$19:$A$22,Settings!$G$19:$G$22,0))</f>
        <v>196.25</v>
      </c>
      <c r="R185" s="12">
        <f t="shared" si="1"/>
        <v>0</v>
      </c>
      <c r="S185" s="12">
        <f>IF($A185="","",IF($R185&lt;=0,1,1+$R185/SUMIF($R$4:$R$923,"&gt;0",$R$4:$R$923)*(Settings!$B$5*(Settings!$B$6-Settings!$B$7))))</f>
        <v>1</v>
      </c>
      <c r="T185" s="12">
        <f t="array" ref="T185">IF($A185="","",XLOOKUP($F185,Settings!$I$15:$I$20,Settings!$J$15:$J$20,1))</f>
        <v>0.9</v>
      </c>
      <c r="U185" s="12">
        <f>IF($A185="","",1+(($G185-5)/5)*Settings!$J$8)</f>
        <v>1</v>
      </c>
      <c r="V185" s="12">
        <f>IF($A185="","",1+(($H185-5)/5)*Settings!$J$9)</f>
        <v>1.06</v>
      </c>
      <c r="W185" s="12">
        <f t="array" ref="W185">IF($A185="","",XLOOKUP($J185,Lists!$C$3:$C$7,Lists!$D$3:$D$7,1))</f>
        <v>1</v>
      </c>
      <c r="X185" s="12">
        <f>IF($A185="","",IF($I185="Yes",Settings!$J$10,1))</f>
        <v>1</v>
      </c>
      <c r="Y185" s="12">
        <f t="shared" si="2"/>
        <v>1</v>
      </c>
      <c r="Z185" s="12">
        <f>IF($A185="","",IFERROR(ROUND(AVERAGEIFS('Historical Drafts'!$G$4:$G$300,'Historical Drafts'!$D$4:$D$300,$E185,'Historical Drafts'!$J$4:$J$300,"&gt;="&amp;$L185*0.85,'Historical Drafts'!$J$4:$J$300,"&lt;="&amp;$L185*1.15),0),$Y185))</f>
        <v>6</v>
      </c>
      <c r="AA185" s="12" t="str">
        <f>IF($A185="","",IF(COUNTIF('Auction Log'!$B$3:$B$300,$A185)&gt;0,"Sold","Available"))</f>
        <v>Available</v>
      </c>
      <c r="AB185" s="12" t="str">
        <f t="array" ref="AB185">IF($A185="","",IFERROR(XLOOKUP($A185,'Auction Log'!$B$3:$B$300,'Auction Log'!$G$3:$G$300,""),""))</f>
        <v/>
      </c>
      <c r="AC185" s="12" t="str">
        <f t="array" ref="AC185">IF($A185="","",IFERROR(XLOOKUP($A185,'Auction Log'!$B$3:$B$300,'Auction Log'!$F$3:$F$300,""),""))</f>
        <v/>
      </c>
      <c r="AD185" s="12">
        <f t="array" ref="AD185">IF($A185="","",ROUND($Y185*XLOOKUP($F185,Settings!$I$15:$I$20,Settings!$K$15:$K$20,0.4),0))</f>
        <v>0</v>
      </c>
      <c r="AE185" s="12">
        <f t="array" ref="AE185">IF($A185="","",ROUND($Y185*XLOOKUP($F185,Settings!$I$15:$I$20,Settings!$L$15:$L$20,0.8),0))</f>
        <v>1</v>
      </c>
      <c r="AF185" s="12">
        <f t="array" ref="AF185">IF($A185="","",ROUND($Y185*XLOOKUP($F185,Settings!$I$15:$I$20,Settings!$M$15:$M$20,1),0))</f>
        <v>1</v>
      </c>
      <c r="AG185" s="12">
        <f t="array" ref="AG185">IF($A185="","",ROUND($Y185*XLOOKUP($F185,Settings!$I$15:$I$20,Settings!$N$15:$N$20,1.1),0))</f>
        <v>1</v>
      </c>
      <c r="AH185" s="12">
        <f t="array" ref="AH185">IF($A185="","",ROUND($Y185*XLOOKUP($F185,Settings!$I$15:$I$20,Settings!$O$15:$O$20,1.1)*Settings!$J$7,0))</f>
        <v>1</v>
      </c>
      <c r="AI185" s="12">
        <f t="array" ref="AI185">IF($A185="","",IF($AA185="Sold","",MIN($AH185,IFERROR(XLOOKUP(Settings!$B$12,Managers!$B$4:$B$15,Managers!$H$4:$H$15),$AH185))))</f>
        <v>1</v>
      </c>
      <c r="AJ185" s="12" t="str">
        <f t="shared" si="3"/>
        <v>Budget Drainer</v>
      </c>
      <c r="AK185" s="12">
        <f t="shared" si="4"/>
        <v>31</v>
      </c>
      <c r="AL185" s="12" t="str">
        <f t="shared" si="5"/>
        <v/>
      </c>
    </row>
    <row r="186" ht="15.75" customHeight="1">
      <c r="A186" s="10" t="s">
        <v>714</v>
      </c>
      <c r="B186" s="10" t="s">
        <v>715</v>
      </c>
      <c r="C186" s="10" t="s">
        <v>243</v>
      </c>
      <c r="D186" s="10" t="s">
        <v>118</v>
      </c>
      <c r="E186" s="10" t="s">
        <v>118</v>
      </c>
      <c r="F186" s="10" t="s">
        <v>114</v>
      </c>
      <c r="G186" s="10">
        <v>5.0</v>
      </c>
      <c r="H186" s="10">
        <v>7.0</v>
      </c>
      <c r="I186" s="10" t="s">
        <v>2140</v>
      </c>
      <c r="J186" s="10" t="s">
        <v>2136</v>
      </c>
      <c r="K186" s="10"/>
      <c r="L186" s="10">
        <v>170.75</v>
      </c>
      <c r="M186" s="10">
        <v>5.69</v>
      </c>
      <c r="N186" s="10"/>
      <c r="O186" s="10"/>
      <c r="P186" s="12">
        <f>IF($A186="","",IFERROR((IF($O186="",0,$O186)*Settings!$J$4+IF($L186="",0,$L186)*Settings!$J$5+IF($N186="",0,$N186)*Settings!$J$6)/(IF($O186="",0,Settings!$J$4)+IF($L186="",0,Settings!$J$5)+IF($N186="",0,Settings!$J$6)),0))</f>
        <v>170.75</v>
      </c>
      <c r="Q186" s="12">
        <f t="array" ref="Q186">IF($A186="","",XLOOKUP($E186,Settings!$A$19:$A$22,Settings!$G$19:$G$22,0))</f>
        <v>196.25</v>
      </c>
      <c r="R186" s="12">
        <f t="shared" si="1"/>
        <v>0</v>
      </c>
      <c r="S186" s="12">
        <f>IF($A186="","",IF($R186&lt;=0,1,1+$R186/SUMIF($R$4:$R$923,"&gt;0",$R$4:$R$923)*(Settings!$B$5*(Settings!$B$6-Settings!$B$7))))</f>
        <v>1</v>
      </c>
      <c r="T186" s="12">
        <f t="array" ref="T186">IF($A186="","",XLOOKUP($F186,Settings!$I$15:$I$20,Settings!$J$15:$J$20,1))</f>
        <v>0.9</v>
      </c>
      <c r="U186" s="12">
        <f>IF($A186="","",1+(($G186-5)/5)*Settings!$J$8)</f>
        <v>1</v>
      </c>
      <c r="V186" s="12">
        <f>IF($A186="","",1+(($H186-5)/5)*Settings!$J$9)</f>
        <v>1.06</v>
      </c>
      <c r="W186" s="12">
        <f t="array" ref="W186">IF($A186="","",XLOOKUP($J186,Lists!$C$3:$C$7,Lists!$D$3:$D$7,1))</f>
        <v>1</v>
      </c>
      <c r="X186" s="12">
        <f>IF($A186="","",IF($I186="Yes",Settings!$J$10,1))</f>
        <v>1</v>
      </c>
      <c r="Y186" s="12">
        <f t="shared" si="2"/>
        <v>1</v>
      </c>
      <c r="Z186" s="12">
        <f>IF($A186="","",IFERROR(ROUND(AVERAGEIFS('Historical Drafts'!$G$4:$G$300,'Historical Drafts'!$D$4:$D$300,$E186,'Historical Drafts'!$J$4:$J$300,"&gt;="&amp;$L186*0.85,'Historical Drafts'!$J$4:$J$300,"&lt;="&amp;$L186*1.15),0),$Y186))</f>
        <v>6</v>
      </c>
      <c r="AA186" s="12" t="str">
        <f>IF($A186="","",IF(COUNTIF('Auction Log'!$B$3:$B$300,$A186)&gt;0,"Sold","Available"))</f>
        <v>Available</v>
      </c>
      <c r="AB186" s="12" t="str">
        <f t="array" ref="AB186">IF($A186="","",IFERROR(XLOOKUP($A186,'Auction Log'!$B$3:$B$300,'Auction Log'!$G$3:$G$300,""),""))</f>
        <v/>
      </c>
      <c r="AC186" s="12" t="str">
        <f t="array" ref="AC186">IF($A186="","",IFERROR(XLOOKUP($A186,'Auction Log'!$B$3:$B$300,'Auction Log'!$F$3:$F$300,""),""))</f>
        <v/>
      </c>
      <c r="AD186" s="12">
        <f t="array" ref="AD186">IF($A186="","",ROUND($Y186*XLOOKUP($F186,Settings!$I$15:$I$20,Settings!$K$15:$K$20,0.4),0))</f>
        <v>0</v>
      </c>
      <c r="AE186" s="12">
        <f t="array" ref="AE186">IF($A186="","",ROUND($Y186*XLOOKUP($F186,Settings!$I$15:$I$20,Settings!$L$15:$L$20,0.8),0))</f>
        <v>1</v>
      </c>
      <c r="AF186" s="12">
        <f t="array" ref="AF186">IF($A186="","",ROUND($Y186*XLOOKUP($F186,Settings!$I$15:$I$20,Settings!$M$15:$M$20,1),0))</f>
        <v>1</v>
      </c>
      <c r="AG186" s="12">
        <f t="array" ref="AG186">IF($A186="","",ROUND($Y186*XLOOKUP($F186,Settings!$I$15:$I$20,Settings!$N$15:$N$20,1.1),0))</f>
        <v>1</v>
      </c>
      <c r="AH186" s="12">
        <f t="array" ref="AH186">IF($A186="","",ROUND($Y186*XLOOKUP($F186,Settings!$I$15:$I$20,Settings!$O$15:$O$20,1.1)*Settings!$J$7,0))</f>
        <v>1</v>
      </c>
      <c r="AI186" s="12">
        <f t="array" ref="AI186">IF($A186="","",IF($AA186="Sold","",MIN($AH186,IFERROR(XLOOKUP(Settings!$B$12,Managers!$B$4:$B$15,Managers!$H$4:$H$15),$AH186))))</f>
        <v>1</v>
      </c>
      <c r="AJ186" s="12" t="str">
        <f t="shared" si="3"/>
        <v>Budget Drainer</v>
      </c>
      <c r="AK186" s="12">
        <f t="shared" si="4"/>
        <v>31</v>
      </c>
      <c r="AL186" s="12" t="str">
        <f t="shared" si="5"/>
        <v/>
      </c>
    </row>
    <row r="187" ht="15.75" customHeight="1">
      <c r="A187" s="10" t="s">
        <v>716</v>
      </c>
      <c r="B187" s="10" t="s">
        <v>717</v>
      </c>
      <c r="C187" s="10" t="s">
        <v>231</v>
      </c>
      <c r="D187" s="10" t="s">
        <v>121</v>
      </c>
      <c r="E187" s="10" t="s">
        <v>121</v>
      </c>
      <c r="F187" s="10" t="s">
        <v>114</v>
      </c>
      <c r="G187" s="10">
        <v>5.0</v>
      </c>
      <c r="H187" s="10">
        <v>7.0</v>
      </c>
      <c r="I187" s="10" t="s">
        <v>2140</v>
      </c>
      <c r="J187" s="10" t="s">
        <v>2136</v>
      </c>
      <c r="K187" s="10"/>
      <c r="L187" s="10">
        <v>170.0</v>
      </c>
      <c r="M187" s="10">
        <v>6.3</v>
      </c>
      <c r="N187" s="10"/>
      <c r="O187" s="10"/>
      <c r="P187" s="12">
        <f>IF($A187="","",IFERROR((IF($O187="",0,$O187)*Settings!$J$4+IF($L187="",0,$L187)*Settings!$J$5+IF($N187="",0,$N187)*Settings!$J$6)/(IF($O187="",0,Settings!$J$4)+IF($L187="",0,Settings!$J$5)+IF($N187="",0,Settings!$J$6)),0))</f>
        <v>170</v>
      </c>
      <c r="Q187" s="12">
        <f t="array" ref="Q187">IF($A187="","",XLOOKUP($E187,Settings!$A$19:$A$22,Settings!$G$19:$G$22,0))</f>
        <v>206</v>
      </c>
      <c r="R187" s="12">
        <f t="shared" si="1"/>
        <v>0</v>
      </c>
      <c r="S187" s="12">
        <f>IF($A187="","",IF($R187&lt;=0,1,1+$R187/SUMIF($R$4:$R$923,"&gt;0",$R$4:$R$923)*(Settings!$B$5*(Settings!$B$6-Settings!$B$7))))</f>
        <v>1</v>
      </c>
      <c r="T187" s="12">
        <f t="array" ref="T187">IF($A187="","",XLOOKUP($F187,Settings!$I$15:$I$20,Settings!$J$15:$J$20,1))</f>
        <v>0.9</v>
      </c>
      <c r="U187" s="12">
        <f>IF($A187="","",1+(($G187-5)/5)*Settings!$J$8)</f>
        <v>1</v>
      </c>
      <c r="V187" s="12">
        <f>IF($A187="","",1+(($H187-5)/5)*Settings!$J$9)</f>
        <v>1.06</v>
      </c>
      <c r="W187" s="12">
        <f t="array" ref="W187">IF($A187="","",XLOOKUP($J187,Lists!$C$3:$C$7,Lists!$D$3:$D$7,1))</f>
        <v>1</v>
      </c>
      <c r="X187" s="12">
        <f>IF($A187="","",IF($I187="Yes",Settings!$J$10,1))</f>
        <v>1</v>
      </c>
      <c r="Y187" s="12">
        <f t="shared" si="2"/>
        <v>1</v>
      </c>
      <c r="Z187" s="12">
        <f>IF($A187="","",IFERROR(ROUND(AVERAGEIFS('Historical Drafts'!$G$4:$G$300,'Historical Drafts'!$D$4:$D$300,$E187,'Historical Drafts'!$J$4:$J$300,"&gt;="&amp;$L187*0.85,'Historical Drafts'!$J$4:$J$300,"&lt;="&amp;$L187*1.15),0),$Y187))</f>
        <v>11</v>
      </c>
      <c r="AA187" s="12" t="str">
        <f>IF($A187="","",IF(COUNTIF('Auction Log'!$B$3:$B$300,$A187)&gt;0,"Sold","Available"))</f>
        <v>Available</v>
      </c>
      <c r="AB187" s="12" t="str">
        <f t="array" ref="AB187">IF($A187="","",IFERROR(XLOOKUP($A187,'Auction Log'!$B$3:$B$300,'Auction Log'!$G$3:$G$300,""),""))</f>
        <v/>
      </c>
      <c r="AC187" s="12" t="str">
        <f t="array" ref="AC187">IF($A187="","",IFERROR(XLOOKUP($A187,'Auction Log'!$B$3:$B$300,'Auction Log'!$F$3:$F$300,""),""))</f>
        <v/>
      </c>
      <c r="AD187" s="12">
        <f t="array" ref="AD187">IF($A187="","",ROUND($Y187*XLOOKUP($F187,Settings!$I$15:$I$20,Settings!$K$15:$K$20,0.4),0))</f>
        <v>0</v>
      </c>
      <c r="AE187" s="12">
        <f t="array" ref="AE187">IF($A187="","",ROUND($Y187*XLOOKUP($F187,Settings!$I$15:$I$20,Settings!$L$15:$L$20,0.8),0))</f>
        <v>1</v>
      </c>
      <c r="AF187" s="12">
        <f t="array" ref="AF187">IF($A187="","",ROUND($Y187*XLOOKUP($F187,Settings!$I$15:$I$20,Settings!$M$15:$M$20,1),0))</f>
        <v>1</v>
      </c>
      <c r="AG187" s="12">
        <f t="array" ref="AG187">IF($A187="","",ROUND($Y187*XLOOKUP($F187,Settings!$I$15:$I$20,Settings!$N$15:$N$20,1.1),0))</f>
        <v>1</v>
      </c>
      <c r="AH187" s="12">
        <f t="array" ref="AH187">IF($A187="","",ROUND($Y187*XLOOKUP($F187,Settings!$I$15:$I$20,Settings!$O$15:$O$20,1.1)*Settings!$J$7,0))</f>
        <v>1</v>
      </c>
      <c r="AI187" s="12">
        <f t="array" ref="AI187">IF($A187="","",IF($AA187="Sold","",MIN($AH187,IFERROR(XLOOKUP(Settings!$B$12,Managers!$B$4:$B$15,Managers!$H$4:$H$15),$AH187))))</f>
        <v>1</v>
      </c>
      <c r="AJ187" s="12" t="str">
        <f t="shared" si="3"/>
        <v>Budget Drainer</v>
      </c>
      <c r="AK187" s="12">
        <f t="shared" si="4"/>
        <v>36</v>
      </c>
      <c r="AL187" s="12" t="str">
        <f t="shared" si="5"/>
        <v/>
      </c>
    </row>
    <row r="188" ht="15.75" customHeight="1">
      <c r="A188" s="10" t="s">
        <v>497</v>
      </c>
      <c r="B188" s="10" t="s">
        <v>718</v>
      </c>
      <c r="C188" s="10" t="s">
        <v>226</v>
      </c>
      <c r="D188" s="10" t="s">
        <v>121</v>
      </c>
      <c r="E188" s="10" t="s">
        <v>121</v>
      </c>
      <c r="F188" s="10" t="s">
        <v>114</v>
      </c>
      <c r="G188" s="10">
        <v>5.0</v>
      </c>
      <c r="H188" s="10">
        <v>7.0</v>
      </c>
      <c r="I188" s="10" t="s">
        <v>2140</v>
      </c>
      <c r="J188" s="10" t="s">
        <v>2136</v>
      </c>
      <c r="K188" s="10"/>
      <c r="L188" s="10">
        <v>169.0</v>
      </c>
      <c r="M188" s="10">
        <v>6.26</v>
      </c>
      <c r="N188" s="10"/>
      <c r="O188" s="10"/>
      <c r="P188" s="12">
        <f>IF($A188="","",IFERROR((IF($O188="",0,$O188)*Settings!$J$4+IF($L188="",0,$L188)*Settings!$J$5+IF($N188="",0,$N188)*Settings!$J$6)/(IF($O188="",0,Settings!$J$4)+IF($L188="",0,Settings!$J$5)+IF($N188="",0,Settings!$J$6)),0))</f>
        <v>169</v>
      </c>
      <c r="Q188" s="12">
        <f t="array" ref="Q188">IF($A188="","",XLOOKUP($E188,Settings!$A$19:$A$22,Settings!$G$19:$G$22,0))</f>
        <v>206</v>
      </c>
      <c r="R188" s="12">
        <f t="shared" si="1"/>
        <v>0</v>
      </c>
      <c r="S188" s="12">
        <f>IF($A188="","",IF($R188&lt;=0,1,1+$R188/SUMIF($R$4:$R$923,"&gt;0",$R$4:$R$923)*(Settings!$B$5*(Settings!$B$6-Settings!$B$7))))</f>
        <v>1</v>
      </c>
      <c r="T188" s="12">
        <f t="array" ref="T188">IF($A188="","",XLOOKUP($F188,Settings!$I$15:$I$20,Settings!$J$15:$J$20,1))</f>
        <v>0.9</v>
      </c>
      <c r="U188" s="12">
        <f>IF($A188="","",1+(($G188-5)/5)*Settings!$J$8)</f>
        <v>1</v>
      </c>
      <c r="V188" s="12">
        <f>IF($A188="","",1+(($H188-5)/5)*Settings!$J$9)</f>
        <v>1.06</v>
      </c>
      <c r="W188" s="12">
        <f t="array" ref="W188">IF($A188="","",XLOOKUP($J188,Lists!$C$3:$C$7,Lists!$D$3:$D$7,1))</f>
        <v>1</v>
      </c>
      <c r="X188" s="12">
        <f>IF($A188="","",IF($I188="Yes",Settings!$J$10,1))</f>
        <v>1</v>
      </c>
      <c r="Y188" s="12">
        <f t="shared" si="2"/>
        <v>1</v>
      </c>
      <c r="Z188" s="12">
        <f>IF($A188="","",IFERROR(ROUND(AVERAGEIFS('Historical Drafts'!$G$4:$G$300,'Historical Drafts'!$D$4:$D$300,$E188,'Historical Drafts'!$J$4:$J$300,"&gt;="&amp;$L188*0.85,'Historical Drafts'!$J$4:$J$300,"&lt;="&amp;$L188*1.15),0),$Y188))</f>
        <v>11</v>
      </c>
      <c r="AA188" s="12" t="str">
        <f>IF($A188="","",IF(COUNTIF('Auction Log'!$B$3:$B$300,$A188)&gt;0,"Sold","Available"))</f>
        <v>Available</v>
      </c>
      <c r="AB188" s="12" t="str">
        <f t="array" ref="AB188">IF($A188="","",IFERROR(XLOOKUP($A188,'Auction Log'!$B$3:$B$300,'Auction Log'!$G$3:$G$300,""),""))</f>
        <v/>
      </c>
      <c r="AC188" s="12" t="str">
        <f t="array" ref="AC188">IF($A188="","",IFERROR(XLOOKUP($A188,'Auction Log'!$B$3:$B$300,'Auction Log'!$F$3:$F$300,""),""))</f>
        <v/>
      </c>
      <c r="AD188" s="12">
        <f t="array" ref="AD188">IF($A188="","",ROUND($Y188*XLOOKUP($F188,Settings!$I$15:$I$20,Settings!$K$15:$K$20,0.4),0))</f>
        <v>0</v>
      </c>
      <c r="AE188" s="12">
        <f t="array" ref="AE188">IF($A188="","",ROUND($Y188*XLOOKUP($F188,Settings!$I$15:$I$20,Settings!$L$15:$L$20,0.8),0))</f>
        <v>1</v>
      </c>
      <c r="AF188" s="12">
        <f t="array" ref="AF188">IF($A188="","",ROUND($Y188*XLOOKUP($F188,Settings!$I$15:$I$20,Settings!$M$15:$M$20,1),0))</f>
        <v>1</v>
      </c>
      <c r="AG188" s="12">
        <f t="array" ref="AG188">IF($A188="","",ROUND($Y188*XLOOKUP($F188,Settings!$I$15:$I$20,Settings!$N$15:$N$20,1.1),0))</f>
        <v>1</v>
      </c>
      <c r="AH188" s="12">
        <f t="array" ref="AH188">IF($A188="","",ROUND($Y188*XLOOKUP($F188,Settings!$I$15:$I$20,Settings!$O$15:$O$20,1.1)*Settings!$J$7,0))</f>
        <v>1</v>
      </c>
      <c r="AI188" s="12">
        <f t="array" ref="AI188">IF($A188="","",IF($AA188="Sold","",MIN($AH188,IFERROR(XLOOKUP(Settings!$B$12,Managers!$B$4:$B$15,Managers!$H$4:$H$15),$AH188))))</f>
        <v>1</v>
      </c>
      <c r="AJ188" s="12" t="str">
        <f t="shared" si="3"/>
        <v>Budget Drainer</v>
      </c>
      <c r="AK188" s="12">
        <f t="shared" si="4"/>
        <v>36</v>
      </c>
      <c r="AL188" s="12" t="str">
        <f t="shared" si="5"/>
        <v/>
      </c>
    </row>
    <row r="189" ht="15.75" customHeight="1">
      <c r="A189" s="10" t="s">
        <v>719</v>
      </c>
      <c r="B189" s="10" t="s">
        <v>720</v>
      </c>
      <c r="C189" s="10" t="s">
        <v>215</v>
      </c>
      <c r="D189" s="10" t="s">
        <v>115</v>
      </c>
      <c r="E189" s="10" t="s">
        <v>115</v>
      </c>
      <c r="F189" s="10" t="s">
        <v>114</v>
      </c>
      <c r="G189" s="10">
        <v>5.0</v>
      </c>
      <c r="H189" s="10">
        <v>7.0</v>
      </c>
      <c r="I189" s="10" t="s">
        <v>2140</v>
      </c>
      <c r="J189" s="10" t="s">
        <v>2136</v>
      </c>
      <c r="K189" s="10"/>
      <c r="L189" s="10">
        <v>169.0</v>
      </c>
      <c r="M189" s="10">
        <v>9.39</v>
      </c>
      <c r="N189" s="10"/>
      <c r="O189" s="10"/>
      <c r="P189" s="12">
        <f>IF($A189="","",IFERROR((IF($O189="",0,$O189)*Settings!$J$4+IF($L189="",0,$L189)*Settings!$J$5+IF($N189="",0,$N189)*Settings!$J$6)/(IF($O189="",0,Settings!$J$4)+IF($L189="",0,Settings!$J$5)+IF($N189="",0,Settings!$J$6)),0))</f>
        <v>169</v>
      </c>
      <c r="Q189" s="12">
        <f t="array" ref="Q189">IF($A189="","",XLOOKUP($E189,Settings!$A$19:$A$22,Settings!$G$19:$G$22,0))</f>
        <v>249.25</v>
      </c>
      <c r="R189" s="12">
        <f t="shared" si="1"/>
        <v>0</v>
      </c>
      <c r="S189" s="12">
        <f>IF($A189="","",IF($R189&lt;=0,1,1+$R189/SUMIF($R$4:$R$923,"&gt;0",$R$4:$R$923)*(Settings!$B$5*(Settings!$B$6-Settings!$B$7))))</f>
        <v>1</v>
      </c>
      <c r="T189" s="12">
        <f t="array" ref="T189">IF($A189="","",XLOOKUP($F189,Settings!$I$15:$I$20,Settings!$J$15:$J$20,1))</f>
        <v>0.9</v>
      </c>
      <c r="U189" s="12">
        <f>IF($A189="","",1+(($G189-5)/5)*Settings!$J$8)</f>
        <v>1</v>
      </c>
      <c r="V189" s="12">
        <f>IF($A189="","",1+(($H189-5)/5)*Settings!$J$9)</f>
        <v>1.06</v>
      </c>
      <c r="W189" s="12">
        <f t="array" ref="W189">IF($A189="","",XLOOKUP($J189,Lists!$C$3:$C$7,Lists!$D$3:$D$7,1))</f>
        <v>1</v>
      </c>
      <c r="X189" s="12">
        <f>IF($A189="","",IF($I189="Yes",Settings!$J$10,1))</f>
        <v>1</v>
      </c>
      <c r="Y189" s="12">
        <f t="shared" si="2"/>
        <v>1</v>
      </c>
      <c r="Z189" s="12">
        <f>IF($A189="","",IFERROR(ROUND(AVERAGEIFS('Historical Drafts'!$G$4:$G$300,'Historical Drafts'!$D$4:$D$300,$E189,'Historical Drafts'!$J$4:$J$300,"&gt;="&amp;$L189*0.85,'Historical Drafts'!$J$4:$J$300,"&lt;="&amp;$L189*1.15),0),$Y189))</f>
        <v>2</v>
      </c>
      <c r="AA189" s="12" t="str">
        <f>IF($A189="","",IF(COUNTIF('Auction Log'!$B$3:$B$300,$A189)&gt;0,"Sold","Available"))</f>
        <v>Available</v>
      </c>
      <c r="AB189" s="12" t="str">
        <f t="array" ref="AB189">IF($A189="","",IFERROR(XLOOKUP($A189,'Auction Log'!$B$3:$B$300,'Auction Log'!$G$3:$G$300,""),""))</f>
        <v/>
      </c>
      <c r="AC189" s="12" t="str">
        <f t="array" ref="AC189">IF($A189="","",IFERROR(XLOOKUP($A189,'Auction Log'!$B$3:$B$300,'Auction Log'!$F$3:$F$300,""),""))</f>
        <v/>
      </c>
      <c r="AD189" s="12">
        <f t="array" ref="AD189">IF($A189="","",ROUND($Y189*XLOOKUP($F189,Settings!$I$15:$I$20,Settings!$K$15:$K$20,0.4),0))</f>
        <v>0</v>
      </c>
      <c r="AE189" s="12">
        <f t="array" ref="AE189">IF($A189="","",ROUND($Y189*XLOOKUP($F189,Settings!$I$15:$I$20,Settings!$L$15:$L$20,0.8),0))</f>
        <v>1</v>
      </c>
      <c r="AF189" s="12">
        <f t="array" ref="AF189">IF($A189="","",ROUND($Y189*XLOOKUP($F189,Settings!$I$15:$I$20,Settings!$M$15:$M$20,1),0))</f>
        <v>1</v>
      </c>
      <c r="AG189" s="12">
        <f t="array" ref="AG189">IF($A189="","",ROUND($Y189*XLOOKUP($F189,Settings!$I$15:$I$20,Settings!$N$15:$N$20,1.1),0))</f>
        <v>1</v>
      </c>
      <c r="AH189" s="12">
        <f t="array" ref="AH189">IF($A189="","",ROUND($Y189*XLOOKUP($F189,Settings!$I$15:$I$20,Settings!$O$15:$O$20,1.1)*Settings!$J$7,0))</f>
        <v>1</v>
      </c>
      <c r="AI189" s="12">
        <f t="array" ref="AI189">IF($A189="","",IF($AA189="Sold","",MIN($AH189,IFERROR(XLOOKUP(Settings!$B$12,Managers!$B$4:$B$15,Managers!$H$4:$H$15),$AH189))))</f>
        <v>1</v>
      </c>
      <c r="AJ189" s="12" t="str">
        <f t="shared" si="3"/>
        <v>Budget Drainer</v>
      </c>
      <c r="AK189" s="12">
        <f t="shared" si="4"/>
        <v>27</v>
      </c>
      <c r="AL189" s="12" t="str">
        <f t="shared" si="5"/>
        <v/>
      </c>
    </row>
    <row r="190" ht="15.75" customHeight="1">
      <c r="A190" s="10" t="s">
        <v>328</v>
      </c>
      <c r="B190" s="10" t="s">
        <v>329</v>
      </c>
      <c r="C190" s="10" t="s">
        <v>215</v>
      </c>
      <c r="D190" s="10" t="s">
        <v>118</v>
      </c>
      <c r="E190" s="10" t="s">
        <v>118</v>
      </c>
      <c r="F190" s="10" t="s">
        <v>114</v>
      </c>
      <c r="G190" s="10">
        <v>5.0</v>
      </c>
      <c r="H190" s="10">
        <v>7.0</v>
      </c>
      <c r="I190" s="10" t="s">
        <v>2140</v>
      </c>
      <c r="J190" s="10" t="s">
        <v>2136</v>
      </c>
      <c r="K190" s="10"/>
      <c r="L190" s="10">
        <v>168.75</v>
      </c>
      <c r="M190" s="10">
        <v>6.75</v>
      </c>
      <c r="N190" s="10"/>
      <c r="O190" s="10"/>
      <c r="P190" s="12">
        <f>IF($A190="","",IFERROR((IF($O190="",0,$O190)*Settings!$J$4+IF($L190="",0,$L190)*Settings!$J$5+IF($N190="",0,$N190)*Settings!$J$6)/(IF($O190="",0,Settings!$J$4)+IF($L190="",0,Settings!$J$5)+IF($N190="",0,Settings!$J$6)),0))</f>
        <v>168.75</v>
      </c>
      <c r="Q190" s="12">
        <f t="array" ref="Q190">IF($A190="","",XLOOKUP($E190,Settings!$A$19:$A$22,Settings!$G$19:$G$22,0))</f>
        <v>196.25</v>
      </c>
      <c r="R190" s="12">
        <f t="shared" si="1"/>
        <v>0</v>
      </c>
      <c r="S190" s="12">
        <f>IF($A190="","",IF($R190&lt;=0,1,1+$R190/SUMIF($R$4:$R$923,"&gt;0",$R$4:$R$923)*(Settings!$B$5*(Settings!$B$6-Settings!$B$7))))</f>
        <v>1</v>
      </c>
      <c r="T190" s="12">
        <f t="array" ref="T190">IF($A190="","",XLOOKUP($F190,Settings!$I$15:$I$20,Settings!$J$15:$J$20,1))</f>
        <v>0.9</v>
      </c>
      <c r="U190" s="12">
        <f>IF($A190="","",1+(($G190-5)/5)*Settings!$J$8)</f>
        <v>1</v>
      </c>
      <c r="V190" s="12">
        <f>IF($A190="","",1+(($H190-5)/5)*Settings!$J$9)</f>
        <v>1.06</v>
      </c>
      <c r="W190" s="12">
        <f t="array" ref="W190">IF($A190="","",XLOOKUP($J190,Lists!$C$3:$C$7,Lists!$D$3:$D$7,1))</f>
        <v>1</v>
      </c>
      <c r="X190" s="12">
        <f>IF($A190="","",IF($I190="Yes",Settings!$J$10,1))</f>
        <v>1</v>
      </c>
      <c r="Y190" s="12">
        <f t="shared" si="2"/>
        <v>1</v>
      </c>
      <c r="Z190" s="12">
        <f>IF($A190="","",IFERROR(ROUND(AVERAGEIFS('Historical Drafts'!$G$4:$G$300,'Historical Drafts'!$D$4:$D$300,$E190,'Historical Drafts'!$J$4:$J$300,"&gt;="&amp;$L190*0.85,'Historical Drafts'!$J$4:$J$300,"&lt;="&amp;$L190*1.15),0),$Y190))</f>
        <v>9</v>
      </c>
      <c r="AA190" s="12" t="str">
        <f>IF($A190="","",IF(COUNTIF('Auction Log'!$B$3:$B$300,$A190)&gt;0,"Sold","Available"))</f>
        <v>Available</v>
      </c>
      <c r="AB190" s="12" t="str">
        <f t="array" ref="AB190">IF($A190="","",IFERROR(XLOOKUP($A190,'Auction Log'!$B$3:$B$300,'Auction Log'!$G$3:$G$300,""),""))</f>
        <v/>
      </c>
      <c r="AC190" s="12" t="str">
        <f t="array" ref="AC190">IF($A190="","",IFERROR(XLOOKUP($A190,'Auction Log'!$B$3:$B$300,'Auction Log'!$F$3:$F$300,""),""))</f>
        <v/>
      </c>
      <c r="AD190" s="12">
        <f t="array" ref="AD190">IF($A190="","",ROUND($Y190*XLOOKUP($F190,Settings!$I$15:$I$20,Settings!$K$15:$K$20,0.4),0))</f>
        <v>0</v>
      </c>
      <c r="AE190" s="12">
        <f t="array" ref="AE190">IF($A190="","",ROUND($Y190*XLOOKUP($F190,Settings!$I$15:$I$20,Settings!$L$15:$L$20,0.8),0))</f>
        <v>1</v>
      </c>
      <c r="AF190" s="12">
        <f t="array" ref="AF190">IF($A190="","",ROUND($Y190*XLOOKUP($F190,Settings!$I$15:$I$20,Settings!$M$15:$M$20,1),0))</f>
        <v>1</v>
      </c>
      <c r="AG190" s="12">
        <f t="array" ref="AG190">IF($A190="","",ROUND($Y190*XLOOKUP($F190,Settings!$I$15:$I$20,Settings!$N$15:$N$20,1.1),0))</f>
        <v>1</v>
      </c>
      <c r="AH190" s="12">
        <f t="array" ref="AH190">IF($A190="","",ROUND($Y190*XLOOKUP($F190,Settings!$I$15:$I$20,Settings!$O$15:$O$20,1.1)*Settings!$J$7,0))</f>
        <v>1</v>
      </c>
      <c r="AI190" s="12">
        <f t="array" ref="AI190">IF($A190="","",IF($AA190="Sold","",MIN($AH190,IFERROR(XLOOKUP(Settings!$B$12,Managers!$B$4:$B$15,Managers!$H$4:$H$15),$AH190))))</f>
        <v>1</v>
      </c>
      <c r="AJ190" s="12" t="str">
        <f t="shared" si="3"/>
        <v>Budget Drainer</v>
      </c>
      <c r="AK190" s="12">
        <f t="shared" si="4"/>
        <v>34</v>
      </c>
      <c r="AL190" s="12" t="str">
        <f t="shared" si="5"/>
        <v/>
      </c>
    </row>
    <row r="191" ht="15.75" customHeight="1">
      <c r="A191" s="10" t="s">
        <v>721</v>
      </c>
      <c r="B191" s="10" t="s">
        <v>722</v>
      </c>
      <c r="C191" s="10" t="s">
        <v>387</v>
      </c>
      <c r="D191" s="10" t="s">
        <v>115</v>
      </c>
      <c r="E191" s="10" t="s">
        <v>115</v>
      </c>
      <c r="F191" s="10" t="s">
        <v>114</v>
      </c>
      <c r="G191" s="10">
        <v>5.0</v>
      </c>
      <c r="H191" s="10">
        <v>7.0</v>
      </c>
      <c r="I191" s="10" t="s">
        <v>2140</v>
      </c>
      <c r="J191" s="10" t="s">
        <v>2136</v>
      </c>
      <c r="K191" s="10"/>
      <c r="L191" s="10">
        <v>166.75</v>
      </c>
      <c r="M191" s="10">
        <v>7.25</v>
      </c>
      <c r="N191" s="10"/>
      <c r="O191" s="10"/>
      <c r="P191" s="12">
        <f>IF($A191="","",IFERROR((IF($O191="",0,$O191)*Settings!$J$4+IF($L191="",0,$L191)*Settings!$J$5+IF($N191="",0,$N191)*Settings!$J$6)/(IF($O191="",0,Settings!$J$4)+IF($L191="",0,Settings!$J$5)+IF($N191="",0,Settings!$J$6)),0))</f>
        <v>166.75</v>
      </c>
      <c r="Q191" s="12">
        <f t="array" ref="Q191">IF($A191="","",XLOOKUP($E191,Settings!$A$19:$A$22,Settings!$G$19:$G$22,0))</f>
        <v>249.25</v>
      </c>
      <c r="R191" s="12">
        <f t="shared" si="1"/>
        <v>0</v>
      </c>
      <c r="S191" s="12">
        <f>IF($A191="","",IF($R191&lt;=0,1,1+$R191/SUMIF($R$4:$R$923,"&gt;0",$R$4:$R$923)*(Settings!$B$5*(Settings!$B$6-Settings!$B$7))))</f>
        <v>1</v>
      </c>
      <c r="T191" s="12">
        <f t="array" ref="T191">IF($A191="","",XLOOKUP($F191,Settings!$I$15:$I$20,Settings!$J$15:$J$20,1))</f>
        <v>0.9</v>
      </c>
      <c r="U191" s="12">
        <f>IF($A191="","",1+(($G191-5)/5)*Settings!$J$8)</f>
        <v>1</v>
      </c>
      <c r="V191" s="12">
        <f>IF($A191="","",1+(($H191-5)/5)*Settings!$J$9)</f>
        <v>1.06</v>
      </c>
      <c r="W191" s="12">
        <f t="array" ref="W191">IF($A191="","",XLOOKUP($J191,Lists!$C$3:$C$7,Lists!$D$3:$D$7,1))</f>
        <v>1</v>
      </c>
      <c r="X191" s="12">
        <f>IF($A191="","",IF($I191="Yes",Settings!$J$10,1))</f>
        <v>1</v>
      </c>
      <c r="Y191" s="12">
        <f t="shared" si="2"/>
        <v>1</v>
      </c>
      <c r="Z191" s="12">
        <f>IF($A191="","",IFERROR(ROUND(AVERAGEIFS('Historical Drafts'!$G$4:$G$300,'Historical Drafts'!$D$4:$D$300,$E191,'Historical Drafts'!$J$4:$J$300,"&gt;="&amp;$L191*0.85,'Historical Drafts'!$J$4:$J$300,"&lt;="&amp;$L191*1.15),0),$Y191))</f>
        <v>2</v>
      </c>
      <c r="AA191" s="12" t="str">
        <f>IF($A191="","",IF(COUNTIF('Auction Log'!$B$3:$B$300,$A191)&gt;0,"Sold","Available"))</f>
        <v>Available</v>
      </c>
      <c r="AB191" s="12" t="str">
        <f t="array" ref="AB191">IF($A191="","",IFERROR(XLOOKUP($A191,'Auction Log'!$B$3:$B$300,'Auction Log'!$G$3:$G$300,""),""))</f>
        <v/>
      </c>
      <c r="AC191" s="12" t="str">
        <f t="array" ref="AC191">IF($A191="","",IFERROR(XLOOKUP($A191,'Auction Log'!$B$3:$B$300,'Auction Log'!$F$3:$F$300,""),""))</f>
        <v/>
      </c>
      <c r="AD191" s="12">
        <f t="array" ref="AD191">IF($A191="","",ROUND($Y191*XLOOKUP($F191,Settings!$I$15:$I$20,Settings!$K$15:$K$20,0.4),0))</f>
        <v>0</v>
      </c>
      <c r="AE191" s="12">
        <f t="array" ref="AE191">IF($A191="","",ROUND($Y191*XLOOKUP($F191,Settings!$I$15:$I$20,Settings!$L$15:$L$20,0.8),0))</f>
        <v>1</v>
      </c>
      <c r="AF191" s="12">
        <f t="array" ref="AF191">IF($A191="","",ROUND($Y191*XLOOKUP($F191,Settings!$I$15:$I$20,Settings!$M$15:$M$20,1),0))</f>
        <v>1</v>
      </c>
      <c r="AG191" s="12">
        <f t="array" ref="AG191">IF($A191="","",ROUND($Y191*XLOOKUP($F191,Settings!$I$15:$I$20,Settings!$N$15:$N$20,1.1),0))</f>
        <v>1</v>
      </c>
      <c r="AH191" s="12">
        <f t="array" ref="AH191">IF($A191="","",ROUND($Y191*XLOOKUP($F191,Settings!$I$15:$I$20,Settings!$O$15:$O$20,1.1)*Settings!$J$7,0))</f>
        <v>1</v>
      </c>
      <c r="AI191" s="12">
        <f t="array" ref="AI191">IF($A191="","",IF($AA191="Sold","",MIN($AH191,IFERROR(XLOOKUP(Settings!$B$12,Managers!$B$4:$B$15,Managers!$H$4:$H$15),$AH191))))</f>
        <v>1</v>
      </c>
      <c r="AJ191" s="12" t="str">
        <f t="shared" si="3"/>
        <v>Budget Drainer</v>
      </c>
      <c r="AK191" s="12">
        <f t="shared" si="4"/>
        <v>27</v>
      </c>
      <c r="AL191" s="12" t="str">
        <f t="shared" si="5"/>
        <v/>
      </c>
    </row>
    <row r="192" ht="15.75" customHeight="1">
      <c r="A192" s="10" t="s">
        <v>723</v>
      </c>
      <c r="B192" s="10" t="s">
        <v>724</v>
      </c>
      <c r="C192" s="10" t="s">
        <v>314</v>
      </c>
      <c r="D192" s="10" t="s">
        <v>123</v>
      </c>
      <c r="E192" s="10" t="s">
        <v>123</v>
      </c>
      <c r="F192" s="10" t="s">
        <v>114</v>
      </c>
      <c r="G192" s="10">
        <v>5.0</v>
      </c>
      <c r="H192" s="10">
        <v>7.0</v>
      </c>
      <c r="I192" s="10" t="s">
        <v>2140</v>
      </c>
      <c r="J192" s="10" t="s">
        <v>2136</v>
      </c>
      <c r="K192" s="10"/>
      <c r="L192" s="10">
        <v>166.5</v>
      </c>
      <c r="M192" s="10">
        <v>5.37</v>
      </c>
      <c r="N192" s="10"/>
      <c r="O192" s="10"/>
      <c r="P192" s="12">
        <f>IF($A192="","",IFERROR((IF($O192="",0,$O192)*Settings!$J$4+IF($L192="",0,$L192)*Settings!$J$5+IF($N192="",0,$N192)*Settings!$J$6)/(IF($O192="",0,Settings!$J$4)+IF($L192="",0,Settings!$J$5)+IF($N192="",0,Settings!$J$6)),0))</f>
        <v>166.5</v>
      </c>
      <c r="Q192" s="12">
        <f t="array" ref="Q192">IF($A192="","",XLOOKUP($E192,Settings!$A$19:$A$22,Settings!$G$19:$G$22,0))</f>
        <v>203</v>
      </c>
      <c r="R192" s="12">
        <f t="shared" si="1"/>
        <v>0</v>
      </c>
      <c r="S192" s="12">
        <f>IF($A192="","",IF($R192&lt;=0,1,1+$R192/SUMIF($R$4:$R$923,"&gt;0",$R$4:$R$923)*(Settings!$B$5*(Settings!$B$6-Settings!$B$7))))</f>
        <v>1</v>
      </c>
      <c r="T192" s="12">
        <f t="array" ref="T192">IF($A192="","",XLOOKUP($F192,Settings!$I$15:$I$20,Settings!$J$15:$J$20,1))</f>
        <v>0.9</v>
      </c>
      <c r="U192" s="12">
        <f>IF($A192="","",1+(($G192-5)/5)*Settings!$J$8)</f>
        <v>1</v>
      </c>
      <c r="V192" s="12">
        <f>IF($A192="","",1+(($H192-5)/5)*Settings!$J$9)</f>
        <v>1.06</v>
      </c>
      <c r="W192" s="12">
        <f t="array" ref="W192">IF($A192="","",XLOOKUP($J192,Lists!$C$3:$C$7,Lists!$D$3:$D$7,1))</f>
        <v>1</v>
      </c>
      <c r="X192" s="12">
        <f>IF($A192="","",IF($I192="Yes",Settings!$J$10,1))</f>
        <v>1</v>
      </c>
      <c r="Y192" s="12">
        <f t="shared" si="2"/>
        <v>1</v>
      </c>
      <c r="Z192" s="12">
        <f>IF($A192="","",IFERROR(ROUND(AVERAGEIFS('Historical Drafts'!$G$4:$G$300,'Historical Drafts'!$D$4:$D$300,$E192,'Historical Drafts'!$J$4:$J$300,"&gt;="&amp;$L192*0.85,'Historical Drafts'!$J$4:$J$300,"&lt;="&amp;$L192*1.15),0),$Y192))</f>
        <v>4</v>
      </c>
      <c r="AA192" s="12" t="str">
        <f>IF($A192="","",IF(COUNTIF('Auction Log'!$B$3:$B$300,$A192)&gt;0,"Sold","Available"))</f>
        <v>Available</v>
      </c>
      <c r="AB192" s="12" t="str">
        <f t="array" ref="AB192">IF($A192="","",IFERROR(XLOOKUP($A192,'Auction Log'!$B$3:$B$300,'Auction Log'!$G$3:$G$300,""),""))</f>
        <v/>
      </c>
      <c r="AC192" s="12" t="str">
        <f t="array" ref="AC192">IF($A192="","",IFERROR(XLOOKUP($A192,'Auction Log'!$B$3:$B$300,'Auction Log'!$F$3:$F$300,""),""))</f>
        <v/>
      </c>
      <c r="AD192" s="12">
        <f t="array" ref="AD192">IF($A192="","",ROUND($Y192*XLOOKUP($F192,Settings!$I$15:$I$20,Settings!$K$15:$K$20,0.4),0))</f>
        <v>0</v>
      </c>
      <c r="AE192" s="12">
        <f t="array" ref="AE192">IF($A192="","",ROUND($Y192*XLOOKUP($F192,Settings!$I$15:$I$20,Settings!$L$15:$L$20,0.8),0))</f>
        <v>1</v>
      </c>
      <c r="AF192" s="12">
        <f t="array" ref="AF192">IF($A192="","",ROUND($Y192*XLOOKUP($F192,Settings!$I$15:$I$20,Settings!$M$15:$M$20,1),0))</f>
        <v>1</v>
      </c>
      <c r="AG192" s="12">
        <f t="array" ref="AG192">IF($A192="","",ROUND($Y192*XLOOKUP($F192,Settings!$I$15:$I$20,Settings!$N$15:$N$20,1.1),0))</f>
        <v>1</v>
      </c>
      <c r="AH192" s="12">
        <f t="array" ref="AH192">IF($A192="","",ROUND($Y192*XLOOKUP($F192,Settings!$I$15:$I$20,Settings!$O$15:$O$20,1.1)*Settings!$J$7,0))</f>
        <v>1</v>
      </c>
      <c r="AI192" s="12">
        <f t="array" ref="AI192">IF($A192="","",IF($AA192="Sold","",MIN($AH192,IFERROR(XLOOKUP(Settings!$B$12,Managers!$B$4:$B$15,Managers!$H$4:$H$15),$AH192))))</f>
        <v>1</v>
      </c>
      <c r="AJ192" s="12" t="str">
        <f t="shared" si="3"/>
        <v>Budget Drainer</v>
      </c>
      <c r="AK192" s="12">
        <f t="shared" si="4"/>
        <v>29</v>
      </c>
      <c r="AL192" s="12" t="str">
        <f t="shared" si="5"/>
        <v/>
      </c>
    </row>
    <row r="193" ht="15.75" customHeight="1">
      <c r="A193" s="10" t="s">
        <v>303</v>
      </c>
      <c r="B193" s="10" t="s">
        <v>304</v>
      </c>
      <c r="C193" s="10" t="s">
        <v>305</v>
      </c>
      <c r="D193" s="10" t="s">
        <v>118</v>
      </c>
      <c r="E193" s="10" t="s">
        <v>118</v>
      </c>
      <c r="F193" s="10" t="s">
        <v>114</v>
      </c>
      <c r="G193" s="10">
        <v>5.0</v>
      </c>
      <c r="H193" s="10">
        <v>7.0</v>
      </c>
      <c r="I193" s="10" t="s">
        <v>2140</v>
      </c>
      <c r="J193" s="10" t="s">
        <v>2136</v>
      </c>
      <c r="K193" s="10"/>
      <c r="L193" s="10">
        <v>166.25</v>
      </c>
      <c r="M193" s="10">
        <v>7.56</v>
      </c>
      <c r="N193" s="10"/>
      <c r="O193" s="10"/>
      <c r="P193" s="12">
        <f>IF($A193="","",IFERROR((IF($O193="",0,$O193)*Settings!$J$4+IF($L193="",0,$L193)*Settings!$J$5+IF($N193="",0,$N193)*Settings!$J$6)/(IF($O193="",0,Settings!$J$4)+IF($L193="",0,Settings!$J$5)+IF($N193="",0,Settings!$J$6)),0))</f>
        <v>166.25</v>
      </c>
      <c r="Q193" s="12">
        <f t="array" ref="Q193">IF($A193="","",XLOOKUP($E193,Settings!$A$19:$A$22,Settings!$G$19:$G$22,0))</f>
        <v>196.25</v>
      </c>
      <c r="R193" s="12">
        <f t="shared" si="1"/>
        <v>0</v>
      </c>
      <c r="S193" s="12">
        <f>IF($A193="","",IF($R193&lt;=0,1,1+$R193/SUMIF($R$4:$R$923,"&gt;0",$R$4:$R$923)*(Settings!$B$5*(Settings!$B$6-Settings!$B$7))))</f>
        <v>1</v>
      </c>
      <c r="T193" s="12">
        <f t="array" ref="T193">IF($A193="","",XLOOKUP($F193,Settings!$I$15:$I$20,Settings!$J$15:$J$20,1))</f>
        <v>0.9</v>
      </c>
      <c r="U193" s="12">
        <f>IF($A193="","",1+(($G193-5)/5)*Settings!$J$8)</f>
        <v>1</v>
      </c>
      <c r="V193" s="12">
        <f>IF($A193="","",1+(($H193-5)/5)*Settings!$J$9)</f>
        <v>1.06</v>
      </c>
      <c r="W193" s="12">
        <f t="array" ref="W193">IF($A193="","",XLOOKUP($J193,Lists!$C$3:$C$7,Lists!$D$3:$D$7,1))</f>
        <v>1</v>
      </c>
      <c r="X193" s="12">
        <f>IF($A193="","",IF($I193="Yes",Settings!$J$10,1))</f>
        <v>1</v>
      </c>
      <c r="Y193" s="12">
        <f t="shared" si="2"/>
        <v>1</v>
      </c>
      <c r="Z193" s="12">
        <f>IF($A193="","",IFERROR(ROUND(AVERAGEIFS('Historical Drafts'!$G$4:$G$300,'Historical Drafts'!$D$4:$D$300,$E193,'Historical Drafts'!$J$4:$J$300,"&gt;="&amp;$L193*0.85,'Historical Drafts'!$J$4:$J$300,"&lt;="&amp;$L193*1.15),0),$Y193))</f>
        <v>8</v>
      </c>
      <c r="AA193" s="12" t="str">
        <f>IF($A193="","",IF(COUNTIF('Auction Log'!$B$3:$B$300,$A193)&gt;0,"Sold","Available"))</f>
        <v>Available</v>
      </c>
      <c r="AB193" s="12" t="str">
        <f t="array" ref="AB193">IF($A193="","",IFERROR(XLOOKUP($A193,'Auction Log'!$B$3:$B$300,'Auction Log'!$G$3:$G$300,""),""))</f>
        <v/>
      </c>
      <c r="AC193" s="12" t="str">
        <f t="array" ref="AC193">IF($A193="","",IFERROR(XLOOKUP($A193,'Auction Log'!$B$3:$B$300,'Auction Log'!$F$3:$F$300,""),""))</f>
        <v/>
      </c>
      <c r="AD193" s="12">
        <f t="array" ref="AD193">IF($A193="","",ROUND($Y193*XLOOKUP($F193,Settings!$I$15:$I$20,Settings!$K$15:$K$20,0.4),0))</f>
        <v>0</v>
      </c>
      <c r="AE193" s="12">
        <f t="array" ref="AE193">IF($A193="","",ROUND($Y193*XLOOKUP($F193,Settings!$I$15:$I$20,Settings!$L$15:$L$20,0.8),0))</f>
        <v>1</v>
      </c>
      <c r="AF193" s="12">
        <f t="array" ref="AF193">IF($A193="","",ROUND($Y193*XLOOKUP($F193,Settings!$I$15:$I$20,Settings!$M$15:$M$20,1),0))</f>
        <v>1</v>
      </c>
      <c r="AG193" s="12">
        <f t="array" ref="AG193">IF($A193="","",ROUND($Y193*XLOOKUP($F193,Settings!$I$15:$I$20,Settings!$N$15:$N$20,1.1),0))</f>
        <v>1</v>
      </c>
      <c r="AH193" s="12">
        <f t="array" ref="AH193">IF($A193="","",ROUND($Y193*XLOOKUP($F193,Settings!$I$15:$I$20,Settings!$O$15:$O$20,1.1)*Settings!$J$7,0))</f>
        <v>1</v>
      </c>
      <c r="AI193" s="12">
        <f t="array" ref="AI193">IF($A193="","",IF($AA193="Sold","",MIN($AH193,IFERROR(XLOOKUP(Settings!$B$12,Managers!$B$4:$B$15,Managers!$H$4:$H$15),$AH193))))</f>
        <v>1</v>
      </c>
      <c r="AJ193" s="12" t="str">
        <f t="shared" si="3"/>
        <v>Budget Drainer</v>
      </c>
      <c r="AK193" s="12">
        <f t="shared" si="4"/>
        <v>33</v>
      </c>
      <c r="AL193" s="12" t="str">
        <f t="shared" si="5"/>
        <v/>
      </c>
    </row>
    <row r="194" ht="15.75" customHeight="1">
      <c r="A194" s="10" t="s">
        <v>725</v>
      </c>
      <c r="B194" s="10" t="s">
        <v>726</v>
      </c>
      <c r="C194" s="10" t="s">
        <v>305</v>
      </c>
      <c r="D194" s="10" t="s">
        <v>121</v>
      </c>
      <c r="E194" s="10" t="s">
        <v>121</v>
      </c>
      <c r="F194" s="10" t="s">
        <v>114</v>
      </c>
      <c r="G194" s="10">
        <v>5.0</v>
      </c>
      <c r="H194" s="10">
        <v>7.0</v>
      </c>
      <c r="I194" s="10" t="s">
        <v>2140</v>
      </c>
      <c r="J194" s="10" t="s">
        <v>2136</v>
      </c>
      <c r="K194" s="10"/>
      <c r="L194" s="10">
        <v>166.0</v>
      </c>
      <c r="M194" s="10">
        <v>6.38</v>
      </c>
      <c r="N194" s="10"/>
      <c r="O194" s="10"/>
      <c r="P194" s="12">
        <f>IF($A194="","",IFERROR((IF($O194="",0,$O194)*Settings!$J$4+IF($L194="",0,$L194)*Settings!$J$5+IF($N194="",0,$N194)*Settings!$J$6)/(IF($O194="",0,Settings!$J$4)+IF($L194="",0,Settings!$J$5)+IF($N194="",0,Settings!$J$6)),0))</f>
        <v>166</v>
      </c>
      <c r="Q194" s="12">
        <f t="array" ref="Q194">IF($A194="","",XLOOKUP($E194,Settings!$A$19:$A$22,Settings!$G$19:$G$22,0))</f>
        <v>206</v>
      </c>
      <c r="R194" s="12">
        <f t="shared" si="1"/>
        <v>0</v>
      </c>
      <c r="S194" s="12">
        <f>IF($A194="","",IF($R194&lt;=0,1,1+$R194/SUMIF($R$4:$R$923,"&gt;0",$R$4:$R$923)*(Settings!$B$5*(Settings!$B$6-Settings!$B$7))))</f>
        <v>1</v>
      </c>
      <c r="T194" s="12">
        <f t="array" ref="T194">IF($A194="","",XLOOKUP($F194,Settings!$I$15:$I$20,Settings!$J$15:$J$20,1))</f>
        <v>0.9</v>
      </c>
      <c r="U194" s="12">
        <f>IF($A194="","",1+(($G194-5)/5)*Settings!$J$8)</f>
        <v>1</v>
      </c>
      <c r="V194" s="12">
        <f>IF($A194="","",1+(($H194-5)/5)*Settings!$J$9)</f>
        <v>1.06</v>
      </c>
      <c r="W194" s="12">
        <f t="array" ref="W194">IF($A194="","",XLOOKUP($J194,Lists!$C$3:$C$7,Lists!$D$3:$D$7,1))</f>
        <v>1</v>
      </c>
      <c r="X194" s="12">
        <f>IF($A194="","",IF($I194="Yes",Settings!$J$10,1))</f>
        <v>1</v>
      </c>
      <c r="Y194" s="12">
        <f t="shared" si="2"/>
        <v>1</v>
      </c>
      <c r="Z194" s="12">
        <f>IF($A194="","",IFERROR(ROUND(AVERAGEIFS('Historical Drafts'!$G$4:$G$300,'Historical Drafts'!$D$4:$D$300,$E194,'Historical Drafts'!$J$4:$J$300,"&gt;="&amp;$L194*0.85,'Historical Drafts'!$J$4:$J$300,"&lt;="&amp;$L194*1.15),0),$Y194))</f>
        <v>9</v>
      </c>
      <c r="AA194" s="12" t="str">
        <f>IF($A194="","",IF(COUNTIF('Auction Log'!$B$3:$B$300,$A194)&gt;0,"Sold","Available"))</f>
        <v>Available</v>
      </c>
      <c r="AB194" s="12" t="str">
        <f t="array" ref="AB194">IF($A194="","",IFERROR(XLOOKUP($A194,'Auction Log'!$B$3:$B$300,'Auction Log'!$G$3:$G$300,""),""))</f>
        <v/>
      </c>
      <c r="AC194" s="12" t="str">
        <f t="array" ref="AC194">IF($A194="","",IFERROR(XLOOKUP($A194,'Auction Log'!$B$3:$B$300,'Auction Log'!$F$3:$F$300,""),""))</f>
        <v/>
      </c>
      <c r="AD194" s="12">
        <f t="array" ref="AD194">IF($A194="","",ROUND($Y194*XLOOKUP($F194,Settings!$I$15:$I$20,Settings!$K$15:$K$20,0.4),0))</f>
        <v>0</v>
      </c>
      <c r="AE194" s="12">
        <f t="array" ref="AE194">IF($A194="","",ROUND($Y194*XLOOKUP($F194,Settings!$I$15:$I$20,Settings!$L$15:$L$20,0.8),0))</f>
        <v>1</v>
      </c>
      <c r="AF194" s="12">
        <f t="array" ref="AF194">IF($A194="","",ROUND($Y194*XLOOKUP($F194,Settings!$I$15:$I$20,Settings!$M$15:$M$20,1),0))</f>
        <v>1</v>
      </c>
      <c r="AG194" s="12">
        <f t="array" ref="AG194">IF($A194="","",ROUND($Y194*XLOOKUP($F194,Settings!$I$15:$I$20,Settings!$N$15:$N$20,1.1),0))</f>
        <v>1</v>
      </c>
      <c r="AH194" s="12">
        <f t="array" ref="AH194">IF($A194="","",ROUND($Y194*XLOOKUP($F194,Settings!$I$15:$I$20,Settings!$O$15:$O$20,1.1)*Settings!$J$7,0))</f>
        <v>1</v>
      </c>
      <c r="AI194" s="12">
        <f t="array" ref="AI194">IF($A194="","",IF($AA194="Sold","",MIN($AH194,IFERROR(XLOOKUP(Settings!$B$12,Managers!$B$4:$B$15,Managers!$H$4:$H$15),$AH194))))</f>
        <v>1</v>
      </c>
      <c r="AJ194" s="12" t="str">
        <f t="shared" si="3"/>
        <v>Budget Drainer</v>
      </c>
      <c r="AK194" s="12">
        <f t="shared" si="4"/>
        <v>34</v>
      </c>
      <c r="AL194" s="12" t="str">
        <f t="shared" si="5"/>
        <v/>
      </c>
    </row>
    <row r="195" ht="15.75" customHeight="1">
      <c r="A195" s="10" t="s">
        <v>727</v>
      </c>
      <c r="B195" s="10" t="s">
        <v>728</v>
      </c>
      <c r="C195" s="10" t="s">
        <v>327</v>
      </c>
      <c r="D195" s="10" t="s">
        <v>121</v>
      </c>
      <c r="E195" s="10" t="s">
        <v>121</v>
      </c>
      <c r="F195" s="10" t="s">
        <v>114</v>
      </c>
      <c r="G195" s="10">
        <v>5.0</v>
      </c>
      <c r="H195" s="10">
        <v>7.0</v>
      </c>
      <c r="I195" s="10" t="s">
        <v>2140</v>
      </c>
      <c r="J195" s="10" t="s">
        <v>2136</v>
      </c>
      <c r="K195" s="10"/>
      <c r="L195" s="10">
        <v>165.5</v>
      </c>
      <c r="M195" s="10">
        <v>4.6</v>
      </c>
      <c r="N195" s="10"/>
      <c r="O195" s="10"/>
      <c r="P195" s="12">
        <f>IF($A195="","",IFERROR((IF($O195="",0,$O195)*Settings!$J$4+IF($L195="",0,$L195)*Settings!$J$5+IF($N195="",0,$N195)*Settings!$J$6)/(IF($O195="",0,Settings!$J$4)+IF($L195="",0,Settings!$J$5)+IF($N195="",0,Settings!$J$6)),0))</f>
        <v>165.5</v>
      </c>
      <c r="Q195" s="12">
        <f t="array" ref="Q195">IF($A195="","",XLOOKUP($E195,Settings!$A$19:$A$22,Settings!$G$19:$G$22,0))</f>
        <v>206</v>
      </c>
      <c r="R195" s="12">
        <f t="shared" si="1"/>
        <v>0</v>
      </c>
      <c r="S195" s="12">
        <f>IF($A195="","",IF($R195&lt;=0,1,1+$R195/SUMIF($R$4:$R$923,"&gt;0",$R$4:$R$923)*(Settings!$B$5*(Settings!$B$6-Settings!$B$7))))</f>
        <v>1</v>
      </c>
      <c r="T195" s="12">
        <f t="array" ref="T195">IF($A195="","",XLOOKUP($F195,Settings!$I$15:$I$20,Settings!$J$15:$J$20,1))</f>
        <v>0.9</v>
      </c>
      <c r="U195" s="12">
        <f>IF($A195="","",1+(($G195-5)/5)*Settings!$J$8)</f>
        <v>1</v>
      </c>
      <c r="V195" s="12">
        <f>IF($A195="","",1+(($H195-5)/5)*Settings!$J$9)</f>
        <v>1.06</v>
      </c>
      <c r="W195" s="12">
        <f t="array" ref="W195">IF($A195="","",XLOOKUP($J195,Lists!$C$3:$C$7,Lists!$D$3:$D$7,1))</f>
        <v>1</v>
      </c>
      <c r="X195" s="12">
        <f>IF($A195="","",IF($I195="Yes",Settings!$J$10,1))</f>
        <v>1</v>
      </c>
      <c r="Y195" s="12">
        <f t="shared" si="2"/>
        <v>1</v>
      </c>
      <c r="Z195" s="12">
        <f>IF($A195="","",IFERROR(ROUND(AVERAGEIFS('Historical Drafts'!$G$4:$G$300,'Historical Drafts'!$D$4:$D$300,$E195,'Historical Drafts'!$J$4:$J$300,"&gt;="&amp;$L195*0.85,'Historical Drafts'!$J$4:$J$300,"&lt;="&amp;$L195*1.15),0),$Y195))</f>
        <v>9</v>
      </c>
      <c r="AA195" s="12" t="str">
        <f>IF($A195="","",IF(COUNTIF('Auction Log'!$B$3:$B$300,$A195)&gt;0,"Sold","Available"))</f>
        <v>Available</v>
      </c>
      <c r="AB195" s="12" t="str">
        <f t="array" ref="AB195">IF($A195="","",IFERROR(XLOOKUP($A195,'Auction Log'!$B$3:$B$300,'Auction Log'!$G$3:$G$300,""),""))</f>
        <v/>
      </c>
      <c r="AC195" s="12" t="str">
        <f t="array" ref="AC195">IF($A195="","",IFERROR(XLOOKUP($A195,'Auction Log'!$B$3:$B$300,'Auction Log'!$F$3:$F$300,""),""))</f>
        <v/>
      </c>
      <c r="AD195" s="12">
        <f t="array" ref="AD195">IF($A195="","",ROUND($Y195*XLOOKUP($F195,Settings!$I$15:$I$20,Settings!$K$15:$K$20,0.4),0))</f>
        <v>0</v>
      </c>
      <c r="AE195" s="12">
        <f t="array" ref="AE195">IF($A195="","",ROUND($Y195*XLOOKUP($F195,Settings!$I$15:$I$20,Settings!$L$15:$L$20,0.8),0))</f>
        <v>1</v>
      </c>
      <c r="AF195" s="12">
        <f t="array" ref="AF195">IF($A195="","",ROUND($Y195*XLOOKUP($F195,Settings!$I$15:$I$20,Settings!$M$15:$M$20,1),0))</f>
        <v>1</v>
      </c>
      <c r="AG195" s="12">
        <f t="array" ref="AG195">IF($A195="","",ROUND($Y195*XLOOKUP($F195,Settings!$I$15:$I$20,Settings!$N$15:$N$20,1.1),0))</f>
        <v>1</v>
      </c>
      <c r="AH195" s="12">
        <f t="array" ref="AH195">IF($A195="","",ROUND($Y195*XLOOKUP($F195,Settings!$I$15:$I$20,Settings!$O$15:$O$20,1.1)*Settings!$J$7,0))</f>
        <v>1</v>
      </c>
      <c r="AI195" s="12">
        <f t="array" ref="AI195">IF($A195="","",IF($AA195="Sold","",MIN($AH195,IFERROR(XLOOKUP(Settings!$B$12,Managers!$B$4:$B$15,Managers!$H$4:$H$15),$AH195))))</f>
        <v>1</v>
      </c>
      <c r="AJ195" s="12" t="str">
        <f t="shared" si="3"/>
        <v>Budget Drainer</v>
      </c>
      <c r="AK195" s="12">
        <f t="shared" si="4"/>
        <v>34</v>
      </c>
      <c r="AL195" s="12" t="str">
        <f t="shared" si="5"/>
        <v/>
      </c>
    </row>
    <row r="196" ht="15.75" customHeight="1">
      <c r="A196" s="10" t="s">
        <v>729</v>
      </c>
      <c r="B196" s="10" t="s">
        <v>730</v>
      </c>
      <c r="C196" s="10" t="s">
        <v>387</v>
      </c>
      <c r="D196" s="10" t="s">
        <v>123</v>
      </c>
      <c r="E196" s="10" t="s">
        <v>123</v>
      </c>
      <c r="F196" s="10" t="s">
        <v>114</v>
      </c>
      <c r="G196" s="10">
        <v>5.0</v>
      </c>
      <c r="H196" s="10">
        <v>7.0</v>
      </c>
      <c r="I196" s="10" t="s">
        <v>2140</v>
      </c>
      <c r="J196" s="10" t="s">
        <v>2136</v>
      </c>
      <c r="K196" s="10"/>
      <c r="L196" s="10">
        <v>164.5</v>
      </c>
      <c r="M196" s="10">
        <v>4.98</v>
      </c>
      <c r="N196" s="10"/>
      <c r="O196" s="10"/>
      <c r="P196" s="12">
        <f>IF($A196="","",IFERROR((IF($O196="",0,$O196)*Settings!$J$4+IF($L196="",0,$L196)*Settings!$J$5+IF($N196="",0,$N196)*Settings!$J$6)/(IF($O196="",0,Settings!$J$4)+IF($L196="",0,Settings!$J$5)+IF($N196="",0,Settings!$J$6)),0))</f>
        <v>164.5</v>
      </c>
      <c r="Q196" s="12">
        <f t="array" ref="Q196">IF($A196="","",XLOOKUP($E196,Settings!$A$19:$A$22,Settings!$G$19:$G$22,0))</f>
        <v>203</v>
      </c>
      <c r="R196" s="12">
        <f t="shared" si="1"/>
        <v>0</v>
      </c>
      <c r="S196" s="12">
        <f>IF($A196="","",IF($R196&lt;=0,1,1+$R196/SUMIF($R$4:$R$923,"&gt;0",$R$4:$R$923)*(Settings!$B$5*(Settings!$B$6-Settings!$B$7))))</f>
        <v>1</v>
      </c>
      <c r="T196" s="12">
        <f t="array" ref="T196">IF($A196="","",XLOOKUP($F196,Settings!$I$15:$I$20,Settings!$J$15:$J$20,1))</f>
        <v>0.9</v>
      </c>
      <c r="U196" s="12">
        <f>IF($A196="","",1+(($G196-5)/5)*Settings!$J$8)</f>
        <v>1</v>
      </c>
      <c r="V196" s="12">
        <f>IF($A196="","",1+(($H196-5)/5)*Settings!$J$9)</f>
        <v>1.06</v>
      </c>
      <c r="W196" s="12">
        <f t="array" ref="W196">IF($A196="","",XLOOKUP($J196,Lists!$C$3:$C$7,Lists!$D$3:$D$7,1))</f>
        <v>1</v>
      </c>
      <c r="X196" s="12">
        <f>IF($A196="","",IF($I196="Yes",Settings!$J$10,1))</f>
        <v>1</v>
      </c>
      <c r="Y196" s="12">
        <f t="shared" si="2"/>
        <v>1</v>
      </c>
      <c r="Z196" s="12">
        <f>IF($A196="","",IFERROR(ROUND(AVERAGEIFS('Historical Drafts'!$G$4:$G$300,'Historical Drafts'!$D$4:$D$300,$E196,'Historical Drafts'!$J$4:$J$300,"&gt;="&amp;$L196*0.85,'Historical Drafts'!$J$4:$J$300,"&lt;="&amp;$L196*1.15),0),$Y196))</f>
        <v>4</v>
      </c>
      <c r="AA196" s="12" t="str">
        <f>IF($A196="","",IF(COUNTIF('Auction Log'!$B$3:$B$300,$A196)&gt;0,"Sold","Available"))</f>
        <v>Available</v>
      </c>
      <c r="AB196" s="12" t="str">
        <f t="array" ref="AB196">IF($A196="","",IFERROR(XLOOKUP($A196,'Auction Log'!$B$3:$B$300,'Auction Log'!$G$3:$G$300,""),""))</f>
        <v/>
      </c>
      <c r="AC196" s="12" t="str">
        <f t="array" ref="AC196">IF($A196="","",IFERROR(XLOOKUP($A196,'Auction Log'!$B$3:$B$300,'Auction Log'!$F$3:$F$300,""),""))</f>
        <v/>
      </c>
      <c r="AD196" s="12">
        <f t="array" ref="AD196">IF($A196="","",ROUND($Y196*XLOOKUP($F196,Settings!$I$15:$I$20,Settings!$K$15:$K$20,0.4),0))</f>
        <v>0</v>
      </c>
      <c r="AE196" s="12">
        <f t="array" ref="AE196">IF($A196="","",ROUND($Y196*XLOOKUP($F196,Settings!$I$15:$I$20,Settings!$L$15:$L$20,0.8),0))</f>
        <v>1</v>
      </c>
      <c r="AF196" s="12">
        <f t="array" ref="AF196">IF($A196="","",ROUND($Y196*XLOOKUP($F196,Settings!$I$15:$I$20,Settings!$M$15:$M$20,1),0))</f>
        <v>1</v>
      </c>
      <c r="AG196" s="12">
        <f t="array" ref="AG196">IF($A196="","",ROUND($Y196*XLOOKUP($F196,Settings!$I$15:$I$20,Settings!$N$15:$N$20,1.1),0))</f>
        <v>1</v>
      </c>
      <c r="AH196" s="12">
        <f t="array" ref="AH196">IF($A196="","",ROUND($Y196*XLOOKUP($F196,Settings!$I$15:$I$20,Settings!$O$15:$O$20,1.1)*Settings!$J$7,0))</f>
        <v>1</v>
      </c>
      <c r="AI196" s="12">
        <f t="array" ref="AI196">IF($A196="","",IF($AA196="Sold","",MIN($AH196,IFERROR(XLOOKUP(Settings!$B$12,Managers!$B$4:$B$15,Managers!$H$4:$H$15),$AH196))))</f>
        <v>1</v>
      </c>
      <c r="AJ196" s="12" t="str">
        <f t="shared" si="3"/>
        <v>Budget Drainer</v>
      </c>
      <c r="AK196" s="12">
        <f t="shared" si="4"/>
        <v>29</v>
      </c>
      <c r="AL196" s="12" t="str">
        <f t="shared" si="5"/>
        <v/>
      </c>
    </row>
    <row r="197" ht="15.75" customHeight="1">
      <c r="A197" s="10" t="s">
        <v>373</v>
      </c>
      <c r="B197" s="10" t="s">
        <v>374</v>
      </c>
      <c r="C197" s="10" t="s">
        <v>191</v>
      </c>
      <c r="D197" s="10" t="s">
        <v>121</v>
      </c>
      <c r="E197" s="10" t="s">
        <v>121</v>
      </c>
      <c r="F197" s="10" t="s">
        <v>114</v>
      </c>
      <c r="G197" s="10">
        <v>5.0</v>
      </c>
      <c r="H197" s="10">
        <v>7.0</v>
      </c>
      <c r="I197" s="10" t="s">
        <v>2140</v>
      </c>
      <c r="J197" s="10" t="s">
        <v>2136</v>
      </c>
      <c r="K197" s="10"/>
      <c r="L197" s="10">
        <v>164.5</v>
      </c>
      <c r="M197" s="10">
        <v>6.33</v>
      </c>
      <c r="N197" s="10"/>
      <c r="O197" s="10"/>
      <c r="P197" s="12">
        <f>IF($A197="","",IFERROR((IF($O197="",0,$O197)*Settings!$J$4+IF($L197="",0,$L197)*Settings!$J$5+IF($N197="",0,$N197)*Settings!$J$6)/(IF($O197="",0,Settings!$J$4)+IF($L197="",0,Settings!$J$5)+IF($N197="",0,Settings!$J$6)),0))</f>
        <v>164.5</v>
      </c>
      <c r="Q197" s="12">
        <f t="array" ref="Q197">IF($A197="","",XLOOKUP($E197,Settings!$A$19:$A$22,Settings!$G$19:$G$22,0))</f>
        <v>206</v>
      </c>
      <c r="R197" s="12">
        <f t="shared" si="1"/>
        <v>0</v>
      </c>
      <c r="S197" s="12">
        <f>IF($A197="","",IF($R197&lt;=0,1,1+$R197/SUMIF($R$4:$R$923,"&gt;0",$R$4:$R$923)*(Settings!$B$5*(Settings!$B$6-Settings!$B$7))))</f>
        <v>1</v>
      </c>
      <c r="T197" s="12">
        <f t="array" ref="T197">IF($A197="","",XLOOKUP($F197,Settings!$I$15:$I$20,Settings!$J$15:$J$20,1))</f>
        <v>0.9</v>
      </c>
      <c r="U197" s="12">
        <f>IF($A197="","",1+(($G197-5)/5)*Settings!$J$8)</f>
        <v>1</v>
      </c>
      <c r="V197" s="12">
        <f>IF($A197="","",1+(($H197-5)/5)*Settings!$J$9)</f>
        <v>1.06</v>
      </c>
      <c r="W197" s="12">
        <f t="array" ref="W197">IF($A197="","",XLOOKUP($J197,Lists!$C$3:$C$7,Lists!$D$3:$D$7,1))</f>
        <v>1</v>
      </c>
      <c r="X197" s="12">
        <f>IF($A197="","",IF($I197="Yes",Settings!$J$10,1))</f>
        <v>1</v>
      </c>
      <c r="Y197" s="12">
        <f t="shared" si="2"/>
        <v>1</v>
      </c>
      <c r="Z197" s="12">
        <f>IF($A197="","",IFERROR(ROUND(AVERAGEIFS('Historical Drafts'!$G$4:$G$300,'Historical Drafts'!$D$4:$D$300,$E197,'Historical Drafts'!$J$4:$J$300,"&gt;="&amp;$L197*0.85,'Historical Drafts'!$J$4:$J$300,"&lt;="&amp;$L197*1.15),0),$Y197))</f>
        <v>9</v>
      </c>
      <c r="AA197" s="12" t="str">
        <f>IF($A197="","",IF(COUNTIF('Auction Log'!$B$3:$B$300,$A197)&gt;0,"Sold","Available"))</f>
        <v>Available</v>
      </c>
      <c r="AB197" s="12" t="str">
        <f t="array" ref="AB197">IF($A197="","",IFERROR(XLOOKUP($A197,'Auction Log'!$B$3:$B$300,'Auction Log'!$G$3:$G$300,""),""))</f>
        <v/>
      </c>
      <c r="AC197" s="12" t="str">
        <f t="array" ref="AC197">IF($A197="","",IFERROR(XLOOKUP($A197,'Auction Log'!$B$3:$B$300,'Auction Log'!$F$3:$F$300,""),""))</f>
        <v/>
      </c>
      <c r="AD197" s="12">
        <f t="array" ref="AD197">IF($A197="","",ROUND($Y197*XLOOKUP($F197,Settings!$I$15:$I$20,Settings!$K$15:$K$20,0.4),0))</f>
        <v>0</v>
      </c>
      <c r="AE197" s="12">
        <f t="array" ref="AE197">IF($A197="","",ROUND($Y197*XLOOKUP($F197,Settings!$I$15:$I$20,Settings!$L$15:$L$20,0.8),0))</f>
        <v>1</v>
      </c>
      <c r="AF197" s="12">
        <f t="array" ref="AF197">IF($A197="","",ROUND($Y197*XLOOKUP($F197,Settings!$I$15:$I$20,Settings!$M$15:$M$20,1),0))</f>
        <v>1</v>
      </c>
      <c r="AG197" s="12">
        <f t="array" ref="AG197">IF($A197="","",ROUND($Y197*XLOOKUP($F197,Settings!$I$15:$I$20,Settings!$N$15:$N$20,1.1),0))</f>
        <v>1</v>
      </c>
      <c r="AH197" s="12">
        <f t="array" ref="AH197">IF($A197="","",ROUND($Y197*XLOOKUP($F197,Settings!$I$15:$I$20,Settings!$O$15:$O$20,1.1)*Settings!$J$7,0))</f>
        <v>1</v>
      </c>
      <c r="AI197" s="12">
        <f t="array" ref="AI197">IF($A197="","",IF($AA197="Sold","",MIN($AH197,IFERROR(XLOOKUP(Settings!$B$12,Managers!$B$4:$B$15,Managers!$H$4:$H$15),$AH197))))</f>
        <v>1</v>
      </c>
      <c r="AJ197" s="12" t="str">
        <f t="shared" si="3"/>
        <v>Budget Drainer</v>
      </c>
      <c r="AK197" s="12">
        <f t="shared" si="4"/>
        <v>34</v>
      </c>
      <c r="AL197" s="12" t="str">
        <f t="shared" si="5"/>
        <v/>
      </c>
    </row>
    <row r="198" ht="15.75" customHeight="1">
      <c r="A198" s="10" t="s">
        <v>499</v>
      </c>
      <c r="B198" s="10" t="s">
        <v>500</v>
      </c>
      <c r="C198" s="10" t="s">
        <v>305</v>
      </c>
      <c r="D198" s="10" t="s">
        <v>118</v>
      </c>
      <c r="E198" s="10" t="s">
        <v>118</v>
      </c>
      <c r="F198" s="10" t="s">
        <v>114</v>
      </c>
      <c r="G198" s="10">
        <v>5.0</v>
      </c>
      <c r="H198" s="10">
        <v>7.0</v>
      </c>
      <c r="I198" s="10" t="s">
        <v>2140</v>
      </c>
      <c r="J198" s="10" t="s">
        <v>2136</v>
      </c>
      <c r="K198" s="10"/>
      <c r="L198" s="10">
        <v>164.5</v>
      </c>
      <c r="M198" s="10">
        <v>7.48</v>
      </c>
      <c r="N198" s="10"/>
      <c r="O198" s="10"/>
      <c r="P198" s="12">
        <f>IF($A198="","",IFERROR((IF($O198="",0,$O198)*Settings!$J$4+IF($L198="",0,$L198)*Settings!$J$5+IF($N198="",0,$N198)*Settings!$J$6)/(IF($O198="",0,Settings!$J$4)+IF($L198="",0,Settings!$J$5)+IF($N198="",0,Settings!$J$6)),0))</f>
        <v>164.5</v>
      </c>
      <c r="Q198" s="12">
        <f t="array" ref="Q198">IF($A198="","",XLOOKUP($E198,Settings!$A$19:$A$22,Settings!$G$19:$G$22,0))</f>
        <v>196.25</v>
      </c>
      <c r="R198" s="12">
        <f t="shared" si="1"/>
        <v>0</v>
      </c>
      <c r="S198" s="12">
        <f>IF($A198="","",IF($R198&lt;=0,1,1+$R198/SUMIF($R$4:$R$923,"&gt;0",$R$4:$R$923)*(Settings!$B$5*(Settings!$B$6-Settings!$B$7))))</f>
        <v>1</v>
      </c>
      <c r="T198" s="12">
        <f t="array" ref="T198">IF($A198="","",XLOOKUP($F198,Settings!$I$15:$I$20,Settings!$J$15:$J$20,1))</f>
        <v>0.9</v>
      </c>
      <c r="U198" s="12">
        <f>IF($A198="","",1+(($G198-5)/5)*Settings!$J$8)</f>
        <v>1</v>
      </c>
      <c r="V198" s="12">
        <f>IF($A198="","",1+(($H198-5)/5)*Settings!$J$9)</f>
        <v>1.06</v>
      </c>
      <c r="W198" s="12">
        <f t="array" ref="W198">IF($A198="","",XLOOKUP($J198,Lists!$C$3:$C$7,Lists!$D$3:$D$7,1))</f>
        <v>1</v>
      </c>
      <c r="X198" s="12">
        <f>IF($A198="","",IF($I198="Yes",Settings!$J$10,1))</f>
        <v>1</v>
      </c>
      <c r="Y198" s="12">
        <f t="shared" si="2"/>
        <v>1</v>
      </c>
      <c r="Z198" s="12">
        <f>IF($A198="","",IFERROR(ROUND(AVERAGEIFS('Historical Drafts'!$G$4:$G$300,'Historical Drafts'!$D$4:$D$300,$E198,'Historical Drafts'!$J$4:$J$300,"&gt;="&amp;$L198*0.85,'Historical Drafts'!$J$4:$J$300,"&lt;="&amp;$L198*1.15),0),$Y198))</f>
        <v>10</v>
      </c>
      <c r="AA198" s="12" t="str">
        <f>IF($A198="","",IF(COUNTIF('Auction Log'!$B$3:$B$300,$A198)&gt;0,"Sold","Available"))</f>
        <v>Available</v>
      </c>
      <c r="AB198" s="12" t="str">
        <f t="array" ref="AB198">IF($A198="","",IFERROR(XLOOKUP($A198,'Auction Log'!$B$3:$B$300,'Auction Log'!$G$3:$G$300,""),""))</f>
        <v/>
      </c>
      <c r="AC198" s="12" t="str">
        <f t="array" ref="AC198">IF($A198="","",IFERROR(XLOOKUP($A198,'Auction Log'!$B$3:$B$300,'Auction Log'!$F$3:$F$300,""),""))</f>
        <v/>
      </c>
      <c r="AD198" s="12">
        <f t="array" ref="AD198">IF($A198="","",ROUND($Y198*XLOOKUP($F198,Settings!$I$15:$I$20,Settings!$K$15:$K$20,0.4),0))</f>
        <v>0</v>
      </c>
      <c r="AE198" s="12">
        <f t="array" ref="AE198">IF($A198="","",ROUND($Y198*XLOOKUP($F198,Settings!$I$15:$I$20,Settings!$L$15:$L$20,0.8),0))</f>
        <v>1</v>
      </c>
      <c r="AF198" s="12">
        <f t="array" ref="AF198">IF($A198="","",ROUND($Y198*XLOOKUP($F198,Settings!$I$15:$I$20,Settings!$M$15:$M$20,1),0))</f>
        <v>1</v>
      </c>
      <c r="AG198" s="12">
        <f t="array" ref="AG198">IF($A198="","",ROUND($Y198*XLOOKUP($F198,Settings!$I$15:$I$20,Settings!$N$15:$N$20,1.1),0))</f>
        <v>1</v>
      </c>
      <c r="AH198" s="12">
        <f t="array" ref="AH198">IF($A198="","",ROUND($Y198*XLOOKUP($F198,Settings!$I$15:$I$20,Settings!$O$15:$O$20,1.1)*Settings!$J$7,0))</f>
        <v>1</v>
      </c>
      <c r="AI198" s="12">
        <f t="array" ref="AI198">IF($A198="","",IF($AA198="Sold","",MIN($AH198,IFERROR(XLOOKUP(Settings!$B$12,Managers!$B$4:$B$15,Managers!$H$4:$H$15),$AH198))))</f>
        <v>1</v>
      </c>
      <c r="AJ198" s="12" t="str">
        <f t="shared" si="3"/>
        <v>Budget Drainer</v>
      </c>
      <c r="AK198" s="12">
        <f t="shared" si="4"/>
        <v>35</v>
      </c>
      <c r="AL198" s="12" t="str">
        <f t="shared" si="5"/>
        <v/>
      </c>
    </row>
    <row r="199" ht="15.75" customHeight="1">
      <c r="A199" s="10" t="s">
        <v>469</v>
      </c>
      <c r="B199" s="10" t="s">
        <v>470</v>
      </c>
      <c r="C199" s="10" t="s">
        <v>305</v>
      </c>
      <c r="D199" s="10" t="s">
        <v>121</v>
      </c>
      <c r="E199" s="10" t="s">
        <v>121</v>
      </c>
      <c r="F199" s="10" t="s">
        <v>114</v>
      </c>
      <c r="G199" s="10">
        <v>5.0</v>
      </c>
      <c r="H199" s="10">
        <v>7.0</v>
      </c>
      <c r="I199" s="10" t="s">
        <v>2140</v>
      </c>
      <c r="J199" s="10" t="s">
        <v>2136</v>
      </c>
      <c r="K199" s="10"/>
      <c r="L199" s="10">
        <v>164.0</v>
      </c>
      <c r="M199" s="10">
        <v>4.43</v>
      </c>
      <c r="N199" s="10"/>
      <c r="O199" s="10"/>
      <c r="P199" s="12">
        <f>IF($A199="","",IFERROR((IF($O199="",0,$O199)*Settings!$J$4+IF($L199="",0,$L199)*Settings!$J$5+IF($N199="",0,$N199)*Settings!$J$6)/(IF($O199="",0,Settings!$J$4)+IF($L199="",0,Settings!$J$5)+IF($N199="",0,Settings!$J$6)),0))</f>
        <v>164</v>
      </c>
      <c r="Q199" s="12">
        <f t="array" ref="Q199">IF($A199="","",XLOOKUP($E199,Settings!$A$19:$A$22,Settings!$G$19:$G$22,0))</f>
        <v>206</v>
      </c>
      <c r="R199" s="12">
        <f t="shared" si="1"/>
        <v>0</v>
      </c>
      <c r="S199" s="12">
        <f>IF($A199="","",IF($R199&lt;=0,1,1+$R199/SUMIF($R$4:$R$923,"&gt;0",$R$4:$R$923)*(Settings!$B$5*(Settings!$B$6-Settings!$B$7))))</f>
        <v>1</v>
      </c>
      <c r="T199" s="12">
        <f t="array" ref="T199">IF($A199="","",XLOOKUP($F199,Settings!$I$15:$I$20,Settings!$J$15:$J$20,1))</f>
        <v>0.9</v>
      </c>
      <c r="U199" s="12">
        <f>IF($A199="","",1+(($G199-5)/5)*Settings!$J$8)</f>
        <v>1</v>
      </c>
      <c r="V199" s="12">
        <f>IF($A199="","",1+(($H199-5)/5)*Settings!$J$9)</f>
        <v>1.06</v>
      </c>
      <c r="W199" s="12">
        <f t="array" ref="W199">IF($A199="","",XLOOKUP($J199,Lists!$C$3:$C$7,Lists!$D$3:$D$7,1))</f>
        <v>1</v>
      </c>
      <c r="X199" s="12">
        <f>IF($A199="","",IF($I199="Yes",Settings!$J$10,1))</f>
        <v>1</v>
      </c>
      <c r="Y199" s="12">
        <f t="shared" si="2"/>
        <v>1</v>
      </c>
      <c r="Z199" s="12">
        <f>IF($A199="","",IFERROR(ROUND(AVERAGEIFS('Historical Drafts'!$G$4:$G$300,'Historical Drafts'!$D$4:$D$300,$E199,'Historical Drafts'!$J$4:$J$300,"&gt;="&amp;$L199*0.85,'Historical Drafts'!$J$4:$J$300,"&lt;="&amp;$L199*1.15),0),$Y199))</f>
        <v>9</v>
      </c>
      <c r="AA199" s="12" t="str">
        <f>IF($A199="","",IF(COUNTIF('Auction Log'!$B$3:$B$300,$A199)&gt;0,"Sold","Available"))</f>
        <v>Available</v>
      </c>
      <c r="AB199" s="12" t="str">
        <f t="array" ref="AB199">IF($A199="","",IFERROR(XLOOKUP($A199,'Auction Log'!$B$3:$B$300,'Auction Log'!$G$3:$G$300,""),""))</f>
        <v/>
      </c>
      <c r="AC199" s="12" t="str">
        <f t="array" ref="AC199">IF($A199="","",IFERROR(XLOOKUP($A199,'Auction Log'!$B$3:$B$300,'Auction Log'!$F$3:$F$300,""),""))</f>
        <v/>
      </c>
      <c r="AD199" s="12">
        <f t="array" ref="AD199">IF($A199="","",ROUND($Y199*XLOOKUP($F199,Settings!$I$15:$I$20,Settings!$K$15:$K$20,0.4),0))</f>
        <v>0</v>
      </c>
      <c r="AE199" s="12">
        <f t="array" ref="AE199">IF($A199="","",ROUND($Y199*XLOOKUP($F199,Settings!$I$15:$I$20,Settings!$L$15:$L$20,0.8),0))</f>
        <v>1</v>
      </c>
      <c r="AF199" s="12">
        <f t="array" ref="AF199">IF($A199="","",ROUND($Y199*XLOOKUP($F199,Settings!$I$15:$I$20,Settings!$M$15:$M$20,1),0))</f>
        <v>1</v>
      </c>
      <c r="AG199" s="12">
        <f t="array" ref="AG199">IF($A199="","",ROUND($Y199*XLOOKUP($F199,Settings!$I$15:$I$20,Settings!$N$15:$N$20,1.1),0))</f>
        <v>1</v>
      </c>
      <c r="AH199" s="12">
        <f t="array" ref="AH199">IF($A199="","",ROUND($Y199*XLOOKUP($F199,Settings!$I$15:$I$20,Settings!$O$15:$O$20,1.1)*Settings!$J$7,0))</f>
        <v>1</v>
      </c>
      <c r="AI199" s="12">
        <f t="array" ref="AI199">IF($A199="","",IF($AA199="Sold","",MIN($AH199,IFERROR(XLOOKUP(Settings!$B$12,Managers!$B$4:$B$15,Managers!$H$4:$H$15),$AH199))))</f>
        <v>1</v>
      </c>
      <c r="AJ199" s="12" t="str">
        <f t="shared" si="3"/>
        <v>Budget Drainer</v>
      </c>
      <c r="AK199" s="12">
        <f t="shared" si="4"/>
        <v>34</v>
      </c>
      <c r="AL199" s="12" t="str">
        <f t="shared" si="5"/>
        <v/>
      </c>
    </row>
    <row r="200" ht="15.75" customHeight="1">
      <c r="A200" s="10" t="s">
        <v>731</v>
      </c>
      <c r="B200" s="10" t="s">
        <v>732</v>
      </c>
      <c r="C200" s="10" t="s">
        <v>305</v>
      </c>
      <c r="D200" s="10" t="s">
        <v>118</v>
      </c>
      <c r="E200" s="10" t="s">
        <v>118</v>
      </c>
      <c r="F200" s="10" t="s">
        <v>114</v>
      </c>
      <c r="G200" s="10">
        <v>5.0</v>
      </c>
      <c r="H200" s="10">
        <v>7.0</v>
      </c>
      <c r="I200" s="10" t="s">
        <v>2140</v>
      </c>
      <c r="J200" s="10" t="s">
        <v>2136</v>
      </c>
      <c r="K200" s="10"/>
      <c r="L200" s="10">
        <v>161.75</v>
      </c>
      <c r="M200" s="10">
        <v>5.39</v>
      </c>
      <c r="N200" s="10"/>
      <c r="O200" s="10"/>
      <c r="P200" s="12">
        <f>IF($A200="","",IFERROR((IF($O200="",0,$O200)*Settings!$J$4+IF($L200="",0,$L200)*Settings!$J$5+IF($N200="",0,$N200)*Settings!$J$6)/(IF($O200="",0,Settings!$J$4)+IF($L200="",0,Settings!$J$5)+IF($N200="",0,Settings!$J$6)),0))</f>
        <v>161.75</v>
      </c>
      <c r="Q200" s="12">
        <f t="array" ref="Q200">IF($A200="","",XLOOKUP($E200,Settings!$A$19:$A$22,Settings!$G$19:$G$22,0))</f>
        <v>196.25</v>
      </c>
      <c r="R200" s="12">
        <f t="shared" si="1"/>
        <v>0</v>
      </c>
      <c r="S200" s="12">
        <f>IF($A200="","",IF($R200&lt;=0,1,1+$R200/SUMIF($R$4:$R$923,"&gt;0",$R$4:$R$923)*(Settings!$B$5*(Settings!$B$6-Settings!$B$7))))</f>
        <v>1</v>
      </c>
      <c r="T200" s="12">
        <f t="array" ref="T200">IF($A200="","",XLOOKUP($F200,Settings!$I$15:$I$20,Settings!$J$15:$J$20,1))</f>
        <v>0.9</v>
      </c>
      <c r="U200" s="12">
        <f>IF($A200="","",1+(($G200-5)/5)*Settings!$J$8)</f>
        <v>1</v>
      </c>
      <c r="V200" s="12">
        <f>IF($A200="","",1+(($H200-5)/5)*Settings!$J$9)</f>
        <v>1.06</v>
      </c>
      <c r="W200" s="12">
        <f t="array" ref="W200">IF($A200="","",XLOOKUP($J200,Lists!$C$3:$C$7,Lists!$D$3:$D$7,1))</f>
        <v>1</v>
      </c>
      <c r="X200" s="12">
        <f>IF($A200="","",IF($I200="Yes",Settings!$J$10,1))</f>
        <v>1</v>
      </c>
      <c r="Y200" s="12">
        <f t="shared" si="2"/>
        <v>1</v>
      </c>
      <c r="Z200" s="12">
        <f>IF($A200="","",IFERROR(ROUND(AVERAGEIFS('Historical Drafts'!$G$4:$G$300,'Historical Drafts'!$D$4:$D$300,$E200,'Historical Drafts'!$J$4:$J$300,"&gt;="&amp;$L200*0.85,'Historical Drafts'!$J$4:$J$300,"&lt;="&amp;$L200*1.15),0),$Y200))</f>
        <v>10</v>
      </c>
      <c r="AA200" s="12" t="str">
        <f>IF($A200="","",IF(COUNTIF('Auction Log'!$B$3:$B$300,$A200)&gt;0,"Sold","Available"))</f>
        <v>Available</v>
      </c>
      <c r="AB200" s="12" t="str">
        <f t="array" ref="AB200">IF($A200="","",IFERROR(XLOOKUP($A200,'Auction Log'!$B$3:$B$300,'Auction Log'!$G$3:$G$300,""),""))</f>
        <v/>
      </c>
      <c r="AC200" s="12" t="str">
        <f t="array" ref="AC200">IF($A200="","",IFERROR(XLOOKUP($A200,'Auction Log'!$B$3:$B$300,'Auction Log'!$F$3:$F$300,""),""))</f>
        <v/>
      </c>
      <c r="AD200" s="12">
        <f t="array" ref="AD200">IF($A200="","",ROUND($Y200*XLOOKUP($F200,Settings!$I$15:$I$20,Settings!$K$15:$K$20,0.4),0))</f>
        <v>0</v>
      </c>
      <c r="AE200" s="12">
        <f t="array" ref="AE200">IF($A200="","",ROUND($Y200*XLOOKUP($F200,Settings!$I$15:$I$20,Settings!$L$15:$L$20,0.8),0))</f>
        <v>1</v>
      </c>
      <c r="AF200" s="12">
        <f t="array" ref="AF200">IF($A200="","",ROUND($Y200*XLOOKUP($F200,Settings!$I$15:$I$20,Settings!$M$15:$M$20,1),0))</f>
        <v>1</v>
      </c>
      <c r="AG200" s="12">
        <f t="array" ref="AG200">IF($A200="","",ROUND($Y200*XLOOKUP($F200,Settings!$I$15:$I$20,Settings!$N$15:$N$20,1.1),0))</f>
        <v>1</v>
      </c>
      <c r="AH200" s="12">
        <f t="array" ref="AH200">IF($A200="","",ROUND($Y200*XLOOKUP($F200,Settings!$I$15:$I$20,Settings!$O$15:$O$20,1.1)*Settings!$J$7,0))</f>
        <v>1</v>
      </c>
      <c r="AI200" s="12">
        <f t="array" ref="AI200">IF($A200="","",IF($AA200="Sold","",MIN($AH200,IFERROR(XLOOKUP(Settings!$B$12,Managers!$B$4:$B$15,Managers!$H$4:$H$15),$AH200))))</f>
        <v>1</v>
      </c>
      <c r="AJ200" s="12" t="str">
        <f t="shared" si="3"/>
        <v>Budget Drainer</v>
      </c>
      <c r="AK200" s="12">
        <f t="shared" si="4"/>
        <v>35</v>
      </c>
      <c r="AL200" s="12" t="str">
        <f t="shared" si="5"/>
        <v/>
      </c>
    </row>
    <row r="201" ht="15.75" customHeight="1">
      <c r="A201" s="10" t="s">
        <v>733</v>
      </c>
      <c r="B201" s="10" t="s">
        <v>734</v>
      </c>
      <c r="C201" s="10" t="s">
        <v>314</v>
      </c>
      <c r="D201" s="10" t="s">
        <v>121</v>
      </c>
      <c r="E201" s="10" t="s">
        <v>121</v>
      </c>
      <c r="F201" s="10" t="s">
        <v>114</v>
      </c>
      <c r="G201" s="10">
        <v>5.0</v>
      </c>
      <c r="H201" s="10">
        <v>7.0</v>
      </c>
      <c r="I201" s="10" t="s">
        <v>2140</v>
      </c>
      <c r="J201" s="10" t="s">
        <v>2136</v>
      </c>
      <c r="K201" s="10"/>
      <c r="L201" s="10">
        <v>161.0</v>
      </c>
      <c r="M201" s="10">
        <v>4.88</v>
      </c>
      <c r="N201" s="10"/>
      <c r="O201" s="10"/>
      <c r="P201" s="12">
        <f>IF($A201="","",IFERROR((IF($O201="",0,$O201)*Settings!$J$4+IF($L201="",0,$L201)*Settings!$J$5+IF($N201="",0,$N201)*Settings!$J$6)/(IF($O201="",0,Settings!$J$4)+IF($L201="",0,Settings!$J$5)+IF($N201="",0,Settings!$J$6)),0))</f>
        <v>161</v>
      </c>
      <c r="Q201" s="12">
        <f t="array" ref="Q201">IF($A201="","",XLOOKUP($E201,Settings!$A$19:$A$22,Settings!$G$19:$G$22,0))</f>
        <v>206</v>
      </c>
      <c r="R201" s="12">
        <f t="shared" si="1"/>
        <v>0</v>
      </c>
      <c r="S201" s="12">
        <f>IF($A201="","",IF($R201&lt;=0,1,1+$R201/SUMIF($R$4:$R$923,"&gt;0",$R$4:$R$923)*(Settings!$B$5*(Settings!$B$6-Settings!$B$7))))</f>
        <v>1</v>
      </c>
      <c r="T201" s="12">
        <f t="array" ref="T201">IF($A201="","",XLOOKUP($F201,Settings!$I$15:$I$20,Settings!$J$15:$J$20,1))</f>
        <v>0.9</v>
      </c>
      <c r="U201" s="12">
        <f>IF($A201="","",1+(($G201-5)/5)*Settings!$J$8)</f>
        <v>1</v>
      </c>
      <c r="V201" s="12">
        <f>IF($A201="","",1+(($H201-5)/5)*Settings!$J$9)</f>
        <v>1.06</v>
      </c>
      <c r="W201" s="12">
        <f t="array" ref="W201">IF($A201="","",XLOOKUP($J201,Lists!$C$3:$C$7,Lists!$D$3:$D$7,1))</f>
        <v>1</v>
      </c>
      <c r="X201" s="12">
        <f>IF($A201="","",IF($I201="Yes",Settings!$J$10,1))</f>
        <v>1</v>
      </c>
      <c r="Y201" s="12">
        <f t="shared" si="2"/>
        <v>1</v>
      </c>
      <c r="Z201" s="12">
        <f>IF($A201="","",IFERROR(ROUND(AVERAGEIFS('Historical Drafts'!$G$4:$G$300,'Historical Drafts'!$D$4:$D$300,$E201,'Historical Drafts'!$J$4:$J$300,"&gt;="&amp;$L201*0.85,'Historical Drafts'!$J$4:$J$300,"&lt;="&amp;$L201*1.15),0),$Y201))</f>
        <v>9</v>
      </c>
      <c r="AA201" s="12" t="str">
        <f>IF($A201="","",IF(COUNTIF('Auction Log'!$B$3:$B$300,$A201)&gt;0,"Sold","Available"))</f>
        <v>Available</v>
      </c>
      <c r="AB201" s="12" t="str">
        <f t="array" ref="AB201">IF($A201="","",IFERROR(XLOOKUP($A201,'Auction Log'!$B$3:$B$300,'Auction Log'!$G$3:$G$300,""),""))</f>
        <v/>
      </c>
      <c r="AC201" s="12" t="str">
        <f t="array" ref="AC201">IF($A201="","",IFERROR(XLOOKUP($A201,'Auction Log'!$B$3:$B$300,'Auction Log'!$F$3:$F$300,""),""))</f>
        <v/>
      </c>
      <c r="AD201" s="12">
        <f t="array" ref="AD201">IF($A201="","",ROUND($Y201*XLOOKUP($F201,Settings!$I$15:$I$20,Settings!$K$15:$K$20,0.4),0))</f>
        <v>0</v>
      </c>
      <c r="AE201" s="12">
        <f t="array" ref="AE201">IF($A201="","",ROUND($Y201*XLOOKUP($F201,Settings!$I$15:$I$20,Settings!$L$15:$L$20,0.8),0))</f>
        <v>1</v>
      </c>
      <c r="AF201" s="12">
        <f t="array" ref="AF201">IF($A201="","",ROUND($Y201*XLOOKUP($F201,Settings!$I$15:$I$20,Settings!$M$15:$M$20,1),0))</f>
        <v>1</v>
      </c>
      <c r="AG201" s="12">
        <f t="array" ref="AG201">IF($A201="","",ROUND($Y201*XLOOKUP($F201,Settings!$I$15:$I$20,Settings!$N$15:$N$20,1.1),0))</f>
        <v>1</v>
      </c>
      <c r="AH201" s="12">
        <f t="array" ref="AH201">IF($A201="","",ROUND($Y201*XLOOKUP($F201,Settings!$I$15:$I$20,Settings!$O$15:$O$20,1.1)*Settings!$J$7,0))</f>
        <v>1</v>
      </c>
      <c r="AI201" s="12">
        <f t="array" ref="AI201">IF($A201="","",IF($AA201="Sold","",MIN($AH201,IFERROR(XLOOKUP(Settings!$B$12,Managers!$B$4:$B$15,Managers!$H$4:$H$15),$AH201))))</f>
        <v>1</v>
      </c>
      <c r="AJ201" s="12" t="str">
        <f t="shared" si="3"/>
        <v>Budget Drainer</v>
      </c>
      <c r="AK201" s="12">
        <f t="shared" si="4"/>
        <v>34</v>
      </c>
      <c r="AL201" s="12" t="str">
        <f t="shared" si="5"/>
        <v/>
      </c>
    </row>
    <row r="202" ht="15.75" customHeight="1">
      <c r="A202" s="10" t="s">
        <v>735</v>
      </c>
      <c r="B202" s="10" t="s">
        <v>736</v>
      </c>
      <c r="C202" s="10" t="s">
        <v>188</v>
      </c>
      <c r="D202" s="10" t="s">
        <v>118</v>
      </c>
      <c r="E202" s="10" t="s">
        <v>118</v>
      </c>
      <c r="F202" s="10" t="s">
        <v>114</v>
      </c>
      <c r="G202" s="10">
        <v>5.0</v>
      </c>
      <c r="H202" s="10">
        <v>7.0</v>
      </c>
      <c r="I202" s="10" t="s">
        <v>2140</v>
      </c>
      <c r="J202" s="10" t="s">
        <v>2136</v>
      </c>
      <c r="K202" s="10"/>
      <c r="L202" s="10">
        <v>160.75</v>
      </c>
      <c r="M202" s="10">
        <v>6.43</v>
      </c>
      <c r="N202" s="10"/>
      <c r="O202" s="10"/>
      <c r="P202" s="12">
        <f>IF($A202="","",IFERROR((IF($O202="",0,$O202)*Settings!$J$4+IF($L202="",0,$L202)*Settings!$J$5+IF($N202="",0,$N202)*Settings!$J$6)/(IF($O202="",0,Settings!$J$4)+IF($L202="",0,Settings!$J$5)+IF($N202="",0,Settings!$J$6)),0))</f>
        <v>160.75</v>
      </c>
      <c r="Q202" s="12">
        <f t="array" ref="Q202">IF($A202="","",XLOOKUP($E202,Settings!$A$19:$A$22,Settings!$G$19:$G$22,0))</f>
        <v>196.25</v>
      </c>
      <c r="R202" s="12">
        <f t="shared" si="1"/>
        <v>0</v>
      </c>
      <c r="S202" s="12">
        <f>IF($A202="","",IF($R202&lt;=0,1,1+$R202/SUMIF($R$4:$R$923,"&gt;0",$R$4:$R$923)*(Settings!$B$5*(Settings!$B$6-Settings!$B$7))))</f>
        <v>1</v>
      </c>
      <c r="T202" s="12">
        <f t="array" ref="T202">IF($A202="","",XLOOKUP($F202,Settings!$I$15:$I$20,Settings!$J$15:$J$20,1))</f>
        <v>0.9</v>
      </c>
      <c r="U202" s="12">
        <f>IF($A202="","",1+(($G202-5)/5)*Settings!$J$8)</f>
        <v>1</v>
      </c>
      <c r="V202" s="12">
        <f>IF($A202="","",1+(($H202-5)/5)*Settings!$J$9)</f>
        <v>1.06</v>
      </c>
      <c r="W202" s="12">
        <f t="array" ref="W202">IF($A202="","",XLOOKUP($J202,Lists!$C$3:$C$7,Lists!$D$3:$D$7,1))</f>
        <v>1</v>
      </c>
      <c r="X202" s="12">
        <f>IF($A202="","",IF($I202="Yes",Settings!$J$10,1))</f>
        <v>1</v>
      </c>
      <c r="Y202" s="12">
        <f t="shared" si="2"/>
        <v>1</v>
      </c>
      <c r="Z202" s="12">
        <f>IF($A202="","",IFERROR(ROUND(AVERAGEIFS('Historical Drafts'!$G$4:$G$300,'Historical Drafts'!$D$4:$D$300,$E202,'Historical Drafts'!$J$4:$J$300,"&gt;="&amp;$L202*0.85,'Historical Drafts'!$J$4:$J$300,"&lt;="&amp;$L202*1.15),0),$Y202))</f>
        <v>10</v>
      </c>
      <c r="AA202" s="12" t="str">
        <f>IF($A202="","",IF(COUNTIF('Auction Log'!$B$3:$B$300,$A202)&gt;0,"Sold","Available"))</f>
        <v>Available</v>
      </c>
      <c r="AB202" s="12" t="str">
        <f t="array" ref="AB202">IF($A202="","",IFERROR(XLOOKUP($A202,'Auction Log'!$B$3:$B$300,'Auction Log'!$G$3:$G$300,""),""))</f>
        <v/>
      </c>
      <c r="AC202" s="12" t="str">
        <f t="array" ref="AC202">IF($A202="","",IFERROR(XLOOKUP($A202,'Auction Log'!$B$3:$B$300,'Auction Log'!$F$3:$F$300,""),""))</f>
        <v/>
      </c>
      <c r="AD202" s="12">
        <f t="array" ref="AD202">IF($A202="","",ROUND($Y202*XLOOKUP($F202,Settings!$I$15:$I$20,Settings!$K$15:$K$20,0.4),0))</f>
        <v>0</v>
      </c>
      <c r="AE202" s="12">
        <f t="array" ref="AE202">IF($A202="","",ROUND($Y202*XLOOKUP($F202,Settings!$I$15:$I$20,Settings!$L$15:$L$20,0.8),0))</f>
        <v>1</v>
      </c>
      <c r="AF202" s="12">
        <f t="array" ref="AF202">IF($A202="","",ROUND($Y202*XLOOKUP($F202,Settings!$I$15:$I$20,Settings!$M$15:$M$20,1),0))</f>
        <v>1</v>
      </c>
      <c r="AG202" s="12">
        <f t="array" ref="AG202">IF($A202="","",ROUND($Y202*XLOOKUP($F202,Settings!$I$15:$I$20,Settings!$N$15:$N$20,1.1),0))</f>
        <v>1</v>
      </c>
      <c r="AH202" s="12">
        <f t="array" ref="AH202">IF($A202="","",ROUND($Y202*XLOOKUP($F202,Settings!$I$15:$I$20,Settings!$O$15:$O$20,1.1)*Settings!$J$7,0))</f>
        <v>1</v>
      </c>
      <c r="AI202" s="12">
        <f t="array" ref="AI202">IF($A202="","",IF($AA202="Sold","",MIN($AH202,IFERROR(XLOOKUP(Settings!$B$12,Managers!$B$4:$B$15,Managers!$H$4:$H$15),$AH202))))</f>
        <v>1</v>
      </c>
      <c r="AJ202" s="12" t="str">
        <f t="shared" si="3"/>
        <v>Budget Drainer</v>
      </c>
      <c r="AK202" s="12">
        <f t="shared" si="4"/>
        <v>35</v>
      </c>
      <c r="AL202" s="12" t="str">
        <f t="shared" si="5"/>
        <v/>
      </c>
    </row>
    <row r="203" ht="15.75" customHeight="1">
      <c r="A203" s="10" t="s">
        <v>737</v>
      </c>
      <c r="B203" s="10" t="s">
        <v>738</v>
      </c>
      <c r="C203" s="10" t="s">
        <v>257</v>
      </c>
      <c r="D203" s="10" t="s">
        <v>121</v>
      </c>
      <c r="E203" s="10" t="s">
        <v>121</v>
      </c>
      <c r="F203" s="10" t="s">
        <v>114</v>
      </c>
      <c r="G203" s="10">
        <v>5.0</v>
      </c>
      <c r="H203" s="10">
        <v>7.0</v>
      </c>
      <c r="I203" s="10" t="s">
        <v>2140</v>
      </c>
      <c r="J203" s="10" t="s">
        <v>2136</v>
      </c>
      <c r="K203" s="10"/>
      <c r="L203" s="10">
        <v>160.5</v>
      </c>
      <c r="M203" s="10">
        <v>6.42</v>
      </c>
      <c r="N203" s="10"/>
      <c r="O203" s="10"/>
      <c r="P203" s="12">
        <f>IF($A203="","",IFERROR((IF($O203="",0,$O203)*Settings!$J$4+IF($L203="",0,$L203)*Settings!$J$5+IF($N203="",0,$N203)*Settings!$J$6)/(IF($O203="",0,Settings!$J$4)+IF($L203="",0,Settings!$J$5)+IF($N203="",0,Settings!$J$6)),0))</f>
        <v>160.5</v>
      </c>
      <c r="Q203" s="12">
        <f t="array" ref="Q203">IF($A203="","",XLOOKUP($E203,Settings!$A$19:$A$22,Settings!$G$19:$G$22,0))</f>
        <v>206</v>
      </c>
      <c r="R203" s="12">
        <f t="shared" si="1"/>
        <v>0</v>
      </c>
      <c r="S203" s="12">
        <f>IF($A203="","",IF($R203&lt;=0,1,1+$R203/SUMIF($R$4:$R$923,"&gt;0",$R$4:$R$923)*(Settings!$B$5*(Settings!$B$6-Settings!$B$7))))</f>
        <v>1</v>
      </c>
      <c r="T203" s="12">
        <f t="array" ref="T203">IF($A203="","",XLOOKUP($F203,Settings!$I$15:$I$20,Settings!$J$15:$J$20,1))</f>
        <v>0.9</v>
      </c>
      <c r="U203" s="12">
        <f>IF($A203="","",1+(($G203-5)/5)*Settings!$J$8)</f>
        <v>1</v>
      </c>
      <c r="V203" s="12">
        <f>IF($A203="","",1+(($H203-5)/5)*Settings!$J$9)</f>
        <v>1.06</v>
      </c>
      <c r="W203" s="12">
        <f t="array" ref="W203">IF($A203="","",XLOOKUP($J203,Lists!$C$3:$C$7,Lists!$D$3:$D$7,1))</f>
        <v>1</v>
      </c>
      <c r="X203" s="12">
        <f>IF($A203="","",IF($I203="Yes",Settings!$J$10,1))</f>
        <v>1</v>
      </c>
      <c r="Y203" s="12">
        <f t="shared" si="2"/>
        <v>1</v>
      </c>
      <c r="Z203" s="12">
        <f>IF($A203="","",IFERROR(ROUND(AVERAGEIFS('Historical Drafts'!$G$4:$G$300,'Historical Drafts'!$D$4:$D$300,$E203,'Historical Drafts'!$J$4:$J$300,"&gt;="&amp;$L203*0.85,'Historical Drafts'!$J$4:$J$300,"&lt;="&amp;$L203*1.15),0),$Y203))</f>
        <v>9</v>
      </c>
      <c r="AA203" s="12" t="str">
        <f>IF($A203="","",IF(COUNTIF('Auction Log'!$B$3:$B$300,$A203)&gt;0,"Sold","Available"))</f>
        <v>Available</v>
      </c>
      <c r="AB203" s="12" t="str">
        <f t="array" ref="AB203">IF($A203="","",IFERROR(XLOOKUP($A203,'Auction Log'!$B$3:$B$300,'Auction Log'!$G$3:$G$300,""),""))</f>
        <v/>
      </c>
      <c r="AC203" s="12" t="str">
        <f t="array" ref="AC203">IF($A203="","",IFERROR(XLOOKUP($A203,'Auction Log'!$B$3:$B$300,'Auction Log'!$F$3:$F$300,""),""))</f>
        <v/>
      </c>
      <c r="AD203" s="12">
        <f t="array" ref="AD203">IF($A203="","",ROUND($Y203*XLOOKUP($F203,Settings!$I$15:$I$20,Settings!$K$15:$K$20,0.4),0))</f>
        <v>0</v>
      </c>
      <c r="AE203" s="12">
        <f t="array" ref="AE203">IF($A203="","",ROUND($Y203*XLOOKUP($F203,Settings!$I$15:$I$20,Settings!$L$15:$L$20,0.8),0))</f>
        <v>1</v>
      </c>
      <c r="AF203" s="12">
        <f t="array" ref="AF203">IF($A203="","",ROUND($Y203*XLOOKUP($F203,Settings!$I$15:$I$20,Settings!$M$15:$M$20,1),0))</f>
        <v>1</v>
      </c>
      <c r="AG203" s="12">
        <f t="array" ref="AG203">IF($A203="","",ROUND($Y203*XLOOKUP($F203,Settings!$I$15:$I$20,Settings!$N$15:$N$20,1.1),0))</f>
        <v>1</v>
      </c>
      <c r="AH203" s="12">
        <f t="array" ref="AH203">IF($A203="","",ROUND($Y203*XLOOKUP($F203,Settings!$I$15:$I$20,Settings!$O$15:$O$20,1.1)*Settings!$J$7,0))</f>
        <v>1</v>
      </c>
      <c r="AI203" s="12">
        <f t="array" ref="AI203">IF($A203="","",IF($AA203="Sold","",MIN($AH203,IFERROR(XLOOKUP(Settings!$B$12,Managers!$B$4:$B$15,Managers!$H$4:$H$15),$AH203))))</f>
        <v>1</v>
      </c>
      <c r="AJ203" s="12" t="str">
        <f t="shared" si="3"/>
        <v>Budget Drainer</v>
      </c>
      <c r="AK203" s="12">
        <f t="shared" si="4"/>
        <v>34</v>
      </c>
      <c r="AL203" s="12" t="str">
        <f t="shared" si="5"/>
        <v/>
      </c>
    </row>
    <row r="204" ht="15.75" customHeight="1">
      <c r="A204" s="10" t="s">
        <v>739</v>
      </c>
      <c r="B204" s="10" t="s">
        <v>740</v>
      </c>
      <c r="C204" s="10" t="s">
        <v>566</v>
      </c>
      <c r="D204" s="10" t="s">
        <v>121</v>
      </c>
      <c r="E204" s="10" t="s">
        <v>121</v>
      </c>
      <c r="F204" s="10" t="s">
        <v>114</v>
      </c>
      <c r="G204" s="10">
        <v>5.0</v>
      </c>
      <c r="H204" s="10">
        <v>7.0</v>
      </c>
      <c r="I204" s="10" t="s">
        <v>2140</v>
      </c>
      <c r="J204" s="10" t="s">
        <v>2136</v>
      </c>
      <c r="K204" s="10"/>
      <c r="L204" s="10">
        <v>160.5</v>
      </c>
      <c r="M204" s="10">
        <v>4.59</v>
      </c>
      <c r="N204" s="10"/>
      <c r="O204" s="10"/>
      <c r="P204" s="12">
        <f>IF($A204="","",IFERROR((IF($O204="",0,$O204)*Settings!$J$4+IF($L204="",0,$L204)*Settings!$J$5+IF($N204="",0,$N204)*Settings!$J$6)/(IF($O204="",0,Settings!$J$4)+IF($L204="",0,Settings!$J$5)+IF($N204="",0,Settings!$J$6)),0))</f>
        <v>160.5</v>
      </c>
      <c r="Q204" s="12">
        <f t="array" ref="Q204">IF($A204="","",XLOOKUP($E204,Settings!$A$19:$A$22,Settings!$G$19:$G$22,0))</f>
        <v>206</v>
      </c>
      <c r="R204" s="12">
        <f t="shared" si="1"/>
        <v>0</v>
      </c>
      <c r="S204" s="12">
        <f>IF($A204="","",IF($R204&lt;=0,1,1+$R204/SUMIF($R$4:$R$923,"&gt;0",$R$4:$R$923)*(Settings!$B$5*(Settings!$B$6-Settings!$B$7))))</f>
        <v>1</v>
      </c>
      <c r="T204" s="12">
        <f t="array" ref="T204">IF($A204="","",XLOOKUP($F204,Settings!$I$15:$I$20,Settings!$J$15:$J$20,1))</f>
        <v>0.9</v>
      </c>
      <c r="U204" s="12">
        <f>IF($A204="","",1+(($G204-5)/5)*Settings!$J$8)</f>
        <v>1</v>
      </c>
      <c r="V204" s="12">
        <f>IF($A204="","",1+(($H204-5)/5)*Settings!$J$9)</f>
        <v>1.06</v>
      </c>
      <c r="W204" s="12">
        <f t="array" ref="W204">IF($A204="","",XLOOKUP($J204,Lists!$C$3:$C$7,Lists!$D$3:$D$7,1))</f>
        <v>1</v>
      </c>
      <c r="X204" s="12">
        <f>IF($A204="","",IF($I204="Yes",Settings!$J$10,1))</f>
        <v>1</v>
      </c>
      <c r="Y204" s="12">
        <f t="shared" si="2"/>
        <v>1</v>
      </c>
      <c r="Z204" s="12">
        <f>IF($A204="","",IFERROR(ROUND(AVERAGEIFS('Historical Drafts'!$G$4:$G$300,'Historical Drafts'!$D$4:$D$300,$E204,'Historical Drafts'!$J$4:$J$300,"&gt;="&amp;$L204*0.85,'Historical Drafts'!$J$4:$J$300,"&lt;="&amp;$L204*1.15),0),$Y204))</f>
        <v>9</v>
      </c>
      <c r="AA204" s="12" t="str">
        <f>IF($A204="","",IF(COUNTIF('Auction Log'!$B$3:$B$300,$A204)&gt;0,"Sold","Available"))</f>
        <v>Available</v>
      </c>
      <c r="AB204" s="12" t="str">
        <f t="array" ref="AB204">IF($A204="","",IFERROR(XLOOKUP($A204,'Auction Log'!$B$3:$B$300,'Auction Log'!$G$3:$G$300,""),""))</f>
        <v/>
      </c>
      <c r="AC204" s="12" t="str">
        <f t="array" ref="AC204">IF($A204="","",IFERROR(XLOOKUP($A204,'Auction Log'!$B$3:$B$300,'Auction Log'!$F$3:$F$300,""),""))</f>
        <v/>
      </c>
      <c r="AD204" s="12">
        <f t="array" ref="AD204">IF($A204="","",ROUND($Y204*XLOOKUP($F204,Settings!$I$15:$I$20,Settings!$K$15:$K$20,0.4),0))</f>
        <v>0</v>
      </c>
      <c r="AE204" s="12">
        <f t="array" ref="AE204">IF($A204="","",ROUND($Y204*XLOOKUP($F204,Settings!$I$15:$I$20,Settings!$L$15:$L$20,0.8),0))</f>
        <v>1</v>
      </c>
      <c r="AF204" s="12">
        <f t="array" ref="AF204">IF($A204="","",ROUND($Y204*XLOOKUP($F204,Settings!$I$15:$I$20,Settings!$M$15:$M$20,1),0))</f>
        <v>1</v>
      </c>
      <c r="AG204" s="12">
        <f t="array" ref="AG204">IF($A204="","",ROUND($Y204*XLOOKUP($F204,Settings!$I$15:$I$20,Settings!$N$15:$N$20,1.1),0))</f>
        <v>1</v>
      </c>
      <c r="AH204" s="12">
        <f t="array" ref="AH204">IF($A204="","",ROUND($Y204*XLOOKUP($F204,Settings!$I$15:$I$20,Settings!$O$15:$O$20,1.1)*Settings!$J$7,0))</f>
        <v>1</v>
      </c>
      <c r="AI204" s="12">
        <f t="array" ref="AI204">IF($A204="","",IF($AA204="Sold","",MIN($AH204,IFERROR(XLOOKUP(Settings!$B$12,Managers!$B$4:$B$15,Managers!$H$4:$H$15),$AH204))))</f>
        <v>1</v>
      </c>
      <c r="AJ204" s="12" t="str">
        <f t="shared" si="3"/>
        <v>Budget Drainer</v>
      </c>
      <c r="AK204" s="12">
        <f t="shared" si="4"/>
        <v>34</v>
      </c>
      <c r="AL204" s="12" t="str">
        <f t="shared" si="5"/>
        <v/>
      </c>
    </row>
    <row r="205" ht="15.75" customHeight="1">
      <c r="A205" s="10" t="s">
        <v>741</v>
      </c>
      <c r="B205" s="10" t="s">
        <v>742</v>
      </c>
      <c r="C205" s="10" t="s">
        <v>387</v>
      </c>
      <c r="D205" s="10" t="s">
        <v>118</v>
      </c>
      <c r="E205" s="10" t="s">
        <v>118</v>
      </c>
      <c r="F205" s="10" t="s">
        <v>114</v>
      </c>
      <c r="G205" s="10">
        <v>5.0</v>
      </c>
      <c r="H205" s="10">
        <v>7.0</v>
      </c>
      <c r="I205" s="10" t="s">
        <v>2140</v>
      </c>
      <c r="J205" s="10" t="s">
        <v>2136</v>
      </c>
      <c r="K205" s="10"/>
      <c r="L205" s="10">
        <v>159.25</v>
      </c>
      <c r="M205" s="10">
        <v>5.49</v>
      </c>
      <c r="N205" s="10"/>
      <c r="O205" s="10"/>
      <c r="P205" s="12">
        <f>IF($A205="","",IFERROR((IF($O205="",0,$O205)*Settings!$J$4+IF($L205="",0,$L205)*Settings!$J$5+IF($N205="",0,$N205)*Settings!$J$6)/(IF($O205="",0,Settings!$J$4)+IF($L205="",0,Settings!$J$5)+IF($N205="",0,Settings!$J$6)),0))</f>
        <v>159.25</v>
      </c>
      <c r="Q205" s="12">
        <f t="array" ref="Q205">IF($A205="","",XLOOKUP($E205,Settings!$A$19:$A$22,Settings!$G$19:$G$22,0))</f>
        <v>196.25</v>
      </c>
      <c r="R205" s="12">
        <f t="shared" si="1"/>
        <v>0</v>
      </c>
      <c r="S205" s="12">
        <f>IF($A205="","",IF($R205&lt;=0,1,1+$R205/SUMIF($R$4:$R$923,"&gt;0",$R$4:$R$923)*(Settings!$B$5*(Settings!$B$6-Settings!$B$7))))</f>
        <v>1</v>
      </c>
      <c r="T205" s="12">
        <f t="array" ref="T205">IF($A205="","",XLOOKUP($F205,Settings!$I$15:$I$20,Settings!$J$15:$J$20,1))</f>
        <v>0.9</v>
      </c>
      <c r="U205" s="12">
        <f>IF($A205="","",1+(($G205-5)/5)*Settings!$J$8)</f>
        <v>1</v>
      </c>
      <c r="V205" s="12">
        <f>IF($A205="","",1+(($H205-5)/5)*Settings!$J$9)</f>
        <v>1.06</v>
      </c>
      <c r="W205" s="12">
        <f t="array" ref="W205">IF($A205="","",XLOOKUP($J205,Lists!$C$3:$C$7,Lists!$D$3:$D$7,1))</f>
        <v>1</v>
      </c>
      <c r="X205" s="12">
        <f>IF($A205="","",IF($I205="Yes",Settings!$J$10,1))</f>
        <v>1</v>
      </c>
      <c r="Y205" s="12">
        <f t="shared" si="2"/>
        <v>1</v>
      </c>
      <c r="Z205" s="12">
        <f>IF($A205="","",IFERROR(ROUND(AVERAGEIFS('Historical Drafts'!$G$4:$G$300,'Historical Drafts'!$D$4:$D$300,$E205,'Historical Drafts'!$J$4:$J$300,"&gt;="&amp;$L205*0.85,'Historical Drafts'!$J$4:$J$300,"&lt;="&amp;$L205*1.15),0),$Y205))</f>
        <v>10</v>
      </c>
      <c r="AA205" s="12" t="str">
        <f>IF($A205="","",IF(COUNTIF('Auction Log'!$B$3:$B$300,$A205)&gt;0,"Sold","Available"))</f>
        <v>Available</v>
      </c>
      <c r="AB205" s="12" t="str">
        <f t="array" ref="AB205">IF($A205="","",IFERROR(XLOOKUP($A205,'Auction Log'!$B$3:$B$300,'Auction Log'!$G$3:$G$300,""),""))</f>
        <v/>
      </c>
      <c r="AC205" s="12" t="str">
        <f t="array" ref="AC205">IF($A205="","",IFERROR(XLOOKUP($A205,'Auction Log'!$B$3:$B$300,'Auction Log'!$F$3:$F$300,""),""))</f>
        <v/>
      </c>
      <c r="AD205" s="12">
        <f t="array" ref="AD205">IF($A205="","",ROUND($Y205*XLOOKUP($F205,Settings!$I$15:$I$20,Settings!$K$15:$K$20,0.4),0))</f>
        <v>0</v>
      </c>
      <c r="AE205" s="12">
        <f t="array" ref="AE205">IF($A205="","",ROUND($Y205*XLOOKUP($F205,Settings!$I$15:$I$20,Settings!$L$15:$L$20,0.8),0))</f>
        <v>1</v>
      </c>
      <c r="AF205" s="12">
        <f t="array" ref="AF205">IF($A205="","",ROUND($Y205*XLOOKUP($F205,Settings!$I$15:$I$20,Settings!$M$15:$M$20,1),0))</f>
        <v>1</v>
      </c>
      <c r="AG205" s="12">
        <f t="array" ref="AG205">IF($A205="","",ROUND($Y205*XLOOKUP($F205,Settings!$I$15:$I$20,Settings!$N$15:$N$20,1.1),0))</f>
        <v>1</v>
      </c>
      <c r="AH205" s="12">
        <f t="array" ref="AH205">IF($A205="","",ROUND($Y205*XLOOKUP($F205,Settings!$I$15:$I$20,Settings!$O$15:$O$20,1.1)*Settings!$J$7,0))</f>
        <v>1</v>
      </c>
      <c r="AI205" s="12">
        <f t="array" ref="AI205">IF($A205="","",IF($AA205="Sold","",MIN($AH205,IFERROR(XLOOKUP(Settings!$B$12,Managers!$B$4:$B$15,Managers!$H$4:$H$15),$AH205))))</f>
        <v>1</v>
      </c>
      <c r="AJ205" s="12" t="str">
        <f t="shared" si="3"/>
        <v>Budget Drainer</v>
      </c>
      <c r="AK205" s="12">
        <f t="shared" si="4"/>
        <v>35</v>
      </c>
      <c r="AL205" s="12" t="str">
        <f t="shared" si="5"/>
        <v/>
      </c>
    </row>
    <row r="206" ht="15.75" customHeight="1">
      <c r="A206" s="10" t="s">
        <v>743</v>
      </c>
      <c r="B206" s="10" t="s">
        <v>744</v>
      </c>
      <c r="C206" s="10" t="s">
        <v>236</v>
      </c>
      <c r="D206" s="10" t="s">
        <v>121</v>
      </c>
      <c r="E206" s="10" t="s">
        <v>121</v>
      </c>
      <c r="F206" s="10" t="s">
        <v>114</v>
      </c>
      <c r="G206" s="10">
        <v>5.0</v>
      </c>
      <c r="H206" s="10">
        <v>7.0</v>
      </c>
      <c r="I206" s="10" t="s">
        <v>2140</v>
      </c>
      <c r="J206" s="10" t="s">
        <v>2136</v>
      </c>
      <c r="K206" s="10"/>
      <c r="L206" s="10">
        <v>156.0</v>
      </c>
      <c r="M206" s="10">
        <v>5.57</v>
      </c>
      <c r="N206" s="10"/>
      <c r="O206" s="10"/>
      <c r="P206" s="12">
        <f>IF($A206="","",IFERROR((IF($O206="",0,$O206)*Settings!$J$4+IF($L206="",0,$L206)*Settings!$J$5+IF($N206="",0,$N206)*Settings!$J$6)/(IF($O206="",0,Settings!$J$4)+IF($L206="",0,Settings!$J$5)+IF($N206="",0,Settings!$J$6)),0))</f>
        <v>156</v>
      </c>
      <c r="Q206" s="12">
        <f t="array" ref="Q206">IF($A206="","",XLOOKUP($E206,Settings!$A$19:$A$22,Settings!$G$19:$G$22,0))</f>
        <v>206</v>
      </c>
      <c r="R206" s="12">
        <f t="shared" si="1"/>
        <v>0</v>
      </c>
      <c r="S206" s="12">
        <f>IF($A206="","",IF($R206&lt;=0,1,1+$R206/SUMIF($R$4:$R$923,"&gt;0",$R$4:$R$923)*(Settings!$B$5*(Settings!$B$6-Settings!$B$7))))</f>
        <v>1</v>
      </c>
      <c r="T206" s="12">
        <f t="array" ref="T206">IF($A206="","",XLOOKUP($F206,Settings!$I$15:$I$20,Settings!$J$15:$J$20,1))</f>
        <v>0.9</v>
      </c>
      <c r="U206" s="12">
        <f>IF($A206="","",1+(($G206-5)/5)*Settings!$J$8)</f>
        <v>1</v>
      </c>
      <c r="V206" s="12">
        <f>IF($A206="","",1+(($H206-5)/5)*Settings!$J$9)</f>
        <v>1.06</v>
      </c>
      <c r="W206" s="12">
        <f t="array" ref="W206">IF($A206="","",XLOOKUP($J206,Lists!$C$3:$C$7,Lists!$D$3:$D$7,1))</f>
        <v>1</v>
      </c>
      <c r="X206" s="12">
        <f>IF($A206="","",IF($I206="Yes",Settings!$J$10,1))</f>
        <v>1</v>
      </c>
      <c r="Y206" s="12">
        <f t="shared" si="2"/>
        <v>1</v>
      </c>
      <c r="Z206" s="12">
        <f>IF($A206="","",IFERROR(ROUND(AVERAGEIFS('Historical Drafts'!$G$4:$G$300,'Historical Drafts'!$D$4:$D$300,$E206,'Historical Drafts'!$J$4:$J$300,"&gt;="&amp;$L206*0.85,'Historical Drafts'!$J$4:$J$300,"&lt;="&amp;$L206*1.15),0),$Y206))</f>
        <v>2</v>
      </c>
      <c r="AA206" s="12" t="str">
        <f>IF($A206="","",IF(COUNTIF('Auction Log'!$B$3:$B$300,$A206)&gt;0,"Sold","Available"))</f>
        <v>Available</v>
      </c>
      <c r="AB206" s="12" t="str">
        <f t="array" ref="AB206">IF($A206="","",IFERROR(XLOOKUP($A206,'Auction Log'!$B$3:$B$300,'Auction Log'!$G$3:$G$300,""),""))</f>
        <v/>
      </c>
      <c r="AC206" s="12" t="str">
        <f t="array" ref="AC206">IF($A206="","",IFERROR(XLOOKUP($A206,'Auction Log'!$B$3:$B$300,'Auction Log'!$F$3:$F$300,""),""))</f>
        <v/>
      </c>
      <c r="AD206" s="12">
        <f t="array" ref="AD206">IF($A206="","",ROUND($Y206*XLOOKUP($F206,Settings!$I$15:$I$20,Settings!$K$15:$K$20,0.4),0))</f>
        <v>0</v>
      </c>
      <c r="AE206" s="12">
        <f t="array" ref="AE206">IF($A206="","",ROUND($Y206*XLOOKUP($F206,Settings!$I$15:$I$20,Settings!$L$15:$L$20,0.8),0))</f>
        <v>1</v>
      </c>
      <c r="AF206" s="12">
        <f t="array" ref="AF206">IF($A206="","",ROUND($Y206*XLOOKUP($F206,Settings!$I$15:$I$20,Settings!$M$15:$M$20,1),0))</f>
        <v>1</v>
      </c>
      <c r="AG206" s="12">
        <f t="array" ref="AG206">IF($A206="","",ROUND($Y206*XLOOKUP($F206,Settings!$I$15:$I$20,Settings!$N$15:$N$20,1.1),0))</f>
        <v>1</v>
      </c>
      <c r="AH206" s="12">
        <f t="array" ref="AH206">IF($A206="","",ROUND($Y206*XLOOKUP($F206,Settings!$I$15:$I$20,Settings!$O$15:$O$20,1.1)*Settings!$J$7,0))</f>
        <v>1</v>
      </c>
      <c r="AI206" s="12">
        <f t="array" ref="AI206">IF($A206="","",IF($AA206="Sold","",MIN($AH206,IFERROR(XLOOKUP(Settings!$B$12,Managers!$B$4:$B$15,Managers!$H$4:$H$15),$AH206))))</f>
        <v>1</v>
      </c>
      <c r="AJ206" s="12" t="str">
        <f t="shared" si="3"/>
        <v>Budget Drainer</v>
      </c>
      <c r="AK206" s="12">
        <f t="shared" si="4"/>
        <v>27</v>
      </c>
      <c r="AL206" s="12" t="str">
        <f t="shared" si="5"/>
        <v/>
      </c>
    </row>
    <row r="207" ht="15.75" customHeight="1">
      <c r="A207" s="10" t="s">
        <v>281</v>
      </c>
      <c r="B207" s="10" t="s">
        <v>282</v>
      </c>
      <c r="C207" s="10" t="s">
        <v>180</v>
      </c>
      <c r="D207" s="10" t="s">
        <v>118</v>
      </c>
      <c r="E207" s="10" t="s">
        <v>118</v>
      </c>
      <c r="F207" s="10" t="s">
        <v>114</v>
      </c>
      <c r="G207" s="10">
        <v>5.0</v>
      </c>
      <c r="H207" s="10">
        <v>7.0</v>
      </c>
      <c r="I207" s="10" t="s">
        <v>2140</v>
      </c>
      <c r="J207" s="10" t="s">
        <v>2136</v>
      </c>
      <c r="K207" s="10"/>
      <c r="L207" s="10">
        <v>155.25</v>
      </c>
      <c r="M207" s="10">
        <v>8.62</v>
      </c>
      <c r="N207" s="10"/>
      <c r="O207" s="10"/>
      <c r="P207" s="12">
        <f>IF($A207="","",IFERROR((IF($O207="",0,$O207)*Settings!$J$4+IF($L207="",0,$L207)*Settings!$J$5+IF($N207="",0,$N207)*Settings!$J$6)/(IF($O207="",0,Settings!$J$4)+IF($L207="",0,Settings!$J$5)+IF($N207="",0,Settings!$J$6)),0))</f>
        <v>155.25</v>
      </c>
      <c r="Q207" s="12">
        <f t="array" ref="Q207">IF($A207="","",XLOOKUP($E207,Settings!$A$19:$A$22,Settings!$G$19:$G$22,0))</f>
        <v>196.25</v>
      </c>
      <c r="R207" s="12">
        <f t="shared" si="1"/>
        <v>0</v>
      </c>
      <c r="S207" s="12">
        <f>IF($A207="","",IF($R207&lt;=0,1,1+$R207/SUMIF($R$4:$R$923,"&gt;0",$R$4:$R$923)*(Settings!$B$5*(Settings!$B$6-Settings!$B$7))))</f>
        <v>1</v>
      </c>
      <c r="T207" s="12">
        <f t="array" ref="T207">IF($A207="","",XLOOKUP($F207,Settings!$I$15:$I$20,Settings!$J$15:$J$20,1))</f>
        <v>0.9</v>
      </c>
      <c r="U207" s="12">
        <f>IF($A207="","",1+(($G207-5)/5)*Settings!$J$8)</f>
        <v>1</v>
      </c>
      <c r="V207" s="12">
        <f>IF($A207="","",1+(($H207-5)/5)*Settings!$J$9)</f>
        <v>1.06</v>
      </c>
      <c r="W207" s="12">
        <f t="array" ref="W207">IF($A207="","",XLOOKUP($J207,Lists!$C$3:$C$7,Lists!$D$3:$D$7,1))</f>
        <v>1</v>
      </c>
      <c r="X207" s="12">
        <f>IF($A207="","",IF($I207="Yes",Settings!$J$10,1))</f>
        <v>1</v>
      </c>
      <c r="Y207" s="12">
        <f t="shared" si="2"/>
        <v>1</v>
      </c>
      <c r="Z207" s="12">
        <f>IF($A207="","",IFERROR(ROUND(AVERAGEIFS('Historical Drafts'!$G$4:$G$300,'Historical Drafts'!$D$4:$D$300,$E207,'Historical Drafts'!$J$4:$J$300,"&gt;="&amp;$L207*0.85,'Historical Drafts'!$J$4:$J$300,"&lt;="&amp;$L207*1.15),0),$Y207))</f>
        <v>10</v>
      </c>
      <c r="AA207" s="12" t="str">
        <f>IF($A207="","",IF(COUNTIF('Auction Log'!$B$3:$B$300,$A207)&gt;0,"Sold","Available"))</f>
        <v>Available</v>
      </c>
      <c r="AB207" s="12" t="str">
        <f t="array" ref="AB207">IF($A207="","",IFERROR(XLOOKUP($A207,'Auction Log'!$B$3:$B$300,'Auction Log'!$G$3:$G$300,""),""))</f>
        <v/>
      </c>
      <c r="AC207" s="12" t="str">
        <f t="array" ref="AC207">IF($A207="","",IFERROR(XLOOKUP($A207,'Auction Log'!$B$3:$B$300,'Auction Log'!$F$3:$F$300,""),""))</f>
        <v/>
      </c>
      <c r="AD207" s="12">
        <f t="array" ref="AD207">IF($A207="","",ROUND($Y207*XLOOKUP($F207,Settings!$I$15:$I$20,Settings!$K$15:$K$20,0.4),0))</f>
        <v>0</v>
      </c>
      <c r="AE207" s="12">
        <f t="array" ref="AE207">IF($A207="","",ROUND($Y207*XLOOKUP($F207,Settings!$I$15:$I$20,Settings!$L$15:$L$20,0.8),0))</f>
        <v>1</v>
      </c>
      <c r="AF207" s="12">
        <f t="array" ref="AF207">IF($A207="","",ROUND($Y207*XLOOKUP($F207,Settings!$I$15:$I$20,Settings!$M$15:$M$20,1),0))</f>
        <v>1</v>
      </c>
      <c r="AG207" s="12">
        <f t="array" ref="AG207">IF($A207="","",ROUND($Y207*XLOOKUP($F207,Settings!$I$15:$I$20,Settings!$N$15:$N$20,1.1),0))</f>
        <v>1</v>
      </c>
      <c r="AH207" s="12">
        <f t="array" ref="AH207">IF($A207="","",ROUND($Y207*XLOOKUP($F207,Settings!$I$15:$I$20,Settings!$O$15:$O$20,1.1)*Settings!$J$7,0))</f>
        <v>1</v>
      </c>
      <c r="AI207" s="12">
        <f t="array" ref="AI207">IF($A207="","",IF($AA207="Sold","",MIN($AH207,IFERROR(XLOOKUP(Settings!$B$12,Managers!$B$4:$B$15,Managers!$H$4:$H$15),$AH207))))</f>
        <v>1</v>
      </c>
      <c r="AJ207" s="12" t="str">
        <f t="shared" si="3"/>
        <v>Budget Drainer</v>
      </c>
      <c r="AK207" s="12">
        <f t="shared" si="4"/>
        <v>35</v>
      </c>
      <c r="AL207" s="12" t="str">
        <f t="shared" si="5"/>
        <v/>
      </c>
    </row>
    <row r="208" ht="15.75" customHeight="1">
      <c r="A208" s="10" t="s">
        <v>745</v>
      </c>
      <c r="B208" s="10" t="s">
        <v>746</v>
      </c>
      <c r="C208" s="10" t="s">
        <v>243</v>
      </c>
      <c r="D208" s="10" t="s">
        <v>121</v>
      </c>
      <c r="E208" s="10" t="s">
        <v>121</v>
      </c>
      <c r="F208" s="10" t="s">
        <v>114</v>
      </c>
      <c r="G208" s="10">
        <v>5.0</v>
      </c>
      <c r="H208" s="10">
        <v>7.0</v>
      </c>
      <c r="I208" s="10" t="s">
        <v>2140</v>
      </c>
      <c r="J208" s="10" t="s">
        <v>2136</v>
      </c>
      <c r="K208" s="10"/>
      <c r="L208" s="10">
        <v>155.0</v>
      </c>
      <c r="M208" s="10">
        <v>5.96</v>
      </c>
      <c r="N208" s="10"/>
      <c r="O208" s="10"/>
      <c r="P208" s="12">
        <f>IF($A208="","",IFERROR((IF($O208="",0,$O208)*Settings!$J$4+IF($L208="",0,$L208)*Settings!$J$5+IF($N208="",0,$N208)*Settings!$J$6)/(IF($O208="",0,Settings!$J$4)+IF($L208="",0,Settings!$J$5)+IF($N208="",0,Settings!$J$6)),0))</f>
        <v>155</v>
      </c>
      <c r="Q208" s="12">
        <f t="array" ref="Q208">IF($A208="","",XLOOKUP($E208,Settings!$A$19:$A$22,Settings!$G$19:$G$22,0))</f>
        <v>206</v>
      </c>
      <c r="R208" s="12">
        <f t="shared" si="1"/>
        <v>0</v>
      </c>
      <c r="S208" s="12">
        <f>IF($A208="","",IF($R208&lt;=0,1,1+$R208/SUMIF($R$4:$R$923,"&gt;0",$R$4:$R$923)*(Settings!$B$5*(Settings!$B$6-Settings!$B$7))))</f>
        <v>1</v>
      </c>
      <c r="T208" s="12">
        <f t="array" ref="T208">IF($A208="","",XLOOKUP($F208,Settings!$I$15:$I$20,Settings!$J$15:$J$20,1))</f>
        <v>0.9</v>
      </c>
      <c r="U208" s="12">
        <f>IF($A208="","",1+(($G208-5)/5)*Settings!$J$8)</f>
        <v>1</v>
      </c>
      <c r="V208" s="12">
        <f>IF($A208="","",1+(($H208-5)/5)*Settings!$J$9)</f>
        <v>1.06</v>
      </c>
      <c r="W208" s="12">
        <f t="array" ref="W208">IF($A208="","",XLOOKUP($J208,Lists!$C$3:$C$7,Lists!$D$3:$D$7,1))</f>
        <v>1</v>
      </c>
      <c r="X208" s="12">
        <f>IF($A208="","",IF($I208="Yes",Settings!$J$10,1))</f>
        <v>1</v>
      </c>
      <c r="Y208" s="12">
        <f t="shared" si="2"/>
        <v>1</v>
      </c>
      <c r="Z208" s="12">
        <f>IF($A208="","",IFERROR(ROUND(AVERAGEIFS('Historical Drafts'!$G$4:$G$300,'Historical Drafts'!$D$4:$D$300,$E208,'Historical Drafts'!$J$4:$J$300,"&gt;="&amp;$L208*0.85,'Historical Drafts'!$J$4:$J$300,"&lt;="&amp;$L208*1.15),0),$Y208))</f>
        <v>2</v>
      </c>
      <c r="AA208" s="12" t="str">
        <f>IF($A208="","",IF(COUNTIF('Auction Log'!$B$3:$B$300,$A208)&gt;0,"Sold","Available"))</f>
        <v>Available</v>
      </c>
      <c r="AB208" s="12" t="str">
        <f t="array" ref="AB208">IF($A208="","",IFERROR(XLOOKUP($A208,'Auction Log'!$B$3:$B$300,'Auction Log'!$G$3:$G$300,""),""))</f>
        <v/>
      </c>
      <c r="AC208" s="12" t="str">
        <f t="array" ref="AC208">IF($A208="","",IFERROR(XLOOKUP($A208,'Auction Log'!$B$3:$B$300,'Auction Log'!$F$3:$F$300,""),""))</f>
        <v/>
      </c>
      <c r="AD208" s="12">
        <f t="array" ref="AD208">IF($A208="","",ROUND($Y208*XLOOKUP($F208,Settings!$I$15:$I$20,Settings!$K$15:$K$20,0.4),0))</f>
        <v>0</v>
      </c>
      <c r="AE208" s="12">
        <f t="array" ref="AE208">IF($A208="","",ROUND($Y208*XLOOKUP($F208,Settings!$I$15:$I$20,Settings!$L$15:$L$20,0.8),0))</f>
        <v>1</v>
      </c>
      <c r="AF208" s="12">
        <f t="array" ref="AF208">IF($A208="","",ROUND($Y208*XLOOKUP($F208,Settings!$I$15:$I$20,Settings!$M$15:$M$20,1),0))</f>
        <v>1</v>
      </c>
      <c r="AG208" s="12">
        <f t="array" ref="AG208">IF($A208="","",ROUND($Y208*XLOOKUP($F208,Settings!$I$15:$I$20,Settings!$N$15:$N$20,1.1),0))</f>
        <v>1</v>
      </c>
      <c r="AH208" s="12">
        <f t="array" ref="AH208">IF($A208="","",ROUND($Y208*XLOOKUP($F208,Settings!$I$15:$I$20,Settings!$O$15:$O$20,1.1)*Settings!$J$7,0))</f>
        <v>1</v>
      </c>
      <c r="AI208" s="12">
        <f t="array" ref="AI208">IF($A208="","",IF($AA208="Sold","",MIN($AH208,IFERROR(XLOOKUP(Settings!$B$12,Managers!$B$4:$B$15,Managers!$H$4:$H$15),$AH208))))</f>
        <v>1</v>
      </c>
      <c r="AJ208" s="12" t="str">
        <f t="shared" si="3"/>
        <v>Budget Drainer</v>
      </c>
      <c r="AK208" s="12">
        <f t="shared" si="4"/>
        <v>27</v>
      </c>
      <c r="AL208" s="12" t="str">
        <f t="shared" si="5"/>
        <v/>
      </c>
    </row>
    <row r="209" ht="15.75" customHeight="1">
      <c r="A209" s="10" t="s">
        <v>747</v>
      </c>
      <c r="B209" s="10" t="s">
        <v>748</v>
      </c>
      <c r="C209" s="10" t="s">
        <v>305</v>
      </c>
      <c r="D209" s="10" t="s">
        <v>123</v>
      </c>
      <c r="E209" s="10" t="s">
        <v>123</v>
      </c>
      <c r="F209" s="10" t="s">
        <v>114</v>
      </c>
      <c r="G209" s="10">
        <v>5.0</v>
      </c>
      <c r="H209" s="10">
        <v>7.0</v>
      </c>
      <c r="I209" s="10" t="s">
        <v>2140</v>
      </c>
      <c r="J209" s="10" t="s">
        <v>2136</v>
      </c>
      <c r="K209" s="10"/>
      <c r="L209" s="10">
        <v>155.0</v>
      </c>
      <c r="M209" s="10">
        <v>6.74</v>
      </c>
      <c r="N209" s="10"/>
      <c r="O209" s="10"/>
      <c r="P209" s="12">
        <f>IF($A209="","",IFERROR((IF($O209="",0,$O209)*Settings!$J$4+IF($L209="",0,$L209)*Settings!$J$5+IF($N209="",0,$N209)*Settings!$J$6)/(IF($O209="",0,Settings!$J$4)+IF($L209="",0,Settings!$J$5)+IF($N209="",0,Settings!$J$6)),0))</f>
        <v>155</v>
      </c>
      <c r="Q209" s="12">
        <f t="array" ref="Q209">IF($A209="","",XLOOKUP($E209,Settings!$A$19:$A$22,Settings!$G$19:$G$22,0))</f>
        <v>203</v>
      </c>
      <c r="R209" s="12">
        <f t="shared" si="1"/>
        <v>0</v>
      </c>
      <c r="S209" s="12">
        <f>IF($A209="","",IF($R209&lt;=0,1,1+$R209/SUMIF($R$4:$R$923,"&gt;0",$R$4:$R$923)*(Settings!$B$5*(Settings!$B$6-Settings!$B$7))))</f>
        <v>1</v>
      </c>
      <c r="T209" s="12">
        <f t="array" ref="T209">IF($A209="","",XLOOKUP($F209,Settings!$I$15:$I$20,Settings!$J$15:$J$20,1))</f>
        <v>0.9</v>
      </c>
      <c r="U209" s="12">
        <f>IF($A209="","",1+(($G209-5)/5)*Settings!$J$8)</f>
        <v>1</v>
      </c>
      <c r="V209" s="12">
        <f>IF($A209="","",1+(($H209-5)/5)*Settings!$J$9)</f>
        <v>1.06</v>
      </c>
      <c r="W209" s="12">
        <f t="array" ref="W209">IF($A209="","",XLOOKUP($J209,Lists!$C$3:$C$7,Lists!$D$3:$D$7,1))</f>
        <v>1</v>
      </c>
      <c r="X209" s="12">
        <f>IF($A209="","",IF($I209="Yes",Settings!$J$10,1))</f>
        <v>1</v>
      </c>
      <c r="Y209" s="12">
        <f t="shared" si="2"/>
        <v>1</v>
      </c>
      <c r="Z209" s="12">
        <f>IF($A209="","",IFERROR(ROUND(AVERAGEIFS('Historical Drafts'!$G$4:$G$300,'Historical Drafts'!$D$4:$D$300,$E209,'Historical Drafts'!$J$4:$J$300,"&gt;="&amp;$L209*0.85,'Historical Drafts'!$J$4:$J$300,"&lt;="&amp;$L209*1.15),0),$Y209))</f>
        <v>5</v>
      </c>
      <c r="AA209" s="12" t="str">
        <f>IF($A209="","",IF(COUNTIF('Auction Log'!$B$3:$B$300,$A209)&gt;0,"Sold","Available"))</f>
        <v>Available</v>
      </c>
      <c r="AB209" s="12" t="str">
        <f t="array" ref="AB209">IF($A209="","",IFERROR(XLOOKUP($A209,'Auction Log'!$B$3:$B$300,'Auction Log'!$G$3:$G$300,""),""))</f>
        <v/>
      </c>
      <c r="AC209" s="12" t="str">
        <f t="array" ref="AC209">IF($A209="","",IFERROR(XLOOKUP($A209,'Auction Log'!$B$3:$B$300,'Auction Log'!$F$3:$F$300,""),""))</f>
        <v/>
      </c>
      <c r="AD209" s="12">
        <f t="array" ref="AD209">IF($A209="","",ROUND($Y209*XLOOKUP($F209,Settings!$I$15:$I$20,Settings!$K$15:$K$20,0.4),0))</f>
        <v>0</v>
      </c>
      <c r="AE209" s="12">
        <f t="array" ref="AE209">IF($A209="","",ROUND($Y209*XLOOKUP($F209,Settings!$I$15:$I$20,Settings!$L$15:$L$20,0.8),0))</f>
        <v>1</v>
      </c>
      <c r="AF209" s="12">
        <f t="array" ref="AF209">IF($A209="","",ROUND($Y209*XLOOKUP($F209,Settings!$I$15:$I$20,Settings!$M$15:$M$20,1),0))</f>
        <v>1</v>
      </c>
      <c r="AG209" s="12">
        <f t="array" ref="AG209">IF($A209="","",ROUND($Y209*XLOOKUP($F209,Settings!$I$15:$I$20,Settings!$N$15:$N$20,1.1),0))</f>
        <v>1</v>
      </c>
      <c r="AH209" s="12">
        <f t="array" ref="AH209">IF($A209="","",ROUND($Y209*XLOOKUP($F209,Settings!$I$15:$I$20,Settings!$O$15:$O$20,1.1)*Settings!$J$7,0))</f>
        <v>1</v>
      </c>
      <c r="AI209" s="12">
        <f t="array" ref="AI209">IF($A209="","",IF($AA209="Sold","",MIN($AH209,IFERROR(XLOOKUP(Settings!$B$12,Managers!$B$4:$B$15,Managers!$H$4:$H$15),$AH209))))</f>
        <v>1</v>
      </c>
      <c r="AJ209" s="12" t="str">
        <f t="shared" si="3"/>
        <v>Budget Drainer</v>
      </c>
      <c r="AK209" s="12">
        <f t="shared" si="4"/>
        <v>30</v>
      </c>
      <c r="AL209" s="12" t="str">
        <f t="shared" si="5"/>
        <v/>
      </c>
    </row>
    <row r="210" ht="15.75" customHeight="1">
      <c r="A210" s="10" t="s">
        <v>749</v>
      </c>
      <c r="B210" s="10" t="s">
        <v>750</v>
      </c>
      <c r="C210" s="10" t="s">
        <v>566</v>
      </c>
      <c r="D210" s="10" t="s">
        <v>121</v>
      </c>
      <c r="E210" s="10" t="s">
        <v>121</v>
      </c>
      <c r="F210" s="10" t="s">
        <v>114</v>
      </c>
      <c r="G210" s="10">
        <v>5.0</v>
      </c>
      <c r="H210" s="10">
        <v>7.0</v>
      </c>
      <c r="I210" s="10" t="s">
        <v>2140</v>
      </c>
      <c r="J210" s="10" t="s">
        <v>2136</v>
      </c>
      <c r="K210" s="10"/>
      <c r="L210" s="10">
        <v>154.0</v>
      </c>
      <c r="M210" s="10">
        <v>4.97</v>
      </c>
      <c r="N210" s="10"/>
      <c r="O210" s="10"/>
      <c r="P210" s="12">
        <f>IF($A210="","",IFERROR((IF($O210="",0,$O210)*Settings!$J$4+IF($L210="",0,$L210)*Settings!$J$5+IF($N210="",0,$N210)*Settings!$J$6)/(IF($O210="",0,Settings!$J$4)+IF($L210="",0,Settings!$J$5)+IF($N210="",0,Settings!$J$6)),0))</f>
        <v>154</v>
      </c>
      <c r="Q210" s="12">
        <f t="array" ref="Q210">IF($A210="","",XLOOKUP($E210,Settings!$A$19:$A$22,Settings!$G$19:$G$22,0))</f>
        <v>206</v>
      </c>
      <c r="R210" s="12">
        <f t="shared" si="1"/>
        <v>0</v>
      </c>
      <c r="S210" s="12">
        <f>IF($A210="","",IF($R210&lt;=0,1,1+$R210/SUMIF($R$4:$R$923,"&gt;0",$R$4:$R$923)*(Settings!$B$5*(Settings!$B$6-Settings!$B$7))))</f>
        <v>1</v>
      </c>
      <c r="T210" s="12">
        <f t="array" ref="T210">IF($A210="","",XLOOKUP($F210,Settings!$I$15:$I$20,Settings!$J$15:$J$20,1))</f>
        <v>0.9</v>
      </c>
      <c r="U210" s="12">
        <f>IF($A210="","",1+(($G210-5)/5)*Settings!$J$8)</f>
        <v>1</v>
      </c>
      <c r="V210" s="12">
        <f>IF($A210="","",1+(($H210-5)/5)*Settings!$J$9)</f>
        <v>1.06</v>
      </c>
      <c r="W210" s="12">
        <f t="array" ref="W210">IF($A210="","",XLOOKUP($J210,Lists!$C$3:$C$7,Lists!$D$3:$D$7,1))</f>
        <v>1</v>
      </c>
      <c r="X210" s="12">
        <f>IF($A210="","",IF($I210="Yes",Settings!$J$10,1))</f>
        <v>1</v>
      </c>
      <c r="Y210" s="12">
        <f t="shared" si="2"/>
        <v>1</v>
      </c>
      <c r="Z210" s="12">
        <f>IF($A210="","",IFERROR(ROUND(AVERAGEIFS('Historical Drafts'!$G$4:$G$300,'Historical Drafts'!$D$4:$D$300,$E210,'Historical Drafts'!$J$4:$J$300,"&gt;="&amp;$L210*0.85,'Historical Drafts'!$J$4:$J$300,"&lt;="&amp;$L210*1.15),0),$Y210))</f>
        <v>2</v>
      </c>
      <c r="AA210" s="12" t="str">
        <f>IF($A210="","",IF(COUNTIF('Auction Log'!$B$3:$B$300,$A210)&gt;0,"Sold","Available"))</f>
        <v>Available</v>
      </c>
      <c r="AB210" s="12" t="str">
        <f t="array" ref="AB210">IF($A210="","",IFERROR(XLOOKUP($A210,'Auction Log'!$B$3:$B$300,'Auction Log'!$G$3:$G$300,""),""))</f>
        <v/>
      </c>
      <c r="AC210" s="12" t="str">
        <f t="array" ref="AC210">IF($A210="","",IFERROR(XLOOKUP($A210,'Auction Log'!$B$3:$B$300,'Auction Log'!$F$3:$F$300,""),""))</f>
        <v/>
      </c>
      <c r="AD210" s="12">
        <f t="array" ref="AD210">IF($A210="","",ROUND($Y210*XLOOKUP($F210,Settings!$I$15:$I$20,Settings!$K$15:$K$20,0.4),0))</f>
        <v>0</v>
      </c>
      <c r="AE210" s="12">
        <f t="array" ref="AE210">IF($A210="","",ROUND($Y210*XLOOKUP($F210,Settings!$I$15:$I$20,Settings!$L$15:$L$20,0.8),0))</f>
        <v>1</v>
      </c>
      <c r="AF210" s="12">
        <f t="array" ref="AF210">IF($A210="","",ROUND($Y210*XLOOKUP($F210,Settings!$I$15:$I$20,Settings!$M$15:$M$20,1),0))</f>
        <v>1</v>
      </c>
      <c r="AG210" s="12">
        <f t="array" ref="AG210">IF($A210="","",ROUND($Y210*XLOOKUP($F210,Settings!$I$15:$I$20,Settings!$N$15:$N$20,1.1),0))</f>
        <v>1</v>
      </c>
      <c r="AH210" s="12">
        <f t="array" ref="AH210">IF($A210="","",ROUND($Y210*XLOOKUP($F210,Settings!$I$15:$I$20,Settings!$O$15:$O$20,1.1)*Settings!$J$7,0))</f>
        <v>1</v>
      </c>
      <c r="AI210" s="12">
        <f t="array" ref="AI210">IF($A210="","",IF($AA210="Sold","",MIN($AH210,IFERROR(XLOOKUP(Settings!$B$12,Managers!$B$4:$B$15,Managers!$H$4:$H$15),$AH210))))</f>
        <v>1</v>
      </c>
      <c r="AJ210" s="12" t="str">
        <f t="shared" si="3"/>
        <v>Budget Drainer</v>
      </c>
      <c r="AK210" s="12">
        <f t="shared" si="4"/>
        <v>27</v>
      </c>
      <c r="AL210" s="12" t="str">
        <f t="shared" si="5"/>
        <v/>
      </c>
    </row>
    <row r="211" ht="15.75" customHeight="1">
      <c r="A211" s="10" t="s">
        <v>751</v>
      </c>
      <c r="B211" s="10" t="s">
        <v>752</v>
      </c>
      <c r="C211" s="10" t="s">
        <v>215</v>
      </c>
      <c r="D211" s="10" t="s">
        <v>123</v>
      </c>
      <c r="E211" s="10" t="s">
        <v>123</v>
      </c>
      <c r="F211" s="10" t="s">
        <v>114</v>
      </c>
      <c r="G211" s="10">
        <v>5.0</v>
      </c>
      <c r="H211" s="10">
        <v>7.0</v>
      </c>
      <c r="I211" s="10" t="s">
        <v>2140</v>
      </c>
      <c r="J211" s="10" t="s">
        <v>2136</v>
      </c>
      <c r="K211" s="10"/>
      <c r="L211" s="10">
        <v>153.5</v>
      </c>
      <c r="M211" s="10">
        <v>8.53</v>
      </c>
      <c r="N211" s="10"/>
      <c r="O211" s="10"/>
      <c r="P211" s="12">
        <f>IF($A211="","",IFERROR((IF($O211="",0,$O211)*Settings!$J$4+IF($L211="",0,$L211)*Settings!$J$5+IF($N211="",0,$N211)*Settings!$J$6)/(IF($O211="",0,Settings!$J$4)+IF($L211="",0,Settings!$J$5)+IF($N211="",0,Settings!$J$6)),0))</f>
        <v>153.5</v>
      </c>
      <c r="Q211" s="12">
        <f t="array" ref="Q211">IF($A211="","",XLOOKUP($E211,Settings!$A$19:$A$22,Settings!$G$19:$G$22,0))</f>
        <v>203</v>
      </c>
      <c r="R211" s="12">
        <f t="shared" si="1"/>
        <v>0</v>
      </c>
      <c r="S211" s="12">
        <f>IF($A211="","",IF($R211&lt;=0,1,1+$R211/SUMIF($R$4:$R$923,"&gt;0",$R$4:$R$923)*(Settings!$B$5*(Settings!$B$6-Settings!$B$7))))</f>
        <v>1</v>
      </c>
      <c r="T211" s="12">
        <f t="array" ref="T211">IF($A211="","",XLOOKUP($F211,Settings!$I$15:$I$20,Settings!$J$15:$J$20,1))</f>
        <v>0.9</v>
      </c>
      <c r="U211" s="12">
        <f>IF($A211="","",1+(($G211-5)/5)*Settings!$J$8)</f>
        <v>1</v>
      </c>
      <c r="V211" s="12">
        <f>IF($A211="","",1+(($H211-5)/5)*Settings!$J$9)</f>
        <v>1.06</v>
      </c>
      <c r="W211" s="12">
        <f t="array" ref="W211">IF($A211="","",XLOOKUP($J211,Lists!$C$3:$C$7,Lists!$D$3:$D$7,1))</f>
        <v>1</v>
      </c>
      <c r="X211" s="12">
        <f>IF($A211="","",IF($I211="Yes",Settings!$J$10,1))</f>
        <v>1</v>
      </c>
      <c r="Y211" s="12">
        <f t="shared" si="2"/>
        <v>1</v>
      </c>
      <c r="Z211" s="12">
        <f>IF($A211="","",IFERROR(ROUND(AVERAGEIFS('Historical Drafts'!$G$4:$G$300,'Historical Drafts'!$D$4:$D$300,$E211,'Historical Drafts'!$J$4:$J$300,"&gt;="&amp;$L211*0.85,'Historical Drafts'!$J$4:$J$300,"&lt;="&amp;$L211*1.15),0),$Y211))</f>
        <v>5</v>
      </c>
      <c r="AA211" s="12" t="str">
        <f>IF($A211="","",IF(COUNTIF('Auction Log'!$B$3:$B$300,$A211)&gt;0,"Sold","Available"))</f>
        <v>Available</v>
      </c>
      <c r="AB211" s="12" t="str">
        <f t="array" ref="AB211">IF($A211="","",IFERROR(XLOOKUP($A211,'Auction Log'!$B$3:$B$300,'Auction Log'!$G$3:$G$300,""),""))</f>
        <v/>
      </c>
      <c r="AC211" s="12" t="str">
        <f t="array" ref="AC211">IF($A211="","",IFERROR(XLOOKUP($A211,'Auction Log'!$B$3:$B$300,'Auction Log'!$F$3:$F$300,""),""))</f>
        <v/>
      </c>
      <c r="AD211" s="12">
        <f t="array" ref="AD211">IF($A211="","",ROUND($Y211*XLOOKUP($F211,Settings!$I$15:$I$20,Settings!$K$15:$K$20,0.4),0))</f>
        <v>0</v>
      </c>
      <c r="AE211" s="12">
        <f t="array" ref="AE211">IF($A211="","",ROUND($Y211*XLOOKUP($F211,Settings!$I$15:$I$20,Settings!$L$15:$L$20,0.8),0))</f>
        <v>1</v>
      </c>
      <c r="AF211" s="12">
        <f t="array" ref="AF211">IF($A211="","",ROUND($Y211*XLOOKUP($F211,Settings!$I$15:$I$20,Settings!$M$15:$M$20,1),0))</f>
        <v>1</v>
      </c>
      <c r="AG211" s="12">
        <f t="array" ref="AG211">IF($A211="","",ROUND($Y211*XLOOKUP($F211,Settings!$I$15:$I$20,Settings!$N$15:$N$20,1.1),0))</f>
        <v>1</v>
      </c>
      <c r="AH211" s="12">
        <f t="array" ref="AH211">IF($A211="","",ROUND($Y211*XLOOKUP($F211,Settings!$I$15:$I$20,Settings!$O$15:$O$20,1.1)*Settings!$J$7,0))</f>
        <v>1</v>
      </c>
      <c r="AI211" s="12">
        <f t="array" ref="AI211">IF($A211="","",IF($AA211="Sold","",MIN($AH211,IFERROR(XLOOKUP(Settings!$B$12,Managers!$B$4:$B$15,Managers!$H$4:$H$15),$AH211))))</f>
        <v>1</v>
      </c>
      <c r="AJ211" s="12" t="str">
        <f t="shared" si="3"/>
        <v>Budget Drainer</v>
      </c>
      <c r="AK211" s="12">
        <f t="shared" si="4"/>
        <v>30</v>
      </c>
      <c r="AL211" s="12" t="str">
        <f t="shared" si="5"/>
        <v/>
      </c>
    </row>
    <row r="212" ht="15.75" customHeight="1">
      <c r="A212" s="10" t="s">
        <v>753</v>
      </c>
      <c r="B212" s="10" t="s">
        <v>754</v>
      </c>
      <c r="C212" s="10" t="s">
        <v>755</v>
      </c>
      <c r="D212" s="10" t="s">
        <v>121</v>
      </c>
      <c r="E212" s="10" t="s">
        <v>121</v>
      </c>
      <c r="F212" s="10" t="s">
        <v>114</v>
      </c>
      <c r="G212" s="10">
        <v>5.0</v>
      </c>
      <c r="H212" s="10">
        <v>7.0</v>
      </c>
      <c r="I212" s="10" t="s">
        <v>2140</v>
      </c>
      <c r="J212" s="10" t="s">
        <v>2136</v>
      </c>
      <c r="K212" s="10"/>
      <c r="L212" s="10">
        <v>153.5</v>
      </c>
      <c r="M212" s="10">
        <v>6.4</v>
      </c>
      <c r="N212" s="10"/>
      <c r="O212" s="10"/>
      <c r="P212" s="12">
        <f>IF($A212="","",IFERROR((IF($O212="",0,$O212)*Settings!$J$4+IF($L212="",0,$L212)*Settings!$J$5+IF($N212="",0,$N212)*Settings!$J$6)/(IF($O212="",0,Settings!$J$4)+IF($L212="",0,Settings!$J$5)+IF($N212="",0,Settings!$J$6)),0))</f>
        <v>153.5</v>
      </c>
      <c r="Q212" s="12">
        <f t="array" ref="Q212">IF($A212="","",XLOOKUP($E212,Settings!$A$19:$A$22,Settings!$G$19:$G$22,0))</f>
        <v>206</v>
      </c>
      <c r="R212" s="12">
        <f t="shared" si="1"/>
        <v>0</v>
      </c>
      <c r="S212" s="12">
        <f>IF($A212="","",IF($R212&lt;=0,1,1+$R212/SUMIF($R$4:$R$923,"&gt;0",$R$4:$R$923)*(Settings!$B$5*(Settings!$B$6-Settings!$B$7))))</f>
        <v>1</v>
      </c>
      <c r="T212" s="12">
        <f t="array" ref="T212">IF($A212="","",XLOOKUP($F212,Settings!$I$15:$I$20,Settings!$J$15:$J$20,1))</f>
        <v>0.9</v>
      </c>
      <c r="U212" s="12">
        <f>IF($A212="","",1+(($G212-5)/5)*Settings!$J$8)</f>
        <v>1</v>
      </c>
      <c r="V212" s="12">
        <f>IF($A212="","",1+(($H212-5)/5)*Settings!$J$9)</f>
        <v>1.06</v>
      </c>
      <c r="W212" s="12">
        <f t="array" ref="W212">IF($A212="","",XLOOKUP($J212,Lists!$C$3:$C$7,Lists!$D$3:$D$7,1))</f>
        <v>1</v>
      </c>
      <c r="X212" s="12">
        <f>IF($A212="","",IF($I212="Yes",Settings!$J$10,1))</f>
        <v>1</v>
      </c>
      <c r="Y212" s="12">
        <f t="shared" si="2"/>
        <v>1</v>
      </c>
      <c r="Z212" s="12">
        <f>IF($A212="","",IFERROR(ROUND(AVERAGEIFS('Historical Drafts'!$G$4:$G$300,'Historical Drafts'!$D$4:$D$300,$E212,'Historical Drafts'!$J$4:$J$300,"&gt;="&amp;$L212*0.85,'Historical Drafts'!$J$4:$J$300,"&lt;="&amp;$L212*1.15),0),$Y212))</f>
        <v>2</v>
      </c>
      <c r="AA212" s="12" t="str">
        <f>IF($A212="","",IF(COUNTIF('Auction Log'!$B$3:$B$300,$A212)&gt;0,"Sold","Available"))</f>
        <v>Available</v>
      </c>
      <c r="AB212" s="12" t="str">
        <f t="array" ref="AB212">IF($A212="","",IFERROR(XLOOKUP($A212,'Auction Log'!$B$3:$B$300,'Auction Log'!$G$3:$G$300,""),""))</f>
        <v/>
      </c>
      <c r="AC212" s="12" t="str">
        <f t="array" ref="AC212">IF($A212="","",IFERROR(XLOOKUP($A212,'Auction Log'!$B$3:$B$300,'Auction Log'!$F$3:$F$300,""),""))</f>
        <v/>
      </c>
      <c r="AD212" s="12">
        <f t="array" ref="AD212">IF($A212="","",ROUND($Y212*XLOOKUP($F212,Settings!$I$15:$I$20,Settings!$K$15:$K$20,0.4),0))</f>
        <v>0</v>
      </c>
      <c r="AE212" s="12">
        <f t="array" ref="AE212">IF($A212="","",ROUND($Y212*XLOOKUP($F212,Settings!$I$15:$I$20,Settings!$L$15:$L$20,0.8),0))</f>
        <v>1</v>
      </c>
      <c r="AF212" s="12">
        <f t="array" ref="AF212">IF($A212="","",ROUND($Y212*XLOOKUP($F212,Settings!$I$15:$I$20,Settings!$M$15:$M$20,1),0))</f>
        <v>1</v>
      </c>
      <c r="AG212" s="12">
        <f t="array" ref="AG212">IF($A212="","",ROUND($Y212*XLOOKUP($F212,Settings!$I$15:$I$20,Settings!$N$15:$N$20,1.1),0))</f>
        <v>1</v>
      </c>
      <c r="AH212" s="12">
        <f t="array" ref="AH212">IF($A212="","",ROUND($Y212*XLOOKUP($F212,Settings!$I$15:$I$20,Settings!$O$15:$O$20,1.1)*Settings!$J$7,0))</f>
        <v>1</v>
      </c>
      <c r="AI212" s="12">
        <f t="array" ref="AI212">IF($A212="","",IF($AA212="Sold","",MIN($AH212,IFERROR(XLOOKUP(Settings!$B$12,Managers!$B$4:$B$15,Managers!$H$4:$H$15),$AH212))))</f>
        <v>1</v>
      </c>
      <c r="AJ212" s="12" t="str">
        <f t="shared" si="3"/>
        <v>Budget Drainer</v>
      </c>
      <c r="AK212" s="12">
        <f t="shared" si="4"/>
        <v>27</v>
      </c>
      <c r="AL212" s="12" t="str">
        <f t="shared" si="5"/>
        <v/>
      </c>
    </row>
    <row r="213" ht="15.75" customHeight="1">
      <c r="A213" s="10" t="s">
        <v>495</v>
      </c>
      <c r="B213" s="10" t="s">
        <v>496</v>
      </c>
      <c r="C213" s="10" t="s">
        <v>236</v>
      </c>
      <c r="D213" s="10" t="s">
        <v>118</v>
      </c>
      <c r="E213" s="10" t="s">
        <v>118</v>
      </c>
      <c r="F213" s="10" t="s">
        <v>114</v>
      </c>
      <c r="G213" s="10">
        <v>5.0</v>
      </c>
      <c r="H213" s="10">
        <v>7.0</v>
      </c>
      <c r="I213" s="10" t="s">
        <v>2140</v>
      </c>
      <c r="J213" s="10" t="s">
        <v>2136</v>
      </c>
      <c r="K213" s="10"/>
      <c r="L213" s="10">
        <v>153.0</v>
      </c>
      <c r="M213" s="10">
        <v>8.5</v>
      </c>
      <c r="N213" s="10"/>
      <c r="O213" s="10"/>
      <c r="P213" s="12">
        <f>IF($A213="","",IFERROR((IF($O213="",0,$O213)*Settings!$J$4+IF($L213="",0,$L213)*Settings!$J$5+IF($N213="",0,$N213)*Settings!$J$6)/(IF($O213="",0,Settings!$J$4)+IF($L213="",0,Settings!$J$5)+IF($N213="",0,Settings!$J$6)),0))</f>
        <v>153</v>
      </c>
      <c r="Q213" s="12">
        <f t="array" ref="Q213">IF($A213="","",XLOOKUP($E213,Settings!$A$19:$A$22,Settings!$G$19:$G$22,0))</f>
        <v>196.25</v>
      </c>
      <c r="R213" s="12">
        <f t="shared" si="1"/>
        <v>0</v>
      </c>
      <c r="S213" s="12">
        <f>IF($A213="","",IF($R213&lt;=0,1,1+$R213/SUMIF($R$4:$R$923,"&gt;0",$R$4:$R$923)*(Settings!$B$5*(Settings!$B$6-Settings!$B$7))))</f>
        <v>1</v>
      </c>
      <c r="T213" s="12">
        <f t="array" ref="T213">IF($A213="","",XLOOKUP($F213,Settings!$I$15:$I$20,Settings!$J$15:$J$20,1))</f>
        <v>0.9</v>
      </c>
      <c r="U213" s="12">
        <f>IF($A213="","",1+(($G213-5)/5)*Settings!$J$8)</f>
        <v>1</v>
      </c>
      <c r="V213" s="12">
        <f>IF($A213="","",1+(($H213-5)/5)*Settings!$J$9)</f>
        <v>1.06</v>
      </c>
      <c r="W213" s="12">
        <f t="array" ref="W213">IF($A213="","",XLOOKUP($J213,Lists!$C$3:$C$7,Lists!$D$3:$D$7,1))</f>
        <v>1</v>
      </c>
      <c r="X213" s="12">
        <f>IF($A213="","",IF($I213="Yes",Settings!$J$10,1))</f>
        <v>1</v>
      </c>
      <c r="Y213" s="12">
        <f t="shared" si="2"/>
        <v>1</v>
      </c>
      <c r="Z213" s="12">
        <f>IF($A213="","",IFERROR(ROUND(AVERAGEIFS('Historical Drafts'!$G$4:$G$300,'Historical Drafts'!$D$4:$D$300,$E213,'Historical Drafts'!$J$4:$J$300,"&gt;="&amp;$L213*0.85,'Historical Drafts'!$J$4:$J$300,"&lt;="&amp;$L213*1.15),0),$Y213))</f>
        <v>10</v>
      </c>
      <c r="AA213" s="12" t="str">
        <f>IF($A213="","",IF(COUNTIF('Auction Log'!$B$3:$B$300,$A213)&gt;0,"Sold","Available"))</f>
        <v>Available</v>
      </c>
      <c r="AB213" s="12" t="str">
        <f t="array" ref="AB213">IF($A213="","",IFERROR(XLOOKUP($A213,'Auction Log'!$B$3:$B$300,'Auction Log'!$G$3:$G$300,""),""))</f>
        <v/>
      </c>
      <c r="AC213" s="12" t="str">
        <f t="array" ref="AC213">IF($A213="","",IFERROR(XLOOKUP($A213,'Auction Log'!$B$3:$B$300,'Auction Log'!$F$3:$F$300,""),""))</f>
        <v/>
      </c>
      <c r="AD213" s="12">
        <f t="array" ref="AD213">IF($A213="","",ROUND($Y213*XLOOKUP($F213,Settings!$I$15:$I$20,Settings!$K$15:$K$20,0.4),0))</f>
        <v>0</v>
      </c>
      <c r="AE213" s="12">
        <f t="array" ref="AE213">IF($A213="","",ROUND($Y213*XLOOKUP($F213,Settings!$I$15:$I$20,Settings!$L$15:$L$20,0.8),0))</f>
        <v>1</v>
      </c>
      <c r="AF213" s="12">
        <f t="array" ref="AF213">IF($A213="","",ROUND($Y213*XLOOKUP($F213,Settings!$I$15:$I$20,Settings!$M$15:$M$20,1),0))</f>
        <v>1</v>
      </c>
      <c r="AG213" s="12">
        <f t="array" ref="AG213">IF($A213="","",ROUND($Y213*XLOOKUP($F213,Settings!$I$15:$I$20,Settings!$N$15:$N$20,1.1),0))</f>
        <v>1</v>
      </c>
      <c r="AH213" s="12">
        <f t="array" ref="AH213">IF($A213="","",ROUND($Y213*XLOOKUP($F213,Settings!$I$15:$I$20,Settings!$O$15:$O$20,1.1)*Settings!$J$7,0))</f>
        <v>1</v>
      </c>
      <c r="AI213" s="12">
        <f t="array" ref="AI213">IF($A213="","",IF($AA213="Sold","",MIN($AH213,IFERROR(XLOOKUP(Settings!$B$12,Managers!$B$4:$B$15,Managers!$H$4:$H$15),$AH213))))</f>
        <v>1</v>
      </c>
      <c r="AJ213" s="12" t="str">
        <f t="shared" si="3"/>
        <v>Budget Drainer</v>
      </c>
      <c r="AK213" s="12">
        <f t="shared" si="4"/>
        <v>35</v>
      </c>
      <c r="AL213" s="12" t="str">
        <f t="shared" si="5"/>
        <v/>
      </c>
    </row>
    <row r="214" ht="15.75" customHeight="1">
      <c r="A214" s="10" t="s">
        <v>756</v>
      </c>
      <c r="B214" s="10" t="s">
        <v>757</v>
      </c>
      <c r="C214" s="10" t="s">
        <v>566</v>
      </c>
      <c r="D214" s="10" t="s">
        <v>118</v>
      </c>
      <c r="E214" s="10" t="s">
        <v>118</v>
      </c>
      <c r="F214" s="10" t="s">
        <v>114</v>
      </c>
      <c r="G214" s="10">
        <v>5.0</v>
      </c>
      <c r="H214" s="10">
        <v>7.0</v>
      </c>
      <c r="I214" s="10" t="s">
        <v>2140</v>
      </c>
      <c r="J214" s="10" t="s">
        <v>2136</v>
      </c>
      <c r="K214" s="10"/>
      <c r="L214" s="10">
        <v>152.25</v>
      </c>
      <c r="M214" s="10">
        <v>7.25</v>
      </c>
      <c r="N214" s="10"/>
      <c r="O214" s="10"/>
      <c r="P214" s="12">
        <f>IF($A214="","",IFERROR((IF($O214="",0,$O214)*Settings!$J$4+IF($L214="",0,$L214)*Settings!$J$5+IF($N214="",0,$N214)*Settings!$J$6)/(IF($O214="",0,Settings!$J$4)+IF($L214="",0,Settings!$J$5)+IF($N214="",0,Settings!$J$6)),0))</f>
        <v>152.25</v>
      </c>
      <c r="Q214" s="12">
        <f t="array" ref="Q214">IF($A214="","",XLOOKUP($E214,Settings!$A$19:$A$22,Settings!$G$19:$G$22,0))</f>
        <v>196.25</v>
      </c>
      <c r="R214" s="12">
        <f t="shared" si="1"/>
        <v>0</v>
      </c>
      <c r="S214" s="12">
        <f>IF($A214="","",IF($R214&lt;=0,1,1+$R214/SUMIF($R$4:$R$923,"&gt;0",$R$4:$R$923)*(Settings!$B$5*(Settings!$B$6-Settings!$B$7))))</f>
        <v>1</v>
      </c>
      <c r="T214" s="12">
        <f t="array" ref="T214">IF($A214="","",XLOOKUP($F214,Settings!$I$15:$I$20,Settings!$J$15:$J$20,1))</f>
        <v>0.9</v>
      </c>
      <c r="U214" s="12">
        <f>IF($A214="","",1+(($G214-5)/5)*Settings!$J$8)</f>
        <v>1</v>
      </c>
      <c r="V214" s="12">
        <f>IF($A214="","",1+(($H214-5)/5)*Settings!$J$9)</f>
        <v>1.06</v>
      </c>
      <c r="W214" s="12">
        <f t="array" ref="W214">IF($A214="","",XLOOKUP($J214,Lists!$C$3:$C$7,Lists!$D$3:$D$7,1))</f>
        <v>1</v>
      </c>
      <c r="X214" s="12">
        <f>IF($A214="","",IF($I214="Yes",Settings!$J$10,1))</f>
        <v>1</v>
      </c>
      <c r="Y214" s="12">
        <f t="shared" si="2"/>
        <v>1</v>
      </c>
      <c r="Z214" s="12">
        <f>IF($A214="","",IFERROR(ROUND(AVERAGEIFS('Historical Drafts'!$G$4:$G$300,'Historical Drafts'!$D$4:$D$300,$E214,'Historical Drafts'!$J$4:$J$300,"&gt;="&amp;$L214*0.85,'Historical Drafts'!$J$4:$J$300,"&lt;="&amp;$L214*1.15),0),$Y214))</f>
        <v>9</v>
      </c>
      <c r="AA214" s="12" t="str">
        <f>IF($A214="","",IF(COUNTIF('Auction Log'!$B$3:$B$300,$A214)&gt;0,"Sold","Available"))</f>
        <v>Available</v>
      </c>
      <c r="AB214" s="12" t="str">
        <f t="array" ref="AB214">IF($A214="","",IFERROR(XLOOKUP($A214,'Auction Log'!$B$3:$B$300,'Auction Log'!$G$3:$G$300,""),""))</f>
        <v/>
      </c>
      <c r="AC214" s="12" t="str">
        <f t="array" ref="AC214">IF($A214="","",IFERROR(XLOOKUP($A214,'Auction Log'!$B$3:$B$300,'Auction Log'!$F$3:$F$300,""),""))</f>
        <v/>
      </c>
      <c r="AD214" s="12">
        <f t="array" ref="AD214">IF($A214="","",ROUND($Y214*XLOOKUP($F214,Settings!$I$15:$I$20,Settings!$K$15:$K$20,0.4),0))</f>
        <v>0</v>
      </c>
      <c r="AE214" s="12">
        <f t="array" ref="AE214">IF($A214="","",ROUND($Y214*XLOOKUP($F214,Settings!$I$15:$I$20,Settings!$L$15:$L$20,0.8),0))</f>
        <v>1</v>
      </c>
      <c r="AF214" s="12">
        <f t="array" ref="AF214">IF($A214="","",ROUND($Y214*XLOOKUP($F214,Settings!$I$15:$I$20,Settings!$M$15:$M$20,1),0))</f>
        <v>1</v>
      </c>
      <c r="AG214" s="12">
        <f t="array" ref="AG214">IF($A214="","",ROUND($Y214*XLOOKUP($F214,Settings!$I$15:$I$20,Settings!$N$15:$N$20,1.1),0))</f>
        <v>1</v>
      </c>
      <c r="AH214" s="12">
        <f t="array" ref="AH214">IF($A214="","",ROUND($Y214*XLOOKUP($F214,Settings!$I$15:$I$20,Settings!$O$15:$O$20,1.1)*Settings!$J$7,0))</f>
        <v>1</v>
      </c>
      <c r="AI214" s="12">
        <f t="array" ref="AI214">IF($A214="","",IF($AA214="Sold","",MIN($AH214,IFERROR(XLOOKUP(Settings!$B$12,Managers!$B$4:$B$15,Managers!$H$4:$H$15),$AH214))))</f>
        <v>1</v>
      </c>
      <c r="AJ214" s="12" t="str">
        <f t="shared" si="3"/>
        <v>Budget Drainer</v>
      </c>
      <c r="AK214" s="12">
        <f t="shared" si="4"/>
        <v>34</v>
      </c>
      <c r="AL214" s="12" t="str">
        <f t="shared" si="5"/>
        <v/>
      </c>
    </row>
    <row r="215" ht="15.75" customHeight="1">
      <c r="A215" s="10" t="s">
        <v>758</v>
      </c>
      <c r="B215" s="10" t="s">
        <v>759</v>
      </c>
      <c r="C215" s="10" t="s">
        <v>453</v>
      </c>
      <c r="D215" s="10" t="s">
        <v>115</v>
      </c>
      <c r="E215" s="10" t="s">
        <v>115</v>
      </c>
      <c r="F215" s="10" t="s">
        <v>114</v>
      </c>
      <c r="G215" s="10">
        <v>5.0</v>
      </c>
      <c r="H215" s="10">
        <v>7.0</v>
      </c>
      <c r="I215" s="10" t="s">
        <v>2140</v>
      </c>
      <c r="J215" s="10" t="s">
        <v>2136</v>
      </c>
      <c r="K215" s="10"/>
      <c r="L215" s="10">
        <v>151.25</v>
      </c>
      <c r="M215" s="10">
        <v>6.88</v>
      </c>
      <c r="N215" s="10"/>
      <c r="O215" s="10"/>
      <c r="P215" s="12">
        <f>IF($A215="","",IFERROR((IF($O215="",0,$O215)*Settings!$J$4+IF($L215="",0,$L215)*Settings!$J$5+IF($N215="",0,$N215)*Settings!$J$6)/(IF($O215="",0,Settings!$J$4)+IF($L215="",0,Settings!$J$5)+IF($N215="",0,Settings!$J$6)),0))</f>
        <v>151.25</v>
      </c>
      <c r="Q215" s="12">
        <f t="array" ref="Q215">IF($A215="","",XLOOKUP($E215,Settings!$A$19:$A$22,Settings!$G$19:$G$22,0))</f>
        <v>249.25</v>
      </c>
      <c r="R215" s="12">
        <f t="shared" si="1"/>
        <v>0</v>
      </c>
      <c r="S215" s="12">
        <f>IF($A215="","",IF($R215&lt;=0,1,1+$R215/SUMIF($R$4:$R$923,"&gt;0",$R$4:$R$923)*(Settings!$B$5*(Settings!$B$6-Settings!$B$7))))</f>
        <v>1</v>
      </c>
      <c r="T215" s="12">
        <f t="array" ref="T215">IF($A215="","",XLOOKUP($F215,Settings!$I$15:$I$20,Settings!$J$15:$J$20,1))</f>
        <v>0.9</v>
      </c>
      <c r="U215" s="12">
        <f>IF($A215="","",1+(($G215-5)/5)*Settings!$J$8)</f>
        <v>1</v>
      </c>
      <c r="V215" s="12">
        <f>IF($A215="","",1+(($H215-5)/5)*Settings!$J$9)</f>
        <v>1.06</v>
      </c>
      <c r="W215" s="12">
        <f t="array" ref="W215">IF($A215="","",XLOOKUP($J215,Lists!$C$3:$C$7,Lists!$D$3:$D$7,1))</f>
        <v>1</v>
      </c>
      <c r="X215" s="12">
        <f>IF($A215="","",IF($I215="Yes",Settings!$J$10,1))</f>
        <v>1</v>
      </c>
      <c r="Y215" s="12">
        <f t="shared" si="2"/>
        <v>1</v>
      </c>
      <c r="Z215" s="12">
        <f>IF($A215="","",IFERROR(ROUND(AVERAGEIFS('Historical Drafts'!$G$4:$G$300,'Historical Drafts'!$D$4:$D$300,$E215,'Historical Drafts'!$J$4:$J$300,"&gt;="&amp;$L215*0.85,'Historical Drafts'!$J$4:$J$300,"&lt;="&amp;$L215*1.15),0),$Y215))</f>
        <v>1</v>
      </c>
      <c r="AA215" s="12" t="str">
        <f>IF($A215="","",IF(COUNTIF('Auction Log'!$B$3:$B$300,$A215)&gt;0,"Sold","Available"))</f>
        <v>Available</v>
      </c>
      <c r="AB215" s="12" t="str">
        <f t="array" ref="AB215">IF($A215="","",IFERROR(XLOOKUP($A215,'Auction Log'!$B$3:$B$300,'Auction Log'!$G$3:$G$300,""),""))</f>
        <v/>
      </c>
      <c r="AC215" s="12" t="str">
        <f t="array" ref="AC215">IF($A215="","",IFERROR(XLOOKUP($A215,'Auction Log'!$B$3:$B$300,'Auction Log'!$F$3:$F$300,""),""))</f>
        <v/>
      </c>
      <c r="AD215" s="12">
        <f t="array" ref="AD215">IF($A215="","",ROUND($Y215*XLOOKUP($F215,Settings!$I$15:$I$20,Settings!$K$15:$K$20,0.4),0))</f>
        <v>0</v>
      </c>
      <c r="AE215" s="12">
        <f t="array" ref="AE215">IF($A215="","",ROUND($Y215*XLOOKUP($F215,Settings!$I$15:$I$20,Settings!$L$15:$L$20,0.8),0))</f>
        <v>1</v>
      </c>
      <c r="AF215" s="12">
        <f t="array" ref="AF215">IF($A215="","",ROUND($Y215*XLOOKUP($F215,Settings!$I$15:$I$20,Settings!$M$15:$M$20,1),0))</f>
        <v>1</v>
      </c>
      <c r="AG215" s="12">
        <f t="array" ref="AG215">IF($A215="","",ROUND($Y215*XLOOKUP($F215,Settings!$I$15:$I$20,Settings!$N$15:$N$20,1.1),0))</f>
        <v>1</v>
      </c>
      <c r="AH215" s="12">
        <f t="array" ref="AH215">IF($A215="","",ROUND($Y215*XLOOKUP($F215,Settings!$I$15:$I$20,Settings!$O$15:$O$20,1.1)*Settings!$J$7,0))</f>
        <v>1</v>
      </c>
      <c r="AI215" s="12">
        <f t="array" ref="AI215">IF($A215="","",IF($AA215="Sold","",MIN($AH215,IFERROR(XLOOKUP(Settings!$B$12,Managers!$B$4:$B$15,Managers!$H$4:$H$15),$AH215))))</f>
        <v>1</v>
      </c>
      <c r="AJ215" s="12" t="str">
        <f t="shared" si="3"/>
        <v>Recommended</v>
      </c>
      <c r="AK215" s="12">
        <f t="shared" si="4"/>
        <v>26</v>
      </c>
      <c r="AL215" s="12" t="str">
        <f t="shared" si="5"/>
        <v/>
      </c>
    </row>
    <row r="216" ht="15.75" customHeight="1">
      <c r="A216" s="10" t="s">
        <v>760</v>
      </c>
      <c r="B216" s="10" t="s">
        <v>761</v>
      </c>
      <c r="C216" s="10" t="s">
        <v>285</v>
      </c>
      <c r="D216" s="10" t="s">
        <v>123</v>
      </c>
      <c r="E216" s="10" t="s">
        <v>123</v>
      </c>
      <c r="F216" s="10" t="s">
        <v>114</v>
      </c>
      <c r="G216" s="10">
        <v>5.0</v>
      </c>
      <c r="H216" s="10">
        <v>7.0</v>
      </c>
      <c r="I216" s="10" t="s">
        <v>2140</v>
      </c>
      <c r="J216" s="10" t="s">
        <v>2136</v>
      </c>
      <c r="K216" s="10"/>
      <c r="L216" s="10">
        <v>150.0</v>
      </c>
      <c r="M216" s="10">
        <v>10.0</v>
      </c>
      <c r="N216" s="10"/>
      <c r="O216" s="10"/>
      <c r="P216" s="12">
        <f>IF($A216="","",IFERROR((IF($O216="",0,$O216)*Settings!$J$4+IF($L216="",0,$L216)*Settings!$J$5+IF($N216="",0,$N216)*Settings!$J$6)/(IF($O216="",0,Settings!$J$4)+IF($L216="",0,Settings!$J$5)+IF($N216="",0,Settings!$J$6)),0))</f>
        <v>150</v>
      </c>
      <c r="Q216" s="12">
        <f t="array" ref="Q216">IF($A216="","",XLOOKUP($E216,Settings!$A$19:$A$22,Settings!$G$19:$G$22,0))</f>
        <v>203</v>
      </c>
      <c r="R216" s="12">
        <f t="shared" si="1"/>
        <v>0</v>
      </c>
      <c r="S216" s="12">
        <f>IF($A216="","",IF($R216&lt;=0,1,1+$R216/SUMIF($R$4:$R$923,"&gt;0",$R$4:$R$923)*(Settings!$B$5*(Settings!$B$6-Settings!$B$7))))</f>
        <v>1</v>
      </c>
      <c r="T216" s="12">
        <f t="array" ref="T216">IF($A216="","",XLOOKUP($F216,Settings!$I$15:$I$20,Settings!$J$15:$J$20,1))</f>
        <v>0.9</v>
      </c>
      <c r="U216" s="12">
        <f>IF($A216="","",1+(($G216-5)/5)*Settings!$J$8)</f>
        <v>1</v>
      </c>
      <c r="V216" s="12">
        <f>IF($A216="","",1+(($H216-5)/5)*Settings!$J$9)</f>
        <v>1.06</v>
      </c>
      <c r="W216" s="12">
        <f t="array" ref="W216">IF($A216="","",XLOOKUP($J216,Lists!$C$3:$C$7,Lists!$D$3:$D$7,1))</f>
        <v>1</v>
      </c>
      <c r="X216" s="12">
        <f>IF($A216="","",IF($I216="Yes",Settings!$J$10,1))</f>
        <v>1</v>
      </c>
      <c r="Y216" s="12">
        <f t="shared" si="2"/>
        <v>1</v>
      </c>
      <c r="Z216" s="12">
        <f>IF($A216="","",IFERROR(ROUND(AVERAGEIFS('Historical Drafts'!$G$4:$G$300,'Historical Drafts'!$D$4:$D$300,$E216,'Historical Drafts'!$J$4:$J$300,"&gt;="&amp;$L216*0.85,'Historical Drafts'!$J$4:$J$300,"&lt;="&amp;$L216*1.15),0),$Y216))</f>
        <v>3</v>
      </c>
      <c r="AA216" s="12" t="str">
        <f>IF($A216="","",IF(COUNTIF('Auction Log'!$B$3:$B$300,$A216)&gt;0,"Sold","Available"))</f>
        <v>Available</v>
      </c>
      <c r="AB216" s="12" t="str">
        <f t="array" ref="AB216">IF($A216="","",IFERROR(XLOOKUP($A216,'Auction Log'!$B$3:$B$300,'Auction Log'!$G$3:$G$300,""),""))</f>
        <v/>
      </c>
      <c r="AC216" s="12" t="str">
        <f t="array" ref="AC216">IF($A216="","",IFERROR(XLOOKUP($A216,'Auction Log'!$B$3:$B$300,'Auction Log'!$F$3:$F$300,""),""))</f>
        <v/>
      </c>
      <c r="AD216" s="12">
        <f t="array" ref="AD216">IF($A216="","",ROUND($Y216*XLOOKUP($F216,Settings!$I$15:$I$20,Settings!$K$15:$K$20,0.4),0))</f>
        <v>0</v>
      </c>
      <c r="AE216" s="12">
        <f t="array" ref="AE216">IF($A216="","",ROUND($Y216*XLOOKUP($F216,Settings!$I$15:$I$20,Settings!$L$15:$L$20,0.8),0))</f>
        <v>1</v>
      </c>
      <c r="AF216" s="12">
        <f t="array" ref="AF216">IF($A216="","",ROUND($Y216*XLOOKUP($F216,Settings!$I$15:$I$20,Settings!$M$15:$M$20,1),0))</f>
        <v>1</v>
      </c>
      <c r="AG216" s="12">
        <f t="array" ref="AG216">IF($A216="","",ROUND($Y216*XLOOKUP($F216,Settings!$I$15:$I$20,Settings!$N$15:$N$20,1.1),0))</f>
        <v>1</v>
      </c>
      <c r="AH216" s="12">
        <f t="array" ref="AH216">IF($A216="","",ROUND($Y216*XLOOKUP($F216,Settings!$I$15:$I$20,Settings!$O$15:$O$20,1.1)*Settings!$J$7,0))</f>
        <v>1</v>
      </c>
      <c r="AI216" s="12">
        <f t="array" ref="AI216">IF($A216="","",IF($AA216="Sold","",MIN($AH216,IFERROR(XLOOKUP(Settings!$B$12,Managers!$B$4:$B$15,Managers!$H$4:$H$15),$AH216))))</f>
        <v>1</v>
      </c>
      <c r="AJ216" s="12" t="str">
        <f t="shared" si="3"/>
        <v>Budget Drainer</v>
      </c>
      <c r="AK216" s="12">
        <f t="shared" si="4"/>
        <v>28</v>
      </c>
      <c r="AL216" s="12" t="str">
        <f t="shared" si="5"/>
        <v/>
      </c>
    </row>
    <row r="217" ht="15.75" customHeight="1">
      <c r="A217" s="10" t="s">
        <v>762</v>
      </c>
      <c r="B217" s="10" t="s">
        <v>763</v>
      </c>
      <c r="C217" s="10" t="s">
        <v>387</v>
      </c>
      <c r="D217" s="10" t="s">
        <v>118</v>
      </c>
      <c r="E217" s="10" t="s">
        <v>118</v>
      </c>
      <c r="F217" s="10" t="s">
        <v>114</v>
      </c>
      <c r="G217" s="10">
        <v>5.0</v>
      </c>
      <c r="H217" s="10">
        <v>7.0</v>
      </c>
      <c r="I217" s="10" t="s">
        <v>2140</v>
      </c>
      <c r="J217" s="10" t="s">
        <v>2136</v>
      </c>
      <c r="K217" s="10"/>
      <c r="L217" s="10">
        <v>149.75</v>
      </c>
      <c r="M217" s="10">
        <v>4.83</v>
      </c>
      <c r="N217" s="10"/>
      <c r="O217" s="10"/>
      <c r="P217" s="12">
        <f>IF($A217="","",IFERROR((IF($O217="",0,$O217)*Settings!$J$4+IF($L217="",0,$L217)*Settings!$J$5+IF($N217="",0,$N217)*Settings!$J$6)/(IF($O217="",0,Settings!$J$4)+IF($L217="",0,Settings!$J$5)+IF($N217="",0,Settings!$J$6)),0))</f>
        <v>149.75</v>
      </c>
      <c r="Q217" s="12">
        <f t="array" ref="Q217">IF($A217="","",XLOOKUP($E217,Settings!$A$19:$A$22,Settings!$G$19:$G$22,0))</f>
        <v>196.25</v>
      </c>
      <c r="R217" s="12">
        <f t="shared" si="1"/>
        <v>0</v>
      </c>
      <c r="S217" s="12">
        <f>IF($A217="","",IF($R217&lt;=0,1,1+$R217/SUMIF($R$4:$R$923,"&gt;0",$R$4:$R$923)*(Settings!$B$5*(Settings!$B$6-Settings!$B$7))))</f>
        <v>1</v>
      </c>
      <c r="T217" s="12">
        <f t="array" ref="T217">IF($A217="","",XLOOKUP($F217,Settings!$I$15:$I$20,Settings!$J$15:$J$20,1))</f>
        <v>0.9</v>
      </c>
      <c r="U217" s="12">
        <f>IF($A217="","",1+(($G217-5)/5)*Settings!$J$8)</f>
        <v>1</v>
      </c>
      <c r="V217" s="12">
        <f>IF($A217="","",1+(($H217-5)/5)*Settings!$J$9)</f>
        <v>1.06</v>
      </c>
      <c r="W217" s="12">
        <f t="array" ref="W217">IF($A217="","",XLOOKUP($J217,Lists!$C$3:$C$7,Lists!$D$3:$D$7,1))</f>
        <v>1</v>
      </c>
      <c r="X217" s="12">
        <f>IF($A217="","",IF($I217="Yes",Settings!$J$10,1))</f>
        <v>1</v>
      </c>
      <c r="Y217" s="12">
        <f t="shared" si="2"/>
        <v>1</v>
      </c>
      <c r="Z217" s="12">
        <f>IF($A217="","",IFERROR(ROUND(AVERAGEIFS('Historical Drafts'!$G$4:$G$300,'Historical Drafts'!$D$4:$D$300,$E217,'Historical Drafts'!$J$4:$J$300,"&gt;="&amp;$L217*0.85,'Historical Drafts'!$J$4:$J$300,"&lt;="&amp;$L217*1.15),0),$Y217))</f>
        <v>9</v>
      </c>
      <c r="AA217" s="12" t="str">
        <f>IF($A217="","",IF(COUNTIF('Auction Log'!$B$3:$B$300,$A217)&gt;0,"Sold","Available"))</f>
        <v>Available</v>
      </c>
      <c r="AB217" s="12" t="str">
        <f t="array" ref="AB217">IF($A217="","",IFERROR(XLOOKUP($A217,'Auction Log'!$B$3:$B$300,'Auction Log'!$G$3:$G$300,""),""))</f>
        <v/>
      </c>
      <c r="AC217" s="12" t="str">
        <f t="array" ref="AC217">IF($A217="","",IFERROR(XLOOKUP($A217,'Auction Log'!$B$3:$B$300,'Auction Log'!$F$3:$F$300,""),""))</f>
        <v/>
      </c>
      <c r="AD217" s="12">
        <f t="array" ref="AD217">IF($A217="","",ROUND($Y217*XLOOKUP($F217,Settings!$I$15:$I$20,Settings!$K$15:$K$20,0.4),0))</f>
        <v>0</v>
      </c>
      <c r="AE217" s="12">
        <f t="array" ref="AE217">IF($A217="","",ROUND($Y217*XLOOKUP($F217,Settings!$I$15:$I$20,Settings!$L$15:$L$20,0.8),0))</f>
        <v>1</v>
      </c>
      <c r="AF217" s="12">
        <f t="array" ref="AF217">IF($A217="","",ROUND($Y217*XLOOKUP($F217,Settings!$I$15:$I$20,Settings!$M$15:$M$20,1),0))</f>
        <v>1</v>
      </c>
      <c r="AG217" s="12">
        <f t="array" ref="AG217">IF($A217="","",ROUND($Y217*XLOOKUP($F217,Settings!$I$15:$I$20,Settings!$N$15:$N$20,1.1),0))</f>
        <v>1</v>
      </c>
      <c r="AH217" s="12">
        <f t="array" ref="AH217">IF($A217="","",ROUND($Y217*XLOOKUP($F217,Settings!$I$15:$I$20,Settings!$O$15:$O$20,1.1)*Settings!$J$7,0))</f>
        <v>1</v>
      </c>
      <c r="AI217" s="12">
        <f t="array" ref="AI217">IF($A217="","",IF($AA217="Sold","",MIN($AH217,IFERROR(XLOOKUP(Settings!$B$12,Managers!$B$4:$B$15,Managers!$H$4:$H$15),$AH217))))</f>
        <v>1</v>
      </c>
      <c r="AJ217" s="12" t="str">
        <f t="shared" si="3"/>
        <v>Budget Drainer</v>
      </c>
      <c r="AK217" s="12">
        <f t="shared" si="4"/>
        <v>34</v>
      </c>
      <c r="AL217" s="12" t="str">
        <f t="shared" si="5"/>
        <v/>
      </c>
    </row>
    <row r="218" ht="15.75" customHeight="1">
      <c r="A218" s="10" t="s">
        <v>764</v>
      </c>
      <c r="B218" s="10" t="s">
        <v>765</v>
      </c>
      <c r="C218" s="10" t="s">
        <v>215</v>
      </c>
      <c r="D218" s="10" t="s">
        <v>123</v>
      </c>
      <c r="E218" s="10" t="s">
        <v>123</v>
      </c>
      <c r="F218" s="10" t="s">
        <v>114</v>
      </c>
      <c r="G218" s="10">
        <v>5.0</v>
      </c>
      <c r="H218" s="10">
        <v>7.0</v>
      </c>
      <c r="I218" s="10" t="s">
        <v>2140</v>
      </c>
      <c r="J218" s="10" t="s">
        <v>2136</v>
      </c>
      <c r="K218" s="10"/>
      <c r="L218" s="10">
        <v>148.5</v>
      </c>
      <c r="M218" s="10">
        <v>4.64</v>
      </c>
      <c r="N218" s="10"/>
      <c r="O218" s="10"/>
      <c r="P218" s="12">
        <f>IF($A218="","",IFERROR((IF($O218="",0,$O218)*Settings!$J$4+IF($L218="",0,$L218)*Settings!$J$5+IF($N218="",0,$N218)*Settings!$J$6)/(IF($O218="",0,Settings!$J$4)+IF($L218="",0,Settings!$J$5)+IF($N218="",0,Settings!$J$6)),0))</f>
        <v>148.5</v>
      </c>
      <c r="Q218" s="12">
        <f t="array" ref="Q218">IF($A218="","",XLOOKUP($E218,Settings!$A$19:$A$22,Settings!$G$19:$G$22,0))</f>
        <v>203</v>
      </c>
      <c r="R218" s="12">
        <f t="shared" si="1"/>
        <v>0</v>
      </c>
      <c r="S218" s="12">
        <f>IF($A218="","",IF($R218&lt;=0,1,1+$R218/SUMIF($R$4:$R$923,"&gt;0",$R$4:$R$923)*(Settings!$B$5*(Settings!$B$6-Settings!$B$7))))</f>
        <v>1</v>
      </c>
      <c r="T218" s="12">
        <f t="array" ref="T218">IF($A218="","",XLOOKUP($F218,Settings!$I$15:$I$20,Settings!$J$15:$J$20,1))</f>
        <v>0.9</v>
      </c>
      <c r="U218" s="12">
        <f>IF($A218="","",1+(($G218-5)/5)*Settings!$J$8)</f>
        <v>1</v>
      </c>
      <c r="V218" s="12">
        <f>IF($A218="","",1+(($H218-5)/5)*Settings!$J$9)</f>
        <v>1.06</v>
      </c>
      <c r="W218" s="12">
        <f t="array" ref="W218">IF($A218="","",XLOOKUP($J218,Lists!$C$3:$C$7,Lists!$D$3:$D$7,1))</f>
        <v>1</v>
      </c>
      <c r="X218" s="12">
        <f>IF($A218="","",IF($I218="Yes",Settings!$J$10,1))</f>
        <v>1</v>
      </c>
      <c r="Y218" s="12">
        <f t="shared" si="2"/>
        <v>1</v>
      </c>
      <c r="Z218" s="12">
        <f>IF($A218="","",IFERROR(ROUND(AVERAGEIFS('Historical Drafts'!$G$4:$G$300,'Historical Drafts'!$D$4:$D$300,$E218,'Historical Drafts'!$J$4:$J$300,"&gt;="&amp;$L218*0.85,'Historical Drafts'!$J$4:$J$300,"&lt;="&amp;$L218*1.15),0),$Y218))</f>
        <v>3</v>
      </c>
      <c r="AA218" s="12" t="str">
        <f>IF($A218="","",IF(COUNTIF('Auction Log'!$B$3:$B$300,$A218)&gt;0,"Sold","Available"))</f>
        <v>Available</v>
      </c>
      <c r="AB218" s="12" t="str">
        <f t="array" ref="AB218">IF($A218="","",IFERROR(XLOOKUP($A218,'Auction Log'!$B$3:$B$300,'Auction Log'!$G$3:$G$300,""),""))</f>
        <v/>
      </c>
      <c r="AC218" s="12" t="str">
        <f t="array" ref="AC218">IF($A218="","",IFERROR(XLOOKUP($A218,'Auction Log'!$B$3:$B$300,'Auction Log'!$F$3:$F$300,""),""))</f>
        <v/>
      </c>
      <c r="AD218" s="12">
        <f t="array" ref="AD218">IF($A218="","",ROUND($Y218*XLOOKUP($F218,Settings!$I$15:$I$20,Settings!$K$15:$K$20,0.4),0))</f>
        <v>0</v>
      </c>
      <c r="AE218" s="12">
        <f t="array" ref="AE218">IF($A218="","",ROUND($Y218*XLOOKUP($F218,Settings!$I$15:$I$20,Settings!$L$15:$L$20,0.8),0))</f>
        <v>1</v>
      </c>
      <c r="AF218" s="12">
        <f t="array" ref="AF218">IF($A218="","",ROUND($Y218*XLOOKUP($F218,Settings!$I$15:$I$20,Settings!$M$15:$M$20,1),0))</f>
        <v>1</v>
      </c>
      <c r="AG218" s="12">
        <f t="array" ref="AG218">IF($A218="","",ROUND($Y218*XLOOKUP($F218,Settings!$I$15:$I$20,Settings!$N$15:$N$20,1.1),0))</f>
        <v>1</v>
      </c>
      <c r="AH218" s="12">
        <f t="array" ref="AH218">IF($A218="","",ROUND($Y218*XLOOKUP($F218,Settings!$I$15:$I$20,Settings!$O$15:$O$20,1.1)*Settings!$J$7,0))</f>
        <v>1</v>
      </c>
      <c r="AI218" s="12">
        <f t="array" ref="AI218">IF($A218="","",IF($AA218="Sold","",MIN($AH218,IFERROR(XLOOKUP(Settings!$B$12,Managers!$B$4:$B$15,Managers!$H$4:$H$15),$AH218))))</f>
        <v>1</v>
      </c>
      <c r="AJ218" s="12" t="str">
        <f t="shared" si="3"/>
        <v>Budget Drainer</v>
      </c>
      <c r="AK218" s="12">
        <f t="shared" si="4"/>
        <v>28</v>
      </c>
      <c r="AL218" s="12" t="str">
        <f t="shared" si="5"/>
        <v/>
      </c>
    </row>
    <row r="219" ht="15.75" customHeight="1">
      <c r="A219" s="10" t="s">
        <v>766</v>
      </c>
      <c r="B219" s="10" t="s">
        <v>767</v>
      </c>
      <c r="C219" s="10" t="s">
        <v>221</v>
      </c>
      <c r="D219" s="10" t="s">
        <v>121</v>
      </c>
      <c r="E219" s="10" t="s">
        <v>121</v>
      </c>
      <c r="F219" s="10" t="s">
        <v>114</v>
      </c>
      <c r="G219" s="10">
        <v>5.0</v>
      </c>
      <c r="H219" s="10">
        <v>7.0</v>
      </c>
      <c r="I219" s="10" t="s">
        <v>2140</v>
      </c>
      <c r="J219" s="10" t="s">
        <v>2136</v>
      </c>
      <c r="K219" s="10"/>
      <c r="L219" s="10">
        <v>148.0</v>
      </c>
      <c r="M219" s="10">
        <v>5.29</v>
      </c>
      <c r="N219" s="10"/>
      <c r="O219" s="10"/>
      <c r="P219" s="12">
        <f>IF($A219="","",IFERROR((IF($O219="",0,$O219)*Settings!$J$4+IF($L219="",0,$L219)*Settings!$J$5+IF($N219="",0,$N219)*Settings!$J$6)/(IF($O219="",0,Settings!$J$4)+IF($L219="",0,Settings!$J$5)+IF($N219="",0,Settings!$J$6)),0))</f>
        <v>148</v>
      </c>
      <c r="Q219" s="12">
        <f t="array" ref="Q219">IF($A219="","",XLOOKUP($E219,Settings!$A$19:$A$22,Settings!$G$19:$G$22,0))</f>
        <v>206</v>
      </c>
      <c r="R219" s="12">
        <f t="shared" si="1"/>
        <v>0</v>
      </c>
      <c r="S219" s="12">
        <f>IF($A219="","",IF($R219&lt;=0,1,1+$R219/SUMIF($R$4:$R$923,"&gt;0",$R$4:$R$923)*(Settings!$B$5*(Settings!$B$6-Settings!$B$7))))</f>
        <v>1</v>
      </c>
      <c r="T219" s="12">
        <f t="array" ref="T219">IF($A219="","",XLOOKUP($F219,Settings!$I$15:$I$20,Settings!$J$15:$J$20,1))</f>
        <v>0.9</v>
      </c>
      <c r="U219" s="12">
        <f>IF($A219="","",1+(($G219-5)/5)*Settings!$J$8)</f>
        <v>1</v>
      </c>
      <c r="V219" s="12">
        <f>IF($A219="","",1+(($H219-5)/5)*Settings!$J$9)</f>
        <v>1.06</v>
      </c>
      <c r="W219" s="12">
        <f t="array" ref="W219">IF($A219="","",XLOOKUP($J219,Lists!$C$3:$C$7,Lists!$D$3:$D$7,1))</f>
        <v>1</v>
      </c>
      <c r="X219" s="12">
        <f>IF($A219="","",IF($I219="Yes",Settings!$J$10,1))</f>
        <v>1</v>
      </c>
      <c r="Y219" s="12">
        <f t="shared" si="2"/>
        <v>1</v>
      </c>
      <c r="Z219" s="12">
        <f>IF($A219="","",IFERROR(ROUND(AVERAGEIFS('Historical Drafts'!$G$4:$G$300,'Historical Drafts'!$D$4:$D$300,$E219,'Historical Drafts'!$J$4:$J$300,"&gt;="&amp;$L219*0.85,'Historical Drafts'!$J$4:$J$300,"&lt;="&amp;$L219*1.15),0),$Y219))</f>
        <v>2</v>
      </c>
      <c r="AA219" s="12" t="str">
        <f>IF($A219="","",IF(COUNTIF('Auction Log'!$B$3:$B$300,$A219)&gt;0,"Sold","Available"))</f>
        <v>Available</v>
      </c>
      <c r="AB219" s="12" t="str">
        <f t="array" ref="AB219">IF($A219="","",IFERROR(XLOOKUP($A219,'Auction Log'!$B$3:$B$300,'Auction Log'!$G$3:$G$300,""),""))</f>
        <v/>
      </c>
      <c r="AC219" s="12" t="str">
        <f t="array" ref="AC219">IF($A219="","",IFERROR(XLOOKUP($A219,'Auction Log'!$B$3:$B$300,'Auction Log'!$F$3:$F$300,""),""))</f>
        <v/>
      </c>
      <c r="AD219" s="12">
        <f t="array" ref="AD219">IF($A219="","",ROUND($Y219*XLOOKUP($F219,Settings!$I$15:$I$20,Settings!$K$15:$K$20,0.4),0))</f>
        <v>0</v>
      </c>
      <c r="AE219" s="12">
        <f t="array" ref="AE219">IF($A219="","",ROUND($Y219*XLOOKUP($F219,Settings!$I$15:$I$20,Settings!$L$15:$L$20,0.8),0))</f>
        <v>1</v>
      </c>
      <c r="AF219" s="12">
        <f t="array" ref="AF219">IF($A219="","",ROUND($Y219*XLOOKUP($F219,Settings!$I$15:$I$20,Settings!$M$15:$M$20,1),0))</f>
        <v>1</v>
      </c>
      <c r="AG219" s="12">
        <f t="array" ref="AG219">IF($A219="","",ROUND($Y219*XLOOKUP($F219,Settings!$I$15:$I$20,Settings!$N$15:$N$20,1.1),0))</f>
        <v>1</v>
      </c>
      <c r="AH219" s="12">
        <f t="array" ref="AH219">IF($A219="","",ROUND($Y219*XLOOKUP($F219,Settings!$I$15:$I$20,Settings!$O$15:$O$20,1.1)*Settings!$J$7,0))</f>
        <v>1</v>
      </c>
      <c r="AI219" s="12">
        <f t="array" ref="AI219">IF($A219="","",IF($AA219="Sold","",MIN($AH219,IFERROR(XLOOKUP(Settings!$B$12,Managers!$B$4:$B$15,Managers!$H$4:$H$15),$AH219))))</f>
        <v>1</v>
      </c>
      <c r="AJ219" s="12" t="str">
        <f t="shared" si="3"/>
        <v>Budget Drainer</v>
      </c>
      <c r="AK219" s="12">
        <f t="shared" si="4"/>
        <v>27</v>
      </c>
      <c r="AL219" s="12" t="str">
        <f t="shared" si="5"/>
        <v/>
      </c>
    </row>
    <row r="220" ht="15.75" customHeight="1">
      <c r="A220" s="10" t="s">
        <v>768</v>
      </c>
      <c r="B220" s="10" t="s">
        <v>769</v>
      </c>
      <c r="C220" s="10" t="s">
        <v>305</v>
      </c>
      <c r="D220" s="10" t="s">
        <v>123</v>
      </c>
      <c r="E220" s="10" t="s">
        <v>123</v>
      </c>
      <c r="F220" s="10" t="s">
        <v>114</v>
      </c>
      <c r="G220" s="10">
        <v>5.0</v>
      </c>
      <c r="H220" s="10">
        <v>7.0</v>
      </c>
      <c r="I220" s="10" t="s">
        <v>2140</v>
      </c>
      <c r="J220" s="10" t="s">
        <v>2136</v>
      </c>
      <c r="K220" s="10"/>
      <c r="L220" s="10">
        <v>147.5</v>
      </c>
      <c r="M220" s="10">
        <v>5.67</v>
      </c>
      <c r="N220" s="10"/>
      <c r="O220" s="10"/>
      <c r="P220" s="12">
        <f>IF($A220="","",IFERROR((IF($O220="",0,$O220)*Settings!$J$4+IF($L220="",0,$L220)*Settings!$J$5+IF($N220="",0,$N220)*Settings!$J$6)/(IF($O220="",0,Settings!$J$4)+IF($L220="",0,Settings!$J$5)+IF($N220="",0,Settings!$J$6)),0))</f>
        <v>147.5</v>
      </c>
      <c r="Q220" s="12">
        <f t="array" ref="Q220">IF($A220="","",XLOOKUP($E220,Settings!$A$19:$A$22,Settings!$G$19:$G$22,0))</f>
        <v>203</v>
      </c>
      <c r="R220" s="12">
        <f t="shared" si="1"/>
        <v>0</v>
      </c>
      <c r="S220" s="12">
        <f>IF($A220="","",IF($R220&lt;=0,1,1+$R220/SUMIF($R$4:$R$923,"&gt;0",$R$4:$R$923)*(Settings!$B$5*(Settings!$B$6-Settings!$B$7))))</f>
        <v>1</v>
      </c>
      <c r="T220" s="12">
        <f t="array" ref="T220">IF($A220="","",XLOOKUP($F220,Settings!$I$15:$I$20,Settings!$J$15:$J$20,1))</f>
        <v>0.9</v>
      </c>
      <c r="U220" s="12">
        <f>IF($A220="","",1+(($G220-5)/5)*Settings!$J$8)</f>
        <v>1</v>
      </c>
      <c r="V220" s="12">
        <f>IF($A220="","",1+(($H220-5)/5)*Settings!$J$9)</f>
        <v>1.06</v>
      </c>
      <c r="W220" s="12">
        <f t="array" ref="W220">IF($A220="","",XLOOKUP($J220,Lists!$C$3:$C$7,Lists!$D$3:$D$7,1))</f>
        <v>1</v>
      </c>
      <c r="X220" s="12">
        <f>IF($A220="","",IF($I220="Yes",Settings!$J$10,1))</f>
        <v>1</v>
      </c>
      <c r="Y220" s="12">
        <f t="shared" si="2"/>
        <v>1</v>
      </c>
      <c r="Z220" s="12">
        <f>IF($A220="","",IFERROR(ROUND(AVERAGEIFS('Historical Drafts'!$G$4:$G$300,'Historical Drafts'!$D$4:$D$300,$E220,'Historical Drafts'!$J$4:$J$300,"&gt;="&amp;$L220*0.85,'Historical Drafts'!$J$4:$J$300,"&lt;="&amp;$L220*1.15),0),$Y220))</f>
        <v>3</v>
      </c>
      <c r="AA220" s="12" t="str">
        <f>IF($A220="","",IF(COUNTIF('Auction Log'!$B$3:$B$300,$A220)&gt;0,"Sold","Available"))</f>
        <v>Available</v>
      </c>
      <c r="AB220" s="12" t="str">
        <f t="array" ref="AB220">IF($A220="","",IFERROR(XLOOKUP($A220,'Auction Log'!$B$3:$B$300,'Auction Log'!$G$3:$G$300,""),""))</f>
        <v/>
      </c>
      <c r="AC220" s="12" t="str">
        <f t="array" ref="AC220">IF($A220="","",IFERROR(XLOOKUP($A220,'Auction Log'!$B$3:$B$300,'Auction Log'!$F$3:$F$300,""),""))</f>
        <v/>
      </c>
      <c r="AD220" s="12">
        <f t="array" ref="AD220">IF($A220="","",ROUND($Y220*XLOOKUP($F220,Settings!$I$15:$I$20,Settings!$K$15:$K$20,0.4),0))</f>
        <v>0</v>
      </c>
      <c r="AE220" s="12">
        <f t="array" ref="AE220">IF($A220="","",ROUND($Y220*XLOOKUP($F220,Settings!$I$15:$I$20,Settings!$L$15:$L$20,0.8),0))</f>
        <v>1</v>
      </c>
      <c r="AF220" s="12">
        <f t="array" ref="AF220">IF($A220="","",ROUND($Y220*XLOOKUP($F220,Settings!$I$15:$I$20,Settings!$M$15:$M$20,1),0))</f>
        <v>1</v>
      </c>
      <c r="AG220" s="12">
        <f t="array" ref="AG220">IF($A220="","",ROUND($Y220*XLOOKUP($F220,Settings!$I$15:$I$20,Settings!$N$15:$N$20,1.1),0))</f>
        <v>1</v>
      </c>
      <c r="AH220" s="12">
        <f t="array" ref="AH220">IF($A220="","",ROUND($Y220*XLOOKUP($F220,Settings!$I$15:$I$20,Settings!$O$15:$O$20,1.1)*Settings!$J$7,0))</f>
        <v>1</v>
      </c>
      <c r="AI220" s="12">
        <f t="array" ref="AI220">IF($A220="","",IF($AA220="Sold","",MIN($AH220,IFERROR(XLOOKUP(Settings!$B$12,Managers!$B$4:$B$15,Managers!$H$4:$H$15),$AH220))))</f>
        <v>1</v>
      </c>
      <c r="AJ220" s="12" t="str">
        <f t="shared" si="3"/>
        <v>Budget Drainer</v>
      </c>
      <c r="AK220" s="12">
        <f t="shared" si="4"/>
        <v>28</v>
      </c>
      <c r="AL220" s="12" t="str">
        <f t="shared" si="5"/>
        <v/>
      </c>
    </row>
    <row r="221" ht="15.75" customHeight="1">
      <c r="A221" s="10" t="s">
        <v>770</v>
      </c>
      <c r="B221" s="10" t="s">
        <v>771</v>
      </c>
      <c r="C221" s="10" t="s">
        <v>327</v>
      </c>
      <c r="D221" s="10" t="s">
        <v>121</v>
      </c>
      <c r="E221" s="10" t="s">
        <v>121</v>
      </c>
      <c r="F221" s="10" t="s">
        <v>114</v>
      </c>
      <c r="G221" s="10">
        <v>5.0</v>
      </c>
      <c r="H221" s="10">
        <v>7.0</v>
      </c>
      <c r="I221" s="10" t="s">
        <v>2140</v>
      </c>
      <c r="J221" s="10" t="s">
        <v>2136</v>
      </c>
      <c r="K221" s="10"/>
      <c r="L221" s="10">
        <v>147.0</v>
      </c>
      <c r="M221" s="10">
        <v>5.88</v>
      </c>
      <c r="N221" s="10"/>
      <c r="O221" s="10"/>
      <c r="P221" s="12">
        <f>IF($A221="","",IFERROR((IF($O221="",0,$O221)*Settings!$J$4+IF($L221="",0,$L221)*Settings!$J$5+IF($N221="",0,$N221)*Settings!$J$6)/(IF($O221="",0,Settings!$J$4)+IF($L221="",0,Settings!$J$5)+IF($N221="",0,Settings!$J$6)),0))</f>
        <v>147</v>
      </c>
      <c r="Q221" s="12">
        <f t="array" ref="Q221">IF($A221="","",XLOOKUP($E221,Settings!$A$19:$A$22,Settings!$G$19:$G$22,0))</f>
        <v>206</v>
      </c>
      <c r="R221" s="12">
        <f t="shared" si="1"/>
        <v>0</v>
      </c>
      <c r="S221" s="12">
        <f>IF($A221="","",IF($R221&lt;=0,1,1+$R221/SUMIF($R$4:$R$923,"&gt;0",$R$4:$R$923)*(Settings!$B$5*(Settings!$B$6-Settings!$B$7))))</f>
        <v>1</v>
      </c>
      <c r="T221" s="12">
        <f t="array" ref="T221">IF($A221="","",XLOOKUP($F221,Settings!$I$15:$I$20,Settings!$J$15:$J$20,1))</f>
        <v>0.9</v>
      </c>
      <c r="U221" s="12">
        <f>IF($A221="","",1+(($G221-5)/5)*Settings!$J$8)</f>
        <v>1</v>
      </c>
      <c r="V221" s="12">
        <f>IF($A221="","",1+(($H221-5)/5)*Settings!$J$9)</f>
        <v>1.06</v>
      </c>
      <c r="W221" s="12">
        <f t="array" ref="W221">IF($A221="","",XLOOKUP($J221,Lists!$C$3:$C$7,Lists!$D$3:$D$7,1))</f>
        <v>1</v>
      </c>
      <c r="X221" s="12">
        <f>IF($A221="","",IF($I221="Yes",Settings!$J$10,1))</f>
        <v>1</v>
      </c>
      <c r="Y221" s="12">
        <f t="shared" si="2"/>
        <v>1</v>
      </c>
      <c r="Z221" s="12">
        <f>IF($A221="","",IFERROR(ROUND(AVERAGEIFS('Historical Drafts'!$G$4:$G$300,'Historical Drafts'!$D$4:$D$300,$E221,'Historical Drafts'!$J$4:$J$300,"&gt;="&amp;$L221*0.85,'Historical Drafts'!$J$4:$J$300,"&lt;="&amp;$L221*1.15),0),$Y221))</f>
        <v>2</v>
      </c>
      <c r="AA221" s="12" t="str">
        <f>IF($A221="","",IF(COUNTIF('Auction Log'!$B$3:$B$300,$A221)&gt;0,"Sold","Available"))</f>
        <v>Available</v>
      </c>
      <c r="AB221" s="12" t="str">
        <f t="array" ref="AB221">IF($A221="","",IFERROR(XLOOKUP($A221,'Auction Log'!$B$3:$B$300,'Auction Log'!$G$3:$G$300,""),""))</f>
        <v/>
      </c>
      <c r="AC221" s="12" t="str">
        <f t="array" ref="AC221">IF($A221="","",IFERROR(XLOOKUP($A221,'Auction Log'!$B$3:$B$300,'Auction Log'!$F$3:$F$300,""),""))</f>
        <v/>
      </c>
      <c r="AD221" s="12">
        <f t="array" ref="AD221">IF($A221="","",ROUND($Y221*XLOOKUP($F221,Settings!$I$15:$I$20,Settings!$K$15:$K$20,0.4),0))</f>
        <v>0</v>
      </c>
      <c r="AE221" s="12">
        <f t="array" ref="AE221">IF($A221="","",ROUND($Y221*XLOOKUP($F221,Settings!$I$15:$I$20,Settings!$L$15:$L$20,0.8),0))</f>
        <v>1</v>
      </c>
      <c r="AF221" s="12">
        <f t="array" ref="AF221">IF($A221="","",ROUND($Y221*XLOOKUP($F221,Settings!$I$15:$I$20,Settings!$M$15:$M$20,1),0))</f>
        <v>1</v>
      </c>
      <c r="AG221" s="12">
        <f t="array" ref="AG221">IF($A221="","",ROUND($Y221*XLOOKUP($F221,Settings!$I$15:$I$20,Settings!$N$15:$N$20,1.1),0))</f>
        <v>1</v>
      </c>
      <c r="AH221" s="12">
        <f t="array" ref="AH221">IF($A221="","",ROUND($Y221*XLOOKUP($F221,Settings!$I$15:$I$20,Settings!$O$15:$O$20,1.1)*Settings!$J$7,0))</f>
        <v>1</v>
      </c>
      <c r="AI221" s="12">
        <f t="array" ref="AI221">IF($A221="","",IF($AA221="Sold","",MIN($AH221,IFERROR(XLOOKUP(Settings!$B$12,Managers!$B$4:$B$15,Managers!$H$4:$H$15),$AH221))))</f>
        <v>1</v>
      </c>
      <c r="AJ221" s="12" t="str">
        <f t="shared" si="3"/>
        <v>Budget Drainer</v>
      </c>
      <c r="AK221" s="12">
        <f t="shared" si="4"/>
        <v>27</v>
      </c>
      <c r="AL221" s="12" t="str">
        <f t="shared" si="5"/>
        <v/>
      </c>
    </row>
    <row r="222" ht="15.75" customHeight="1">
      <c r="A222" s="10" t="s">
        <v>379</v>
      </c>
      <c r="B222" s="10" t="s">
        <v>772</v>
      </c>
      <c r="C222" s="10" t="s">
        <v>180</v>
      </c>
      <c r="D222" s="10" t="s">
        <v>121</v>
      </c>
      <c r="E222" s="10" t="s">
        <v>121</v>
      </c>
      <c r="F222" s="10" t="s">
        <v>114</v>
      </c>
      <c r="G222" s="10">
        <v>5.0</v>
      </c>
      <c r="H222" s="10">
        <v>7.0</v>
      </c>
      <c r="I222" s="10" t="s">
        <v>2140</v>
      </c>
      <c r="J222" s="10" t="s">
        <v>2136</v>
      </c>
      <c r="K222" s="10"/>
      <c r="L222" s="10">
        <v>146.5</v>
      </c>
      <c r="M222" s="10">
        <v>6.98</v>
      </c>
      <c r="N222" s="10"/>
      <c r="O222" s="10"/>
      <c r="P222" s="12">
        <f>IF($A222="","",IFERROR((IF($O222="",0,$O222)*Settings!$J$4+IF($L222="",0,$L222)*Settings!$J$5+IF($N222="",0,$N222)*Settings!$J$6)/(IF($O222="",0,Settings!$J$4)+IF($L222="",0,Settings!$J$5)+IF($N222="",0,Settings!$J$6)),0))</f>
        <v>146.5</v>
      </c>
      <c r="Q222" s="12">
        <f t="array" ref="Q222">IF($A222="","",XLOOKUP($E222,Settings!$A$19:$A$22,Settings!$G$19:$G$22,0))</f>
        <v>206</v>
      </c>
      <c r="R222" s="12">
        <f t="shared" si="1"/>
        <v>0</v>
      </c>
      <c r="S222" s="12">
        <f>IF($A222="","",IF($R222&lt;=0,1,1+$R222/SUMIF($R$4:$R$923,"&gt;0",$R$4:$R$923)*(Settings!$B$5*(Settings!$B$6-Settings!$B$7))))</f>
        <v>1</v>
      </c>
      <c r="T222" s="12">
        <f t="array" ref="T222">IF($A222="","",XLOOKUP($F222,Settings!$I$15:$I$20,Settings!$J$15:$J$20,1))</f>
        <v>0.9</v>
      </c>
      <c r="U222" s="12">
        <f>IF($A222="","",1+(($G222-5)/5)*Settings!$J$8)</f>
        <v>1</v>
      </c>
      <c r="V222" s="12">
        <f>IF($A222="","",1+(($H222-5)/5)*Settings!$J$9)</f>
        <v>1.06</v>
      </c>
      <c r="W222" s="12">
        <f t="array" ref="W222">IF($A222="","",XLOOKUP($J222,Lists!$C$3:$C$7,Lists!$D$3:$D$7,1))</f>
        <v>1</v>
      </c>
      <c r="X222" s="12">
        <f>IF($A222="","",IF($I222="Yes",Settings!$J$10,1))</f>
        <v>1</v>
      </c>
      <c r="Y222" s="12">
        <f t="shared" si="2"/>
        <v>1</v>
      </c>
      <c r="Z222" s="12">
        <f>IF($A222="","",IFERROR(ROUND(AVERAGEIFS('Historical Drafts'!$G$4:$G$300,'Historical Drafts'!$D$4:$D$300,$E222,'Historical Drafts'!$J$4:$J$300,"&gt;="&amp;$L222*0.85,'Historical Drafts'!$J$4:$J$300,"&lt;="&amp;$L222*1.15),0),$Y222))</f>
        <v>2</v>
      </c>
      <c r="AA222" s="12" t="str">
        <f>IF($A222="","",IF(COUNTIF('Auction Log'!$B$3:$B$300,$A222)&gt;0,"Sold","Available"))</f>
        <v>Available</v>
      </c>
      <c r="AB222" s="12" t="str">
        <f t="array" ref="AB222">IF($A222="","",IFERROR(XLOOKUP($A222,'Auction Log'!$B$3:$B$300,'Auction Log'!$G$3:$G$300,""),""))</f>
        <v/>
      </c>
      <c r="AC222" s="12" t="str">
        <f t="array" ref="AC222">IF($A222="","",IFERROR(XLOOKUP($A222,'Auction Log'!$B$3:$B$300,'Auction Log'!$F$3:$F$300,""),""))</f>
        <v/>
      </c>
      <c r="AD222" s="12">
        <f t="array" ref="AD222">IF($A222="","",ROUND($Y222*XLOOKUP($F222,Settings!$I$15:$I$20,Settings!$K$15:$K$20,0.4),0))</f>
        <v>0</v>
      </c>
      <c r="AE222" s="12">
        <f t="array" ref="AE222">IF($A222="","",ROUND($Y222*XLOOKUP($F222,Settings!$I$15:$I$20,Settings!$L$15:$L$20,0.8),0))</f>
        <v>1</v>
      </c>
      <c r="AF222" s="12">
        <f t="array" ref="AF222">IF($A222="","",ROUND($Y222*XLOOKUP($F222,Settings!$I$15:$I$20,Settings!$M$15:$M$20,1),0))</f>
        <v>1</v>
      </c>
      <c r="AG222" s="12">
        <f t="array" ref="AG222">IF($A222="","",ROUND($Y222*XLOOKUP($F222,Settings!$I$15:$I$20,Settings!$N$15:$N$20,1.1),0))</f>
        <v>1</v>
      </c>
      <c r="AH222" s="12">
        <f t="array" ref="AH222">IF($A222="","",ROUND($Y222*XLOOKUP($F222,Settings!$I$15:$I$20,Settings!$O$15:$O$20,1.1)*Settings!$J$7,0))</f>
        <v>1</v>
      </c>
      <c r="AI222" s="12">
        <f t="array" ref="AI222">IF($A222="","",IF($AA222="Sold","",MIN($AH222,IFERROR(XLOOKUP(Settings!$B$12,Managers!$B$4:$B$15,Managers!$H$4:$H$15),$AH222))))</f>
        <v>1</v>
      </c>
      <c r="AJ222" s="12" t="str">
        <f t="shared" si="3"/>
        <v>Budget Drainer</v>
      </c>
      <c r="AK222" s="12">
        <f t="shared" si="4"/>
        <v>27</v>
      </c>
      <c r="AL222" s="12" t="str">
        <f t="shared" si="5"/>
        <v/>
      </c>
    </row>
    <row r="223" ht="15.75" customHeight="1">
      <c r="A223" s="10" t="s">
        <v>773</v>
      </c>
      <c r="B223" s="10" t="s">
        <v>774</v>
      </c>
      <c r="C223" s="10" t="s">
        <v>285</v>
      </c>
      <c r="D223" s="10" t="s">
        <v>121</v>
      </c>
      <c r="E223" s="10" t="s">
        <v>121</v>
      </c>
      <c r="F223" s="10" t="s">
        <v>114</v>
      </c>
      <c r="G223" s="10">
        <v>5.0</v>
      </c>
      <c r="H223" s="10">
        <v>7.0</v>
      </c>
      <c r="I223" s="10" t="s">
        <v>2140</v>
      </c>
      <c r="J223" s="10" t="s">
        <v>2136</v>
      </c>
      <c r="K223" s="10"/>
      <c r="L223" s="10">
        <v>145.5</v>
      </c>
      <c r="M223" s="10">
        <v>4.69</v>
      </c>
      <c r="N223" s="10"/>
      <c r="O223" s="10"/>
      <c r="P223" s="12">
        <f>IF($A223="","",IFERROR((IF($O223="",0,$O223)*Settings!$J$4+IF($L223="",0,$L223)*Settings!$J$5+IF($N223="",0,$N223)*Settings!$J$6)/(IF($O223="",0,Settings!$J$4)+IF($L223="",0,Settings!$J$5)+IF($N223="",0,Settings!$J$6)),0))</f>
        <v>145.5</v>
      </c>
      <c r="Q223" s="12">
        <f t="array" ref="Q223">IF($A223="","",XLOOKUP($E223,Settings!$A$19:$A$22,Settings!$G$19:$G$22,0))</f>
        <v>206</v>
      </c>
      <c r="R223" s="12">
        <f t="shared" si="1"/>
        <v>0</v>
      </c>
      <c r="S223" s="12">
        <f>IF($A223="","",IF($R223&lt;=0,1,1+$R223/SUMIF($R$4:$R$923,"&gt;0",$R$4:$R$923)*(Settings!$B$5*(Settings!$B$6-Settings!$B$7))))</f>
        <v>1</v>
      </c>
      <c r="T223" s="12">
        <f t="array" ref="T223">IF($A223="","",XLOOKUP($F223,Settings!$I$15:$I$20,Settings!$J$15:$J$20,1))</f>
        <v>0.9</v>
      </c>
      <c r="U223" s="12">
        <f>IF($A223="","",1+(($G223-5)/5)*Settings!$J$8)</f>
        <v>1</v>
      </c>
      <c r="V223" s="12">
        <f>IF($A223="","",1+(($H223-5)/5)*Settings!$J$9)</f>
        <v>1.06</v>
      </c>
      <c r="W223" s="12">
        <f t="array" ref="W223">IF($A223="","",XLOOKUP($J223,Lists!$C$3:$C$7,Lists!$D$3:$D$7,1))</f>
        <v>1</v>
      </c>
      <c r="X223" s="12">
        <f>IF($A223="","",IF($I223="Yes",Settings!$J$10,1))</f>
        <v>1</v>
      </c>
      <c r="Y223" s="12">
        <f t="shared" si="2"/>
        <v>1</v>
      </c>
      <c r="Z223" s="12">
        <f>IF($A223="","",IFERROR(ROUND(AVERAGEIFS('Historical Drafts'!$G$4:$G$300,'Historical Drafts'!$D$4:$D$300,$E223,'Historical Drafts'!$J$4:$J$300,"&gt;="&amp;$L223*0.85,'Historical Drafts'!$J$4:$J$300,"&lt;="&amp;$L223*1.15),0),$Y223))</f>
        <v>2</v>
      </c>
      <c r="AA223" s="12" t="str">
        <f>IF($A223="","",IF(COUNTIF('Auction Log'!$B$3:$B$300,$A223)&gt;0,"Sold","Available"))</f>
        <v>Available</v>
      </c>
      <c r="AB223" s="12" t="str">
        <f t="array" ref="AB223">IF($A223="","",IFERROR(XLOOKUP($A223,'Auction Log'!$B$3:$B$300,'Auction Log'!$G$3:$G$300,""),""))</f>
        <v/>
      </c>
      <c r="AC223" s="12" t="str">
        <f t="array" ref="AC223">IF($A223="","",IFERROR(XLOOKUP($A223,'Auction Log'!$B$3:$B$300,'Auction Log'!$F$3:$F$300,""),""))</f>
        <v/>
      </c>
      <c r="AD223" s="12">
        <f t="array" ref="AD223">IF($A223="","",ROUND($Y223*XLOOKUP($F223,Settings!$I$15:$I$20,Settings!$K$15:$K$20,0.4),0))</f>
        <v>0</v>
      </c>
      <c r="AE223" s="12">
        <f t="array" ref="AE223">IF($A223="","",ROUND($Y223*XLOOKUP($F223,Settings!$I$15:$I$20,Settings!$L$15:$L$20,0.8),0))</f>
        <v>1</v>
      </c>
      <c r="AF223" s="12">
        <f t="array" ref="AF223">IF($A223="","",ROUND($Y223*XLOOKUP($F223,Settings!$I$15:$I$20,Settings!$M$15:$M$20,1),0))</f>
        <v>1</v>
      </c>
      <c r="AG223" s="12">
        <f t="array" ref="AG223">IF($A223="","",ROUND($Y223*XLOOKUP($F223,Settings!$I$15:$I$20,Settings!$N$15:$N$20,1.1),0))</f>
        <v>1</v>
      </c>
      <c r="AH223" s="12">
        <f t="array" ref="AH223">IF($A223="","",ROUND($Y223*XLOOKUP($F223,Settings!$I$15:$I$20,Settings!$O$15:$O$20,1.1)*Settings!$J$7,0))</f>
        <v>1</v>
      </c>
      <c r="AI223" s="12">
        <f t="array" ref="AI223">IF($A223="","",IF($AA223="Sold","",MIN($AH223,IFERROR(XLOOKUP(Settings!$B$12,Managers!$B$4:$B$15,Managers!$H$4:$H$15),$AH223))))</f>
        <v>1</v>
      </c>
      <c r="AJ223" s="12" t="str">
        <f t="shared" si="3"/>
        <v>Budget Drainer</v>
      </c>
      <c r="AK223" s="12">
        <f t="shared" si="4"/>
        <v>27</v>
      </c>
      <c r="AL223" s="12" t="str">
        <f t="shared" si="5"/>
        <v/>
      </c>
    </row>
    <row r="224" ht="15.75" customHeight="1">
      <c r="A224" s="10" t="s">
        <v>775</v>
      </c>
      <c r="B224" s="10" t="s">
        <v>776</v>
      </c>
      <c r="C224" s="10" t="s">
        <v>305</v>
      </c>
      <c r="D224" s="10" t="s">
        <v>118</v>
      </c>
      <c r="E224" s="10" t="s">
        <v>118</v>
      </c>
      <c r="F224" s="10" t="s">
        <v>114</v>
      </c>
      <c r="G224" s="10">
        <v>5.0</v>
      </c>
      <c r="H224" s="10">
        <v>7.0</v>
      </c>
      <c r="I224" s="10" t="s">
        <v>2140</v>
      </c>
      <c r="J224" s="10" t="s">
        <v>2136</v>
      </c>
      <c r="K224" s="10"/>
      <c r="L224" s="10">
        <v>145.25</v>
      </c>
      <c r="M224" s="10">
        <v>4.84</v>
      </c>
      <c r="N224" s="10"/>
      <c r="O224" s="10"/>
      <c r="P224" s="12">
        <f>IF($A224="","",IFERROR((IF($O224="",0,$O224)*Settings!$J$4+IF($L224="",0,$L224)*Settings!$J$5+IF($N224="",0,$N224)*Settings!$J$6)/(IF($O224="",0,Settings!$J$4)+IF($L224="",0,Settings!$J$5)+IF($N224="",0,Settings!$J$6)),0))</f>
        <v>145.25</v>
      </c>
      <c r="Q224" s="12">
        <f t="array" ref="Q224">IF($A224="","",XLOOKUP($E224,Settings!$A$19:$A$22,Settings!$G$19:$G$22,0))</f>
        <v>196.25</v>
      </c>
      <c r="R224" s="12">
        <f t="shared" si="1"/>
        <v>0</v>
      </c>
      <c r="S224" s="12">
        <f>IF($A224="","",IF($R224&lt;=0,1,1+$R224/SUMIF($R$4:$R$923,"&gt;0",$R$4:$R$923)*(Settings!$B$5*(Settings!$B$6-Settings!$B$7))))</f>
        <v>1</v>
      </c>
      <c r="T224" s="12">
        <f t="array" ref="T224">IF($A224="","",XLOOKUP($F224,Settings!$I$15:$I$20,Settings!$J$15:$J$20,1))</f>
        <v>0.9</v>
      </c>
      <c r="U224" s="12">
        <f>IF($A224="","",1+(($G224-5)/5)*Settings!$J$8)</f>
        <v>1</v>
      </c>
      <c r="V224" s="12">
        <f>IF($A224="","",1+(($H224-5)/5)*Settings!$J$9)</f>
        <v>1.06</v>
      </c>
      <c r="W224" s="12">
        <f t="array" ref="W224">IF($A224="","",XLOOKUP($J224,Lists!$C$3:$C$7,Lists!$D$3:$D$7,1))</f>
        <v>1</v>
      </c>
      <c r="X224" s="12">
        <f>IF($A224="","",IF($I224="Yes",Settings!$J$10,1))</f>
        <v>1</v>
      </c>
      <c r="Y224" s="12">
        <f t="shared" si="2"/>
        <v>1</v>
      </c>
      <c r="Z224" s="12">
        <f>IF($A224="","",IFERROR(ROUND(AVERAGEIFS('Historical Drafts'!$G$4:$G$300,'Historical Drafts'!$D$4:$D$300,$E224,'Historical Drafts'!$J$4:$J$300,"&gt;="&amp;$L224*0.85,'Historical Drafts'!$J$4:$J$300,"&lt;="&amp;$L224*1.15),0),$Y224))</f>
        <v>10</v>
      </c>
      <c r="AA224" s="12" t="str">
        <f>IF($A224="","",IF(COUNTIF('Auction Log'!$B$3:$B$300,$A224)&gt;0,"Sold","Available"))</f>
        <v>Available</v>
      </c>
      <c r="AB224" s="12" t="str">
        <f t="array" ref="AB224">IF($A224="","",IFERROR(XLOOKUP($A224,'Auction Log'!$B$3:$B$300,'Auction Log'!$G$3:$G$300,""),""))</f>
        <v/>
      </c>
      <c r="AC224" s="12" t="str">
        <f t="array" ref="AC224">IF($A224="","",IFERROR(XLOOKUP($A224,'Auction Log'!$B$3:$B$300,'Auction Log'!$F$3:$F$300,""),""))</f>
        <v/>
      </c>
      <c r="AD224" s="12">
        <f t="array" ref="AD224">IF($A224="","",ROUND($Y224*XLOOKUP($F224,Settings!$I$15:$I$20,Settings!$K$15:$K$20,0.4),0))</f>
        <v>0</v>
      </c>
      <c r="AE224" s="12">
        <f t="array" ref="AE224">IF($A224="","",ROUND($Y224*XLOOKUP($F224,Settings!$I$15:$I$20,Settings!$L$15:$L$20,0.8),0))</f>
        <v>1</v>
      </c>
      <c r="AF224" s="12">
        <f t="array" ref="AF224">IF($A224="","",ROUND($Y224*XLOOKUP($F224,Settings!$I$15:$I$20,Settings!$M$15:$M$20,1),0))</f>
        <v>1</v>
      </c>
      <c r="AG224" s="12">
        <f t="array" ref="AG224">IF($A224="","",ROUND($Y224*XLOOKUP($F224,Settings!$I$15:$I$20,Settings!$N$15:$N$20,1.1),0))</f>
        <v>1</v>
      </c>
      <c r="AH224" s="12">
        <f t="array" ref="AH224">IF($A224="","",ROUND($Y224*XLOOKUP($F224,Settings!$I$15:$I$20,Settings!$O$15:$O$20,1.1)*Settings!$J$7,0))</f>
        <v>1</v>
      </c>
      <c r="AI224" s="12">
        <f t="array" ref="AI224">IF($A224="","",IF($AA224="Sold","",MIN($AH224,IFERROR(XLOOKUP(Settings!$B$12,Managers!$B$4:$B$15,Managers!$H$4:$H$15),$AH224))))</f>
        <v>1</v>
      </c>
      <c r="AJ224" s="12" t="str">
        <f t="shared" si="3"/>
        <v>Budget Drainer</v>
      </c>
      <c r="AK224" s="12">
        <f t="shared" si="4"/>
        <v>35</v>
      </c>
      <c r="AL224" s="12" t="str">
        <f t="shared" si="5"/>
        <v/>
      </c>
    </row>
    <row r="225" ht="15.75" customHeight="1">
      <c r="A225" s="10" t="s">
        <v>777</v>
      </c>
      <c r="B225" s="10" t="s">
        <v>778</v>
      </c>
      <c r="C225" s="10" t="s">
        <v>185</v>
      </c>
      <c r="D225" s="10" t="s">
        <v>121</v>
      </c>
      <c r="E225" s="10" t="s">
        <v>121</v>
      </c>
      <c r="F225" s="10" t="s">
        <v>114</v>
      </c>
      <c r="G225" s="10">
        <v>5.0</v>
      </c>
      <c r="H225" s="10">
        <v>7.0</v>
      </c>
      <c r="I225" s="10" t="s">
        <v>2140</v>
      </c>
      <c r="J225" s="10" t="s">
        <v>2136</v>
      </c>
      <c r="K225" s="10"/>
      <c r="L225" s="10">
        <v>144.5</v>
      </c>
      <c r="M225" s="10">
        <v>5.16</v>
      </c>
      <c r="N225" s="10"/>
      <c r="O225" s="10"/>
      <c r="P225" s="12">
        <f>IF($A225="","",IFERROR((IF($O225="",0,$O225)*Settings!$J$4+IF($L225="",0,$L225)*Settings!$J$5+IF($N225="",0,$N225)*Settings!$J$6)/(IF($O225="",0,Settings!$J$4)+IF($L225="",0,Settings!$J$5)+IF($N225="",0,Settings!$J$6)),0))</f>
        <v>144.5</v>
      </c>
      <c r="Q225" s="12">
        <f t="array" ref="Q225">IF($A225="","",XLOOKUP($E225,Settings!$A$19:$A$22,Settings!$G$19:$G$22,0))</f>
        <v>206</v>
      </c>
      <c r="R225" s="12">
        <f t="shared" si="1"/>
        <v>0</v>
      </c>
      <c r="S225" s="12">
        <f>IF($A225="","",IF($R225&lt;=0,1,1+$R225/SUMIF($R$4:$R$923,"&gt;0",$R$4:$R$923)*(Settings!$B$5*(Settings!$B$6-Settings!$B$7))))</f>
        <v>1</v>
      </c>
      <c r="T225" s="12">
        <f t="array" ref="T225">IF($A225="","",XLOOKUP($F225,Settings!$I$15:$I$20,Settings!$J$15:$J$20,1))</f>
        <v>0.9</v>
      </c>
      <c r="U225" s="12">
        <f>IF($A225="","",1+(($G225-5)/5)*Settings!$J$8)</f>
        <v>1</v>
      </c>
      <c r="V225" s="12">
        <f>IF($A225="","",1+(($H225-5)/5)*Settings!$J$9)</f>
        <v>1.06</v>
      </c>
      <c r="W225" s="12">
        <f t="array" ref="W225">IF($A225="","",XLOOKUP($J225,Lists!$C$3:$C$7,Lists!$D$3:$D$7,1))</f>
        <v>1</v>
      </c>
      <c r="X225" s="12">
        <f>IF($A225="","",IF($I225="Yes",Settings!$J$10,1))</f>
        <v>1</v>
      </c>
      <c r="Y225" s="12">
        <f t="shared" si="2"/>
        <v>1</v>
      </c>
      <c r="Z225" s="12">
        <f>IF($A225="","",IFERROR(ROUND(AVERAGEIFS('Historical Drafts'!$G$4:$G$300,'Historical Drafts'!$D$4:$D$300,$E225,'Historical Drafts'!$J$4:$J$300,"&gt;="&amp;$L225*0.85,'Historical Drafts'!$J$4:$J$300,"&lt;="&amp;$L225*1.15),0),$Y225))</f>
        <v>2</v>
      </c>
      <c r="AA225" s="12" t="str">
        <f>IF($A225="","",IF(COUNTIF('Auction Log'!$B$3:$B$300,$A225)&gt;0,"Sold","Available"))</f>
        <v>Available</v>
      </c>
      <c r="AB225" s="12" t="str">
        <f t="array" ref="AB225">IF($A225="","",IFERROR(XLOOKUP($A225,'Auction Log'!$B$3:$B$300,'Auction Log'!$G$3:$G$300,""),""))</f>
        <v/>
      </c>
      <c r="AC225" s="12" t="str">
        <f t="array" ref="AC225">IF($A225="","",IFERROR(XLOOKUP($A225,'Auction Log'!$B$3:$B$300,'Auction Log'!$F$3:$F$300,""),""))</f>
        <v/>
      </c>
      <c r="AD225" s="12">
        <f t="array" ref="AD225">IF($A225="","",ROUND($Y225*XLOOKUP($F225,Settings!$I$15:$I$20,Settings!$K$15:$K$20,0.4),0))</f>
        <v>0</v>
      </c>
      <c r="AE225" s="12">
        <f t="array" ref="AE225">IF($A225="","",ROUND($Y225*XLOOKUP($F225,Settings!$I$15:$I$20,Settings!$L$15:$L$20,0.8),0))</f>
        <v>1</v>
      </c>
      <c r="AF225" s="12">
        <f t="array" ref="AF225">IF($A225="","",ROUND($Y225*XLOOKUP($F225,Settings!$I$15:$I$20,Settings!$M$15:$M$20,1),0))</f>
        <v>1</v>
      </c>
      <c r="AG225" s="12">
        <f t="array" ref="AG225">IF($A225="","",ROUND($Y225*XLOOKUP($F225,Settings!$I$15:$I$20,Settings!$N$15:$N$20,1.1),0))</f>
        <v>1</v>
      </c>
      <c r="AH225" s="12">
        <f t="array" ref="AH225">IF($A225="","",ROUND($Y225*XLOOKUP($F225,Settings!$I$15:$I$20,Settings!$O$15:$O$20,1.1)*Settings!$J$7,0))</f>
        <v>1</v>
      </c>
      <c r="AI225" s="12">
        <f t="array" ref="AI225">IF($A225="","",IF($AA225="Sold","",MIN($AH225,IFERROR(XLOOKUP(Settings!$B$12,Managers!$B$4:$B$15,Managers!$H$4:$H$15),$AH225))))</f>
        <v>1</v>
      </c>
      <c r="AJ225" s="12" t="str">
        <f t="shared" si="3"/>
        <v>Budget Drainer</v>
      </c>
      <c r="AK225" s="12">
        <f t="shared" si="4"/>
        <v>27</v>
      </c>
      <c r="AL225" s="12" t="str">
        <f t="shared" si="5"/>
        <v/>
      </c>
    </row>
    <row r="226" ht="15.75" customHeight="1">
      <c r="A226" s="10" t="s">
        <v>779</v>
      </c>
      <c r="B226" s="10" t="s">
        <v>780</v>
      </c>
      <c r="C226" s="10" t="s">
        <v>453</v>
      </c>
      <c r="D226" s="10" t="s">
        <v>123</v>
      </c>
      <c r="E226" s="10" t="s">
        <v>123</v>
      </c>
      <c r="F226" s="10" t="s">
        <v>114</v>
      </c>
      <c r="G226" s="10">
        <v>5.0</v>
      </c>
      <c r="H226" s="10">
        <v>7.0</v>
      </c>
      <c r="I226" s="10" t="s">
        <v>2140</v>
      </c>
      <c r="J226" s="10" t="s">
        <v>2136</v>
      </c>
      <c r="K226" s="10"/>
      <c r="L226" s="10">
        <v>144.5</v>
      </c>
      <c r="M226" s="10">
        <v>4.66</v>
      </c>
      <c r="N226" s="10"/>
      <c r="O226" s="10"/>
      <c r="P226" s="12">
        <f>IF($A226="","",IFERROR((IF($O226="",0,$O226)*Settings!$J$4+IF($L226="",0,$L226)*Settings!$J$5+IF($N226="",0,$N226)*Settings!$J$6)/(IF($O226="",0,Settings!$J$4)+IF($L226="",0,Settings!$J$5)+IF($N226="",0,Settings!$J$6)),0))</f>
        <v>144.5</v>
      </c>
      <c r="Q226" s="12">
        <f t="array" ref="Q226">IF($A226="","",XLOOKUP($E226,Settings!$A$19:$A$22,Settings!$G$19:$G$22,0))</f>
        <v>203</v>
      </c>
      <c r="R226" s="12">
        <f t="shared" si="1"/>
        <v>0</v>
      </c>
      <c r="S226" s="12">
        <f>IF($A226="","",IF($R226&lt;=0,1,1+$R226/SUMIF($R$4:$R$923,"&gt;0",$R$4:$R$923)*(Settings!$B$5*(Settings!$B$6-Settings!$B$7))))</f>
        <v>1</v>
      </c>
      <c r="T226" s="12">
        <f t="array" ref="T226">IF($A226="","",XLOOKUP($F226,Settings!$I$15:$I$20,Settings!$J$15:$J$20,1))</f>
        <v>0.9</v>
      </c>
      <c r="U226" s="12">
        <f>IF($A226="","",1+(($G226-5)/5)*Settings!$J$8)</f>
        <v>1</v>
      </c>
      <c r="V226" s="12">
        <f>IF($A226="","",1+(($H226-5)/5)*Settings!$J$9)</f>
        <v>1.06</v>
      </c>
      <c r="W226" s="12">
        <f t="array" ref="W226">IF($A226="","",XLOOKUP($J226,Lists!$C$3:$C$7,Lists!$D$3:$D$7,1))</f>
        <v>1</v>
      </c>
      <c r="X226" s="12">
        <f>IF($A226="","",IF($I226="Yes",Settings!$J$10,1))</f>
        <v>1</v>
      </c>
      <c r="Y226" s="12">
        <f t="shared" si="2"/>
        <v>1</v>
      </c>
      <c r="Z226" s="12">
        <f>IF($A226="","",IFERROR(ROUND(AVERAGEIFS('Historical Drafts'!$G$4:$G$300,'Historical Drafts'!$D$4:$D$300,$E226,'Historical Drafts'!$J$4:$J$300,"&gt;="&amp;$L226*0.85,'Historical Drafts'!$J$4:$J$300,"&lt;="&amp;$L226*1.15),0),$Y226))</f>
        <v>3</v>
      </c>
      <c r="AA226" s="12" t="str">
        <f>IF($A226="","",IF(COUNTIF('Auction Log'!$B$3:$B$300,$A226)&gt;0,"Sold","Available"))</f>
        <v>Available</v>
      </c>
      <c r="AB226" s="12" t="str">
        <f t="array" ref="AB226">IF($A226="","",IFERROR(XLOOKUP($A226,'Auction Log'!$B$3:$B$300,'Auction Log'!$G$3:$G$300,""),""))</f>
        <v/>
      </c>
      <c r="AC226" s="12" t="str">
        <f t="array" ref="AC226">IF($A226="","",IFERROR(XLOOKUP($A226,'Auction Log'!$B$3:$B$300,'Auction Log'!$F$3:$F$300,""),""))</f>
        <v/>
      </c>
      <c r="AD226" s="12">
        <f t="array" ref="AD226">IF($A226="","",ROUND($Y226*XLOOKUP($F226,Settings!$I$15:$I$20,Settings!$K$15:$K$20,0.4),0))</f>
        <v>0</v>
      </c>
      <c r="AE226" s="12">
        <f t="array" ref="AE226">IF($A226="","",ROUND($Y226*XLOOKUP($F226,Settings!$I$15:$I$20,Settings!$L$15:$L$20,0.8),0))</f>
        <v>1</v>
      </c>
      <c r="AF226" s="12">
        <f t="array" ref="AF226">IF($A226="","",ROUND($Y226*XLOOKUP($F226,Settings!$I$15:$I$20,Settings!$M$15:$M$20,1),0))</f>
        <v>1</v>
      </c>
      <c r="AG226" s="12">
        <f t="array" ref="AG226">IF($A226="","",ROUND($Y226*XLOOKUP($F226,Settings!$I$15:$I$20,Settings!$N$15:$N$20,1.1),0))</f>
        <v>1</v>
      </c>
      <c r="AH226" s="12">
        <f t="array" ref="AH226">IF($A226="","",ROUND($Y226*XLOOKUP($F226,Settings!$I$15:$I$20,Settings!$O$15:$O$20,1.1)*Settings!$J$7,0))</f>
        <v>1</v>
      </c>
      <c r="AI226" s="12">
        <f t="array" ref="AI226">IF($A226="","",IF($AA226="Sold","",MIN($AH226,IFERROR(XLOOKUP(Settings!$B$12,Managers!$B$4:$B$15,Managers!$H$4:$H$15),$AH226))))</f>
        <v>1</v>
      </c>
      <c r="AJ226" s="12" t="str">
        <f t="shared" si="3"/>
        <v>Budget Drainer</v>
      </c>
      <c r="AK226" s="12">
        <f t="shared" si="4"/>
        <v>28</v>
      </c>
      <c r="AL226" s="12" t="str">
        <f t="shared" si="5"/>
        <v/>
      </c>
    </row>
    <row r="227" ht="15.75" customHeight="1">
      <c r="A227" s="10" t="s">
        <v>290</v>
      </c>
      <c r="B227" s="10" t="s">
        <v>291</v>
      </c>
      <c r="C227" s="10" t="s">
        <v>292</v>
      </c>
      <c r="D227" s="10" t="s">
        <v>123</v>
      </c>
      <c r="E227" s="10" t="s">
        <v>123</v>
      </c>
      <c r="F227" s="10" t="s">
        <v>114</v>
      </c>
      <c r="G227" s="10">
        <v>5.0</v>
      </c>
      <c r="H227" s="10">
        <v>7.0</v>
      </c>
      <c r="I227" s="10" t="s">
        <v>2140</v>
      </c>
      <c r="J227" s="10" t="s">
        <v>2136</v>
      </c>
      <c r="K227" s="10"/>
      <c r="L227" s="10">
        <v>144.5</v>
      </c>
      <c r="M227" s="10">
        <v>4.01</v>
      </c>
      <c r="N227" s="10"/>
      <c r="O227" s="10"/>
      <c r="P227" s="12">
        <f>IF($A227="","",IFERROR((IF($O227="",0,$O227)*Settings!$J$4+IF($L227="",0,$L227)*Settings!$J$5+IF($N227="",0,$N227)*Settings!$J$6)/(IF($O227="",0,Settings!$J$4)+IF($L227="",0,Settings!$J$5)+IF($N227="",0,Settings!$J$6)),0))</f>
        <v>144.5</v>
      </c>
      <c r="Q227" s="12">
        <f t="array" ref="Q227">IF($A227="","",XLOOKUP($E227,Settings!$A$19:$A$22,Settings!$G$19:$G$22,0))</f>
        <v>203</v>
      </c>
      <c r="R227" s="12">
        <f t="shared" si="1"/>
        <v>0</v>
      </c>
      <c r="S227" s="12">
        <f>IF($A227="","",IF($R227&lt;=0,1,1+$R227/SUMIF($R$4:$R$923,"&gt;0",$R$4:$R$923)*(Settings!$B$5*(Settings!$B$6-Settings!$B$7))))</f>
        <v>1</v>
      </c>
      <c r="T227" s="12">
        <f t="array" ref="T227">IF($A227="","",XLOOKUP($F227,Settings!$I$15:$I$20,Settings!$J$15:$J$20,1))</f>
        <v>0.9</v>
      </c>
      <c r="U227" s="12">
        <f>IF($A227="","",1+(($G227-5)/5)*Settings!$J$8)</f>
        <v>1</v>
      </c>
      <c r="V227" s="12">
        <f>IF($A227="","",1+(($H227-5)/5)*Settings!$J$9)</f>
        <v>1.06</v>
      </c>
      <c r="W227" s="12">
        <f t="array" ref="W227">IF($A227="","",XLOOKUP($J227,Lists!$C$3:$C$7,Lists!$D$3:$D$7,1))</f>
        <v>1</v>
      </c>
      <c r="X227" s="12">
        <f>IF($A227="","",IF($I227="Yes",Settings!$J$10,1))</f>
        <v>1</v>
      </c>
      <c r="Y227" s="12">
        <f t="shared" si="2"/>
        <v>1</v>
      </c>
      <c r="Z227" s="12">
        <f>IF($A227="","",IFERROR(ROUND(AVERAGEIFS('Historical Drafts'!$G$4:$G$300,'Historical Drafts'!$D$4:$D$300,$E227,'Historical Drafts'!$J$4:$J$300,"&gt;="&amp;$L227*0.85,'Historical Drafts'!$J$4:$J$300,"&lt;="&amp;$L227*1.15),0),$Y227))</f>
        <v>3</v>
      </c>
      <c r="AA227" s="12" t="str">
        <f>IF($A227="","",IF(COUNTIF('Auction Log'!$B$3:$B$300,$A227)&gt;0,"Sold","Available"))</f>
        <v>Available</v>
      </c>
      <c r="AB227" s="12" t="str">
        <f t="array" ref="AB227">IF($A227="","",IFERROR(XLOOKUP($A227,'Auction Log'!$B$3:$B$300,'Auction Log'!$G$3:$G$300,""),""))</f>
        <v/>
      </c>
      <c r="AC227" s="12" t="str">
        <f t="array" ref="AC227">IF($A227="","",IFERROR(XLOOKUP($A227,'Auction Log'!$B$3:$B$300,'Auction Log'!$F$3:$F$300,""),""))</f>
        <v/>
      </c>
      <c r="AD227" s="12">
        <f t="array" ref="AD227">IF($A227="","",ROUND($Y227*XLOOKUP($F227,Settings!$I$15:$I$20,Settings!$K$15:$K$20,0.4),0))</f>
        <v>0</v>
      </c>
      <c r="AE227" s="12">
        <f t="array" ref="AE227">IF($A227="","",ROUND($Y227*XLOOKUP($F227,Settings!$I$15:$I$20,Settings!$L$15:$L$20,0.8),0))</f>
        <v>1</v>
      </c>
      <c r="AF227" s="12">
        <f t="array" ref="AF227">IF($A227="","",ROUND($Y227*XLOOKUP($F227,Settings!$I$15:$I$20,Settings!$M$15:$M$20,1),0))</f>
        <v>1</v>
      </c>
      <c r="AG227" s="12">
        <f t="array" ref="AG227">IF($A227="","",ROUND($Y227*XLOOKUP($F227,Settings!$I$15:$I$20,Settings!$N$15:$N$20,1.1),0))</f>
        <v>1</v>
      </c>
      <c r="AH227" s="12">
        <f t="array" ref="AH227">IF($A227="","",ROUND($Y227*XLOOKUP($F227,Settings!$I$15:$I$20,Settings!$O$15:$O$20,1.1)*Settings!$J$7,0))</f>
        <v>1</v>
      </c>
      <c r="AI227" s="12">
        <f t="array" ref="AI227">IF($A227="","",IF($AA227="Sold","",MIN($AH227,IFERROR(XLOOKUP(Settings!$B$12,Managers!$B$4:$B$15,Managers!$H$4:$H$15),$AH227))))</f>
        <v>1</v>
      </c>
      <c r="AJ227" s="12" t="str">
        <f t="shared" si="3"/>
        <v>Budget Drainer</v>
      </c>
      <c r="AK227" s="12">
        <f t="shared" si="4"/>
        <v>28</v>
      </c>
      <c r="AL227" s="12" t="str">
        <f t="shared" si="5"/>
        <v/>
      </c>
    </row>
    <row r="228" ht="15.75" customHeight="1">
      <c r="A228" s="10" t="s">
        <v>781</v>
      </c>
      <c r="B228" s="10" t="s">
        <v>782</v>
      </c>
      <c r="C228" s="10" t="s">
        <v>177</v>
      </c>
      <c r="D228" s="10" t="s">
        <v>121</v>
      </c>
      <c r="E228" s="10" t="s">
        <v>121</v>
      </c>
      <c r="F228" s="10" t="s">
        <v>114</v>
      </c>
      <c r="G228" s="10">
        <v>5.0</v>
      </c>
      <c r="H228" s="10">
        <v>7.0</v>
      </c>
      <c r="I228" s="10" t="s">
        <v>2140</v>
      </c>
      <c r="J228" s="10" t="s">
        <v>2136</v>
      </c>
      <c r="K228" s="10"/>
      <c r="L228" s="10">
        <v>144.0</v>
      </c>
      <c r="M228" s="10">
        <v>4.24</v>
      </c>
      <c r="N228" s="10"/>
      <c r="O228" s="10"/>
      <c r="P228" s="12">
        <f>IF($A228="","",IFERROR((IF($O228="",0,$O228)*Settings!$J$4+IF($L228="",0,$L228)*Settings!$J$5+IF($N228="",0,$N228)*Settings!$J$6)/(IF($O228="",0,Settings!$J$4)+IF($L228="",0,Settings!$J$5)+IF($N228="",0,Settings!$J$6)),0))</f>
        <v>144</v>
      </c>
      <c r="Q228" s="12">
        <f t="array" ref="Q228">IF($A228="","",XLOOKUP($E228,Settings!$A$19:$A$22,Settings!$G$19:$G$22,0))</f>
        <v>206</v>
      </c>
      <c r="R228" s="12">
        <f t="shared" si="1"/>
        <v>0</v>
      </c>
      <c r="S228" s="12">
        <f>IF($A228="","",IF($R228&lt;=0,1,1+$R228/SUMIF($R$4:$R$923,"&gt;0",$R$4:$R$923)*(Settings!$B$5*(Settings!$B$6-Settings!$B$7))))</f>
        <v>1</v>
      </c>
      <c r="T228" s="12">
        <f t="array" ref="T228">IF($A228="","",XLOOKUP($F228,Settings!$I$15:$I$20,Settings!$J$15:$J$20,1))</f>
        <v>0.9</v>
      </c>
      <c r="U228" s="12">
        <f>IF($A228="","",1+(($G228-5)/5)*Settings!$J$8)</f>
        <v>1</v>
      </c>
      <c r="V228" s="12">
        <f>IF($A228="","",1+(($H228-5)/5)*Settings!$J$9)</f>
        <v>1.06</v>
      </c>
      <c r="W228" s="12">
        <f t="array" ref="W228">IF($A228="","",XLOOKUP($J228,Lists!$C$3:$C$7,Lists!$D$3:$D$7,1))</f>
        <v>1</v>
      </c>
      <c r="X228" s="12">
        <f>IF($A228="","",IF($I228="Yes",Settings!$J$10,1))</f>
        <v>1</v>
      </c>
      <c r="Y228" s="12">
        <f t="shared" si="2"/>
        <v>1</v>
      </c>
      <c r="Z228" s="12">
        <f>IF($A228="","",IFERROR(ROUND(AVERAGEIFS('Historical Drafts'!$G$4:$G$300,'Historical Drafts'!$D$4:$D$300,$E228,'Historical Drafts'!$J$4:$J$300,"&gt;="&amp;$L228*0.85,'Historical Drafts'!$J$4:$J$300,"&lt;="&amp;$L228*1.15),0),$Y228))</f>
        <v>2</v>
      </c>
      <c r="AA228" s="12" t="str">
        <f>IF($A228="","",IF(COUNTIF('Auction Log'!$B$3:$B$300,$A228)&gt;0,"Sold","Available"))</f>
        <v>Available</v>
      </c>
      <c r="AB228" s="12" t="str">
        <f t="array" ref="AB228">IF($A228="","",IFERROR(XLOOKUP($A228,'Auction Log'!$B$3:$B$300,'Auction Log'!$G$3:$G$300,""),""))</f>
        <v/>
      </c>
      <c r="AC228" s="12" t="str">
        <f t="array" ref="AC228">IF($A228="","",IFERROR(XLOOKUP($A228,'Auction Log'!$B$3:$B$300,'Auction Log'!$F$3:$F$300,""),""))</f>
        <v/>
      </c>
      <c r="AD228" s="12">
        <f t="array" ref="AD228">IF($A228="","",ROUND($Y228*XLOOKUP($F228,Settings!$I$15:$I$20,Settings!$K$15:$K$20,0.4),0))</f>
        <v>0</v>
      </c>
      <c r="AE228" s="12">
        <f t="array" ref="AE228">IF($A228="","",ROUND($Y228*XLOOKUP($F228,Settings!$I$15:$I$20,Settings!$L$15:$L$20,0.8),0))</f>
        <v>1</v>
      </c>
      <c r="AF228" s="12">
        <f t="array" ref="AF228">IF($A228="","",ROUND($Y228*XLOOKUP($F228,Settings!$I$15:$I$20,Settings!$M$15:$M$20,1),0))</f>
        <v>1</v>
      </c>
      <c r="AG228" s="12">
        <f t="array" ref="AG228">IF($A228="","",ROUND($Y228*XLOOKUP($F228,Settings!$I$15:$I$20,Settings!$N$15:$N$20,1.1),0))</f>
        <v>1</v>
      </c>
      <c r="AH228" s="12">
        <f t="array" ref="AH228">IF($A228="","",ROUND($Y228*XLOOKUP($F228,Settings!$I$15:$I$20,Settings!$O$15:$O$20,1.1)*Settings!$J$7,0))</f>
        <v>1</v>
      </c>
      <c r="AI228" s="12">
        <f t="array" ref="AI228">IF($A228="","",IF($AA228="Sold","",MIN($AH228,IFERROR(XLOOKUP(Settings!$B$12,Managers!$B$4:$B$15,Managers!$H$4:$H$15),$AH228))))</f>
        <v>1</v>
      </c>
      <c r="AJ228" s="12" t="str">
        <f t="shared" si="3"/>
        <v>Budget Drainer</v>
      </c>
      <c r="AK228" s="12">
        <f t="shared" si="4"/>
        <v>27</v>
      </c>
      <c r="AL228" s="12" t="str">
        <f t="shared" si="5"/>
        <v/>
      </c>
    </row>
    <row r="229" ht="15.75" customHeight="1">
      <c r="A229" s="10" t="s">
        <v>232</v>
      </c>
      <c r="B229" s="10" t="s">
        <v>233</v>
      </c>
      <c r="C229" s="10" t="s">
        <v>177</v>
      </c>
      <c r="D229" s="10" t="s">
        <v>118</v>
      </c>
      <c r="E229" s="10" t="s">
        <v>118</v>
      </c>
      <c r="F229" s="10" t="s">
        <v>114</v>
      </c>
      <c r="G229" s="10">
        <v>5.0</v>
      </c>
      <c r="H229" s="10">
        <v>7.0</v>
      </c>
      <c r="I229" s="10" t="s">
        <v>2140</v>
      </c>
      <c r="J229" s="10" t="s">
        <v>2136</v>
      </c>
      <c r="K229" s="10"/>
      <c r="L229" s="10">
        <v>143.75</v>
      </c>
      <c r="M229" s="10">
        <v>6.85</v>
      </c>
      <c r="N229" s="10"/>
      <c r="O229" s="10"/>
      <c r="P229" s="12">
        <f>IF($A229="","",IFERROR((IF($O229="",0,$O229)*Settings!$J$4+IF($L229="",0,$L229)*Settings!$J$5+IF($N229="",0,$N229)*Settings!$J$6)/(IF($O229="",0,Settings!$J$4)+IF($L229="",0,Settings!$J$5)+IF($N229="",0,Settings!$J$6)),0))</f>
        <v>143.75</v>
      </c>
      <c r="Q229" s="12">
        <f t="array" ref="Q229">IF($A229="","",XLOOKUP($E229,Settings!$A$19:$A$22,Settings!$G$19:$G$22,0))</f>
        <v>196.25</v>
      </c>
      <c r="R229" s="12">
        <f t="shared" si="1"/>
        <v>0</v>
      </c>
      <c r="S229" s="12">
        <f>IF($A229="","",IF($R229&lt;=0,1,1+$R229/SUMIF($R$4:$R$923,"&gt;0",$R$4:$R$923)*(Settings!$B$5*(Settings!$B$6-Settings!$B$7))))</f>
        <v>1</v>
      </c>
      <c r="T229" s="12">
        <f t="array" ref="T229">IF($A229="","",XLOOKUP($F229,Settings!$I$15:$I$20,Settings!$J$15:$J$20,1))</f>
        <v>0.9</v>
      </c>
      <c r="U229" s="12">
        <f>IF($A229="","",1+(($G229-5)/5)*Settings!$J$8)</f>
        <v>1</v>
      </c>
      <c r="V229" s="12">
        <f>IF($A229="","",1+(($H229-5)/5)*Settings!$J$9)</f>
        <v>1.06</v>
      </c>
      <c r="W229" s="12">
        <f t="array" ref="W229">IF($A229="","",XLOOKUP($J229,Lists!$C$3:$C$7,Lists!$D$3:$D$7,1))</f>
        <v>1</v>
      </c>
      <c r="X229" s="12">
        <f>IF($A229="","",IF($I229="Yes",Settings!$J$10,1))</f>
        <v>1</v>
      </c>
      <c r="Y229" s="12">
        <f t="shared" si="2"/>
        <v>1</v>
      </c>
      <c r="Z229" s="12">
        <f>IF($A229="","",IFERROR(ROUND(AVERAGEIFS('Historical Drafts'!$G$4:$G$300,'Historical Drafts'!$D$4:$D$300,$E229,'Historical Drafts'!$J$4:$J$300,"&gt;="&amp;$L229*0.85,'Historical Drafts'!$J$4:$J$300,"&lt;="&amp;$L229*1.15),0),$Y229))</f>
        <v>10</v>
      </c>
      <c r="AA229" s="12" t="str">
        <f>IF($A229="","",IF(COUNTIF('Auction Log'!$B$3:$B$300,$A229)&gt;0,"Sold","Available"))</f>
        <v>Available</v>
      </c>
      <c r="AB229" s="12" t="str">
        <f t="array" ref="AB229">IF($A229="","",IFERROR(XLOOKUP($A229,'Auction Log'!$B$3:$B$300,'Auction Log'!$G$3:$G$300,""),""))</f>
        <v/>
      </c>
      <c r="AC229" s="12" t="str">
        <f t="array" ref="AC229">IF($A229="","",IFERROR(XLOOKUP($A229,'Auction Log'!$B$3:$B$300,'Auction Log'!$F$3:$F$300,""),""))</f>
        <v/>
      </c>
      <c r="AD229" s="12">
        <f t="array" ref="AD229">IF($A229="","",ROUND($Y229*XLOOKUP($F229,Settings!$I$15:$I$20,Settings!$K$15:$K$20,0.4),0))</f>
        <v>0</v>
      </c>
      <c r="AE229" s="12">
        <f t="array" ref="AE229">IF($A229="","",ROUND($Y229*XLOOKUP($F229,Settings!$I$15:$I$20,Settings!$L$15:$L$20,0.8),0))</f>
        <v>1</v>
      </c>
      <c r="AF229" s="12">
        <f t="array" ref="AF229">IF($A229="","",ROUND($Y229*XLOOKUP($F229,Settings!$I$15:$I$20,Settings!$M$15:$M$20,1),0))</f>
        <v>1</v>
      </c>
      <c r="AG229" s="12">
        <f t="array" ref="AG229">IF($A229="","",ROUND($Y229*XLOOKUP($F229,Settings!$I$15:$I$20,Settings!$N$15:$N$20,1.1),0))</f>
        <v>1</v>
      </c>
      <c r="AH229" s="12">
        <f t="array" ref="AH229">IF($A229="","",ROUND($Y229*XLOOKUP($F229,Settings!$I$15:$I$20,Settings!$O$15:$O$20,1.1)*Settings!$J$7,0))</f>
        <v>1</v>
      </c>
      <c r="AI229" s="12">
        <f t="array" ref="AI229">IF($A229="","",IF($AA229="Sold","",MIN($AH229,IFERROR(XLOOKUP(Settings!$B$12,Managers!$B$4:$B$15,Managers!$H$4:$H$15),$AH229))))</f>
        <v>1</v>
      </c>
      <c r="AJ229" s="12" t="str">
        <f t="shared" si="3"/>
        <v>Budget Drainer</v>
      </c>
      <c r="AK229" s="12">
        <f t="shared" si="4"/>
        <v>35</v>
      </c>
      <c r="AL229" s="12" t="str">
        <f t="shared" si="5"/>
        <v/>
      </c>
    </row>
    <row r="230" ht="15.75" customHeight="1">
      <c r="A230" s="10" t="s">
        <v>783</v>
      </c>
      <c r="B230" s="10" t="s">
        <v>784</v>
      </c>
      <c r="C230" s="10" t="s">
        <v>199</v>
      </c>
      <c r="D230" s="10" t="s">
        <v>121</v>
      </c>
      <c r="E230" s="10" t="s">
        <v>121</v>
      </c>
      <c r="F230" s="10" t="s">
        <v>114</v>
      </c>
      <c r="G230" s="10">
        <v>5.0</v>
      </c>
      <c r="H230" s="10">
        <v>7.0</v>
      </c>
      <c r="I230" s="10" t="s">
        <v>2140</v>
      </c>
      <c r="J230" s="10" t="s">
        <v>2136</v>
      </c>
      <c r="K230" s="10"/>
      <c r="L230" s="10">
        <v>143.0</v>
      </c>
      <c r="M230" s="10">
        <v>5.72</v>
      </c>
      <c r="N230" s="10"/>
      <c r="O230" s="10"/>
      <c r="P230" s="12">
        <f>IF($A230="","",IFERROR((IF($O230="",0,$O230)*Settings!$J$4+IF($L230="",0,$L230)*Settings!$J$5+IF($N230="",0,$N230)*Settings!$J$6)/(IF($O230="",0,Settings!$J$4)+IF($L230="",0,Settings!$J$5)+IF($N230="",0,Settings!$J$6)),0))</f>
        <v>143</v>
      </c>
      <c r="Q230" s="12">
        <f t="array" ref="Q230">IF($A230="","",XLOOKUP($E230,Settings!$A$19:$A$22,Settings!$G$19:$G$22,0))</f>
        <v>206</v>
      </c>
      <c r="R230" s="12">
        <f t="shared" si="1"/>
        <v>0</v>
      </c>
      <c r="S230" s="12">
        <f>IF($A230="","",IF($R230&lt;=0,1,1+$R230/SUMIF($R$4:$R$923,"&gt;0",$R$4:$R$923)*(Settings!$B$5*(Settings!$B$6-Settings!$B$7))))</f>
        <v>1</v>
      </c>
      <c r="T230" s="12">
        <f t="array" ref="T230">IF($A230="","",XLOOKUP($F230,Settings!$I$15:$I$20,Settings!$J$15:$J$20,1))</f>
        <v>0.9</v>
      </c>
      <c r="U230" s="12">
        <f>IF($A230="","",1+(($G230-5)/5)*Settings!$J$8)</f>
        <v>1</v>
      </c>
      <c r="V230" s="12">
        <f>IF($A230="","",1+(($H230-5)/5)*Settings!$J$9)</f>
        <v>1.06</v>
      </c>
      <c r="W230" s="12">
        <f t="array" ref="W230">IF($A230="","",XLOOKUP($J230,Lists!$C$3:$C$7,Lists!$D$3:$D$7,1))</f>
        <v>1</v>
      </c>
      <c r="X230" s="12">
        <f>IF($A230="","",IF($I230="Yes",Settings!$J$10,1))</f>
        <v>1</v>
      </c>
      <c r="Y230" s="12">
        <f t="shared" si="2"/>
        <v>1</v>
      </c>
      <c r="Z230" s="12">
        <f>IF($A230="","",IFERROR(ROUND(AVERAGEIFS('Historical Drafts'!$G$4:$G$300,'Historical Drafts'!$D$4:$D$300,$E230,'Historical Drafts'!$J$4:$J$300,"&gt;="&amp;$L230*0.85,'Historical Drafts'!$J$4:$J$300,"&lt;="&amp;$L230*1.15),0),$Y230))</f>
        <v>2</v>
      </c>
      <c r="AA230" s="12" t="str">
        <f>IF($A230="","",IF(COUNTIF('Auction Log'!$B$3:$B$300,$A230)&gt;0,"Sold","Available"))</f>
        <v>Available</v>
      </c>
      <c r="AB230" s="12" t="str">
        <f t="array" ref="AB230">IF($A230="","",IFERROR(XLOOKUP($A230,'Auction Log'!$B$3:$B$300,'Auction Log'!$G$3:$G$300,""),""))</f>
        <v/>
      </c>
      <c r="AC230" s="12" t="str">
        <f t="array" ref="AC230">IF($A230="","",IFERROR(XLOOKUP($A230,'Auction Log'!$B$3:$B$300,'Auction Log'!$F$3:$F$300,""),""))</f>
        <v/>
      </c>
      <c r="AD230" s="12">
        <f t="array" ref="AD230">IF($A230="","",ROUND($Y230*XLOOKUP($F230,Settings!$I$15:$I$20,Settings!$K$15:$K$20,0.4),0))</f>
        <v>0</v>
      </c>
      <c r="AE230" s="12">
        <f t="array" ref="AE230">IF($A230="","",ROUND($Y230*XLOOKUP($F230,Settings!$I$15:$I$20,Settings!$L$15:$L$20,0.8),0))</f>
        <v>1</v>
      </c>
      <c r="AF230" s="12">
        <f t="array" ref="AF230">IF($A230="","",ROUND($Y230*XLOOKUP($F230,Settings!$I$15:$I$20,Settings!$M$15:$M$20,1),0))</f>
        <v>1</v>
      </c>
      <c r="AG230" s="12">
        <f t="array" ref="AG230">IF($A230="","",ROUND($Y230*XLOOKUP($F230,Settings!$I$15:$I$20,Settings!$N$15:$N$20,1.1),0))</f>
        <v>1</v>
      </c>
      <c r="AH230" s="12">
        <f t="array" ref="AH230">IF($A230="","",ROUND($Y230*XLOOKUP($F230,Settings!$I$15:$I$20,Settings!$O$15:$O$20,1.1)*Settings!$J$7,0))</f>
        <v>1</v>
      </c>
      <c r="AI230" s="12">
        <f t="array" ref="AI230">IF($A230="","",IF($AA230="Sold","",MIN($AH230,IFERROR(XLOOKUP(Settings!$B$12,Managers!$B$4:$B$15,Managers!$H$4:$H$15),$AH230))))</f>
        <v>1</v>
      </c>
      <c r="AJ230" s="12" t="str">
        <f t="shared" si="3"/>
        <v>Budget Drainer</v>
      </c>
      <c r="AK230" s="12">
        <f t="shared" si="4"/>
        <v>27</v>
      </c>
      <c r="AL230" s="12" t="str">
        <f t="shared" si="5"/>
        <v/>
      </c>
    </row>
    <row r="231" ht="15.75" customHeight="1">
      <c r="A231" s="10" t="s">
        <v>415</v>
      </c>
      <c r="B231" s="10" t="s">
        <v>416</v>
      </c>
      <c r="C231" s="10" t="s">
        <v>199</v>
      </c>
      <c r="D231" s="10" t="s">
        <v>118</v>
      </c>
      <c r="E231" s="10" t="s">
        <v>118</v>
      </c>
      <c r="F231" s="10" t="s">
        <v>114</v>
      </c>
      <c r="G231" s="10">
        <v>5.0</v>
      </c>
      <c r="H231" s="10">
        <v>7.0</v>
      </c>
      <c r="I231" s="10" t="s">
        <v>2140</v>
      </c>
      <c r="J231" s="10" t="s">
        <v>2136</v>
      </c>
      <c r="K231" s="10"/>
      <c r="L231" s="10">
        <v>142.75</v>
      </c>
      <c r="M231" s="10">
        <v>4.76</v>
      </c>
      <c r="N231" s="10"/>
      <c r="O231" s="10"/>
      <c r="P231" s="12">
        <f>IF($A231="","",IFERROR((IF($O231="",0,$O231)*Settings!$J$4+IF($L231="",0,$L231)*Settings!$J$5+IF($N231="",0,$N231)*Settings!$J$6)/(IF($O231="",0,Settings!$J$4)+IF($L231="",0,Settings!$J$5)+IF($N231="",0,Settings!$J$6)),0))</f>
        <v>142.75</v>
      </c>
      <c r="Q231" s="12">
        <f t="array" ref="Q231">IF($A231="","",XLOOKUP($E231,Settings!$A$19:$A$22,Settings!$G$19:$G$22,0))</f>
        <v>196.25</v>
      </c>
      <c r="R231" s="12">
        <f t="shared" si="1"/>
        <v>0</v>
      </c>
      <c r="S231" s="12">
        <f>IF($A231="","",IF($R231&lt;=0,1,1+$R231/SUMIF($R$4:$R$923,"&gt;0",$R$4:$R$923)*(Settings!$B$5*(Settings!$B$6-Settings!$B$7))))</f>
        <v>1</v>
      </c>
      <c r="T231" s="12">
        <f t="array" ref="T231">IF($A231="","",XLOOKUP($F231,Settings!$I$15:$I$20,Settings!$J$15:$J$20,1))</f>
        <v>0.9</v>
      </c>
      <c r="U231" s="12">
        <f>IF($A231="","",1+(($G231-5)/5)*Settings!$J$8)</f>
        <v>1</v>
      </c>
      <c r="V231" s="12">
        <f>IF($A231="","",1+(($H231-5)/5)*Settings!$J$9)</f>
        <v>1.06</v>
      </c>
      <c r="W231" s="12">
        <f t="array" ref="W231">IF($A231="","",XLOOKUP($J231,Lists!$C$3:$C$7,Lists!$D$3:$D$7,1))</f>
        <v>1</v>
      </c>
      <c r="X231" s="12">
        <f>IF($A231="","",IF($I231="Yes",Settings!$J$10,1))</f>
        <v>1</v>
      </c>
      <c r="Y231" s="12">
        <f t="shared" si="2"/>
        <v>1</v>
      </c>
      <c r="Z231" s="12">
        <f>IF($A231="","",IFERROR(ROUND(AVERAGEIFS('Historical Drafts'!$G$4:$G$300,'Historical Drafts'!$D$4:$D$300,$E231,'Historical Drafts'!$J$4:$J$300,"&gt;="&amp;$L231*0.85,'Historical Drafts'!$J$4:$J$300,"&lt;="&amp;$L231*1.15),0),$Y231))</f>
        <v>11</v>
      </c>
      <c r="AA231" s="12" t="str">
        <f>IF($A231="","",IF(COUNTIF('Auction Log'!$B$3:$B$300,$A231)&gt;0,"Sold","Available"))</f>
        <v>Available</v>
      </c>
      <c r="AB231" s="12" t="str">
        <f t="array" ref="AB231">IF($A231="","",IFERROR(XLOOKUP($A231,'Auction Log'!$B$3:$B$300,'Auction Log'!$G$3:$G$300,""),""))</f>
        <v/>
      </c>
      <c r="AC231" s="12" t="str">
        <f t="array" ref="AC231">IF($A231="","",IFERROR(XLOOKUP($A231,'Auction Log'!$B$3:$B$300,'Auction Log'!$F$3:$F$300,""),""))</f>
        <v/>
      </c>
      <c r="AD231" s="12">
        <f t="array" ref="AD231">IF($A231="","",ROUND($Y231*XLOOKUP($F231,Settings!$I$15:$I$20,Settings!$K$15:$K$20,0.4),0))</f>
        <v>0</v>
      </c>
      <c r="AE231" s="12">
        <f t="array" ref="AE231">IF($A231="","",ROUND($Y231*XLOOKUP($F231,Settings!$I$15:$I$20,Settings!$L$15:$L$20,0.8),0))</f>
        <v>1</v>
      </c>
      <c r="AF231" s="12">
        <f t="array" ref="AF231">IF($A231="","",ROUND($Y231*XLOOKUP($F231,Settings!$I$15:$I$20,Settings!$M$15:$M$20,1),0))</f>
        <v>1</v>
      </c>
      <c r="AG231" s="12">
        <f t="array" ref="AG231">IF($A231="","",ROUND($Y231*XLOOKUP($F231,Settings!$I$15:$I$20,Settings!$N$15:$N$20,1.1),0))</f>
        <v>1</v>
      </c>
      <c r="AH231" s="12">
        <f t="array" ref="AH231">IF($A231="","",ROUND($Y231*XLOOKUP($F231,Settings!$I$15:$I$20,Settings!$O$15:$O$20,1.1)*Settings!$J$7,0))</f>
        <v>1</v>
      </c>
      <c r="AI231" s="12">
        <f t="array" ref="AI231">IF($A231="","",IF($AA231="Sold","",MIN($AH231,IFERROR(XLOOKUP(Settings!$B$12,Managers!$B$4:$B$15,Managers!$H$4:$H$15),$AH231))))</f>
        <v>1</v>
      </c>
      <c r="AJ231" s="12" t="str">
        <f t="shared" si="3"/>
        <v>Budget Drainer</v>
      </c>
      <c r="AK231" s="12">
        <f t="shared" si="4"/>
        <v>36</v>
      </c>
      <c r="AL231" s="12" t="str">
        <f t="shared" si="5"/>
        <v/>
      </c>
    </row>
    <row r="232" ht="15.75" customHeight="1">
      <c r="A232" s="10" t="s">
        <v>785</v>
      </c>
      <c r="B232" s="10" t="s">
        <v>786</v>
      </c>
      <c r="C232" s="10" t="s">
        <v>215</v>
      </c>
      <c r="D232" s="10" t="s">
        <v>115</v>
      </c>
      <c r="E232" s="10" t="s">
        <v>115</v>
      </c>
      <c r="F232" s="10" t="s">
        <v>114</v>
      </c>
      <c r="G232" s="10">
        <v>5.0</v>
      </c>
      <c r="H232" s="10">
        <v>7.0</v>
      </c>
      <c r="I232" s="10" t="s">
        <v>2140</v>
      </c>
      <c r="J232" s="10" t="s">
        <v>2136</v>
      </c>
      <c r="K232" s="10"/>
      <c r="L232" s="10">
        <v>142.25</v>
      </c>
      <c r="M232" s="10">
        <v>7.11</v>
      </c>
      <c r="N232" s="10"/>
      <c r="O232" s="10"/>
      <c r="P232" s="12">
        <f>IF($A232="","",IFERROR((IF($O232="",0,$O232)*Settings!$J$4+IF($L232="",0,$L232)*Settings!$J$5+IF($N232="",0,$N232)*Settings!$J$6)/(IF($O232="",0,Settings!$J$4)+IF($L232="",0,Settings!$J$5)+IF($N232="",0,Settings!$J$6)),0))</f>
        <v>142.25</v>
      </c>
      <c r="Q232" s="12">
        <f t="array" ref="Q232">IF($A232="","",XLOOKUP($E232,Settings!$A$19:$A$22,Settings!$G$19:$G$22,0))</f>
        <v>249.25</v>
      </c>
      <c r="R232" s="12">
        <f t="shared" si="1"/>
        <v>0</v>
      </c>
      <c r="S232" s="12">
        <f>IF($A232="","",IF($R232&lt;=0,1,1+$R232/SUMIF($R$4:$R$923,"&gt;0",$R$4:$R$923)*(Settings!$B$5*(Settings!$B$6-Settings!$B$7))))</f>
        <v>1</v>
      </c>
      <c r="T232" s="12">
        <f t="array" ref="T232">IF($A232="","",XLOOKUP($F232,Settings!$I$15:$I$20,Settings!$J$15:$J$20,1))</f>
        <v>0.9</v>
      </c>
      <c r="U232" s="12">
        <f>IF($A232="","",1+(($G232-5)/5)*Settings!$J$8)</f>
        <v>1</v>
      </c>
      <c r="V232" s="12">
        <f>IF($A232="","",1+(($H232-5)/5)*Settings!$J$9)</f>
        <v>1.06</v>
      </c>
      <c r="W232" s="12">
        <f t="array" ref="W232">IF($A232="","",XLOOKUP($J232,Lists!$C$3:$C$7,Lists!$D$3:$D$7,1))</f>
        <v>1</v>
      </c>
      <c r="X232" s="12">
        <f>IF($A232="","",IF($I232="Yes",Settings!$J$10,1))</f>
        <v>1</v>
      </c>
      <c r="Y232" s="12">
        <f t="shared" si="2"/>
        <v>1</v>
      </c>
      <c r="Z232" s="12">
        <f>IF($A232="","",IFERROR(ROUND(AVERAGEIFS('Historical Drafts'!$G$4:$G$300,'Historical Drafts'!$D$4:$D$300,$E232,'Historical Drafts'!$J$4:$J$300,"&gt;="&amp;$L232*0.85,'Historical Drafts'!$J$4:$J$300,"&lt;="&amp;$L232*1.15),0),$Y232))</f>
        <v>1</v>
      </c>
      <c r="AA232" s="12" t="str">
        <f>IF($A232="","",IF(COUNTIF('Auction Log'!$B$3:$B$300,$A232)&gt;0,"Sold","Available"))</f>
        <v>Available</v>
      </c>
      <c r="AB232" s="12" t="str">
        <f t="array" ref="AB232">IF($A232="","",IFERROR(XLOOKUP($A232,'Auction Log'!$B$3:$B$300,'Auction Log'!$G$3:$G$300,""),""))</f>
        <v/>
      </c>
      <c r="AC232" s="12" t="str">
        <f t="array" ref="AC232">IF($A232="","",IFERROR(XLOOKUP($A232,'Auction Log'!$B$3:$B$300,'Auction Log'!$F$3:$F$300,""),""))</f>
        <v/>
      </c>
      <c r="AD232" s="12">
        <f t="array" ref="AD232">IF($A232="","",ROUND($Y232*XLOOKUP($F232,Settings!$I$15:$I$20,Settings!$K$15:$K$20,0.4),0))</f>
        <v>0</v>
      </c>
      <c r="AE232" s="12">
        <f t="array" ref="AE232">IF($A232="","",ROUND($Y232*XLOOKUP($F232,Settings!$I$15:$I$20,Settings!$L$15:$L$20,0.8),0))</f>
        <v>1</v>
      </c>
      <c r="AF232" s="12">
        <f t="array" ref="AF232">IF($A232="","",ROUND($Y232*XLOOKUP($F232,Settings!$I$15:$I$20,Settings!$M$15:$M$20,1),0))</f>
        <v>1</v>
      </c>
      <c r="AG232" s="12">
        <f t="array" ref="AG232">IF($A232="","",ROUND($Y232*XLOOKUP($F232,Settings!$I$15:$I$20,Settings!$N$15:$N$20,1.1),0))</f>
        <v>1</v>
      </c>
      <c r="AH232" s="12">
        <f t="array" ref="AH232">IF($A232="","",ROUND($Y232*XLOOKUP($F232,Settings!$I$15:$I$20,Settings!$O$15:$O$20,1.1)*Settings!$J$7,0))</f>
        <v>1</v>
      </c>
      <c r="AI232" s="12">
        <f t="array" ref="AI232">IF($A232="","",IF($AA232="Sold","",MIN($AH232,IFERROR(XLOOKUP(Settings!$B$12,Managers!$B$4:$B$15,Managers!$H$4:$H$15),$AH232))))</f>
        <v>1</v>
      </c>
      <c r="AJ232" s="12" t="str">
        <f t="shared" si="3"/>
        <v>Recommended</v>
      </c>
      <c r="AK232" s="12">
        <f t="shared" si="4"/>
        <v>26</v>
      </c>
      <c r="AL232" s="12" t="str">
        <f t="shared" si="5"/>
        <v/>
      </c>
    </row>
    <row r="233" ht="15.75" customHeight="1">
      <c r="A233" s="10" t="s">
        <v>787</v>
      </c>
      <c r="B233" s="10" t="s">
        <v>788</v>
      </c>
      <c r="C233" s="10" t="s">
        <v>226</v>
      </c>
      <c r="D233" s="10" t="s">
        <v>121</v>
      </c>
      <c r="E233" s="10" t="s">
        <v>121</v>
      </c>
      <c r="F233" s="10" t="s">
        <v>114</v>
      </c>
      <c r="G233" s="10">
        <v>5.0</v>
      </c>
      <c r="H233" s="10">
        <v>7.0</v>
      </c>
      <c r="I233" s="10" t="s">
        <v>2140</v>
      </c>
      <c r="J233" s="10" t="s">
        <v>2136</v>
      </c>
      <c r="K233" s="10"/>
      <c r="L233" s="10">
        <v>142.0</v>
      </c>
      <c r="M233" s="10">
        <v>6.17</v>
      </c>
      <c r="N233" s="10"/>
      <c r="O233" s="10"/>
      <c r="P233" s="12">
        <f>IF($A233="","",IFERROR((IF($O233="",0,$O233)*Settings!$J$4+IF($L233="",0,$L233)*Settings!$J$5+IF($N233="",0,$N233)*Settings!$J$6)/(IF($O233="",0,Settings!$J$4)+IF($L233="",0,Settings!$J$5)+IF($N233="",0,Settings!$J$6)),0))</f>
        <v>142</v>
      </c>
      <c r="Q233" s="12">
        <f t="array" ref="Q233">IF($A233="","",XLOOKUP($E233,Settings!$A$19:$A$22,Settings!$G$19:$G$22,0))</f>
        <v>206</v>
      </c>
      <c r="R233" s="12">
        <f t="shared" si="1"/>
        <v>0</v>
      </c>
      <c r="S233" s="12">
        <f>IF($A233="","",IF($R233&lt;=0,1,1+$R233/SUMIF($R$4:$R$923,"&gt;0",$R$4:$R$923)*(Settings!$B$5*(Settings!$B$6-Settings!$B$7))))</f>
        <v>1</v>
      </c>
      <c r="T233" s="12">
        <f t="array" ref="T233">IF($A233="","",XLOOKUP($F233,Settings!$I$15:$I$20,Settings!$J$15:$J$20,1))</f>
        <v>0.9</v>
      </c>
      <c r="U233" s="12">
        <f>IF($A233="","",1+(($G233-5)/5)*Settings!$J$8)</f>
        <v>1</v>
      </c>
      <c r="V233" s="12">
        <f>IF($A233="","",1+(($H233-5)/5)*Settings!$J$9)</f>
        <v>1.06</v>
      </c>
      <c r="W233" s="12">
        <f t="array" ref="W233">IF($A233="","",XLOOKUP($J233,Lists!$C$3:$C$7,Lists!$D$3:$D$7,1))</f>
        <v>1</v>
      </c>
      <c r="X233" s="12">
        <f>IF($A233="","",IF($I233="Yes",Settings!$J$10,1))</f>
        <v>1</v>
      </c>
      <c r="Y233" s="12">
        <f t="shared" si="2"/>
        <v>1</v>
      </c>
      <c r="Z233" s="12">
        <f>IF($A233="","",IFERROR(ROUND(AVERAGEIFS('Historical Drafts'!$G$4:$G$300,'Historical Drafts'!$D$4:$D$300,$E233,'Historical Drafts'!$J$4:$J$300,"&gt;="&amp;$L233*0.85,'Historical Drafts'!$J$4:$J$300,"&lt;="&amp;$L233*1.15),0),$Y233))</f>
        <v>9</v>
      </c>
      <c r="AA233" s="12" t="str">
        <f>IF($A233="","",IF(COUNTIF('Auction Log'!$B$3:$B$300,$A233)&gt;0,"Sold","Available"))</f>
        <v>Available</v>
      </c>
      <c r="AB233" s="12" t="str">
        <f t="array" ref="AB233">IF($A233="","",IFERROR(XLOOKUP($A233,'Auction Log'!$B$3:$B$300,'Auction Log'!$G$3:$G$300,""),""))</f>
        <v/>
      </c>
      <c r="AC233" s="12" t="str">
        <f t="array" ref="AC233">IF($A233="","",IFERROR(XLOOKUP($A233,'Auction Log'!$B$3:$B$300,'Auction Log'!$F$3:$F$300,""),""))</f>
        <v/>
      </c>
      <c r="AD233" s="12">
        <f t="array" ref="AD233">IF($A233="","",ROUND($Y233*XLOOKUP($F233,Settings!$I$15:$I$20,Settings!$K$15:$K$20,0.4),0))</f>
        <v>0</v>
      </c>
      <c r="AE233" s="12">
        <f t="array" ref="AE233">IF($A233="","",ROUND($Y233*XLOOKUP($F233,Settings!$I$15:$I$20,Settings!$L$15:$L$20,0.8),0))</f>
        <v>1</v>
      </c>
      <c r="AF233" s="12">
        <f t="array" ref="AF233">IF($A233="","",ROUND($Y233*XLOOKUP($F233,Settings!$I$15:$I$20,Settings!$M$15:$M$20,1),0))</f>
        <v>1</v>
      </c>
      <c r="AG233" s="12">
        <f t="array" ref="AG233">IF($A233="","",ROUND($Y233*XLOOKUP($F233,Settings!$I$15:$I$20,Settings!$N$15:$N$20,1.1),0))</f>
        <v>1</v>
      </c>
      <c r="AH233" s="12">
        <f t="array" ref="AH233">IF($A233="","",ROUND($Y233*XLOOKUP($F233,Settings!$I$15:$I$20,Settings!$O$15:$O$20,1.1)*Settings!$J$7,0))</f>
        <v>1</v>
      </c>
      <c r="AI233" s="12">
        <f t="array" ref="AI233">IF($A233="","",IF($AA233="Sold","",MIN($AH233,IFERROR(XLOOKUP(Settings!$B$12,Managers!$B$4:$B$15,Managers!$H$4:$H$15),$AH233))))</f>
        <v>1</v>
      </c>
      <c r="AJ233" s="12" t="str">
        <f t="shared" si="3"/>
        <v>Budget Drainer</v>
      </c>
      <c r="AK233" s="12">
        <f t="shared" si="4"/>
        <v>34</v>
      </c>
      <c r="AL233" s="12" t="str">
        <f t="shared" si="5"/>
        <v/>
      </c>
    </row>
    <row r="234" ht="15.75" customHeight="1">
      <c r="A234" s="10" t="s">
        <v>789</v>
      </c>
      <c r="B234" s="10" t="s">
        <v>790</v>
      </c>
      <c r="C234" s="10" t="s">
        <v>243</v>
      </c>
      <c r="D234" s="10" t="s">
        <v>121</v>
      </c>
      <c r="E234" s="10" t="s">
        <v>121</v>
      </c>
      <c r="F234" s="10" t="s">
        <v>114</v>
      </c>
      <c r="G234" s="10">
        <v>5.0</v>
      </c>
      <c r="H234" s="10">
        <v>7.0</v>
      </c>
      <c r="I234" s="10" t="s">
        <v>2140</v>
      </c>
      <c r="J234" s="10" t="s">
        <v>2136</v>
      </c>
      <c r="K234" s="10"/>
      <c r="L234" s="10">
        <v>142.0</v>
      </c>
      <c r="M234" s="10">
        <v>5.46</v>
      </c>
      <c r="N234" s="10"/>
      <c r="O234" s="10"/>
      <c r="P234" s="12">
        <f>IF($A234="","",IFERROR((IF($O234="",0,$O234)*Settings!$J$4+IF($L234="",0,$L234)*Settings!$J$5+IF($N234="",0,$N234)*Settings!$J$6)/(IF($O234="",0,Settings!$J$4)+IF($L234="",0,Settings!$J$5)+IF($N234="",0,Settings!$J$6)),0))</f>
        <v>142</v>
      </c>
      <c r="Q234" s="12">
        <f t="array" ref="Q234">IF($A234="","",XLOOKUP($E234,Settings!$A$19:$A$22,Settings!$G$19:$G$22,0))</f>
        <v>206</v>
      </c>
      <c r="R234" s="12">
        <f t="shared" si="1"/>
        <v>0</v>
      </c>
      <c r="S234" s="12">
        <f>IF($A234="","",IF($R234&lt;=0,1,1+$R234/SUMIF($R$4:$R$923,"&gt;0",$R$4:$R$923)*(Settings!$B$5*(Settings!$B$6-Settings!$B$7))))</f>
        <v>1</v>
      </c>
      <c r="T234" s="12">
        <f t="array" ref="T234">IF($A234="","",XLOOKUP($F234,Settings!$I$15:$I$20,Settings!$J$15:$J$20,1))</f>
        <v>0.9</v>
      </c>
      <c r="U234" s="12">
        <f>IF($A234="","",1+(($G234-5)/5)*Settings!$J$8)</f>
        <v>1</v>
      </c>
      <c r="V234" s="12">
        <f>IF($A234="","",1+(($H234-5)/5)*Settings!$J$9)</f>
        <v>1.06</v>
      </c>
      <c r="W234" s="12">
        <f t="array" ref="W234">IF($A234="","",XLOOKUP($J234,Lists!$C$3:$C$7,Lists!$D$3:$D$7,1))</f>
        <v>1</v>
      </c>
      <c r="X234" s="12">
        <f>IF($A234="","",IF($I234="Yes",Settings!$J$10,1))</f>
        <v>1</v>
      </c>
      <c r="Y234" s="12">
        <f t="shared" si="2"/>
        <v>1</v>
      </c>
      <c r="Z234" s="12">
        <f>IF($A234="","",IFERROR(ROUND(AVERAGEIFS('Historical Drafts'!$G$4:$G$300,'Historical Drafts'!$D$4:$D$300,$E234,'Historical Drafts'!$J$4:$J$300,"&gt;="&amp;$L234*0.85,'Historical Drafts'!$J$4:$J$300,"&lt;="&amp;$L234*1.15),0),$Y234))</f>
        <v>9</v>
      </c>
      <c r="AA234" s="12" t="str">
        <f>IF($A234="","",IF(COUNTIF('Auction Log'!$B$3:$B$300,$A234)&gt;0,"Sold","Available"))</f>
        <v>Available</v>
      </c>
      <c r="AB234" s="12" t="str">
        <f t="array" ref="AB234">IF($A234="","",IFERROR(XLOOKUP($A234,'Auction Log'!$B$3:$B$300,'Auction Log'!$G$3:$G$300,""),""))</f>
        <v/>
      </c>
      <c r="AC234" s="12" t="str">
        <f t="array" ref="AC234">IF($A234="","",IFERROR(XLOOKUP($A234,'Auction Log'!$B$3:$B$300,'Auction Log'!$F$3:$F$300,""),""))</f>
        <v/>
      </c>
      <c r="AD234" s="12">
        <f t="array" ref="AD234">IF($A234="","",ROUND($Y234*XLOOKUP($F234,Settings!$I$15:$I$20,Settings!$K$15:$K$20,0.4),0))</f>
        <v>0</v>
      </c>
      <c r="AE234" s="12">
        <f t="array" ref="AE234">IF($A234="","",ROUND($Y234*XLOOKUP($F234,Settings!$I$15:$I$20,Settings!$L$15:$L$20,0.8),0))</f>
        <v>1</v>
      </c>
      <c r="AF234" s="12">
        <f t="array" ref="AF234">IF($A234="","",ROUND($Y234*XLOOKUP($F234,Settings!$I$15:$I$20,Settings!$M$15:$M$20,1),0))</f>
        <v>1</v>
      </c>
      <c r="AG234" s="12">
        <f t="array" ref="AG234">IF($A234="","",ROUND($Y234*XLOOKUP($F234,Settings!$I$15:$I$20,Settings!$N$15:$N$20,1.1),0))</f>
        <v>1</v>
      </c>
      <c r="AH234" s="12">
        <f t="array" ref="AH234">IF($A234="","",ROUND($Y234*XLOOKUP($F234,Settings!$I$15:$I$20,Settings!$O$15:$O$20,1.1)*Settings!$J$7,0))</f>
        <v>1</v>
      </c>
      <c r="AI234" s="12">
        <f t="array" ref="AI234">IF($A234="","",IF($AA234="Sold","",MIN($AH234,IFERROR(XLOOKUP(Settings!$B$12,Managers!$B$4:$B$15,Managers!$H$4:$H$15),$AH234))))</f>
        <v>1</v>
      </c>
      <c r="AJ234" s="12" t="str">
        <f t="shared" si="3"/>
        <v>Budget Drainer</v>
      </c>
      <c r="AK234" s="12">
        <f t="shared" si="4"/>
        <v>34</v>
      </c>
      <c r="AL234" s="12" t="str">
        <f t="shared" si="5"/>
        <v/>
      </c>
    </row>
    <row r="235" ht="15.75" customHeight="1">
      <c r="A235" s="10" t="s">
        <v>791</v>
      </c>
      <c r="B235" s="10" t="s">
        <v>792</v>
      </c>
      <c r="C235" s="10" t="s">
        <v>566</v>
      </c>
      <c r="D235" s="10" t="s">
        <v>118</v>
      </c>
      <c r="E235" s="10" t="s">
        <v>118</v>
      </c>
      <c r="F235" s="10" t="s">
        <v>114</v>
      </c>
      <c r="G235" s="10">
        <v>5.0</v>
      </c>
      <c r="H235" s="10">
        <v>7.0</v>
      </c>
      <c r="I235" s="10" t="s">
        <v>2140</v>
      </c>
      <c r="J235" s="10" t="s">
        <v>2136</v>
      </c>
      <c r="K235" s="10"/>
      <c r="L235" s="10">
        <v>141.25</v>
      </c>
      <c r="M235" s="10">
        <v>3.92</v>
      </c>
      <c r="N235" s="10"/>
      <c r="O235" s="10"/>
      <c r="P235" s="12">
        <f>IF($A235="","",IFERROR((IF($O235="",0,$O235)*Settings!$J$4+IF($L235="",0,$L235)*Settings!$J$5+IF($N235="",0,$N235)*Settings!$J$6)/(IF($O235="",0,Settings!$J$4)+IF($L235="",0,Settings!$J$5)+IF($N235="",0,Settings!$J$6)),0))</f>
        <v>141.25</v>
      </c>
      <c r="Q235" s="12">
        <f t="array" ref="Q235">IF($A235="","",XLOOKUP($E235,Settings!$A$19:$A$22,Settings!$G$19:$G$22,0))</f>
        <v>196.25</v>
      </c>
      <c r="R235" s="12">
        <f t="shared" si="1"/>
        <v>0</v>
      </c>
      <c r="S235" s="12">
        <f>IF($A235="","",IF($R235&lt;=0,1,1+$R235/SUMIF($R$4:$R$923,"&gt;0",$R$4:$R$923)*(Settings!$B$5*(Settings!$B$6-Settings!$B$7))))</f>
        <v>1</v>
      </c>
      <c r="T235" s="12">
        <f t="array" ref="T235">IF($A235="","",XLOOKUP($F235,Settings!$I$15:$I$20,Settings!$J$15:$J$20,1))</f>
        <v>0.9</v>
      </c>
      <c r="U235" s="12">
        <f>IF($A235="","",1+(($G235-5)/5)*Settings!$J$8)</f>
        <v>1</v>
      </c>
      <c r="V235" s="12">
        <f>IF($A235="","",1+(($H235-5)/5)*Settings!$J$9)</f>
        <v>1.06</v>
      </c>
      <c r="W235" s="12">
        <f t="array" ref="W235">IF($A235="","",XLOOKUP($J235,Lists!$C$3:$C$7,Lists!$D$3:$D$7,1))</f>
        <v>1</v>
      </c>
      <c r="X235" s="12">
        <f>IF($A235="","",IF($I235="Yes",Settings!$J$10,1))</f>
        <v>1</v>
      </c>
      <c r="Y235" s="12">
        <f t="shared" si="2"/>
        <v>1</v>
      </c>
      <c r="Z235" s="12">
        <f>IF($A235="","",IFERROR(ROUND(AVERAGEIFS('Historical Drafts'!$G$4:$G$300,'Historical Drafts'!$D$4:$D$300,$E235,'Historical Drafts'!$J$4:$J$300,"&gt;="&amp;$L235*0.85,'Historical Drafts'!$J$4:$J$300,"&lt;="&amp;$L235*1.15),0),$Y235))</f>
        <v>11</v>
      </c>
      <c r="AA235" s="12" t="str">
        <f>IF($A235="","",IF(COUNTIF('Auction Log'!$B$3:$B$300,$A235)&gt;0,"Sold","Available"))</f>
        <v>Available</v>
      </c>
      <c r="AB235" s="12" t="str">
        <f t="array" ref="AB235">IF($A235="","",IFERROR(XLOOKUP($A235,'Auction Log'!$B$3:$B$300,'Auction Log'!$G$3:$G$300,""),""))</f>
        <v/>
      </c>
      <c r="AC235" s="12" t="str">
        <f t="array" ref="AC235">IF($A235="","",IFERROR(XLOOKUP($A235,'Auction Log'!$B$3:$B$300,'Auction Log'!$F$3:$F$300,""),""))</f>
        <v/>
      </c>
      <c r="AD235" s="12">
        <f t="array" ref="AD235">IF($A235="","",ROUND($Y235*XLOOKUP($F235,Settings!$I$15:$I$20,Settings!$K$15:$K$20,0.4),0))</f>
        <v>0</v>
      </c>
      <c r="AE235" s="12">
        <f t="array" ref="AE235">IF($A235="","",ROUND($Y235*XLOOKUP($F235,Settings!$I$15:$I$20,Settings!$L$15:$L$20,0.8),0))</f>
        <v>1</v>
      </c>
      <c r="AF235" s="12">
        <f t="array" ref="AF235">IF($A235="","",ROUND($Y235*XLOOKUP($F235,Settings!$I$15:$I$20,Settings!$M$15:$M$20,1),0))</f>
        <v>1</v>
      </c>
      <c r="AG235" s="12">
        <f t="array" ref="AG235">IF($A235="","",ROUND($Y235*XLOOKUP($F235,Settings!$I$15:$I$20,Settings!$N$15:$N$20,1.1),0))</f>
        <v>1</v>
      </c>
      <c r="AH235" s="12">
        <f t="array" ref="AH235">IF($A235="","",ROUND($Y235*XLOOKUP($F235,Settings!$I$15:$I$20,Settings!$O$15:$O$20,1.1)*Settings!$J$7,0))</f>
        <v>1</v>
      </c>
      <c r="AI235" s="12">
        <f t="array" ref="AI235">IF($A235="","",IF($AA235="Sold","",MIN($AH235,IFERROR(XLOOKUP(Settings!$B$12,Managers!$B$4:$B$15,Managers!$H$4:$H$15),$AH235))))</f>
        <v>1</v>
      </c>
      <c r="AJ235" s="12" t="str">
        <f t="shared" si="3"/>
        <v>Budget Drainer</v>
      </c>
      <c r="AK235" s="12">
        <f t="shared" si="4"/>
        <v>36</v>
      </c>
      <c r="AL235" s="12" t="str">
        <f t="shared" si="5"/>
        <v/>
      </c>
    </row>
    <row r="236" ht="15.75" customHeight="1">
      <c r="A236" s="10" t="s">
        <v>258</v>
      </c>
      <c r="B236" s="10" t="s">
        <v>259</v>
      </c>
      <c r="C236" s="10" t="s">
        <v>180</v>
      </c>
      <c r="D236" s="10" t="s">
        <v>118</v>
      </c>
      <c r="E236" s="10" t="s">
        <v>118</v>
      </c>
      <c r="F236" s="10" t="s">
        <v>114</v>
      </c>
      <c r="G236" s="10">
        <v>5.0</v>
      </c>
      <c r="H236" s="10">
        <v>7.0</v>
      </c>
      <c r="I236" s="10" t="s">
        <v>2140</v>
      </c>
      <c r="J236" s="10" t="s">
        <v>2136</v>
      </c>
      <c r="K236" s="10"/>
      <c r="L236" s="10">
        <v>140.5</v>
      </c>
      <c r="M236" s="10">
        <v>8.26</v>
      </c>
      <c r="N236" s="10"/>
      <c r="O236" s="10"/>
      <c r="P236" s="12">
        <f>IF($A236="","",IFERROR((IF($O236="",0,$O236)*Settings!$J$4+IF($L236="",0,$L236)*Settings!$J$5+IF($N236="",0,$N236)*Settings!$J$6)/(IF($O236="",0,Settings!$J$4)+IF($L236="",0,Settings!$J$5)+IF($N236="",0,Settings!$J$6)),0))</f>
        <v>140.5</v>
      </c>
      <c r="Q236" s="12">
        <f t="array" ref="Q236">IF($A236="","",XLOOKUP($E236,Settings!$A$19:$A$22,Settings!$G$19:$G$22,0))</f>
        <v>196.25</v>
      </c>
      <c r="R236" s="12">
        <f t="shared" si="1"/>
        <v>0</v>
      </c>
      <c r="S236" s="12">
        <f>IF($A236="","",IF($R236&lt;=0,1,1+$R236/SUMIF($R$4:$R$923,"&gt;0",$R$4:$R$923)*(Settings!$B$5*(Settings!$B$6-Settings!$B$7))))</f>
        <v>1</v>
      </c>
      <c r="T236" s="12">
        <f t="array" ref="T236">IF($A236="","",XLOOKUP($F236,Settings!$I$15:$I$20,Settings!$J$15:$J$20,1))</f>
        <v>0.9</v>
      </c>
      <c r="U236" s="12">
        <f>IF($A236="","",1+(($G236-5)/5)*Settings!$J$8)</f>
        <v>1</v>
      </c>
      <c r="V236" s="12">
        <f>IF($A236="","",1+(($H236-5)/5)*Settings!$J$9)</f>
        <v>1.06</v>
      </c>
      <c r="W236" s="12">
        <f t="array" ref="W236">IF($A236="","",XLOOKUP($J236,Lists!$C$3:$C$7,Lists!$D$3:$D$7,1))</f>
        <v>1</v>
      </c>
      <c r="X236" s="12">
        <f>IF($A236="","",IF($I236="Yes",Settings!$J$10,1))</f>
        <v>1</v>
      </c>
      <c r="Y236" s="12">
        <f t="shared" si="2"/>
        <v>1</v>
      </c>
      <c r="Z236" s="12">
        <f>IF($A236="","",IFERROR(ROUND(AVERAGEIFS('Historical Drafts'!$G$4:$G$300,'Historical Drafts'!$D$4:$D$300,$E236,'Historical Drafts'!$J$4:$J$300,"&gt;="&amp;$L236*0.85,'Historical Drafts'!$J$4:$J$300,"&lt;="&amp;$L236*1.15),0),$Y236))</f>
        <v>11</v>
      </c>
      <c r="AA236" s="12" t="str">
        <f>IF($A236="","",IF(COUNTIF('Auction Log'!$B$3:$B$300,$A236)&gt;0,"Sold","Available"))</f>
        <v>Available</v>
      </c>
      <c r="AB236" s="12" t="str">
        <f t="array" ref="AB236">IF($A236="","",IFERROR(XLOOKUP($A236,'Auction Log'!$B$3:$B$300,'Auction Log'!$G$3:$G$300,""),""))</f>
        <v/>
      </c>
      <c r="AC236" s="12" t="str">
        <f t="array" ref="AC236">IF($A236="","",IFERROR(XLOOKUP($A236,'Auction Log'!$B$3:$B$300,'Auction Log'!$F$3:$F$300,""),""))</f>
        <v/>
      </c>
      <c r="AD236" s="12">
        <f t="array" ref="AD236">IF($A236="","",ROUND($Y236*XLOOKUP($F236,Settings!$I$15:$I$20,Settings!$K$15:$K$20,0.4),0))</f>
        <v>0</v>
      </c>
      <c r="AE236" s="12">
        <f t="array" ref="AE236">IF($A236="","",ROUND($Y236*XLOOKUP($F236,Settings!$I$15:$I$20,Settings!$L$15:$L$20,0.8),0))</f>
        <v>1</v>
      </c>
      <c r="AF236" s="12">
        <f t="array" ref="AF236">IF($A236="","",ROUND($Y236*XLOOKUP($F236,Settings!$I$15:$I$20,Settings!$M$15:$M$20,1),0))</f>
        <v>1</v>
      </c>
      <c r="AG236" s="12">
        <f t="array" ref="AG236">IF($A236="","",ROUND($Y236*XLOOKUP($F236,Settings!$I$15:$I$20,Settings!$N$15:$N$20,1.1),0))</f>
        <v>1</v>
      </c>
      <c r="AH236" s="12">
        <f t="array" ref="AH236">IF($A236="","",ROUND($Y236*XLOOKUP($F236,Settings!$I$15:$I$20,Settings!$O$15:$O$20,1.1)*Settings!$J$7,0))</f>
        <v>1</v>
      </c>
      <c r="AI236" s="12">
        <f t="array" ref="AI236">IF($A236="","",IF($AA236="Sold","",MIN($AH236,IFERROR(XLOOKUP(Settings!$B$12,Managers!$B$4:$B$15,Managers!$H$4:$H$15),$AH236))))</f>
        <v>1</v>
      </c>
      <c r="AJ236" s="12" t="str">
        <f t="shared" si="3"/>
        <v>Budget Drainer</v>
      </c>
      <c r="AK236" s="12">
        <f t="shared" si="4"/>
        <v>36</v>
      </c>
      <c r="AL236" s="12" t="str">
        <f t="shared" si="5"/>
        <v/>
      </c>
    </row>
    <row r="237" ht="15.75" customHeight="1">
      <c r="A237" s="10" t="s">
        <v>793</v>
      </c>
      <c r="B237" s="10" t="s">
        <v>794</v>
      </c>
      <c r="C237" s="10" t="s">
        <v>191</v>
      </c>
      <c r="D237" s="10" t="s">
        <v>121</v>
      </c>
      <c r="E237" s="10" t="s">
        <v>121</v>
      </c>
      <c r="F237" s="10" t="s">
        <v>114</v>
      </c>
      <c r="G237" s="10">
        <v>5.0</v>
      </c>
      <c r="H237" s="10">
        <v>7.0</v>
      </c>
      <c r="I237" s="10" t="s">
        <v>2140</v>
      </c>
      <c r="J237" s="10" t="s">
        <v>2136</v>
      </c>
      <c r="K237" s="10"/>
      <c r="L237" s="10">
        <v>140.5</v>
      </c>
      <c r="M237" s="10">
        <v>6.39</v>
      </c>
      <c r="N237" s="10"/>
      <c r="O237" s="10"/>
      <c r="P237" s="12">
        <f>IF($A237="","",IFERROR((IF($O237="",0,$O237)*Settings!$J$4+IF($L237="",0,$L237)*Settings!$J$5+IF($N237="",0,$N237)*Settings!$J$6)/(IF($O237="",0,Settings!$J$4)+IF($L237="",0,Settings!$J$5)+IF($N237="",0,Settings!$J$6)),0))</f>
        <v>140.5</v>
      </c>
      <c r="Q237" s="12">
        <f t="array" ref="Q237">IF($A237="","",XLOOKUP($E237,Settings!$A$19:$A$22,Settings!$G$19:$G$22,0))</f>
        <v>206</v>
      </c>
      <c r="R237" s="12">
        <f t="shared" si="1"/>
        <v>0</v>
      </c>
      <c r="S237" s="12">
        <f>IF($A237="","",IF($R237&lt;=0,1,1+$R237/SUMIF($R$4:$R$923,"&gt;0",$R$4:$R$923)*(Settings!$B$5*(Settings!$B$6-Settings!$B$7))))</f>
        <v>1</v>
      </c>
      <c r="T237" s="12">
        <f t="array" ref="T237">IF($A237="","",XLOOKUP($F237,Settings!$I$15:$I$20,Settings!$J$15:$J$20,1))</f>
        <v>0.9</v>
      </c>
      <c r="U237" s="12">
        <f>IF($A237="","",1+(($G237-5)/5)*Settings!$J$8)</f>
        <v>1</v>
      </c>
      <c r="V237" s="12">
        <f>IF($A237="","",1+(($H237-5)/5)*Settings!$J$9)</f>
        <v>1.06</v>
      </c>
      <c r="W237" s="12">
        <f t="array" ref="W237">IF($A237="","",XLOOKUP($J237,Lists!$C$3:$C$7,Lists!$D$3:$D$7,1))</f>
        <v>1</v>
      </c>
      <c r="X237" s="12">
        <f>IF($A237="","",IF($I237="Yes",Settings!$J$10,1))</f>
        <v>1</v>
      </c>
      <c r="Y237" s="12">
        <f t="shared" si="2"/>
        <v>1</v>
      </c>
      <c r="Z237" s="12">
        <f>IF($A237="","",IFERROR(ROUND(AVERAGEIFS('Historical Drafts'!$G$4:$G$300,'Historical Drafts'!$D$4:$D$300,$E237,'Historical Drafts'!$J$4:$J$300,"&gt;="&amp;$L237*0.85,'Historical Drafts'!$J$4:$J$300,"&lt;="&amp;$L237*1.15),0),$Y237))</f>
        <v>9</v>
      </c>
      <c r="AA237" s="12" t="str">
        <f>IF($A237="","",IF(COUNTIF('Auction Log'!$B$3:$B$300,$A237)&gt;0,"Sold","Available"))</f>
        <v>Available</v>
      </c>
      <c r="AB237" s="12" t="str">
        <f t="array" ref="AB237">IF($A237="","",IFERROR(XLOOKUP($A237,'Auction Log'!$B$3:$B$300,'Auction Log'!$G$3:$G$300,""),""))</f>
        <v/>
      </c>
      <c r="AC237" s="12" t="str">
        <f t="array" ref="AC237">IF($A237="","",IFERROR(XLOOKUP($A237,'Auction Log'!$B$3:$B$300,'Auction Log'!$F$3:$F$300,""),""))</f>
        <v/>
      </c>
      <c r="AD237" s="12">
        <f t="array" ref="AD237">IF($A237="","",ROUND($Y237*XLOOKUP($F237,Settings!$I$15:$I$20,Settings!$K$15:$K$20,0.4),0))</f>
        <v>0</v>
      </c>
      <c r="AE237" s="12">
        <f t="array" ref="AE237">IF($A237="","",ROUND($Y237*XLOOKUP($F237,Settings!$I$15:$I$20,Settings!$L$15:$L$20,0.8),0))</f>
        <v>1</v>
      </c>
      <c r="AF237" s="12">
        <f t="array" ref="AF237">IF($A237="","",ROUND($Y237*XLOOKUP($F237,Settings!$I$15:$I$20,Settings!$M$15:$M$20,1),0))</f>
        <v>1</v>
      </c>
      <c r="AG237" s="12">
        <f t="array" ref="AG237">IF($A237="","",ROUND($Y237*XLOOKUP($F237,Settings!$I$15:$I$20,Settings!$N$15:$N$20,1.1),0))</f>
        <v>1</v>
      </c>
      <c r="AH237" s="12">
        <f t="array" ref="AH237">IF($A237="","",ROUND($Y237*XLOOKUP($F237,Settings!$I$15:$I$20,Settings!$O$15:$O$20,1.1)*Settings!$J$7,0))</f>
        <v>1</v>
      </c>
      <c r="AI237" s="12">
        <f t="array" ref="AI237">IF($A237="","",IF($AA237="Sold","",MIN($AH237,IFERROR(XLOOKUP(Settings!$B$12,Managers!$B$4:$B$15,Managers!$H$4:$H$15),$AH237))))</f>
        <v>1</v>
      </c>
      <c r="AJ237" s="12" t="str">
        <f t="shared" si="3"/>
        <v>Budget Drainer</v>
      </c>
      <c r="AK237" s="12">
        <f t="shared" si="4"/>
        <v>34</v>
      </c>
      <c r="AL237" s="12" t="str">
        <f t="shared" si="5"/>
        <v/>
      </c>
    </row>
    <row r="238" ht="15.75" customHeight="1">
      <c r="A238" s="10" t="s">
        <v>795</v>
      </c>
      <c r="B238" s="10" t="s">
        <v>796</v>
      </c>
      <c r="C238" s="10" t="s">
        <v>327</v>
      </c>
      <c r="D238" s="10" t="s">
        <v>118</v>
      </c>
      <c r="E238" s="10" t="s">
        <v>118</v>
      </c>
      <c r="F238" s="10" t="s">
        <v>114</v>
      </c>
      <c r="G238" s="10">
        <v>5.0</v>
      </c>
      <c r="H238" s="10">
        <v>7.0</v>
      </c>
      <c r="I238" s="10" t="s">
        <v>2140</v>
      </c>
      <c r="J238" s="10" t="s">
        <v>2136</v>
      </c>
      <c r="K238" s="10"/>
      <c r="L238" s="10">
        <v>140.25</v>
      </c>
      <c r="M238" s="10">
        <v>5.19</v>
      </c>
      <c r="N238" s="10"/>
      <c r="O238" s="10"/>
      <c r="P238" s="12">
        <f>IF($A238="","",IFERROR((IF($O238="",0,$O238)*Settings!$J$4+IF($L238="",0,$L238)*Settings!$J$5+IF($N238="",0,$N238)*Settings!$J$6)/(IF($O238="",0,Settings!$J$4)+IF($L238="",0,Settings!$J$5)+IF($N238="",0,Settings!$J$6)),0))</f>
        <v>140.25</v>
      </c>
      <c r="Q238" s="12">
        <f t="array" ref="Q238">IF($A238="","",XLOOKUP($E238,Settings!$A$19:$A$22,Settings!$G$19:$G$22,0))</f>
        <v>196.25</v>
      </c>
      <c r="R238" s="12">
        <f t="shared" si="1"/>
        <v>0</v>
      </c>
      <c r="S238" s="12">
        <f>IF($A238="","",IF($R238&lt;=0,1,1+$R238/SUMIF($R$4:$R$923,"&gt;0",$R$4:$R$923)*(Settings!$B$5*(Settings!$B$6-Settings!$B$7))))</f>
        <v>1</v>
      </c>
      <c r="T238" s="12">
        <f t="array" ref="T238">IF($A238="","",XLOOKUP($F238,Settings!$I$15:$I$20,Settings!$J$15:$J$20,1))</f>
        <v>0.9</v>
      </c>
      <c r="U238" s="12">
        <f>IF($A238="","",1+(($G238-5)/5)*Settings!$J$8)</f>
        <v>1</v>
      </c>
      <c r="V238" s="12">
        <f>IF($A238="","",1+(($H238-5)/5)*Settings!$J$9)</f>
        <v>1.06</v>
      </c>
      <c r="W238" s="12">
        <f t="array" ref="W238">IF($A238="","",XLOOKUP($J238,Lists!$C$3:$C$7,Lists!$D$3:$D$7,1))</f>
        <v>1</v>
      </c>
      <c r="X238" s="12">
        <f>IF($A238="","",IF($I238="Yes",Settings!$J$10,1))</f>
        <v>1</v>
      </c>
      <c r="Y238" s="12">
        <f t="shared" si="2"/>
        <v>1</v>
      </c>
      <c r="Z238" s="12">
        <f>IF($A238="","",IFERROR(ROUND(AVERAGEIFS('Historical Drafts'!$G$4:$G$300,'Historical Drafts'!$D$4:$D$300,$E238,'Historical Drafts'!$J$4:$J$300,"&gt;="&amp;$L238*0.85,'Historical Drafts'!$J$4:$J$300,"&lt;="&amp;$L238*1.15),0),$Y238))</f>
        <v>11</v>
      </c>
      <c r="AA238" s="12" t="str">
        <f>IF($A238="","",IF(COUNTIF('Auction Log'!$B$3:$B$300,$A238)&gt;0,"Sold","Available"))</f>
        <v>Available</v>
      </c>
      <c r="AB238" s="12" t="str">
        <f t="array" ref="AB238">IF($A238="","",IFERROR(XLOOKUP($A238,'Auction Log'!$B$3:$B$300,'Auction Log'!$G$3:$G$300,""),""))</f>
        <v/>
      </c>
      <c r="AC238" s="12" t="str">
        <f t="array" ref="AC238">IF($A238="","",IFERROR(XLOOKUP($A238,'Auction Log'!$B$3:$B$300,'Auction Log'!$F$3:$F$300,""),""))</f>
        <v/>
      </c>
      <c r="AD238" s="12">
        <f t="array" ref="AD238">IF($A238="","",ROUND($Y238*XLOOKUP($F238,Settings!$I$15:$I$20,Settings!$K$15:$K$20,0.4),0))</f>
        <v>0</v>
      </c>
      <c r="AE238" s="12">
        <f t="array" ref="AE238">IF($A238="","",ROUND($Y238*XLOOKUP($F238,Settings!$I$15:$I$20,Settings!$L$15:$L$20,0.8),0))</f>
        <v>1</v>
      </c>
      <c r="AF238" s="12">
        <f t="array" ref="AF238">IF($A238="","",ROUND($Y238*XLOOKUP($F238,Settings!$I$15:$I$20,Settings!$M$15:$M$20,1),0))</f>
        <v>1</v>
      </c>
      <c r="AG238" s="12">
        <f t="array" ref="AG238">IF($A238="","",ROUND($Y238*XLOOKUP($F238,Settings!$I$15:$I$20,Settings!$N$15:$N$20,1.1),0))</f>
        <v>1</v>
      </c>
      <c r="AH238" s="12">
        <f t="array" ref="AH238">IF($A238="","",ROUND($Y238*XLOOKUP($F238,Settings!$I$15:$I$20,Settings!$O$15:$O$20,1.1)*Settings!$J$7,0))</f>
        <v>1</v>
      </c>
      <c r="AI238" s="12">
        <f t="array" ref="AI238">IF($A238="","",IF($AA238="Sold","",MIN($AH238,IFERROR(XLOOKUP(Settings!$B$12,Managers!$B$4:$B$15,Managers!$H$4:$H$15),$AH238))))</f>
        <v>1</v>
      </c>
      <c r="AJ238" s="12" t="str">
        <f t="shared" si="3"/>
        <v>Budget Drainer</v>
      </c>
      <c r="AK238" s="12">
        <f t="shared" si="4"/>
        <v>36</v>
      </c>
      <c r="AL238" s="12" t="str">
        <f t="shared" si="5"/>
        <v/>
      </c>
    </row>
    <row r="239" ht="15.75" customHeight="1">
      <c r="A239" s="10" t="s">
        <v>797</v>
      </c>
      <c r="B239" s="10" t="s">
        <v>798</v>
      </c>
      <c r="C239" s="10" t="s">
        <v>453</v>
      </c>
      <c r="D239" s="10" t="s">
        <v>121</v>
      </c>
      <c r="E239" s="10" t="s">
        <v>121</v>
      </c>
      <c r="F239" s="10" t="s">
        <v>114</v>
      </c>
      <c r="G239" s="10">
        <v>5.0</v>
      </c>
      <c r="H239" s="10">
        <v>7.0</v>
      </c>
      <c r="I239" s="10" t="s">
        <v>2140</v>
      </c>
      <c r="J239" s="10" t="s">
        <v>2136</v>
      </c>
      <c r="K239" s="10"/>
      <c r="L239" s="10">
        <v>139.5</v>
      </c>
      <c r="M239" s="10">
        <v>6.07</v>
      </c>
      <c r="N239" s="10"/>
      <c r="O239" s="10"/>
      <c r="P239" s="12">
        <f>IF($A239="","",IFERROR((IF($O239="",0,$O239)*Settings!$J$4+IF($L239="",0,$L239)*Settings!$J$5+IF($N239="",0,$N239)*Settings!$J$6)/(IF($O239="",0,Settings!$J$4)+IF($L239="",0,Settings!$J$5)+IF($N239="",0,Settings!$J$6)),0))</f>
        <v>139.5</v>
      </c>
      <c r="Q239" s="12">
        <f t="array" ref="Q239">IF($A239="","",XLOOKUP($E239,Settings!$A$19:$A$22,Settings!$G$19:$G$22,0))</f>
        <v>206</v>
      </c>
      <c r="R239" s="12">
        <f t="shared" si="1"/>
        <v>0</v>
      </c>
      <c r="S239" s="12">
        <f>IF($A239="","",IF($R239&lt;=0,1,1+$R239/SUMIF($R$4:$R$923,"&gt;0",$R$4:$R$923)*(Settings!$B$5*(Settings!$B$6-Settings!$B$7))))</f>
        <v>1</v>
      </c>
      <c r="T239" s="12">
        <f t="array" ref="T239">IF($A239="","",XLOOKUP($F239,Settings!$I$15:$I$20,Settings!$J$15:$J$20,1))</f>
        <v>0.9</v>
      </c>
      <c r="U239" s="12">
        <f>IF($A239="","",1+(($G239-5)/5)*Settings!$J$8)</f>
        <v>1</v>
      </c>
      <c r="V239" s="12">
        <f>IF($A239="","",1+(($H239-5)/5)*Settings!$J$9)</f>
        <v>1.06</v>
      </c>
      <c r="W239" s="12">
        <f t="array" ref="W239">IF($A239="","",XLOOKUP($J239,Lists!$C$3:$C$7,Lists!$D$3:$D$7,1))</f>
        <v>1</v>
      </c>
      <c r="X239" s="12">
        <f>IF($A239="","",IF($I239="Yes",Settings!$J$10,1))</f>
        <v>1</v>
      </c>
      <c r="Y239" s="12">
        <f t="shared" si="2"/>
        <v>1</v>
      </c>
      <c r="Z239" s="12">
        <f>IF($A239="","",IFERROR(ROUND(AVERAGEIFS('Historical Drafts'!$G$4:$G$300,'Historical Drafts'!$D$4:$D$300,$E239,'Historical Drafts'!$J$4:$J$300,"&gt;="&amp;$L239*0.85,'Historical Drafts'!$J$4:$J$300,"&lt;="&amp;$L239*1.15),0),$Y239))</f>
        <v>9</v>
      </c>
      <c r="AA239" s="12" t="str">
        <f>IF($A239="","",IF(COUNTIF('Auction Log'!$B$3:$B$300,$A239)&gt;0,"Sold","Available"))</f>
        <v>Available</v>
      </c>
      <c r="AB239" s="12" t="str">
        <f t="array" ref="AB239">IF($A239="","",IFERROR(XLOOKUP($A239,'Auction Log'!$B$3:$B$300,'Auction Log'!$G$3:$G$300,""),""))</f>
        <v/>
      </c>
      <c r="AC239" s="12" t="str">
        <f t="array" ref="AC239">IF($A239="","",IFERROR(XLOOKUP($A239,'Auction Log'!$B$3:$B$300,'Auction Log'!$F$3:$F$300,""),""))</f>
        <v/>
      </c>
      <c r="AD239" s="12">
        <f t="array" ref="AD239">IF($A239="","",ROUND($Y239*XLOOKUP($F239,Settings!$I$15:$I$20,Settings!$K$15:$K$20,0.4),0))</f>
        <v>0</v>
      </c>
      <c r="AE239" s="12">
        <f t="array" ref="AE239">IF($A239="","",ROUND($Y239*XLOOKUP($F239,Settings!$I$15:$I$20,Settings!$L$15:$L$20,0.8),0))</f>
        <v>1</v>
      </c>
      <c r="AF239" s="12">
        <f t="array" ref="AF239">IF($A239="","",ROUND($Y239*XLOOKUP($F239,Settings!$I$15:$I$20,Settings!$M$15:$M$20,1),0))</f>
        <v>1</v>
      </c>
      <c r="AG239" s="12">
        <f t="array" ref="AG239">IF($A239="","",ROUND($Y239*XLOOKUP($F239,Settings!$I$15:$I$20,Settings!$N$15:$N$20,1.1),0))</f>
        <v>1</v>
      </c>
      <c r="AH239" s="12">
        <f t="array" ref="AH239">IF($A239="","",ROUND($Y239*XLOOKUP($F239,Settings!$I$15:$I$20,Settings!$O$15:$O$20,1.1)*Settings!$J$7,0))</f>
        <v>1</v>
      </c>
      <c r="AI239" s="12">
        <f t="array" ref="AI239">IF($A239="","",IF($AA239="Sold","",MIN($AH239,IFERROR(XLOOKUP(Settings!$B$12,Managers!$B$4:$B$15,Managers!$H$4:$H$15),$AH239))))</f>
        <v>1</v>
      </c>
      <c r="AJ239" s="12" t="str">
        <f t="shared" si="3"/>
        <v>Budget Drainer</v>
      </c>
      <c r="AK239" s="12">
        <f t="shared" si="4"/>
        <v>34</v>
      </c>
      <c r="AL239" s="12" t="str">
        <f t="shared" si="5"/>
        <v/>
      </c>
    </row>
    <row r="240" ht="15.75" customHeight="1">
      <c r="A240" s="10" t="s">
        <v>799</v>
      </c>
      <c r="B240" s="10" t="s">
        <v>800</v>
      </c>
      <c r="C240" s="10" t="s">
        <v>231</v>
      </c>
      <c r="D240" s="10" t="s">
        <v>576</v>
      </c>
      <c r="E240" s="10" t="s">
        <v>576</v>
      </c>
      <c r="F240" s="10" t="s">
        <v>114</v>
      </c>
      <c r="G240" s="10">
        <v>5.0</v>
      </c>
      <c r="H240" s="10">
        <v>7.0</v>
      </c>
      <c r="I240" s="10" t="s">
        <v>2140</v>
      </c>
      <c r="J240" s="10" t="s">
        <v>2136</v>
      </c>
      <c r="K240" s="10"/>
      <c r="L240" s="10">
        <v>139.5</v>
      </c>
      <c r="M240" s="10">
        <v>5.37</v>
      </c>
      <c r="N240" s="10"/>
      <c r="O240" s="10"/>
      <c r="P240" s="12">
        <f>IF($A240="","",IFERROR((IF($O240="",0,$O240)*Settings!$J$4+IF($L240="",0,$L240)*Settings!$J$5+IF($N240="",0,$N240)*Settings!$J$6)/(IF($O240="",0,Settings!$J$4)+IF($L240="",0,Settings!$J$5)+IF($N240="",0,Settings!$J$6)),0))</f>
        <v>139.5</v>
      </c>
      <c r="Q240" s="12">
        <f t="array" ref="Q240">IF($A240="","",XLOOKUP($E240,Settings!$A$19:$A$22,Settings!$G$19:$G$22,0))</f>
        <v>0</v>
      </c>
      <c r="R240" s="12">
        <f t="shared" si="1"/>
        <v>139.5</v>
      </c>
      <c r="S240" s="12">
        <f>IF($A240="","",IF($R240&lt;=0,1,1+$R240/SUMIF($R$4:$R$923,"&gt;0",$R$4:$R$923)*(Settings!$B$5*(Settings!$B$6-Settings!$B$7))))</f>
        <v>18.22413793</v>
      </c>
      <c r="T240" s="12">
        <f t="array" ref="T240">IF($A240="","",XLOOKUP($F240,Settings!$I$15:$I$20,Settings!$J$15:$J$20,1))</f>
        <v>0.9</v>
      </c>
      <c r="U240" s="12">
        <f>IF($A240="","",1+(($G240-5)/5)*Settings!$J$8)</f>
        <v>1</v>
      </c>
      <c r="V240" s="12">
        <f>IF($A240="","",1+(($H240-5)/5)*Settings!$J$9)</f>
        <v>1.06</v>
      </c>
      <c r="W240" s="12">
        <f t="array" ref="W240">IF($A240="","",XLOOKUP($J240,Lists!$C$3:$C$7,Lists!$D$3:$D$7,1))</f>
        <v>1</v>
      </c>
      <c r="X240" s="12">
        <f>IF($A240="","",IF($I240="Yes",Settings!$J$10,1))</f>
        <v>1</v>
      </c>
      <c r="Y240" s="12">
        <f t="shared" si="2"/>
        <v>17</v>
      </c>
      <c r="Z240" s="12">
        <f>IF($A240="","",IFERROR(ROUND(AVERAGEIFS('Historical Drafts'!$G$4:$G$300,'Historical Drafts'!$D$4:$D$300,$E240,'Historical Drafts'!$J$4:$J$300,"&gt;="&amp;$L240*0.85,'Historical Drafts'!$J$4:$J$300,"&lt;="&amp;$L240*1.15),0),$Y240))</f>
        <v>17</v>
      </c>
      <c r="AA240" s="12" t="str">
        <f>IF($A240="","",IF(COUNTIF('Auction Log'!$B$3:$B$300,$A240)&gt;0,"Sold","Available"))</f>
        <v>Available</v>
      </c>
      <c r="AB240" s="12" t="str">
        <f t="array" ref="AB240">IF($A240="","",IFERROR(XLOOKUP($A240,'Auction Log'!$B$3:$B$300,'Auction Log'!$G$3:$G$300,""),""))</f>
        <v/>
      </c>
      <c r="AC240" s="12" t="str">
        <f t="array" ref="AC240">IF($A240="","",IFERROR(XLOOKUP($A240,'Auction Log'!$B$3:$B$300,'Auction Log'!$F$3:$F$300,""),""))</f>
        <v/>
      </c>
      <c r="AD240" s="12">
        <f t="array" ref="AD240">IF($A240="","",ROUND($Y240*XLOOKUP($F240,Settings!$I$15:$I$20,Settings!$K$15:$K$20,0.4),0))</f>
        <v>4</v>
      </c>
      <c r="AE240" s="12">
        <f t="array" ref="AE240">IF($A240="","",ROUND($Y240*XLOOKUP($F240,Settings!$I$15:$I$20,Settings!$L$15:$L$20,0.8),0))</f>
        <v>10</v>
      </c>
      <c r="AF240" s="12">
        <f t="array" ref="AF240">IF($A240="","",ROUND($Y240*XLOOKUP($F240,Settings!$I$15:$I$20,Settings!$M$15:$M$20,1),0))</f>
        <v>14</v>
      </c>
      <c r="AG240" s="12">
        <f t="array" ref="AG240">IF($A240="","",ROUND($Y240*XLOOKUP($F240,Settings!$I$15:$I$20,Settings!$N$15:$N$20,1.1),0))</f>
        <v>16</v>
      </c>
      <c r="AH240" s="12">
        <f t="array" ref="AH240">IF($A240="","",ROUND($Y240*XLOOKUP($F240,Settings!$I$15:$I$20,Settings!$O$15:$O$20,1.1)*Settings!$J$7,0))</f>
        <v>17</v>
      </c>
      <c r="AI240" s="12">
        <f t="array" ref="AI240">IF($A240="","",IF($AA240="Sold","",MIN($AH240,IFERROR(XLOOKUP(Settings!$B$12,Managers!$B$4:$B$15,Managers!$H$4:$H$15),$AH240))))</f>
        <v>17</v>
      </c>
      <c r="AJ240" s="12" t="str">
        <f t="shared" si="3"/>
        <v>Recommended</v>
      </c>
      <c r="AK240" s="12">
        <f t="shared" si="4"/>
        <v>42</v>
      </c>
      <c r="AL240" s="12" t="str">
        <f t="shared" si="5"/>
        <v/>
      </c>
    </row>
    <row r="241" ht="15.75" customHeight="1">
      <c r="A241" s="10" t="s">
        <v>801</v>
      </c>
      <c r="B241" s="10" t="s">
        <v>802</v>
      </c>
      <c r="C241" s="10" t="s">
        <v>314</v>
      </c>
      <c r="D241" s="10" t="s">
        <v>118</v>
      </c>
      <c r="E241" s="10" t="s">
        <v>118</v>
      </c>
      <c r="F241" s="10" t="s">
        <v>114</v>
      </c>
      <c r="G241" s="10">
        <v>5.0</v>
      </c>
      <c r="H241" s="10">
        <v>7.0</v>
      </c>
      <c r="I241" s="10" t="s">
        <v>2140</v>
      </c>
      <c r="J241" s="10" t="s">
        <v>2136</v>
      </c>
      <c r="K241" s="10"/>
      <c r="L241" s="10">
        <v>135.5</v>
      </c>
      <c r="M241" s="10">
        <v>5.42</v>
      </c>
      <c r="N241" s="10"/>
      <c r="O241" s="10"/>
      <c r="P241" s="12">
        <f>IF($A241="","",IFERROR((IF($O241="",0,$O241)*Settings!$J$4+IF($L241="",0,$L241)*Settings!$J$5+IF($N241="",0,$N241)*Settings!$J$6)/(IF($O241="",0,Settings!$J$4)+IF($L241="",0,Settings!$J$5)+IF($N241="",0,Settings!$J$6)),0))</f>
        <v>135.5</v>
      </c>
      <c r="Q241" s="12">
        <f t="array" ref="Q241">IF($A241="","",XLOOKUP($E241,Settings!$A$19:$A$22,Settings!$G$19:$G$22,0))</f>
        <v>196.25</v>
      </c>
      <c r="R241" s="12">
        <f t="shared" si="1"/>
        <v>0</v>
      </c>
      <c r="S241" s="12">
        <f>IF($A241="","",IF($R241&lt;=0,1,1+$R241/SUMIF($R$4:$R$923,"&gt;0",$R$4:$R$923)*(Settings!$B$5*(Settings!$B$6-Settings!$B$7))))</f>
        <v>1</v>
      </c>
      <c r="T241" s="12">
        <f t="array" ref="T241">IF($A241="","",XLOOKUP($F241,Settings!$I$15:$I$20,Settings!$J$15:$J$20,1))</f>
        <v>0.9</v>
      </c>
      <c r="U241" s="12">
        <f>IF($A241="","",1+(($G241-5)/5)*Settings!$J$8)</f>
        <v>1</v>
      </c>
      <c r="V241" s="12">
        <f>IF($A241="","",1+(($H241-5)/5)*Settings!$J$9)</f>
        <v>1.06</v>
      </c>
      <c r="W241" s="12">
        <f t="array" ref="W241">IF($A241="","",XLOOKUP($J241,Lists!$C$3:$C$7,Lists!$D$3:$D$7,1))</f>
        <v>1</v>
      </c>
      <c r="X241" s="12">
        <f>IF($A241="","",IF($I241="Yes",Settings!$J$10,1))</f>
        <v>1</v>
      </c>
      <c r="Y241" s="12">
        <f t="shared" si="2"/>
        <v>1</v>
      </c>
      <c r="Z241" s="12">
        <f>IF($A241="","",IFERROR(ROUND(AVERAGEIFS('Historical Drafts'!$G$4:$G$300,'Historical Drafts'!$D$4:$D$300,$E241,'Historical Drafts'!$J$4:$J$300,"&gt;="&amp;$L241*0.85,'Historical Drafts'!$J$4:$J$300,"&lt;="&amp;$L241*1.15),0),$Y241))</f>
        <v>11</v>
      </c>
      <c r="AA241" s="12" t="str">
        <f>IF($A241="","",IF(COUNTIF('Auction Log'!$B$3:$B$300,$A241)&gt;0,"Sold","Available"))</f>
        <v>Available</v>
      </c>
      <c r="AB241" s="12" t="str">
        <f t="array" ref="AB241">IF($A241="","",IFERROR(XLOOKUP($A241,'Auction Log'!$B$3:$B$300,'Auction Log'!$G$3:$G$300,""),""))</f>
        <v/>
      </c>
      <c r="AC241" s="12" t="str">
        <f t="array" ref="AC241">IF($A241="","",IFERROR(XLOOKUP($A241,'Auction Log'!$B$3:$B$300,'Auction Log'!$F$3:$F$300,""),""))</f>
        <v/>
      </c>
      <c r="AD241" s="12">
        <f t="array" ref="AD241">IF($A241="","",ROUND($Y241*XLOOKUP($F241,Settings!$I$15:$I$20,Settings!$K$15:$K$20,0.4),0))</f>
        <v>0</v>
      </c>
      <c r="AE241" s="12">
        <f t="array" ref="AE241">IF($A241="","",ROUND($Y241*XLOOKUP($F241,Settings!$I$15:$I$20,Settings!$L$15:$L$20,0.8),0))</f>
        <v>1</v>
      </c>
      <c r="AF241" s="12">
        <f t="array" ref="AF241">IF($A241="","",ROUND($Y241*XLOOKUP($F241,Settings!$I$15:$I$20,Settings!$M$15:$M$20,1),0))</f>
        <v>1</v>
      </c>
      <c r="AG241" s="12">
        <f t="array" ref="AG241">IF($A241="","",ROUND($Y241*XLOOKUP($F241,Settings!$I$15:$I$20,Settings!$N$15:$N$20,1.1),0))</f>
        <v>1</v>
      </c>
      <c r="AH241" s="12">
        <f t="array" ref="AH241">IF($A241="","",ROUND($Y241*XLOOKUP($F241,Settings!$I$15:$I$20,Settings!$O$15:$O$20,1.1)*Settings!$J$7,0))</f>
        <v>1</v>
      </c>
      <c r="AI241" s="12">
        <f t="array" ref="AI241">IF($A241="","",IF($AA241="Sold","",MIN($AH241,IFERROR(XLOOKUP(Settings!$B$12,Managers!$B$4:$B$15,Managers!$H$4:$H$15),$AH241))))</f>
        <v>1</v>
      </c>
      <c r="AJ241" s="12" t="str">
        <f t="shared" si="3"/>
        <v>Budget Drainer</v>
      </c>
      <c r="AK241" s="12">
        <f t="shared" si="4"/>
        <v>36</v>
      </c>
      <c r="AL241" s="12" t="str">
        <f t="shared" si="5"/>
        <v/>
      </c>
    </row>
    <row r="242" ht="15.75" customHeight="1">
      <c r="A242" s="10" t="s">
        <v>803</v>
      </c>
      <c r="B242" s="10" t="s">
        <v>804</v>
      </c>
      <c r="C242" s="10" t="s">
        <v>805</v>
      </c>
      <c r="D242" s="10" t="s">
        <v>121</v>
      </c>
      <c r="E242" s="10" t="s">
        <v>121</v>
      </c>
      <c r="F242" s="10" t="s">
        <v>114</v>
      </c>
      <c r="G242" s="10">
        <v>5.0</v>
      </c>
      <c r="H242" s="10">
        <v>7.0</v>
      </c>
      <c r="I242" s="10" t="s">
        <v>2140</v>
      </c>
      <c r="J242" s="10" t="s">
        <v>2136</v>
      </c>
      <c r="K242" s="10"/>
      <c r="L242" s="10">
        <v>135.5</v>
      </c>
      <c r="M242" s="10">
        <v>4.84</v>
      </c>
      <c r="N242" s="10"/>
      <c r="O242" s="10"/>
      <c r="P242" s="12">
        <f>IF($A242="","",IFERROR((IF($O242="",0,$O242)*Settings!$J$4+IF($L242="",0,$L242)*Settings!$J$5+IF($N242="",0,$N242)*Settings!$J$6)/(IF($O242="",0,Settings!$J$4)+IF($L242="",0,Settings!$J$5)+IF($N242="",0,Settings!$J$6)),0))</f>
        <v>135.5</v>
      </c>
      <c r="Q242" s="12">
        <f t="array" ref="Q242">IF($A242="","",XLOOKUP($E242,Settings!$A$19:$A$22,Settings!$G$19:$G$22,0))</f>
        <v>206</v>
      </c>
      <c r="R242" s="12">
        <f t="shared" si="1"/>
        <v>0</v>
      </c>
      <c r="S242" s="12">
        <f>IF($A242="","",IF($R242&lt;=0,1,1+$R242/SUMIF($R$4:$R$923,"&gt;0",$R$4:$R$923)*(Settings!$B$5*(Settings!$B$6-Settings!$B$7))))</f>
        <v>1</v>
      </c>
      <c r="T242" s="12">
        <f t="array" ref="T242">IF($A242="","",XLOOKUP($F242,Settings!$I$15:$I$20,Settings!$J$15:$J$20,1))</f>
        <v>0.9</v>
      </c>
      <c r="U242" s="12">
        <f>IF($A242="","",1+(($G242-5)/5)*Settings!$J$8)</f>
        <v>1</v>
      </c>
      <c r="V242" s="12">
        <f>IF($A242="","",1+(($H242-5)/5)*Settings!$J$9)</f>
        <v>1.06</v>
      </c>
      <c r="W242" s="12">
        <f t="array" ref="W242">IF($A242="","",XLOOKUP($J242,Lists!$C$3:$C$7,Lists!$D$3:$D$7,1))</f>
        <v>1</v>
      </c>
      <c r="X242" s="12">
        <f>IF($A242="","",IF($I242="Yes",Settings!$J$10,1))</f>
        <v>1</v>
      </c>
      <c r="Y242" s="12">
        <f t="shared" si="2"/>
        <v>1</v>
      </c>
      <c r="Z242" s="12">
        <f>IF($A242="","",IFERROR(ROUND(AVERAGEIFS('Historical Drafts'!$G$4:$G$300,'Historical Drafts'!$D$4:$D$300,$E242,'Historical Drafts'!$J$4:$J$300,"&gt;="&amp;$L242*0.85,'Historical Drafts'!$J$4:$J$300,"&lt;="&amp;$L242*1.15),0),$Y242))</f>
        <v>6</v>
      </c>
      <c r="AA242" s="12" t="str">
        <f>IF($A242="","",IF(COUNTIF('Auction Log'!$B$3:$B$300,$A242)&gt;0,"Sold","Available"))</f>
        <v>Available</v>
      </c>
      <c r="AB242" s="12" t="str">
        <f t="array" ref="AB242">IF($A242="","",IFERROR(XLOOKUP($A242,'Auction Log'!$B$3:$B$300,'Auction Log'!$G$3:$G$300,""),""))</f>
        <v/>
      </c>
      <c r="AC242" s="12" t="str">
        <f t="array" ref="AC242">IF($A242="","",IFERROR(XLOOKUP($A242,'Auction Log'!$B$3:$B$300,'Auction Log'!$F$3:$F$300,""),""))</f>
        <v/>
      </c>
      <c r="AD242" s="12">
        <f t="array" ref="AD242">IF($A242="","",ROUND($Y242*XLOOKUP($F242,Settings!$I$15:$I$20,Settings!$K$15:$K$20,0.4),0))</f>
        <v>0</v>
      </c>
      <c r="AE242" s="12">
        <f t="array" ref="AE242">IF($A242="","",ROUND($Y242*XLOOKUP($F242,Settings!$I$15:$I$20,Settings!$L$15:$L$20,0.8),0))</f>
        <v>1</v>
      </c>
      <c r="AF242" s="12">
        <f t="array" ref="AF242">IF($A242="","",ROUND($Y242*XLOOKUP($F242,Settings!$I$15:$I$20,Settings!$M$15:$M$20,1),0))</f>
        <v>1</v>
      </c>
      <c r="AG242" s="12">
        <f t="array" ref="AG242">IF($A242="","",ROUND($Y242*XLOOKUP($F242,Settings!$I$15:$I$20,Settings!$N$15:$N$20,1.1),0))</f>
        <v>1</v>
      </c>
      <c r="AH242" s="12">
        <f t="array" ref="AH242">IF($A242="","",ROUND($Y242*XLOOKUP($F242,Settings!$I$15:$I$20,Settings!$O$15:$O$20,1.1)*Settings!$J$7,0))</f>
        <v>1</v>
      </c>
      <c r="AI242" s="12">
        <f t="array" ref="AI242">IF($A242="","",IF($AA242="Sold","",MIN($AH242,IFERROR(XLOOKUP(Settings!$B$12,Managers!$B$4:$B$15,Managers!$H$4:$H$15),$AH242))))</f>
        <v>1</v>
      </c>
      <c r="AJ242" s="12" t="str">
        <f t="shared" si="3"/>
        <v>Budget Drainer</v>
      </c>
      <c r="AK242" s="12">
        <f t="shared" si="4"/>
        <v>31</v>
      </c>
      <c r="AL242" s="12" t="str">
        <f t="shared" si="5"/>
        <v/>
      </c>
    </row>
    <row r="243" ht="15.75" customHeight="1">
      <c r="A243" s="10" t="s">
        <v>806</v>
      </c>
      <c r="B243" s="10" t="s">
        <v>807</v>
      </c>
      <c r="C243" s="10" t="s">
        <v>285</v>
      </c>
      <c r="D243" s="10" t="s">
        <v>123</v>
      </c>
      <c r="E243" s="10" t="s">
        <v>123</v>
      </c>
      <c r="F243" s="10" t="s">
        <v>114</v>
      </c>
      <c r="G243" s="10">
        <v>5.0</v>
      </c>
      <c r="H243" s="10">
        <v>7.0</v>
      </c>
      <c r="I243" s="10" t="s">
        <v>2140</v>
      </c>
      <c r="J243" s="10" t="s">
        <v>2136</v>
      </c>
      <c r="K243" s="10"/>
      <c r="L243" s="10">
        <v>135.0</v>
      </c>
      <c r="M243" s="10">
        <v>4.35</v>
      </c>
      <c r="N243" s="10"/>
      <c r="O243" s="10"/>
      <c r="P243" s="12">
        <f>IF($A243="","",IFERROR((IF($O243="",0,$O243)*Settings!$J$4+IF($L243="",0,$L243)*Settings!$J$5+IF($N243="",0,$N243)*Settings!$J$6)/(IF($O243="",0,Settings!$J$4)+IF($L243="",0,Settings!$J$5)+IF($N243="",0,Settings!$J$6)),0))</f>
        <v>135</v>
      </c>
      <c r="Q243" s="12">
        <f t="array" ref="Q243">IF($A243="","",XLOOKUP($E243,Settings!$A$19:$A$22,Settings!$G$19:$G$22,0))</f>
        <v>203</v>
      </c>
      <c r="R243" s="12">
        <f t="shared" si="1"/>
        <v>0</v>
      </c>
      <c r="S243" s="12">
        <f>IF($A243="","",IF($R243&lt;=0,1,1+$R243/SUMIF($R$4:$R$923,"&gt;0",$R$4:$R$923)*(Settings!$B$5*(Settings!$B$6-Settings!$B$7))))</f>
        <v>1</v>
      </c>
      <c r="T243" s="12">
        <f t="array" ref="T243">IF($A243="","",XLOOKUP($F243,Settings!$I$15:$I$20,Settings!$J$15:$J$20,1))</f>
        <v>0.9</v>
      </c>
      <c r="U243" s="12">
        <f>IF($A243="","",1+(($G243-5)/5)*Settings!$J$8)</f>
        <v>1</v>
      </c>
      <c r="V243" s="12">
        <f>IF($A243="","",1+(($H243-5)/5)*Settings!$J$9)</f>
        <v>1.06</v>
      </c>
      <c r="W243" s="12">
        <f t="array" ref="W243">IF($A243="","",XLOOKUP($J243,Lists!$C$3:$C$7,Lists!$D$3:$D$7,1))</f>
        <v>1</v>
      </c>
      <c r="X243" s="12">
        <f>IF($A243="","",IF($I243="Yes",Settings!$J$10,1))</f>
        <v>1</v>
      </c>
      <c r="Y243" s="12">
        <f t="shared" si="2"/>
        <v>1</v>
      </c>
      <c r="Z243" s="12">
        <f>IF($A243="","",IFERROR(ROUND(AVERAGEIFS('Historical Drafts'!$G$4:$G$300,'Historical Drafts'!$D$4:$D$300,$E243,'Historical Drafts'!$J$4:$J$300,"&gt;="&amp;$L243*0.85,'Historical Drafts'!$J$4:$J$300,"&lt;="&amp;$L243*1.15),0),$Y243))</f>
        <v>3</v>
      </c>
      <c r="AA243" s="12" t="str">
        <f>IF($A243="","",IF(COUNTIF('Auction Log'!$B$3:$B$300,$A243)&gt;0,"Sold","Available"))</f>
        <v>Available</v>
      </c>
      <c r="AB243" s="12" t="str">
        <f t="array" ref="AB243">IF($A243="","",IFERROR(XLOOKUP($A243,'Auction Log'!$B$3:$B$300,'Auction Log'!$G$3:$G$300,""),""))</f>
        <v/>
      </c>
      <c r="AC243" s="12" t="str">
        <f t="array" ref="AC243">IF($A243="","",IFERROR(XLOOKUP($A243,'Auction Log'!$B$3:$B$300,'Auction Log'!$F$3:$F$300,""),""))</f>
        <v/>
      </c>
      <c r="AD243" s="12">
        <f t="array" ref="AD243">IF($A243="","",ROUND($Y243*XLOOKUP($F243,Settings!$I$15:$I$20,Settings!$K$15:$K$20,0.4),0))</f>
        <v>0</v>
      </c>
      <c r="AE243" s="12">
        <f t="array" ref="AE243">IF($A243="","",ROUND($Y243*XLOOKUP($F243,Settings!$I$15:$I$20,Settings!$L$15:$L$20,0.8),0))</f>
        <v>1</v>
      </c>
      <c r="AF243" s="12">
        <f t="array" ref="AF243">IF($A243="","",ROUND($Y243*XLOOKUP($F243,Settings!$I$15:$I$20,Settings!$M$15:$M$20,1),0))</f>
        <v>1</v>
      </c>
      <c r="AG243" s="12">
        <f t="array" ref="AG243">IF($A243="","",ROUND($Y243*XLOOKUP($F243,Settings!$I$15:$I$20,Settings!$N$15:$N$20,1.1),0))</f>
        <v>1</v>
      </c>
      <c r="AH243" s="12">
        <f t="array" ref="AH243">IF($A243="","",ROUND($Y243*XLOOKUP($F243,Settings!$I$15:$I$20,Settings!$O$15:$O$20,1.1)*Settings!$J$7,0))</f>
        <v>1</v>
      </c>
      <c r="AI243" s="12">
        <f t="array" ref="AI243">IF($A243="","",IF($AA243="Sold","",MIN($AH243,IFERROR(XLOOKUP(Settings!$B$12,Managers!$B$4:$B$15,Managers!$H$4:$H$15),$AH243))))</f>
        <v>1</v>
      </c>
      <c r="AJ243" s="12" t="str">
        <f t="shared" si="3"/>
        <v>Budget Drainer</v>
      </c>
      <c r="AK243" s="12">
        <f t="shared" si="4"/>
        <v>28</v>
      </c>
      <c r="AL243" s="12" t="str">
        <f t="shared" si="5"/>
        <v/>
      </c>
    </row>
    <row r="244" ht="15.75" customHeight="1">
      <c r="A244" s="10" t="s">
        <v>808</v>
      </c>
      <c r="B244" s="10" t="s">
        <v>809</v>
      </c>
      <c r="C244" s="10" t="s">
        <v>285</v>
      </c>
      <c r="D244" s="10" t="s">
        <v>121</v>
      </c>
      <c r="E244" s="10" t="s">
        <v>121</v>
      </c>
      <c r="F244" s="10" t="s">
        <v>114</v>
      </c>
      <c r="G244" s="10">
        <v>5.0</v>
      </c>
      <c r="H244" s="10">
        <v>7.0</v>
      </c>
      <c r="I244" s="10" t="s">
        <v>2140</v>
      </c>
      <c r="J244" s="10" t="s">
        <v>2136</v>
      </c>
      <c r="K244" s="10"/>
      <c r="L244" s="10">
        <v>134.5</v>
      </c>
      <c r="M244" s="10">
        <v>5.38</v>
      </c>
      <c r="N244" s="10"/>
      <c r="O244" s="10"/>
      <c r="P244" s="12">
        <f>IF($A244="","",IFERROR((IF($O244="",0,$O244)*Settings!$J$4+IF($L244="",0,$L244)*Settings!$J$5+IF($N244="",0,$N244)*Settings!$J$6)/(IF($O244="",0,Settings!$J$4)+IF($L244="",0,Settings!$J$5)+IF($N244="",0,Settings!$J$6)),0))</f>
        <v>134.5</v>
      </c>
      <c r="Q244" s="12">
        <f t="array" ref="Q244">IF($A244="","",XLOOKUP($E244,Settings!$A$19:$A$22,Settings!$G$19:$G$22,0))</f>
        <v>206</v>
      </c>
      <c r="R244" s="12">
        <f t="shared" si="1"/>
        <v>0</v>
      </c>
      <c r="S244" s="12">
        <f>IF($A244="","",IF($R244&lt;=0,1,1+$R244/SUMIF($R$4:$R$923,"&gt;0",$R$4:$R$923)*(Settings!$B$5*(Settings!$B$6-Settings!$B$7))))</f>
        <v>1</v>
      </c>
      <c r="T244" s="12">
        <f t="array" ref="T244">IF($A244="","",XLOOKUP($F244,Settings!$I$15:$I$20,Settings!$J$15:$J$20,1))</f>
        <v>0.9</v>
      </c>
      <c r="U244" s="12">
        <f>IF($A244="","",1+(($G244-5)/5)*Settings!$J$8)</f>
        <v>1</v>
      </c>
      <c r="V244" s="12">
        <f>IF($A244="","",1+(($H244-5)/5)*Settings!$J$9)</f>
        <v>1.06</v>
      </c>
      <c r="W244" s="12">
        <f t="array" ref="W244">IF($A244="","",XLOOKUP($J244,Lists!$C$3:$C$7,Lists!$D$3:$D$7,1))</f>
        <v>1</v>
      </c>
      <c r="X244" s="12">
        <f>IF($A244="","",IF($I244="Yes",Settings!$J$10,1))</f>
        <v>1</v>
      </c>
      <c r="Y244" s="12">
        <f t="shared" si="2"/>
        <v>1</v>
      </c>
      <c r="Z244" s="12">
        <f>IF($A244="","",IFERROR(ROUND(AVERAGEIFS('Historical Drafts'!$G$4:$G$300,'Historical Drafts'!$D$4:$D$300,$E244,'Historical Drafts'!$J$4:$J$300,"&gt;="&amp;$L244*0.85,'Historical Drafts'!$J$4:$J$300,"&lt;="&amp;$L244*1.15),0),$Y244))</f>
        <v>6</v>
      </c>
      <c r="AA244" s="12" t="str">
        <f>IF($A244="","",IF(COUNTIF('Auction Log'!$B$3:$B$300,$A244)&gt;0,"Sold","Available"))</f>
        <v>Available</v>
      </c>
      <c r="AB244" s="12" t="str">
        <f t="array" ref="AB244">IF($A244="","",IFERROR(XLOOKUP($A244,'Auction Log'!$B$3:$B$300,'Auction Log'!$G$3:$G$300,""),""))</f>
        <v/>
      </c>
      <c r="AC244" s="12" t="str">
        <f t="array" ref="AC244">IF($A244="","",IFERROR(XLOOKUP($A244,'Auction Log'!$B$3:$B$300,'Auction Log'!$F$3:$F$300,""),""))</f>
        <v/>
      </c>
      <c r="AD244" s="12">
        <f t="array" ref="AD244">IF($A244="","",ROUND($Y244*XLOOKUP($F244,Settings!$I$15:$I$20,Settings!$K$15:$K$20,0.4),0))</f>
        <v>0</v>
      </c>
      <c r="AE244" s="12">
        <f t="array" ref="AE244">IF($A244="","",ROUND($Y244*XLOOKUP($F244,Settings!$I$15:$I$20,Settings!$L$15:$L$20,0.8),0))</f>
        <v>1</v>
      </c>
      <c r="AF244" s="12">
        <f t="array" ref="AF244">IF($A244="","",ROUND($Y244*XLOOKUP($F244,Settings!$I$15:$I$20,Settings!$M$15:$M$20,1),0))</f>
        <v>1</v>
      </c>
      <c r="AG244" s="12">
        <f t="array" ref="AG244">IF($A244="","",ROUND($Y244*XLOOKUP($F244,Settings!$I$15:$I$20,Settings!$N$15:$N$20,1.1),0))</f>
        <v>1</v>
      </c>
      <c r="AH244" s="12">
        <f t="array" ref="AH244">IF($A244="","",ROUND($Y244*XLOOKUP($F244,Settings!$I$15:$I$20,Settings!$O$15:$O$20,1.1)*Settings!$J$7,0))</f>
        <v>1</v>
      </c>
      <c r="AI244" s="12">
        <f t="array" ref="AI244">IF($A244="","",IF($AA244="Sold","",MIN($AH244,IFERROR(XLOOKUP(Settings!$B$12,Managers!$B$4:$B$15,Managers!$H$4:$H$15),$AH244))))</f>
        <v>1</v>
      </c>
      <c r="AJ244" s="12" t="str">
        <f t="shared" si="3"/>
        <v>Budget Drainer</v>
      </c>
      <c r="AK244" s="12">
        <f t="shared" si="4"/>
        <v>31</v>
      </c>
      <c r="AL244" s="12" t="str">
        <f t="shared" si="5"/>
        <v/>
      </c>
    </row>
    <row r="245" ht="15.75" customHeight="1">
      <c r="A245" s="10" t="s">
        <v>810</v>
      </c>
      <c r="B245" s="10" t="s">
        <v>811</v>
      </c>
      <c r="C245" s="10" t="s">
        <v>453</v>
      </c>
      <c r="D245" s="10" t="s">
        <v>121</v>
      </c>
      <c r="E245" s="10" t="s">
        <v>121</v>
      </c>
      <c r="F245" s="10" t="s">
        <v>114</v>
      </c>
      <c r="G245" s="10">
        <v>5.0</v>
      </c>
      <c r="H245" s="10">
        <v>7.0</v>
      </c>
      <c r="I245" s="10" t="s">
        <v>2140</v>
      </c>
      <c r="J245" s="10" t="s">
        <v>2136</v>
      </c>
      <c r="K245" s="10"/>
      <c r="L245" s="10">
        <v>134.5</v>
      </c>
      <c r="M245" s="10">
        <v>4.8</v>
      </c>
      <c r="N245" s="10"/>
      <c r="O245" s="10"/>
      <c r="P245" s="12">
        <f>IF($A245="","",IFERROR((IF($O245="",0,$O245)*Settings!$J$4+IF($L245="",0,$L245)*Settings!$J$5+IF($N245="",0,$N245)*Settings!$J$6)/(IF($O245="",0,Settings!$J$4)+IF($L245="",0,Settings!$J$5)+IF($N245="",0,Settings!$J$6)),0))</f>
        <v>134.5</v>
      </c>
      <c r="Q245" s="12">
        <f t="array" ref="Q245">IF($A245="","",XLOOKUP($E245,Settings!$A$19:$A$22,Settings!$G$19:$G$22,0))</f>
        <v>206</v>
      </c>
      <c r="R245" s="12">
        <f t="shared" si="1"/>
        <v>0</v>
      </c>
      <c r="S245" s="12">
        <f>IF($A245="","",IF($R245&lt;=0,1,1+$R245/SUMIF($R$4:$R$923,"&gt;0",$R$4:$R$923)*(Settings!$B$5*(Settings!$B$6-Settings!$B$7))))</f>
        <v>1</v>
      </c>
      <c r="T245" s="12">
        <f t="array" ref="T245">IF($A245="","",XLOOKUP($F245,Settings!$I$15:$I$20,Settings!$J$15:$J$20,1))</f>
        <v>0.9</v>
      </c>
      <c r="U245" s="12">
        <f>IF($A245="","",1+(($G245-5)/5)*Settings!$J$8)</f>
        <v>1</v>
      </c>
      <c r="V245" s="12">
        <f>IF($A245="","",1+(($H245-5)/5)*Settings!$J$9)</f>
        <v>1.06</v>
      </c>
      <c r="W245" s="12">
        <f t="array" ref="W245">IF($A245="","",XLOOKUP($J245,Lists!$C$3:$C$7,Lists!$D$3:$D$7,1))</f>
        <v>1</v>
      </c>
      <c r="X245" s="12">
        <f>IF($A245="","",IF($I245="Yes",Settings!$J$10,1))</f>
        <v>1</v>
      </c>
      <c r="Y245" s="12">
        <f t="shared" si="2"/>
        <v>1</v>
      </c>
      <c r="Z245" s="12">
        <f>IF($A245="","",IFERROR(ROUND(AVERAGEIFS('Historical Drafts'!$G$4:$G$300,'Historical Drafts'!$D$4:$D$300,$E245,'Historical Drafts'!$J$4:$J$300,"&gt;="&amp;$L245*0.85,'Historical Drafts'!$J$4:$J$300,"&lt;="&amp;$L245*1.15),0),$Y245))</f>
        <v>6</v>
      </c>
      <c r="AA245" s="12" t="str">
        <f>IF($A245="","",IF(COUNTIF('Auction Log'!$B$3:$B$300,$A245)&gt;0,"Sold","Available"))</f>
        <v>Available</v>
      </c>
      <c r="AB245" s="12" t="str">
        <f t="array" ref="AB245">IF($A245="","",IFERROR(XLOOKUP($A245,'Auction Log'!$B$3:$B$300,'Auction Log'!$G$3:$G$300,""),""))</f>
        <v/>
      </c>
      <c r="AC245" s="12" t="str">
        <f t="array" ref="AC245">IF($A245="","",IFERROR(XLOOKUP($A245,'Auction Log'!$B$3:$B$300,'Auction Log'!$F$3:$F$300,""),""))</f>
        <v/>
      </c>
      <c r="AD245" s="12">
        <f t="array" ref="AD245">IF($A245="","",ROUND($Y245*XLOOKUP($F245,Settings!$I$15:$I$20,Settings!$K$15:$K$20,0.4),0))</f>
        <v>0</v>
      </c>
      <c r="AE245" s="12">
        <f t="array" ref="AE245">IF($A245="","",ROUND($Y245*XLOOKUP($F245,Settings!$I$15:$I$20,Settings!$L$15:$L$20,0.8),0))</f>
        <v>1</v>
      </c>
      <c r="AF245" s="12">
        <f t="array" ref="AF245">IF($A245="","",ROUND($Y245*XLOOKUP($F245,Settings!$I$15:$I$20,Settings!$M$15:$M$20,1),0))</f>
        <v>1</v>
      </c>
      <c r="AG245" s="12">
        <f t="array" ref="AG245">IF($A245="","",ROUND($Y245*XLOOKUP($F245,Settings!$I$15:$I$20,Settings!$N$15:$N$20,1.1),0))</f>
        <v>1</v>
      </c>
      <c r="AH245" s="12">
        <f t="array" ref="AH245">IF($A245="","",ROUND($Y245*XLOOKUP($F245,Settings!$I$15:$I$20,Settings!$O$15:$O$20,1.1)*Settings!$J$7,0))</f>
        <v>1</v>
      </c>
      <c r="AI245" s="12">
        <f t="array" ref="AI245">IF($A245="","",IF($AA245="Sold","",MIN($AH245,IFERROR(XLOOKUP(Settings!$B$12,Managers!$B$4:$B$15,Managers!$H$4:$H$15),$AH245))))</f>
        <v>1</v>
      </c>
      <c r="AJ245" s="12" t="str">
        <f t="shared" si="3"/>
        <v>Budget Drainer</v>
      </c>
      <c r="AK245" s="12">
        <f t="shared" si="4"/>
        <v>31</v>
      </c>
      <c r="AL245" s="12" t="str">
        <f t="shared" si="5"/>
        <v/>
      </c>
    </row>
    <row r="246" ht="15.75" customHeight="1">
      <c r="A246" s="10" t="s">
        <v>812</v>
      </c>
      <c r="B246" s="10" t="s">
        <v>813</v>
      </c>
      <c r="C246" s="10" t="s">
        <v>314</v>
      </c>
      <c r="D246" s="10" t="s">
        <v>123</v>
      </c>
      <c r="E246" s="10" t="s">
        <v>123</v>
      </c>
      <c r="F246" s="10" t="s">
        <v>114</v>
      </c>
      <c r="G246" s="10">
        <v>5.0</v>
      </c>
      <c r="H246" s="10">
        <v>7.0</v>
      </c>
      <c r="I246" s="10" t="s">
        <v>2140</v>
      </c>
      <c r="J246" s="10" t="s">
        <v>2136</v>
      </c>
      <c r="K246" s="10"/>
      <c r="L246" s="10">
        <v>133.0</v>
      </c>
      <c r="M246" s="10">
        <v>4.75</v>
      </c>
      <c r="N246" s="10"/>
      <c r="O246" s="10"/>
      <c r="P246" s="12">
        <f>IF($A246="","",IFERROR((IF($O246="",0,$O246)*Settings!$J$4+IF($L246="",0,$L246)*Settings!$J$5+IF($N246="",0,$N246)*Settings!$J$6)/(IF($O246="",0,Settings!$J$4)+IF($L246="",0,Settings!$J$5)+IF($N246="",0,Settings!$J$6)),0))</f>
        <v>133</v>
      </c>
      <c r="Q246" s="12">
        <f t="array" ref="Q246">IF($A246="","",XLOOKUP($E246,Settings!$A$19:$A$22,Settings!$G$19:$G$22,0))</f>
        <v>203</v>
      </c>
      <c r="R246" s="12">
        <f t="shared" si="1"/>
        <v>0</v>
      </c>
      <c r="S246" s="12">
        <f>IF($A246="","",IF($R246&lt;=0,1,1+$R246/SUMIF($R$4:$R$923,"&gt;0",$R$4:$R$923)*(Settings!$B$5*(Settings!$B$6-Settings!$B$7))))</f>
        <v>1</v>
      </c>
      <c r="T246" s="12">
        <f t="array" ref="T246">IF($A246="","",XLOOKUP($F246,Settings!$I$15:$I$20,Settings!$J$15:$J$20,1))</f>
        <v>0.9</v>
      </c>
      <c r="U246" s="12">
        <f>IF($A246="","",1+(($G246-5)/5)*Settings!$J$8)</f>
        <v>1</v>
      </c>
      <c r="V246" s="12">
        <f>IF($A246="","",1+(($H246-5)/5)*Settings!$J$9)</f>
        <v>1.06</v>
      </c>
      <c r="W246" s="12">
        <f t="array" ref="W246">IF($A246="","",XLOOKUP($J246,Lists!$C$3:$C$7,Lists!$D$3:$D$7,1))</f>
        <v>1</v>
      </c>
      <c r="X246" s="12">
        <f>IF($A246="","",IF($I246="Yes",Settings!$J$10,1))</f>
        <v>1</v>
      </c>
      <c r="Y246" s="12">
        <f t="shared" si="2"/>
        <v>1</v>
      </c>
      <c r="Z246" s="12">
        <f>IF($A246="","",IFERROR(ROUND(AVERAGEIFS('Historical Drafts'!$G$4:$G$300,'Historical Drafts'!$D$4:$D$300,$E246,'Historical Drafts'!$J$4:$J$300,"&gt;="&amp;$L246*0.85,'Historical Drafts'!$J$4:$J$300,"&lt;="&amp;$L246*1.15),0),$Y246))</f>
        <v>3</v>
      </c>
      <c r="AA246" s="12" t="str">
        <f>IF($A246="","",IF(COUNTIF('Auction Log'!$B$3:$B$300,$A246)&gt;0,"Sold","Available"))</f>
        <v>Available</v>
      </c>
      <c r="AB246" s="12" t="str">
        <f t="array" ref="AB246">IF($A246="","",IFERROR(XLOOKUP($A246,'Auction Log'!$B$3:$B$300,'Auction Log'!$G$3:$G$300,""),""))</f>
        <v/>
      </c>
      <c r="AC246" s="12" t="str">
        <f t="array" ref="AC246">IF($A246="","",IFERROR(XLOOKUP($A246,'Auction Log'!$B$3:$B$300,'Auction Log'!$F$3:$F$300,""),""))</f>
        <v/>
      </c>
      <c r="AD246" s="12">
        <f t="array" ref="AD246">IF($A246="","",ROUND($Y246*XLOOKUP($F246,Settings!$I$15:$I$20,Settings!$K$15:$K$20,0.4),0))</f>
        <v>0</v>
      </c>
      <c r="AE246" s="12">
        <f t="array" ref="AE246">IF($A246="","",ROUND($Y246*XLOOKUP($F246,Settings!$I$15:$I$20,Settings!$L$15:$L$20,0.8),0))</f>
        <v>1</v>
      </c>
      <c r="AF246" s="12">
        <f t="array" ref="AF246">IF($A246="","",ROUND($Y246*XLOOKUP($F246,Settings!$I$15:$I$20,Settings!$M$15:$M$20,1),0))</f>
        <v>1</v>
      </c>
      <c r="AG246" s="12">
        <f t="array" ref="AG246">IF($A246="","",ROUND($Y246*XLOOKUP($F246,Settings!$I$15:$I$20,Settings!$N$15:$N$20,1.1),0))</f>
        <v>1</v>
      </c>
      <c r="AH246" s="12">
        <f t="array" ref="AH246">IF($A246="","",ROUND($Y246*XLOOKUP($F246,Settings!$I$15:$I$20,Settings!$O$15:$O$20,1.1)*Settings!$J$7,0))</f>
        <v>1</v>
      </c>
      <c r="AI246" s="12">
        <f t="array" ref="AI246">IF($A246="","",IF($AA246="Sold","",MIN($AH246,IFERROR(XLOOKUP(Settings!$B$12,Managers!$B$4:$B$15,Managers!$H$4:$H$15),$AH246))))</f>
        <v>1</v>
      </c>
      <c r="AJ246" s="12" t="str">
        <f t="shared" si="3"/>
        <v>Budget Drainer</v>
      </c>
      <c r="AK246" s="12">
        <f t="shared" si="4"/>
        <v>28</v>
      </c>
      <c r="AL246" s="12" t="str">
        <f t="shared" si="5"/>
        <v/>
      </c>
    </row>
    <row r="247" ht="15.75" customHeight="1">
      <c r="A247" s="10" t="s">
        <v>814</v>
      </c>
      <c r="B247" s="10" t="s">
        <v>815</v>
      </c>
      <c r="C247" s="10" t="s">
        <v>327</v>
      </c>
      <c r="D247" s="10" t="s">
        <v>121</v>
      </c>
      <c r="E247" s="10" t="s">
        <v>121</v>
      </c>
      <c r="F247" s="10" t="s">
        <v>114</v>
      </c>
      <c r="G247" s="10">
        <v>5.0</v>
      </c>
      <c r="H247" s="10">
        <v>7.0</v>
      </c>
      <c r="I247" s="10" t="s">
        <v>2140</v>
      </c>
      <c r="J247" s="10" t="s">
        <v>2136</v>
      </c>
      <c r="K247" s="10"/>
      <c r="L247" s="10">
        <v>132.5</v>
      </c>
      <c r="M247" s="10">
        <v>4.14</v>
      </c>
      <c r="N247" s="10"/>
      <c r="O247" s="10"/>
      <c r="P247" s="12">
        <f>IF($A247="","",IFERROR((IF($O247="",0,$O247)*Settings!$J$4+IF($L247="",0,$L247)*Settings!$J$5+IF($N247="",0,$N247)*Settings!$J$6)/(IF($O247="",0,Settings!$J$4)+IF($L247="",0,Settings!$J$5)+IF($N247="",0,Settings!$J$6)),0))</f>
        <v>132.5</v>
      </c>
      <c r="Q247" s="12">
        <f t="array" ref="Q247">IF($A247="","",XLOOKUP($E247,Settings!$A$19:$A$22,Settings!$G$19:$G$22,0))</f>
        <v>206</v>
      </c>
      <c r="R247" s="12">
        <f t="shared" si="1"/>
        <v>0</v>
      </c>
      <c r="S247" s="12">
        <f>IF($A247="","",IF($R247&lt;=0,1,1+$R247/SUMIF($R$4:$R$923,"&gt;0",$R$4:$R$923)*(Settings!$B$5*(Settings!$B$6-Settings!$B$7))))</f>
        <v>1</v>
      </c>
      <c r="T247" s="12">
        <f t="array" ref="T247">IF($A247="","",XLOOKUP($F247,Settings!$I$15:$I$20,Settings!$J$15:$J$20,1))</f>
        <v>0.9</v>
      </c>
      <c r="U247" s="12">
        <f>IF($A247="","",1+(($G247-5)/5)*Settings!$J$8)</f>
        <v>1</v>
      </c>
      <c r="V247" s="12">
        <f>IF($A247="","",1+(($H247-5)/5)*Settings!$J$9)</f>
        <v>1.06</v>
      </c>
      <c r="W247" s="12">
        <f t="array" ref="W247">IF($A247="","",XLOOKUP($J247,Lists!$C$3:$C$7,Lists!$D$3:$D$7,1))</f>
        <v>1</v>
      </c>
      <c r="X247" s="12">
        <f>IF($A247="","",IF($I247="Yes",Settings!$J$10,1))</f>
        <v>1</v>
      </c>
      <c r="Y247" s="12">
        <f t="shared" si="2"/>
        <v>1</v>
      </c>
      <c r="Z247" s="12">
        <f>IF($A247="","",IFERROR(ROUND(AVERAGEIFS('Historical Drafts'!$G$4:$G$300,'Historical Drafts'!$D$4:$D$300,$E247,'Historical Drafts'!$J$4:$J$300,"&gt;="&amp;$L247*0.85,'Historical Drafts'!$J$4:$J$300,"&lt;="&amp;$L247*1.15),0),$Y247))</f>
        <v>9</v>
      </c>
      <c r="AA247" s="12" t="str">
        <f>IF($A247="","",IF(COUNTIF('Auction Log'!$B$3:$B$300,$A247)&gt;0,"Sold","Available"))</f>
        <v>Available</v>
      </c>
      <c r="AB247" s="12" t="str">
        <f t="array" ref="AB247">IF($A247="","",IFERROR(XLOOKUP($A247,'Auction Log'!$B$3:$B$300,'Auction Log'!$G$3:$G$300,""),""))</f>
        <v/>
      </c>
      <c r="AC247" s="12" t="str">
        <f t="array" ref="AC247">IF($A247="","",IFERROR(XLOOKUP($A247,'Auction Log'!$B$3:$B$300,'Auction Log'!$F$3:$F$300,""),""))</f>
        <v/>
      </c>
      <c r="AD247" s="12">
        <f t="array" ref="AD247">IF($A247="","",ROUND($Y247*XLOOKUP($F247,Settings!$I$15:$I$20,Settings!$K$15:$K$20,0.4),0))</f>
        <v>0</v>
      </c>
      <c r="AE247" s="12">
        <f t="array" ref="AE247">IF($A247="","",ROUND($Y247*XLOOKUP($F247,Settings!$I$15:$I$20,Settings!$L$15:$L$20,0.8),0))</f>
        <v>1</v>
      </c>
      <c r="AF247" s="12">
        <f t="array" ref="AF247">IF($A247="","",ROUND($Y247*XLOOKUP($F247,Settings!$I$15:$I$20,Settings!$M$15:$M$20,1),0))</f>
        <v>1</v>
      </c>
      <c r="AG247" s="12">
        <f t="array" ref="AG247">IF($A247="","",ROUND($Y247*XLOOKUP($F247,Settings!$I$15:$I$20,Settings!$N$15:$N$20,1.1),0))</f>
        <v>1</v>
      </c>
      <c r="AH247" s="12">
        <f t="array" ref="AH247">IF($A247="","",ROUND($Y247*XLOOKUP($F247,Settings!$I$15:$I$20,Settings!$O$15:$O$20,1.1)*Settings!$J$7,0))</f>
        <v>1</v>
      </c>
      <c r="AI247" s="12">
        <f t="array" ref="AI247">IF($A247="","",IF($AA247="Sold","",MIN($AH247,IFERROR(XLOOKUP(Settings!$B$12,Managers!$B$4:$B$15,Managers!$H$4:$H$15),$AH247))))</f>
        <v>1</v>
      </c>
      <c r="AJ247" s="12" t="str">
        <f t="shared" si="3"/>
        <v>Budget Drainer</v>
      </c>
      <c r="AK247" s="12">
        <f t="shared" si="4"/>
        <v>34</v>
      </c>
      <c r="AL247" s="12" t="str">
        <f t="shared" si="5"/>
        <v/>
      </c>
    </row>
    <row r="248" ht="15.75" customHeight="1">
      <c r="A248" s="10" t="s">
        <v>816</v>
      </c>
      <c r="B248" s="10" t="s">
        <v>817</v>
      </c>
      <c r="C248" s="10" t="s">
        <v>199</v>
      </c>
      <c r="D248" s="10" t="s">
        <v>121</v>
      </c>
      <c r="E248" s="10" t="s">
        <v>121</v>
      </c>
      <c r="F248" s="10" t="s">
        <v>114</v>
      </c>
      <c r="G248" s="10">
        <v>5.0</v>
      </c>
      <c r="H248" s="10">
        <v>7.0</v>
      </c>
      <c r="I248" s="10" t="s">
        <v>2140</v>
      </c>
      <c r="J248" s="10" t="s">
        <v>2136</v>
      </c>
      <c r="K248" s="10"/>
      <c r="L248" s="10">
        <v>132.0</v>
      </c>
      <c r="M248" s="10">
        <v>7.33</v>
      </c>
      <c r="N248" s="10"/>
      <c r="O248" s="10"/>
      <c r="P248" s="12">
        <f>IF($A248="","",IFERROR((IF($O248="",0,$O248)*Settings!$J$4+IF($L248="",0,$L248)*Settings!$J$5+IF($N248="",0,$N248)*Settings!$J$6)/(IF($O248="",0,Settings!$J$4)+IF($L248="",0,Settings!$J$5)+IF($N248="",0,Settings!$J$6)),0))</f>
        <v>132</v>
      </c>
      <c r="Q248" s="12">
        <f t="array" ref="Q248">IF($A248="","",XLOOKUP($E248,Settings!$A$19:$A$22,Settings!$G$19:$G$22,0))</f>
        <v>206</v>
      </c>
      <c r="R248" s="12">
        <f t="shared" si="1"/>
        <v>0</v>
      </c>
      <c r="S248" s="12">
        <f>IF($A248="","",IF($R248&lt;=0,1,1+$R248/SUMIF($R$4:$R$923,"&gt;0",$R$4:$R$923)*(Settings!$B$5*(Settings!$B$6-Settings!$B$7))))</f>
        <v>1</v>
      </c>
      <c r="T248" s="12">
        <f t="array" ref="T248">IF($A248="","",XLOOKUP($F248,Settings!$I$15:$I$20,Settings!$J$15:$J$20,1))</f>
        <v>0.9</v>
      </c>
      <c r="U248" s="12">
        <f>IF($A248="","",1+(($G248-5)/5)*Settings!$J$8)</f>
        <v>1</v>
      </c>
      <c r="V248" s="12">
        <f>IF($A248="","",1+(($H248-5)/5)*Settings!$J$9)</f>
        <v>1.06</v>
      </c>
      <c r="W248" s="12">
        <f t="array" ref="W248">IF($A248="","",XLOOKUP($J248,Lists!$C$3:$C$7,Lists!$D$3:$D$7,1))</f>
        <v>1</v>
      </c>
      <c r="X248" s="12">
        <f>IF($A248="","",IF($I248="Yes",Settings!$J$10,1))</f>
        <v>1</v>
      </c>
      <c r="Y248" s="12">
        <f t="shared" si="2"/>
        <v>1</v>
      </c>
      <c r="Z248" s="12">
        <f>IF($A248="","",IFERROR(ROUND(AVERAGEIFS('Historical Drafts'!$G$4:$G$300,'Historical Drafts'!$D$4:$D$300,$E248,'Historical Drafts'!$J$4:$J$300,"&gt;="&amp;$L248*0.85,'Historical Drafts'!$J$4:$J$300,"&lt;="&amp;$L248*1.15),0),$Y248))</f>
        <v>9</v>
      </c>
      <c r="AA248" s="12" t="str">
        <f>IF($A248="","",IF(COUNTIF('Auction Log'!$B$3:$B$300,$A248)&gt;0,"Sold","Available"))</f>
        <v>Available</v>
      </c>
      <c r="AB248" s="12" t="str">
        <f t="array" ref="AB248">IF($A248="","",IFERROR(XLOOKUP($A248,'Auction Log'!$B$3:$B$300,'Auction Log'!$G$3:$G$300,""),""))</f>
        <v/>
      </c>
      <c r="AC248" s="12" t="str">
        <f t="array" ref="AC248">IF($A248="","",IFERROR(XLOOKUP($A248,'Auction Log'!$B$3:$B$300,'Auction Log'!$F$3:$F$300,""),""))</f>
        <v/>
      </c>
      <c r="AD248" s="12">
        <f t="array" ref="AD248">IF($A248="","",ROUND($Y248*XLOOKUP($F248,Settings!$I$15:$I$20,Settings!$K$15:$K$20,0.4),0))</f>
        <v>0</v>
      </c>
      <c r="AE248" s="12">
        <f t="array" ref="AE248">IF($A248="","",ROUND($Y248*XLOOKUP($F248,Settings!$I$15:$I$20,Settings!$L$15:$L$20,0.8),0))</f>
        <v>1</v>
      </c>
      <c r="AF248" s="12">
        <f t="array" ref="AF248">IF($A248="","",ROUND($Y248*XLOOKUP($F248,Settings!$I$15:$I$20,Settings!$M$15:$M$20,1),0))</f>
        <v>1</v>
      </c>
      <c r="AG248" s="12">
        <f t="array" ref="AG248">IF($A248="","",ROUND($Y248*XLOOKUP($F248,Settings!$I$15:$I$20,Settings!$N$15:$N$20,1.1),0))</f>
        <v>1</v>
      </c>
      <c r="AH248" s="12">
        <f t="array" ref="AH248">IF($A248="","",ROUND($Y248*XLOOKUP($F248,Settings!$I$15:$I$20,Settings!$O$15:$O$20,1.1)*Settings!$J$7,0))</f>
        <v>1</v>
      </c>
      <c r="AI248" s="12">
        <f t="array" ref="AI248">IF($A248="","",IF($AA248="Sold","",MIN($AH248,IFERROR(XLOOKUP(Settings!$B$12,Managers!$B$4:$B$15,Managers!$H$4:$H$15),$AH248))))</f>
        <v>1</v>
      </c>
      <c r="AJ248" s="12" t="str">
        <f t="shared" si="3"/>
        <v>Budget Drainer</v>
      </c>
      <c r="AK248" s="12">
        <f t="shared" si="4"/>
        <v>34</v>
      </c>
      <c r="AL248" s="12" t="str">
        <f t="shared" si="5"/>
        <v/>
      </c>
    </row>
    <row r="249" ht="15.75" customHeight="1">
      <c r="A249" s="10" t="s">
        <v>818</v>
      </c>
      <c r="B249" s="10" t="s">
        <v>819</v>
      </c>
      <c r="C249" s="10" t="s">
        <v>387</v>
      </c>
      <c r="D249" s="10" t="s">
        <v>121</v>
      </c>
      <c r="E249" s="10" t="s">
        <v>121</v>
      </c>
      <c r="F249" s="10" t="s">
        <v>114</v>
      </c>
      <c r="G249" s="10">
        <v>5.0</v>
      </c>
      <c r="H249" s="10">
        <v>7.0</v>
      </c>
      <c r="I249" s="10" t="s">
        <v>2140</v>
      </c>
      <c r="J249" s="10" t="s">
        <v>2136</v>
      </c>
      <c r="K249" s="10"/>
      <c r="L249" s="10">
        <v>131.5</v>
      </c>
      <c r="M249" s="10">
        <v>3.76</v>
      </c>
      <c r="N249" s="10"/>
      <c r="O249" s="10"/>
      <c r="P249" s="12">
        <f>IF($A249="","",IFERROR((IF($O249="",0,$O249)*Settings!$J$4+IF($L249="",0,$L249)*Settings!$J$5+IF($N249="",0,$N249)*Settings!$J$6)/(IF($O249="",0,Settings!$J$4)+IF($L249="",0,Settings!$J$5)+IF($N249="",0,Settings!$J$6)),0))</f>
        <v>131.5</v>
      </c>
      <c r="Q249" s="12">
        <f t="array" ref="Q249">IF($A249="","",XLOOKUP($E249,Settings!$A$19:$A$22,Settings!$G$19:$G$22,0))</f>
        <v>206</v>
      </c>
      <c r="R249" s="12">
        <f t="shared" si="1"/>
        <v>0</v>
      </c>
      <c r="S249" s="12">
        <f>IF($A249="","",IF($R249&lt;=0,1,1+$R249/SUMIF($R$4:$R$923,"&gt;0",$R$4:$R$923)*(Settings!$B$5*(Settings!$B$6-Settings!$B$7))))</f>
        <v>1</v>
      </c>
      <c r="T249" s="12">
        <f t="array" ref="T249">IF($A249="","",XLOOKUP($F249,Settings!$I$15:$I$20,Settings!$J$15:$J$20,1))</f>
        <v>0.9</v>
      </c>
      <c r="U249" s="12">
        <f>IF($A249="","",1+(($G249-5)/5)*Settings!$J$8)</f>
        <v>1</v>
      </c>
      <c r="V249" s="12">
        <f>IF($A249="","",1+(($H249-5)/5)*Settings!$J$9)</f>
        <v>1.06</v>
      </c>
      <c r="W249" s="12">
        <f t="array" ref="W249">IF($A249="","",XLOOKUP($J249,Lists!$C$3:$C$7,Lists!$D$3:$D$7,1))</f>
        <v>1</v>
      </c>
      <c r="X249" s="12">
        <f>IF($A249="","",IF($I249="Yes",Settings!$J$10,1))</f>
        <v>1</v>
      </c>
      <c r="Y249" s="12">
        <f t="shared" si="2"/>
        <v>1</v>
      </c>
      <c r="Z249" s="12">
        <f>IF($A249="","",IFERROR(ROUND(AVERAGEIFS('Historical Drafts'!$G$4:$G$300,'Historical Drafts'!$D$4:$D$300,$E249,'Historical Drafts'!$J$4:$J$300,"&gt;="&amp;$L249*0.85,'Historical Drafts'!$J$4:$J$300,"&lt;="&amp;$L249*1.15),0),$Y249))</f>
        <v>9</v>
      </c>
      <c r="AA249" s="12" t="str">
        <f>IF($A249="","",IF(COUNTIF('Auction Log'!$B$3:$B$300,$A249)&gt;0,"Sold","Available"))</f>
        <v>Available</v>
      </c>
      <c r="AB249" s="12" t="str">
        <f t="array" ref="AB249">IF($A249="","",IFERROR(XLOOKUP($A249,'Auction Log'!$B$3:$B$300,'Auction Log'!$G$3:$G$300,""),""))</f>
        <v/>
      </c>
      <c r="AC249" s="12" t="str">
        <f t="array" ref="AC249">IF($A249="","",IFERROR(XLOOKUP($A249,'Auction Log'!$B$3:$B$300,'Auction Log'!$F$3:$F$300,""),""))</f>
        <v/>
      </c>
      <c r="AD249" s="12">
        <f t="array" ref="AD249">IF($A249="","",ROUND($Y249*XLOOKUP($F249,Settings!$I$15:$I$20,Settings!$K$15:$K$20,0.4),0))</f>
        <v>0</v>
      </c>
      <c r="AE249" s="12">
        <f t="array" ref="AE249">IF($A249="","",ROUND($Y249*XLOOKUP($F249,Settings!$I$15:$I$20,Settings!$L$15:$L$20,0.8),0))</f>
        <v>1</v>
      </c>
      <c r="AF249" s="12">
        <f t="array" ref="AF249">IF($A249="","",ROUND($Y249*XLOOKUP($F249,Settings!$I$15:$I$20,Settings!$M$15:$M$20,1),0))</f>
        <v>1</v>
      </c>
      <c r="AG249" s="12">
        <f t="array" ref="AG249">IF($A249="","",ROUND($Y249*XLOOKUP($F249,Settings!$I$15:$I$20,Settings!$N$15:$N$20,1.1),0))</f>
        <v>1</v>
      </c>
      <c r="AH249" s="12">
        <f t="array" ref="AH249">IF($A249="","",ROUND($Y249*XLOOKUP($F249,Settings!$I$15:$I$20,Settings!$O$15:$O$20,1.1)*Settings!$J$7,0))</f>
        <v>1</v>
      </c>
      <c r="AI249" s="12">
        <f t="array" ref="AI249">IF($A249="","",IF($AA249="Sold","",MIN($AH249,IFERROR(XLOOKUP(Settings!$B$12,Managers!$B$4:$B$15,Managers!$H$4:$H$15),$AH249))))</f>
        <v>1</v>
      </c>
      <c r="AJ249" s="12" t="str">
        <f t="shared" si="3"/>
        <v>Budget Drainer</v>
      </c>
      <c r="AK249" s="12">
        <f t="shared" si="4"/>
        <v>34</v>
      </c>
      <c r="AL249" s="12" t="str">
        <f t="shared" si="5"/>
        <v/>
      </c>
    </row>
    <row r="250" ht="15.75" customHeight="1">
      <c r="A250" s="10" t="s">
        <v>360</v>
      </c>
      <c r="B250" s="10" t="s">
        <v>361</v>
      </c>
      <c r="C250" s="10" t="s">
        <v>226</v>
      </c>
      <c r="D250" s="10" t="s">
        <v>118</v>
      </c>
      <c r="E250" s="10" t="s">
        <v>118</v>
      </c>
      <c r="F250" s="10" t="s">
        <v>114</v>
      </c>
      <c r="G250" s="10">
        <v>5.0</v>
      </c>
      <c r="H250" s="10">
        <v>7.0</v>
      </c>
      <c r="I250" s="10" t="s">
        <v>2140</v>
      </c>
      <c r="J250" s="10" t="s">
        <v>2136</v>
      </c>
      <c r="K250" s="10"/>
      <c r="L250" s="10">
        <v>129.75</v>
      </c>
      <c r="M250" s="10">
        <v>6.18</v>
      </c>
      <c r="N250" s="10"/>
      <c r="O250" s="10"/>
      <c r="P250" s="12">
        <f>IF($A250="","",IFERROR((IF($O250="",0,$O250)*Settings!$J$4+IF($L250="",0,$L250)*Settings!$J$5+IF($N250="",0,$N250)*Settings!$J$6)/(IF($O250="",0,Settings!$J$4)+IF($L250="",0,Settings!$J$5)+IF($N250="",0,Settings!$J$6)),0))</f>
        <v>129.75</v>
      </c>
      <c r="Q250" s="12">
        <f t="array" ref="Q250">IF($A250="","",XLOOKUP($E250,Settings!$A$19:$A$22,Settings!$G$19:$G$22,0))</f>
        <v>196.25</v>
      </c>
      <c r="R250" s="12">
        <f t="shared" si="1"/>
        <v>0</v>
      </c>
      <c r="S250" s="12">
        <f>IF($A250="","",IF($R250&lt;=0,1,1+$R250/SUMIF($R$4:$R$923,"&gt;0",$R$4:$R$923)*(Settings!$B$5*(Settings!$B$6-Settings!$B$7))))</f>
        <v>1</v>
      </c>
      <c r="T250" s="12">
        <f t="array" ref="T250">IF($A250="","",XLOOKUP($F250,Settings!$I$15:$I$20,Settings!$J$15:$J$20,1))</f>
        <v>0.9</v>
      </c>
      <c r="U250" s="12">
        <f>IF($A250="","",1+(($G250-5)/5)*Settings!$J$8)</f>
        <v>1</v>
      </c>
      <c r="V250" s="12">
        <f>IF($A250="","",1+(($H250-5)/5)*Settings!$J$9)</f>
        <v>1.06</v>
      </c>
      <c r="W250" s="12">
        <f t="array" ref="W250">IF($A250="","",XLOOKUP($J250,Lists!$C$3:$C$7,Lists!$D$3:$D$7,1))</f>
        <v>1</v>
      </c>
      <c r="X250" s="12">
        <f>IF($A250="","",IF($I250="Yes",Settings!$J$10,1))</f>
        <v>1</v>
      </c>
      <c r="Y250" s="12">
        <f t="shared" si="2"/>
        <v>1</v>
      </c>
      <c r="Z250" s="12">
        <f>IF($A250="","",IFERROR(ROUND(AVERAGEIFS('Historical Drafts'!$G$4:$G$300,'Historical Drafts'!$D$4:$D$300,$E250,'Historical Drafts'!$J$4:$J$300,"&gt;="&amp;$L250*0.85,'Historical Drafts'!$J$4:$J$300,"&lt;="&amp;$L250*1.15),0),$Y250))</f>
        <v>14</v>
      </c>
      <c r="AA250" s="12" t="str">
        <f>IF($A250="","",IF(COUNTIF('Auction Log'!$B$3:$B$300,$A250)&gt;0,"Sold","Available"))</f>
        <v>Available</v>
      </c>
      <c r="AB250" s="12" t="str">
        <f t="array" ref="AB250">IF($A250="","",IFERROR(XLOOKUP($A250,'Auction Log'!$B$3:$B$300,'Auction Log'!$G$3:$G$300,""),""))</f>
        <v/>
      </c>
      <c r="AC250" s="12" t="str">
        <f t="array" ref="AC250">IF($A250="","",IFERROR(XLOOKUP($A250,'Auction Log'!$B$3:$B$300,'Auction Log'!$F$3:$F$300,""),""))</f>
        <v/>
      </c>
      <c r="AD250" s="12">
        <f t="array" ref="AD250">IF($A250="","",ROUND($Y250*XLOOKUP($F250,Settings!$I$15:$I$20,Settings!$K$15:$K$20,0.4),0))</f>
        <v>0</v>
      </c>
      <c r="AE250" s="12">
        <f t="array" ref="AE250">IF($A250="","",ROUND($Y250*XLOOKUP($F250,Settings!$I$15:$I$20,Settings!$L$15:$L$20,0.8),0))</f>
        <v>1</v>
      </c>
      <c r="AF250" s="12">
        <f t="array" ref="AF250">IF($A250="","",ROUND($Y250*XLOOKUP($F250,Settings!$I$15:$I$20,Settings!$M$15:$M$20,1),0))</f>
        <v>1</v>
      </c>
      <c r="AG250" s="12">
        <f t="array" ref="AG250">IF($A250="","",ROUND($Y250*XLOOKUP($F250,Settings!$I$15:$I$20,Settings!$N$15:$N$20,1.1),0))</f>
        <v>1</v>
      </c>
      <c r="AH250" s="12">
        <f t="array" ref="AH250">IF($A250="","",ROUND($Y250*XLOOKUP($F250,Settings!$I$15:$I$20,Settings!$O$15:$O$20,1.1)*Settings!$J$7,0))</f>
        <v>1</v>
      </c>
      <c r="AI250" s="12">
        <f t="array" ref="AI250">IF($A250="","",IF($AA250="Sold","",MIN($AH250,IFERROR(XLOOKUP(Settings!$B$12,Managers!$B$4:$B$15,Managers!$H$4:$H$15),$AH250))))</f>
        <v>1</v>
      </c>
      <c r="AJ250" s="12" t="str">
        <f t="shared" si="3"/>
        <v>Budget Drainer</v>
      </c>
      <c r="AK250" s="12">
        <f t="shared" si="4"/>
        <v>39</v>
      </c>
      <c r="AL250" s="12" t="str">
        <f t="shared" si="5"/>
        <v/>
      </c>
    </row>
    <row r="251" ht="15.75" customHeight="1">
      <c r="A251" s="10" t="s">
        <v>820</v>
      </c>
      <c r="B251" s="10" t="s">
        <v>821</v>
      </c>
      <c r="C251" s="10" t="s">
        <v>305</v>
      </c>
      <c r="D251" s="10" t="s">
        <v>121</v>
      </c>
      <c r="E251" s="10" t="s">
        <v>121</v>
      </c>
      <c r="F251" s="10" t="s">
        <v>114</v>
      </c>
      <c r="G251" s="10">
        <v>5.0</v>
      </c>
      <c r="H251" s="10">
        <v>7.0</v>
      </c>
      <c r="I251" s="10" t="s">
        <v>2140</v>
      </c>
      <c r="J251" s="10" t="s">
        <v>2136</v>
      </c>
      <c r="K251" s="10"/>
      <c r="L251" s="10">
        <v>129.5</v>
      </c>
      <c r="M251" s="10">
        <v>4.8</v>
      </c>
      <c r="N251" s="10"/>
      <c r="O251" s="10"/>
      <c r="P251" s="12">
        <f>IF($A251="","",IFERROR((IF($O251="",0,$O251)*Settings!$J$4+IF($L251="",0,$L251)*Settings!$J$5+IF($N251="",0,$N251)*Settings!$J$6)/(IF($O251="",0,Settings!$J$4)+IF($L251="",0,Settings!$J$5)+IF($N251="",0,Settings!$J$6)),0))</f>
        <v>129.5</v>
      </c>
      <c r="Q251" s="12">
        <f t="array" ref="Q251">IF($A251="","",XLOOKUP($E251,Settings!$A$19:$A$22,Settings!$G$19:$G$22,0))</f>
        <v>206</v>
      </c>
      <c r="R251" s="12">
        <f t="shared" si="1"/>
        <v>0</v>
      </c>
      <c r="S251" s="12">
        <f>IF($A251="","",IF($R251&lt;=0,1,1+$R251/SUMIF($R$4:$R$923,"&gt;0",$R$4:$R$923)*(Settings!$B$5*(Settings!$B$6-Settings!$B$7))))</f>
        <v>1</v>
      </c>
      <c r="T251" s="12">
        <f t="array" ref="T251">IF($A251="","",XLOOKUP($F251,Settings!$I$15:$I$20,Settings!$J$15:$J$20,1))</f>
        <v>0.9</v>
      </c>
      <c r="U251" s="12">
        <f>IF($A251="","",1+(($G251-5)/5)*Settings!$J$8)</f>
        <v>1</v>
      </c>
      <c r="V251" s="12">
        <f>IF($A251="","",1+(($H251-5)/5)*Settings!$J$9)</f>
        <v>1.06</v>
      </c>
      <c r="W251" s="12">
        <f t="array" ref="W251">IF($A251="","",XLOOKUP($J251,Lists!$C$3:$C$7,Lists!$D$3:$D$7,1))</f>
        <v>1</v>
      </c>
      <c r="X251" s="12">
        <f>IF($A251="","",IF($I251="Yes",Settings!$J$10,1))</f>
        <v>1</v>
      </c>
      <c r="Y251" s="12">
        <f t="shared" si="2"/>
        <v>1</v>
      </c>
      <c r="Z251" s="12">
        <f>IF($A251="","",IFERROR(ROUND(AVERAGEIFS('Historical Drafts'!$G$4:$G$300,'Historical Drafts'!$D$4:$D$300,$E251,'Historical Drafts'!$J$4:$J$300,"&gt;="&amp;$L251*0.85,'Historical Drafts'!$J$4:$J$300,"&lt;="&amp;$L251*1.15),0),$Y251))</f>
        <v>9</v>
      </c>
      <c r="AA251" s="12" t="str">
        <f>IF($A251="","",IF(COUNTIF('Auction Log'!$B$3:$B$300,$A251)&gt;0,"Sold","Available"))</f>
        <v>Available</v>
      </c>
      <c r="AB251" s="12" t="str">
        <f t="array" ref="AB251">IF($A251="","",IFERROR(XLOOKUP($A251,'Auction Log'!$B$3:$B$300,'Auction Log'!$G$3:$G$300,""),""))</f>
        <v/>
      </c>
      <c r="AC251" s="12" t="str">
        <f t="array" ref="AC251">IF($A251="","",IFERROR(XLOOKUP($A251,'Auction Log'!$B$3:$B$300,'Auction Log'!$F$3:$F$300,""),""))</f>
        <v/>
      </c>
      <c r="AD251" s="12">
        <f t="array" ref="AD251">IF($A251="","",ROUND($Y251*XLOOKUP($F251,Settings!$I$15:$I$20,Settings!$K$15:$K$20,0.4),0))</f>
        <v>0</v>
      </c>
      <c r="AE251" s="12">
        <f t="array" ref="AE251">IF($A251="","",ROUND($Y251*XLOOKUP($F251,Settings!$I$15:$I$20,Settings!$L$15:$L$20,0.8),0))</f>
        <v>1</v>
      </c>
      <c r="AF251" s="12">
        <f t="array" ref="AF251">IF($A251="","",ROUND($Y251*XLOOKUP($F251,Settings!$I$15:$I$20,Settings!$M$15:$M$20,1),0))</f>
        <v>1</v>
      </c>
      <c r="AG251" s="12">
        <f t="array" ref="AG251">IF($A251="","",ROUND($Y251*XLOOKUP($F251,Settings!$I$15:$I$20,Settings!$N$15:$N$20,1.1),0))</f>
        <v>1</v>
      </c>
      <c r="AH251" s="12">
        <f t="array" ref="AH251">IF($A251="","",ROUND($Y251*XLOOKUP($F251,Settings!$I$15:$I$20,Settings!$O$15:$O$20,1.1)*Settings!$J$7,0))</f>
        <v>1</v>
      </c>
      <c r="AI251" s="12">
        <f t="array" ref="AI251">IF($A251="","",IF($AA251="Sold","",MIN($AH251,IFERROR(XLOOKUP(Settings!$B$12,Managers!$B$4:$B$15,Managers!$H$4:$H$15),$AH251))))</f>
        <v>1</v>
      </c>
      <c r="AJ251" s="12" t="str">
        <f t="shared" si="3"/>
        <v>Budget Drainer</v>
      </c>
      <c r="AK251" s="12">
        <f t="shared" si="4"/>
        <v>34</v>
      </c>
      <c r="AL251" s="12" t="str">
        <f t="shared" si="5"/>
        <v/>
      </c>
    </row>
    <row r="252" ht="15.75" customHeight="1">
      <c r="A252" s="10" t="s">
        <v>479</v>
      </c>
      <c r="B252" s="10" t="s">
        <v>822</v>
      </c>
      <c r="C252" s="10" t="s">
        <v>188</v>
      </c>
      <c r="D252" s="10" t="s">
        <v>123</v>
      </c>
      <c r="E252" s="10" t="s">
        <v>123</v>
      </c>
      <c r="F252" s="10" t="s">
        <v>114</v>
      </c>
      <c r="G252" s="10">
        <v>5.0</v>
      </c>
      <c r="H252" s="10">
        <v>7.0</v>
      </c>
      <c r="I252" s="10" t="s">
        <v>2140</v>
      </c>
      <c r="J252" s="10" t="s">
        <v>2136</v>
      </c>
      <c r="K252" s="10"/>
      <c r="L252" s="10">
        <v>129.0</v>
      </c>
      <c r="M252" s="10">
        <v>5.86</v>
      </c>
      <c r="N252" s="10"/>
      <c r="O252" s="10"/>
      <c r="P252" s="12">
        <f>IF($A252="","",IFERROR((IF($O252="",0,$O252)*Settings!$J$4+IF($L252="",0,$L252)*Settings!$J$5+IF($N252="",0,$N252)*Settings!$J$6)/(IF($O252="",0,Settings!$J$4)+IF($L252="",0,Settings!$J$5)+IF($N252="",0,Settings!$J$6)),0))</f>
        <v>129</v>
      </c>
      <c r="Q252" s="12">
        <f t="array" ref="Q252">IF($A252="","",XLOOKUP($E252,Settings!$A$19:$A$22,Settings!$G$19:$G$22,0))</f>
        <v>203</v>
      </c>
      <c r="R252" s="12">
        <f t="shared" si="1"/>
        <v>0</v>
      </c>
      <c r="S252" s="12">
        <f>IF($A252="","",IF($R252&lt;=0,1,1+$R252/SUMIF($R$4:$R$923,"&gt;0",$R$4:$R$923)*(Settings!$B$5*(Settings!$B$6-Settings!$B$7))))</f>
        <v>1</v>
      </c>
      <c r="T252" s="12">
        <f t="array" ref="T252">IF($A252="","",XLOOKUP($F252,Settings!$I$15:$I$20,Settings!$J$15:$J$20,1))</f>
        <v>0.9</v>
      </c>
      <c r="U252" s="12">
        <f>IF($A252="","",1+(($G252-5)/5)*Settings!$J$8)</f>
        <v>1</v>
      </c>
      <c r="V252" s="12">
        <f>IF($A252="","",1+(($H252-5)/5)*Settings!$J$9)</f>
        <v>1.06</v>
      </c>
      <c r="W252" s="12">
        <f t="array" ref="W252">IF($A252="","",XLOOKUP($J252,Lists!$C$3:$C$7,Lists!$D$3:$D$7,1))</f>
        <v>1</v>
      </c>
      <c r="X252" s="12">
        <f>IF($A252="","",IF($I252="Yes",Settings!$J$10,1))</f>
        <v>1</v>
      </c>
      <c r="Y252" s="12">
        <f t="shared" si="2"/>
        <v>1</v>
      </c>
      <c r="Z252" s="12">
        <f>IF($A252="","",IFERROR(ROUND(AVERAGEIFS('Historical Drafts'!$G$4:$G$300,'Historical Drafts'!$D$4:$D$300,$E252,'Historical Drafts'!$J$4:$J$300,"&gt;="&amp;$L252*0.85,'Historical Drafts'!$J$4:$J$300,"&lt;="&amp;$L252*1.15),0),$Y252))</f>
        <v>3</v>
      </c>
      <c r="AA252" s="12" t="str">
        <f>IF($A252="","",IF(COUNTIF('Auction Log'!$B$3:$B$300,$A252)&gt;0,"Sold","Available"))</f>
        <v>Available</v>
      </c>
      <c r="AB252" s="12" t="str">
        <f t="array" ref="AB252">IF($A252="","",IFERROR(XLOOKUP($A252,'Auction Log'!$B$3:$B$300,'Auction Log'!$G$3:$G$300,""),""))</f>
        <v/>
      </c>
      <c r="AC252" s="12" t="str">
        <f t="array" ref="AC252">IF($A252="","",IFERROR(XLOOKUP($A252,'Auction Log'!$B$3:$B$300,'Auction Log'!$F$3:$F$300,""),""))</f>
        <v/>
      </c>
      <c r="AD252" s="12">
        <f t="array" ref="AD252">IF($A252="","",ROUND($Y252*XLOOKUP($F252,Settings!$I$15:$I$20,Settings!$K$15:$K$20,0.4),0))</f>
        <v>0</v>
      </c>
      <c r="AE252" s="12">
        <f t="array" ref="AE252">IF($A252="","",ROUND($Y252*XLOOKUP($F252,Settings!$I$15:$I$20,Settings!$L$15:$L$20,0.8),0))</f>
        <v>1</v>
      </c>
      <c r="AF252" s="12">
        <f t="array" ref="AF252">IF($A252="","",ROUND($Y252*XLOOKUP($F252,Settings!$I$15:$I$20,Settings!$M$15:$M$20,1),0))</f>
        <v>1</v>
      </c>
      <c r="AG252" s="12">
        <f t="array" ref="AG252">IF($A252="","",ROUND($Y252*XLOOKUP($F252,Settings!$I$15:$I$20,Settings!$N$15:$N$20,1.1),0))</f>
        <v>1</v>
      </c>
      <c r="AH252" s="12">
        <f t="array" ref="AH252">IF($A252="","",ROUND($Y252*XLOOKUP($F252,Settings!$I$15:$I$20,Settings!$O$15:$O$20,1.1)*Settings!$J$7,0))</f>
        <v>1</v>
      </c>
      <c r="AI252" s="12">
        <f t="array" ref="AI252">IF($A252="","",IF($AA252="Sold","",MIN($AH252,IFERROR(XLOOKUP(Settings!$B$12,Managers!$B$4:$B$15,Managers!$H$4:$H$15),$AH252))))</f>
        <v>1</v>
      </c>
      <c r="AJ252" s="12" t="str">
        <f t="shared" si="3"/>
        <v>Budget Drainer</v>
      </c>
      <c r="AK252" s="12">
        <f t="shared" si="4"/>
        <v>28</v>
      </c>
      <c r="AL252" s="12" t="str">
        <f t="shared" si="5"/>
        <v/>
      </c>
    </row>
    <row r="253" ht="15.75" customHeight="1">
      <c r="A253" s="10" t="s">
        <v>823</v>
      </c>
      <c r="B253" s="10" t="s">
        <v>824</v>
      </c>
      <c r="C253" s="10" t="s">
        <v>180</v>
      </c>
      <c r="D253" s="10" t="s">
        <v>118</v>
      </c>
      <c r="E253" s="10" t="s">
        <v>118</v>
      </c>
      <c r="F253" s="10" t="s">
        <v>114</v>
      </c>
      <c r="G253" s="10">
        <v>5.0</v>
      </c>
      <c r="H253" s="10">
        <v>7.0</v>
      </c>
      <c r="I253" s="10" t="s">
        <v>2140</v>
      </c>
      <c r="J253" s="10" t="s">
        <v>2136</v>
      </c>
      <c r="K253" s="10"/>
      <c r="L253" s="10">
        <v>127.25</v>
      </c>
      <c r="M253" s="10">
        <v>6.06</v>
      </c>
      <c r="N253" s="10"/>
      <c r="O253" s="10"/>
      <c r="P253" s="12">
        <f>IF($A253="","",IFERROR((IF($O253="",0,$O253)*Settings!$J$4+IF($L253="",0,$L253)*Settings!$J$5+IF($N253="",0,$N253)*Settings!$J$6)/(IF($O253="",0,Settings!$J$4)+IF($L253="",0,Settings!$J$5)+IF($N253="",0,Settings!$J$6)),0))</f>
        <v>127.25</v>
      </c>
      <c r="Q253" s="12">
        <f t="array" ref="Q253">IF($A253="","",XLOOKUP($E253,Settings!$A$19:$A$22,Settings!$G$19:$G$22,0))</f>
        <v>196.25</v>
      </c>
      <c r="R253" s="12">
        <f t="shared" si="1"/>
        <v>0</v>
      </c>
      <c r="S253" s="12">
        <f>IF($A253="","",IF($R253&lt;=0,1,1+$R253/SUMIF($R$4:$R$923,"&gt;0",$R$4:$R$923)*(Settings!$B$5*(Settings!$B$6-Settings!$B$7))))</f>
        <v>1</v>
      </c>
      <c r="T253" s="12">
        <f t="array" ref="T253">IF($A253="","",XLOOKUP($F253,Settings!$I$15:$I$20,Settings!$J$15:$J$20,1))</f>
        <v>0.9</v>
      </c>
      <c r="U253" s="12">
        <f>IF($A253="","",1+(($G253-5)/5)*Settings!$J$8)</f>
        <v>1</v>
      </c>
      <c r="V253" s="12">
        <f>IF($A253="","",1+(($H253-5)/5)*Settings!$J$9)</f>
        <v>1.06</v>
      </c>
      <c r="W253" s="12">
        <f t="array" ref="W253">IF($A253="","",XLOOKUP($J253,Lists!$C$3:$C$7,Lists!$D$3:$D$7,1))</f>
        <v>1</v>
      </c>
      <c r="X253" s="12">
        <f>IF($A253="","",IF($I253="Yes",Settings!$J$10,1))</f>
        <v>1</v>
      </c>
      <c r="Y253" s="12">
        <f t="shared" si="2"/>
        <v>1</v>
      </c>
      <c r="Z253" s="12">
        <f>IF($A253="","",IFERROR(ROUND(AVERAGEIFS('Historical Drafts'!$G$4:$G$300,'Historical Drafts'!$D$4:$D$300,$E253,'Historical Drafts'!$J$4:$J$300,"&gt;="&amp;$L253*0.85,'Historical Drafts'!$J$4:$J$300,"&lt;="&amp;$L253*1.15),0),$Y253))</f>
        <v>12</v>
      </c>
      <c r="AA253" s="12" t="str">
        <f>IF($A253="","",IF(COUNTIF('Auction Log'!$B$3:$B$300,$A253)&gt;0,"Sold","Available"))</f>
        <v>Available</v>
      </c>
      <c r="AB253" s="12" t="str">
        <f t="array" ref="AB253">IF($A253="","",IFERROR(XLOOKUP($A253,'Auction Log'!$B$3:$B$300,'Auction Log'!$G$3:$G$300,""),""))</f>
        <v/>
      </c>
      <c r="AC253" s="12" t="str">
        <f t="array" ref="AC253">IF($A253="","",IFERROR(XLOOKUP($A253,'Auction Log'!$B$3:$B$300,'Auction Log'!$F$3:$F$300,""),""))</f>
        <v/>
      </c>
      <c r="AD253" s="12">
        <f t="array" ref="AD253">IF($A253="","",ROUND($Y253*XLOOKUP($F253,Settings!$I$15:$I$20,Settings!$K$15:$K$20,0.4),0))</f>
        <v>0</v>
      </c>
      <c r="AE253" s="12">
        <f t="array" ref="AE253">IF($A253="","",ROUND($Y253*XLOOKUP($F253,Settings!$I$15:$I$20,Settings!$L$15:$L$20,0.8),0))</f>
        <v>1</v>
      </c>
      <c r="AF253" s="12">
        <f t="array" ref="AF253">IF($A253="","",ROUND($Y253*XLOOKUP($F253,Settings!$I$15:$I$20,Settings!$M$15:$M$20,1),0))</f>
        <v>1</v>
      </c>
      <c r="AG253" s="12">
        <f t="array" ref="AG253">IF($A253="","",ROUND($Y253*XLOOKUP($F253,Settings!$I$15:$I$20,Settings!$N$15:$N$20,1.1),0))</f>
        <v>1</v>
      </c>
      <c r="AH253" s="12">
        <f t="array" ref="AH253">IF($A253="","",ROUND($Y253*XLOOKUP($F253,Settings!$I$15:$I$20,Settings!$O$15:$O$20,1.1)*Settings!$J$7,0))</f>
        <v>1</v>
      </c>
      <c r="AI253" s="12">
        <f t="array" ref="AI253">IF($A253="","",IF($AA253="Sold","",MIN($AH253,IFERROR(XLOOKUP(Settings!$B$12,Managers!$B$4:$B$15,Managers!$H$4:$H$15),$AH253))))</f>
        <v>1</v>
      </c>
      <c r="AJ253" s="12" t="str">
        <f t="shared" si="3"/>
        <v>Budget Drainer</v>
      </c>
      <c r="AK253" s="12">
        <f t="shared" si="4"/>
        <v>37</v>
      </c>
      <c r="AL253" s="12" t="str">
        <f t="shared" si="5"/>
        <v/>
      </c>
    </row>
    <row r="254" ht="15.75" customHeight="1">
      <c r="A254" s="10" t="s">
        <v>825</v>
      </c>
      <c r="B254" s="10" t="s">
        <v>826</v>
      </c>
      <c r="C254" s="10" t="s">
        <v>226</v>
      </c>
      <c r="D254" s="10" t="s">
        <v>123</v>
      </c>
      <c r="E254" s="10" t="s">
        <v>123</v>
      </c>
      <c r="F254" s="10" t="s">
        <v>114</v>
      </c>
      <c r="G254" s="10">
        <v>5.0</v>
      </c>
      <c r="H254" s="10">
        <v>7.0</v>
      </c>
      <c r="I254" s="10" t="s">
        <v>2140</v>
      </c>
      <c r="J254" s="10" t="s">
        <v>2136</v>
      </c>
      <c r="K254" s="10"/>
      <c r="L254" s="10">
        <v>127.0</v>
      </c>
      <c r="M254" s="10">
        <v>5.29</v>
      </c>
      <c r="N254" s="10"/>
      <c r="O254" s="10"/>
      <c r="P254" s="12">
        <f>IF($A254="","",IFERROR((IF($O254="",0,$O254)*Settings!$J$4+IF($L254="",0,$L254)*Settings!$J$5+IF($N254="",0,$N254)*Settings!$J$6)/(IF($O254="",0,Settings!$J$4)+IF($L254="",0,Settings!$J$5)+IF($N254="",0,Settings!$J$6)),0))</f>
        <v>127</v>
      </c>
      <c r="Q254" s="12">
        <f t="array" ref="Q254">IF($A254="","",XLOOKUP($E254,Settings!$A$19:$A$22,Settings!$G$19:$G$22,0))</f>
        <v>203</v>
      </c>
      <c r="R254" s="12">
        <f t="shared" si="1"/>
        <v>0</v>
      </c>
      <c r="S254" s="12">
        <f>IF($A254="","",IF($R254&lt;=0,1,1+$R254/SUMIF($R$4:$R$923,"&gt;0",$R$4:$R$923)*(Settings!$B$5*(Settings!$B$6-Settings!$B$7))))</f>
        <v>1</v>
      </c>
      <c r="T254" s="12">
        <f t="array" ref="T254">IF($A254="","",XLOOKUP($F254,Settings!$I$15:$I$20,Settings!$J$15:$J$20,1))</f>
        <v>0.9</v>
      </c>
      <c r="U254" s="12">
        <f>IF($A254="","",1+(($G254-5)/5)*Settings!$J$8)</f>
        <v>1</v>
      </c>
      <c r="V254" s="12">
        <f>IF($A254="","",1+(($H254-5)/5)*Settings!$J$9)</f>
        <v>1.06</v>
      </c>
      <c r="W254" s="12">
        <f t="array" ref="W254">IF($A254="","",XLOOKUP($J254,Lists!$C$3:$C$7,Lists!$D$3:$D$7,1))</f>
        <v>1</v>
      </c>
      <c r="X254" s="12">
        <f>IF($A254="","",IF($I254="Yes",Settings!$J$10,1))</f>
        <v>1</v>
      </c>
      <c r="Y254" s="12">
        <f t="shared" si="2"/>
        <v>1</v>
      </c>
      <c r="Z254" s="12">
        <f>IF($A254="","",IFERROR(ROUND(AVERAGEIFS('Historical Drafts'!$G$4:$G$300,'Historical Drafts'!$D$4:$D$300,$E254,'Historical Drafts'!$J$4:$J$300,"&gt;="&amp;$L254*0.85,'Historical Drafts'!$J$4:$J$300,"&lt;="&amp;$L254*1.15),0),$Y254))</f>
        <v>3</v>
      </c>
      <c r="AA254" s="12" t="str">
        <f>IF($A254="","",IF(COUNTIF('Auction Log'!$B$3:$B$300,$A254)&gt;0,"Sold","Available"))</f>
        <v>Available</v>
      </c>
      <c r="AB254" s="12" t="str">
        <f t="array" ref="AB254">IF($A254="","",IFERROR(XLOOKUP($A254,'Auction Log'!$B$3:$B$300,'Auction Log'!$G$3:$G$300,""),""))</f>
        <v/>
      </c>
      <c r="AC254" s="12" t="str">
        <f t="array" ref="AC254">IF($A254="","",IFERROR(XLOOKUP($A254,'Auction Log'!$B$3:$B$300,'Auction Log'!$F$3:$F$300,""),""))</f>
        <v/>
      </c>
      <c r="AD254" s="12">
        <f t="array" ref="AD254">IF($A254="","",ROUND($Y254*XLOOKUP($F254,Settings!$I$15:$I$20,Settings!$K$15:$K$20,0.4),0))</f>
        <v>0</v>
      </c>
      <c r="AE254" s="12">
        <f t="array" ref="AE254">IF($A254="","",ROUND($Y254*XLOOKUP($F254,Settings!$I$15:$I$20,Settings!$L$15:$L$20,0.8),0))</f>
        <v>1</v>
      </c>
      <c r="AF254" s="12">
        <f t="array" ref="AF254">IF($A254="","",ROUND($Y254*XLOOKUP($F254,Settings!$I$15:$I$20,Settings!$M$15:$M$20,1),0))</f>
        <v>1</v>
      </c>
      <c r="AG254" s="12">
        <f t="array" ref="AG254">IF($A254="","",ROUND($Y254*XLOOKUP($F254,Settings!$I$15:$I$20,Settings!$N$15:$N$20,1.1),0))</f>
        <v>1</v>
      </c>
      <c r="AH254" s="12">
        <f t="array" ref="AH254">IF($A254="","",ROUND($Y254*XLOOKUP($F254,Settings!$I$15:$I$20,Settings!$O$15:$O$20,1.1)*Settings!$J$7,0))</f>
        <v>1</v>
      </c>
      <c r="AI254" s="12">
        <f t="array" ref="AI254">IF($A254="","",IF($AA254="Sold","",MIN($AH254,IFERROR(XLOOKUP(Settings!$B$12,Managers!$B$4:$B$15,Managers!$H$4:$H$15),$AH254))))</f>
        <v>1</v>
      </c>
      <c r="AJ254" s="12" t="str">
        <f t="shared" si="3"/>
        <v>Budget Drainer</v>
      </c>
      <c r="AK254" s="12">
        <f t="shared" si="4"/>
        <v>28</v>
      </c>
      <c r="AL254" s="12" t="str">
        <f t="shared" si="5"/>
        <v/>
      </c>
    </row>
    <row r="255" ht="15.75" customHeight="1">
      <c r="A255" s="10" t="s">
        <v>827</v>
      </c>
      <c r="B255" s="10" t="s">
        <v>828</v>
      </c>
      <c r="C255" s="10" t="s">
        <v>236</v>
      </c>
      <c r="D255" s="10" t="s">
        <v>118</v>
      </c>
      <c r="E255" s="10" t="s">
        <v>118</v>
      </c>
      <c r="F255" s="10" t="s">
        <v>114</v>
      </c>
      <c r="G255" s="10">
        <v>5.0</v>
      </c>
      <c r="H255" s="10">
        <v>7.0</v>
      </c>
      <c r="I255" s="10" t="s">
        <v>2140</v>
      </c>
      <c r="J255" s="10" t="s">
        <v>2136</v>
      </c>
      <c r="K255" s="10"/>
      <c r="L255" s="10">
        <v>126.0</v>
      </c>
      <c r="M255" s="10">
        <v>5.04</v>
      </c>
      <c r="N255" s="10"/>
      <c r="O255" s="10"/>
      <c r="P255" s="12">
        <f>IF($A255="","",IFERROR((IF($O255="",0,$O255)*Settings!$J$4+IF($L255="",0,$L255)*Settings!$J$5+IF($N255="",0,$N255)*Settings!$J$6)/(IF($O255="",0,Settings!$J$4)+IF($L255="",0,Settings!$J$5)+IF($N255="",0,Settings!$J$6)),0))</f>
        <v>126</v>
      </c>
      <c r="Q255" s="12">
        <f t="array" ref="Q255">IF($A255="","",XLOOKUP($E255,Settings!$A$19:$A$22,Settings!$G$19:$G$22,0))</f>
        <v>196.25</v>
      </c>
      <c r="R255" s="12">
        <f t="shared" si="1"/>
        <v>0</v>
      </c>
      <c r="S255" s="12">
        <f>IF($A255="","",IF($R255&lt;=0,1,1+$R255/SUMIF($R$4:$R$923,"&gt;0",$R$4:$R$923)*(Settings!$B$5*(Settings!$B$6-Settings!$B$7))))</f>
        <v>1</v>
      </c>
      <c r="T255" s="12">
        <f t="array" ref="T255">IF($A255="","",XLOOKUP($F255,Settings!$I$15:$I$20,Settings!$J$15:$J$20,1))</f>
        <v>0.9</v>
      </c>
      <c r="U255" s="12">
        <f>IF($A255="","",1+(($G255-5)/5)*Settings!$J$8)</f>
        <v>1</v>
      </c>
      <c r="V255" s="12">
        <f>IF($A255="","",1+(($H255-5)/5)*Settings!$J$9)</f>
        <v>1.06</v>
      </c>
      <c r="W255" s="12">
        <f t="array" ref="W255">IF($A255="","",XLOOKUP($J255,Lists!$C$3:$C$7,Lists!$D$3:$D$7,1))</f>
        <v>1</v>
      </c>
      <c r="X255" s="12">
        <f>IF($A255="","",IF($I255="Yes",Settings!$J$10,1))</f>
        <v>1</v>
      </c>
      <c r="Y255" s="12">
        <f t="shared" si="2"/>
        <v>1</v>
      </c>
      <c r="Z255" s="12">
        <f>IF($A255="","",IFERROR(ROUND(AVERAGEIFS('Historical Drafts'!$G$4:$G$300,'Historical Drafts'!$D$4:$D$300,$E255,'Historical Drafts'!$J$4:$J$300,"&gt;="&amp;$L255*0.85,'Historical Drafts'!$J$4:$J$300,"&lt;="&amp;$L255*1.15),0),$Y255))</f>
        <v>12</v>
      </c>
      <c r="AA255" s="12" t="str">
        <f>IF($A255="","",IF(COUNTIF('Auction Log'!$B$3:$B$300,$A255)&gt;0,"Sold","Available"))</f>
        <v>Available</v>
      </c>
      <c r="AB255" s="12" t="str">
        <f t="array" ref="AB255">IF($A255="","",IFERROR(XLOOKUP($A255,'Auction Log'!$B$3:$B$300,'Auction Log'!$G$3:$G$300,""),""))</f>
        <v/>
      </c>
      <c r="AC255" s="12" t="str">
        <f t="array" ref="AC255">IF($A255="","",IFERROR(XLOOKUP($A255,'Auction Log'!$B$3:$B$300,'Auction Log'!$F$3:$F$300,""),""))</f>
        <v/>
      </c>
      <c r="AD255" s="12">
        <f t="array" ref="AD255">IF($A255="","",ROUND($Y255*XLOOKUP($F255,Settings!$I$15:$I$20,Settings!$K$15:$K$20,0.4),0))</f>
        <v>0</v>
      </c>
      <c r="AE255" s="12">
        <f t="array" ref="AE255">IF($A255="","",ROUND($Y255*XLOOKUP($F255,Settings!$I$15:$I$20,Settings!$L$15:$L$20,0.8),0))</f>
        <v>1</v>
      </c>
      <c r="AF255" s="12">
        <f t="array" ref="AF255">IF($A255="","",ROUND($Y255*XLOOKUP($F255,Settings!$I$15:$I$20,Settings!$M$15:$M$20,1),0))</f>
        <v>1</v>
      </c>
      <c r="AG255" s="12">
        <f t="array" ref="AG255">IF($A255="","",ROUND($Y255*XLOOKUP($F255,Settings!$I$15:$I$20,Settings!$N$15:$N$20,1.1),0))</f>
        <v>1</v>
      </c>
      <c r="AH255" s="12">
        <f t="array" ref="AH255">IF($A255="","",ROUND($Y255*XLOOKUP($F255,Settings!$I$15:$I$20,Settings!$O$15:$O$20,1.1)*Settings!$J$7,0))</f>
        <v>1</v>
      </c>
      <c r="AI255" s="12">
        <f t="array" ref="AI255">IF($A255="","",IF($AA255="Sold","",MIN($AH255,IFERROR(XLOOKUP(Settings!$B$12,Managers!$B$4:$B$15,Managers!$H$4:$H$15),$AH255))))</f>
        <v>1</v>
      </c>
      <c r="AJ255" s="12" t="str">
        <f t="shared" si="3"/>
        <v>Budget Drainer</v>
      </c>
      <c r="AK255" s="12">
        <f t="shared" si="4"/>
        <v>37</v>
      </c>
      <c r="AL255" s="12" t="str">
        <f t="shared" si="5"/>
        <v/>
      </c>
    </row>
    <row r="256" ht="15.75" customHeight="1">
      <c r="A256" s="10" t="s">
        <v>829</v>
      </c>
      <c r="B256" s="10" t="s">
        <v>830</v>
      </c>
      <c r="C256" s="10" t="s">
        <v>243</v>
      </c>
      <c r="D256" s="10" t="s">
        <v>118</v>
      </c>
      <c r="E256" s="10" t="s">
        <v>118</v>
      </c>
      <c r="F256" s="10" t="s">
        <v>114</v>
      </c>
      <c r="G256" s="10">
        <v>5.0</v>
      </c>
      <c r="H256" s="10">
        <v>7.0</v>
      </c>
      <c r="I256" s="10" t="s">
        <v>2140</v>
      </c>
      <c r="J256" s="10" t="s">
        <v>2136</v>
      </c>
      <c r="K256" s="10"/>
      <c r="L256" s="10">
        <v>125.75</v>
      </c>
      <c r="M256" s="10">
        <v>5.24</v>
      </c>
      <c r="N256" s="10"/>
      <c r="O256" s="10"/>
      <c r="P256" s="12">
        <f>IF($A256="","",IFERROR((IF($O256="",0,$O256)*Settings!$J$4+IF($L256="",0,$L256)*Settings!$J$5+IF($N256="",0,$N256)*Settings!$J$6)/(IF($O256="",0,Settings!$J$4)+IF($L256="",0,Settings!$J$5)+IF($N256="",0,Settings!$J$6)),0))</f>
        <v>125.75</v>
      </c>
      <c r="Q256" s="12">
        <f t="array" ref="Q256">IF($A256="","",XLOOKUP($E256,Settings!$A$19:$A$22,Settings!$G$19:$G$22,0))</f>
        <v>196.25</v>
      </c>
      <c r="R256" s="12">
        <f t="shared" si="1"/>
        <v>0</v>
      </c>
      <c r="S256" s="12">
        <f>IF($A256="","",IF($R256&lt;=0,1,1+$R256/SUMIF($R$4:$R$923,"&gt;0",$R$4:$R$923)*(Settings!$B$5*(Settings!$B$6-Settings!$B$7))))</f>
        <v>1</v>
      </c>
      <c r="T256" s="12">
        <f t="array" ref="T256">IF($A256="","",XLOOKUP($F256,Settings!$I$15:$I$20,Settings!$J$15:$J$20,1))</f>
        <v>0.9</v>
      </c>
      <c r="U256" s="12">
        <f>IF($A256="","",1+(($G256-5)/5)*Settings!$J$8)</f>
        <v>1</v>
      </c>
      <c r="V256" s="12">
        <f>IF($A256="","",1+(($H256-5)/5)*Settings!$J$9)</f>
        <v>1.06</v>
      </c>
      <c r="W256" s="12">
        <f t="array" ref="W256">IF($A256="","",XLOOKUP($J256,Lists!$C$3:$C$7,Lists!$D$3:$D$7,1))</f>
        <v>1</v>
      </c>
      <c r="X256" s="12">
        <f>IF($A256="","",IF($I256="Yes",Settings!$J$10,1))</f>
        <v>1</v>
      </c>
      <c r="Y256" s="12">
        <f t="shared" si="2"/>
        <v>1</v>
      </c>
      <c r="Z256" s="12">
        <f>IF($A256="","",IFERROR(ROUND(AVERAGEIFS('Historical Drafts'!$G$4:$G$300,'Historical Drafts'!$D$4:$D$300,$E256,'Historical Drafts'!$J$4:$J$300,"&gt;="&amp;$L256*0.85,'Historical Drafts'!$J$4:$J$300,"&lt;="&amp;$L256*1.15),0),$Y256))</f>
        <v>12</v>
      </c>
      <c r="AA256" s="12" t="str">
        <f>IF($A256="","",IF(COUNTIF('Auction Log'!$B$3:$B$300,$A256)&gt;0,"Sold","Available"))</f>
        <v>Available</v>
      </c>
      <c r="AB256" s="12" t="str">
        <f t="array" ref="AB256">IF($A256="","",IFERROR(XLOOKUP($A256,'Auction Log'!$B$3:$B$300,'Auction Log'!$G$3:$G$300,""),""))</f>
        <v/>
      </c>
      <c r="AC256" s="12" t="str">
        <f t="array" ref="AC256">IF($A256="","",IFERROR(XLOOKUP($A256,'Auction Log'!$B$3:$B$300,'Auction Log'!$F$3:$F$300,""),""))</f>
        <v/>
      </c>
      <c r="AD256" s="12">
        <f t="array" ref="AD256">IF($A256="","",ROUND($Y256*XLOOKUP($F256,Settings!$I$15:$I$20,Settings!$K$15:$K$20,0.4),0))</f>
        <v>0</v>
      </c>
      <c r="AE256" s="12">
        <f t="array" ref="AE256">IF($A256="","",ROUND($Y256*XLOOKUP($F256,Settings!$I$15:$I$20,Settings!$L$15:$L$20,0.8),0))</f>
        <v>1</v>
      </c>
      <c r="AF256" s="12">
        <f t="array" ref="AF256">IF($A256="","",ROUND($Y256*XLOOKUP($F256,Settings!$I$15:$I$20,Settings!$M$15:$M$20,1),0))</f>
        <v>1</v>
      </c>
      <c r="AG256" s="12">
        <f t="array" ref="AG256">IF($A256="","",ROUND($Y256*XLOOKUP($F256,Settings!$I$15:$I$20,Settings!$N$15:$N$20,1.1),0))</f>
        <v>1</v>
      </c>
      <c r="AH256" s="12">
        <f t="array" ref="AH256">IF($A256="","",ROUND($Y256*XLOOKUP($F256,Settings!$I$15:$I$20,Settings!$O$15:$O$20,1.1)*Settings!$J$7,0))</f>
        <v>1</v>
      </c>
      <c r="AI256" s="12">
        <f t="array" ref="AI256">IF($A256="","",IF($AA256="Sold","",MIN($AH256,IFERROR(XLOOKUP(Settings!$B$12,Managers!$B$4:$B$15,Managers!$H$4:$H$15),$AH256))))</f>
        <v>1</v>
      </c>
      <c r="AJ256" s="12" t="str">
        <f t="shared" si="3"/>
        <v>Budget Drainer</v>
      </c>
      <c r="AK256" s="12">
        <f t="shared" si="4"/>
        <v>37</v>
      </c>
      <c r="AL256" s="12" t="str">
        <f t="shared" si="5"/>
        <v/>
      </c>
    </row>
    <row r="257" ht="15.75" customHeight="1">
      <c r="A257" s="10" t="s">
        <v>831</v>
      </c>
      <c r="B257" s="10" t="s">
        <v>832</v>
      </c>
      <c r="C257" s="10" t="s">
        <v>243</v>
      </c>
      <c r="D257" s="10" t="s">
        <v>123</v>
      </c>
      <c r="E257" s="10" t="s">
        <v>123</v>
      </c>
      <c r="F257" s="10" t="s">
        <v>114</v>
      </c>
      <c r="G257" s="10">
        <v>5.0</v>
      </c>
      <c r="H257" s="10">
        <v>7.0</v>
      </c>
      <c r="I257" s="10" t="s">
        <v>2140</v>
      </c>
      <c r="J257" s="10" t="s">
        <v>2136</v>
      </c>
      <c r="K257" s="10"/>
      <c r="L257" s="10">
        <v>125.0</v>
      </c>
      <c r="M257" s="10">
        <v>4.17</v>
      </c>
      <c r="N257" s="10"/>
      <c r="O257" s="10"/>
      <c r="P257" s="12">
        <f>IF($A257="","",IFERROR((IF($O257="",0,$O257)*Settings!$J$4+IF($L257="",0,$L257)*Settings!$J$5+IF($N257="",0,$N257)*Settings!$J$6)/(IF($O257="",0,Settings!$J$4)+IF($L257="",0,Settings!$J$5)+IF($N257="",0,Settings!$J$6)),0))</f>
        <v>125</v>
      </c>
      <c r="Q257" s="12">
        <f t="array" ref="Q257">IF($A257="","",XLOOKUP($E257,Settings!$A$19:$A$22,Settings!$G$19:$G$22,0))</f>
        <v>203</v>
      </c>
      <c r="R257" s="12">
        <f t="shared" si="1"/>
        <v>0</v>
      </c>
      <c r="S257" s="12">
        <f>IF($A257="","",IF($R257&lt;=0,1,1+$R257/SUMIF($R$4:$R$923,"&gt;0",$R$4:$R$923)*(Settings!$B$5*(Settings!$B$6-Settings!$B$7))))</f>
        <v>1</v>
      </c>
      <c r="T257" s="12">
        <f t="array" ref="T257">IF($A257="","",XLOOKUP($F257,Settings!$I$15:$I$20,Settings!$J$15:$J$20,1))</f>
        <v>0.9</v>
      </c>
      <c r="U257" s="12">
        <f>IF($A257="","",1+(($G257-5)/5)*Settings!$J$8)</f>
        <v>1</v>
      </c>
      <c r="V257" s="12">
        <f>IF($A257="","",1+(($H257-5)/5)*Settings!$J$9)</f>
        <v>1.06</v>
      </c>
      <c r="W257" s="12">
        <f t="array" ref="W257">IF($A257="","",XLOOKUP($J257,Lists!$C$3:$C$7,Lists!$D$3:$D$7,1))</f>
        <v>1</v>
      </c>
      <c r="X257" s="12">
        <f>IF($A257="","",IF($I257="Yes",Settings!$J$10,1))</f>
        <v>1</v>
      </c>
      <c r="Y257" s="12">
        <f t="shared" si="2"/>
        <v>1</v>
      </c>
      <c r="Z257" s="12">
        <f>IF($A257="","",IFERROR(ROUND(AVERAGEIFS('Historical Drafts'!$G$4:$G$300,'Historical Drafts'!$D$4:$D$300,$E257,'Historical Drafts'!$J$4:$J$300,"&gt;="&amp;$L257*0.85,'Historical Drafts'!$J$4:$J$300,"&lt;="&amp;$L257*1.15),0),$Y257))</f>
        <v>2</v>
      </c>
      <c r="AA257" s="12" t="str">
        <f>IF($A257="","",IF(COUNTIF('Auction Log'!$B$3:$B$300,$A257)&gt;0,"Sold","Available"))</f>
        <v>Available</v>
      </c>
      <c r="AB257" s="12" t="str">
        <f t="array" ref="AB257">IF($A257="","",IFERROR(XLOOKUP($A257,'Auction Log'!$B$3:$B$300,'Auction Log'!$G$3:$G$300,""),""))</f>
        <v/>
      </c>
      <c r="AC257" s="12" t="str">
        <f t="array" ref="AC257">IF($A257="","",IFERROR(XLOOKUP($A257,'Auction Log'!$B$3:$B$300,'Auction Log'!$F$3:$F$300,""),""))</f>
        <v/>
      </c>
      <c r="AD257" s="12">
        <f t="array" ref="AD257">IF($A257="","",ROUND($Y257*XLOOKUP($F257,Settings!$I$15:$I$20,Settings!$K$15:$K$20,0.4),0))</f>
        <v>0</v>
      </c>
      <c r="AE257" s="12">
        <f t="array" ref="AE257">IF($A257="","",ROUND($Y257*XLOOKUP($F257,Settings!$I$15:$I$20,Settings!$L$15:$L$20,0.8),0))</f>
        <v>1</v>
      </c>
      <c r="AF257" s="12">
        <f t="array" ref="AF257">IF($A257="","",ROUND($Y257*XLOOKUP($F257,Settings!$I$15:$I$20,Settings!$M$15:$M$20,1),0))</f>
        <v>1</v>
      </c>
      <c r="AG257" s="12">
        <f t="array" ref="AG257">IF($A257="","",ROUND($Y257*XLOOKUP($F257,Settings!$I$15:$I$20,Settings!$N$15:$N$20,1.1),0))</f>
        <v>1</v>
      </c>
      <c r="AH257" s="12">
        <f t="array" ref="AH257">IF($A257="","",ROUND($Y257*XLOOKUP($F257,Settings!$I$15:$I$20,Settings!$O$15:$O$20,1.1)*Settings!$J$7,0))</f>
        <v>1</v>
      </c>
      <c r="AI257" s="12">
        <f t="array" ref="AI257">IF($A257="","",IF($AA257="Sold","",MIN($AH257,IFERROR(XLOOKUP(Settings!$B$12,Managers!$B$4:$B$15,Managers!$H$4:$H$15),$AH257))))</f>
        <v>1</v>
      </c>
      <c r="AJ257" s="12" t="str">
        <f t="shared" si="3"/>
        <v>Budget Drainer</v>
      </c>
      <c r="AK257" s="12">
        <f t="shared" si="4"/>
        <v>27</v>
      </c>
      <c r="AL257" s="12" t="str">
        <f t="shared" si="5"/>
        <v/>
      </c>
    </row>
    <row r="258" ht="15.75" customHeight="1">
      <c r="A258" s="10" t="s">
        <v>833</v>
      </c>
      <c r="B258" s="10" t="s">
        <v>834</v>
      </c>
      <c r="C258" s="10" t="s">
        <v>566</v>
      </c>
      <c r="D258" s="10" t="s">
        <v>121</v>
      </c>
      <c r="E258" s="10" t="s">
        <v>121</v>
      </c>
      <c r="F258" s="10" t="s">
        <v>114</v>
      </c>
      <c r="G258" s="10">
        <v>5.0</v>
      </c>
      <c r="H258" s="10">
        <v>7.0</v>
      </c>
      <c r="I258" s="10" t="s">
        <v>2140</v>
      </c>
      <c r="J258" s="10" t="s">
        <v>2136</v>
      </c>
      <c r="K258" s="10"/>
      <c r="L258" s="10">
        <v>122.0</v>
      </c>
      <c r="M258" s="10">
        <v>6.78</v>
      </c>
      <c r="N258" s="10"/>
      <c r="O258" s="10"/>
      <c r="P258" s="12">
        <f>IF($A258="","",IFERROR((IF($O258="",0,$O258)*Settings!$J$4+IF($L258="",0,$L258)*Settings!$J$5+IF($N258="",0,$N258)*Settings!$J$6)/(IF($O258="",0,Settings!$J$4)+IF($L258="",0,Settings!$J$5)+IF($N258="",0,Settings!$J$6)),0))</f>
        <v>122</v>
      </c>
      <c r="Q258" s="12">
        <f t="array" ref="Q258">IF($A258="","",XLOOKUP($E258,Settings!$A$19:$A$22,Settings!$G$19:$G$22,0))</f>
        <v>206</v>
      </c>
      <c r="R258" s="12">
        <f t="shared" si="1"/>
        <v>0</v>
      </c>
      <c r="S258" s="12">
        <f>IF($A258="","",IF($R258&lt;=0,1,1+$R258/SUMIF($R$4:$R$923,"&gt;0",$R$4:$R$923)*(Settings!$B$5*(Settings!$B$6-Settings!$B$7))))</f>
        <v>1</v>
      </c>
      <c r="T258" s="12">
        <f t="array" ref="T258">IF($A258="","",XLOOKUP($F258,Settings!$I$15:$I$20,Settings!$J$15:$J$20,1))</f>
        <v>0.9</v>
      </c>
      <c r="U258" s="12">
        <f>IF($A258="","",1+(($G258-5)/5)*Settings!$J$8)</f>
        <v>1</v>
      </c>
      <c r="V258" s="12">
        <f>IF($A258="","",1+(($H258-5)/5)*Settings!$J$9)</f>
        <v>1.06</v>
      </c>
      <c r="W258" s="12">
        <f t="array" ref="W258">IF($A258="","",XLOOKUP($J258,Lists!$C$3:$C$7,Lists!$D$3:$D$7,1))</f>
        <v>1</v>
      </c>
      <c r="X258" s="12">
        <f>IF($A258="","",IF($I258="Yes",Settings!$J$10,1))</f>
        <v>1</v>
      </c>
      <c r="Y258" s="12">
        <f t="shared" si="2"/>
        <v>1</v>
      </c>
      <c r="Z258" s="12">
        <f>IF($A258="","",IFERROR(ROUND(AVERAGEIFS('Historical Drafts'!$G$4:$G$300,'Historical Drafts'!$D$4:$D$300,$E258,'Historical Drafts'!$J$4:$J$300,"&gt;="&amp;$L258*0.85,'Historical Drafts'!$J$4:$J$300,"&lt;="&amp;$L258*1.15),0),$Y258))</f>
        <v>11</v>
      </c>
      <c r="AA258" s="12" t="str">
        <f>IF($A258="","",IF(COUNTIF('Auction Log'!$B$3:$B$300,$A258)&gt;0,"Sold","Available"))</f>
        <v>Available</v>
      </c>
      <c r="AB258" s="12" t="str">
        <f t="array" ref="AB258">IF($A258="","",IFERROR(XLOOKUP($A258,'Auction Log'!$B$3:$B$300,'Auction Log'!$G$3:$G$300,""),""))</f>
        <v/>
      </c>
      <c r="AC258" s="12" t="str">
        <f t="array" ref="AC258">IF($A258="","",IFERROR(XLOOKUP($A258,'Auction Log'!$B$3:$B$300,'Auction Log'!$F$3:$F$300,""),""))</f>
        <v/>
      </c>
      <c r="AD258" s="12">
        <f t="array" ref="AD258">IF($A258="","",ROUND($Y258*XLOOKUP($F258,Settings!$I$15:$I$20,Settings!$K$15:$K$20,0.4),0))</f>
        <v>0</v>
      </c>
      <c r="AE258" s="12">
        <f t="array" ref="AE258">IF($A258="","",ROUND($Y258*XLOOKUP($F258,Settings!$I$15:$I$20,Settings!$L$15:$L$20,0.8),0))</f>
        <v>1</v>
      </c>
      <c r="AF258" s="12">
        <f t="array" ref="AF258">IF($A258="","",ROUND($Y258*XLOOKUP($F258,Settings!$I$15:$I$20,Settings!$M$15:$M$20,1),0))</f>
        <v>1</v>
      </c>
      <c r="AG258" s="12">
        <f t="array" ref="AG258">IF($A258="","",ROUND($Y258*XLOOKUP($F258,Settings!$I$15:$I$20,Settings!$N$15:$N$20,1.1),0))</f>
        <v>1</v>
      </c>
      <c r="AH258" s="12">
        <f t="array" ref="AH258">IF($A258="","",ROUND($Y258*XLOOKUP($F258,Settings!$I$15:$I$20,Settings!$O$15:$O$20,1.1)*Settings!$J$7,0))</f>
        <v>1</v>
      </c>
      <c r="AI258" s="12">
        <f t="array" ref="AI258">IF($A258="","",IF($AA258="Sold","",MIN($AH258,IFERROR(XLOOKUP(Settings!$B$12,Managers!$B$4:$B$15,Managers!$H$4:$H$15),$AH258))))</f>
        <v>1</v>
      </c>
      <c r="AJ258" s="12" t="str">
        <f t="shared" si="3"/>
        <v>Budget Drainer</v>
      </c>
      <c r="AK258" s="12">
        <f t="shared" si="4"/>
        <v>36</v>
      </c>
      <c r="AL258" s="12" t="str">
        <f t="shared" si="5"/>
        <v/>
      </c>
    </row>
    <row r="259" ht="15.75" customHeight="1">
      <c r="A259" s="10" t="s">
        <v>835</v>
      </c>
      <c r="B259" s="10" t="s">
        <v>836</v>
      </c>
      <c r="C259" s="10" t="s">
        <v>314</v>
      </c>
      <c r="D259" s="10" t="s">
        <v>123</v>
      </c>
      <c r="E259" s="10" t="s">
        <v>123</v>
      </c>
      <c r="F259" s="10" t="s">
        <v>114</v>
      </c>
      <c r="G259" s="10">
        <v>5.0</v>
      </c>
      <c r="H259" s="10">
        <v>7.0</v>
      </c>
      <c r="I259" s="10" t="s">
        <v>2140</v>
      </c>
      <c r="J259" s="10" t="s">
        <v>2136</v>
      </c>
      <c r="K259" s="10"/>
      <c r="L259" s="10">
        <v>122.0</v>
      </c>
      <c r="M259" s="10">
        <v>3.81</v>
      </c>
      <c r="N259" s="10"/>
      <c r="O259" s="10"/>
      <c r="P259" s="12">
        <f>IF($A259="","",IFERROR((IF($O259="",0,$O259)*Settings!$J$4+IF($L259="",0,$L259)*Settings!$J$5+IF($N259="",0,$N259)*Settings!$J$6)/(IF($O259="",0,Settings!$J$4)+IF($L259="",0,Settings!$J$5)+IF($N259="",0,Settings!$J$6)),0))</f>
        <v>122</v>
      </c>
      <c r="Q259" s="12">
        <f t="array" ref="Q259">IF($A259="","",XLOOKUP($E259,Settings!$A$19:$A$22,Settings!$G$19:$G$22,0))</f>
        <v>203</v>
      </c>
      <c r="R259" s="12">
        <f t="shared" si="1"/>
        <v>0</v>
      </c>
      <c r="S259" s="12">
        <f>IF($A259="","",IF($R259&lt;=0,1,1+$R259/SUMIF($R$4:$R$923,"&gt;0",$R$4:$R$923)*(Settings!$B$5*(Settings!$B$6-Settings!$B$7))))</f>
        <v>1</v>
      </c>
      <c r="T259" s="12">
        <f t="array" ref="T259">IF($A259="","",XLOOKUP($F259,Settings!$I$15:$I$20,Settings!$J$15:$J$20,1))</f>
        <v>0.9</v>
      </c>
      <c r="U259" s="12">
        <f>IF($A259="","",1+(($G259-5)/5)*Settings!$J$8)</f>
        <v>1</v>
      </c>
      <c r="V259" s="12">
        <f>IF($A259="","",1+(($H259-5)/5)*Settings!$J$9)</f>
        <v>1.06</v>
      </c>
      <c r="W259" s="12">
        <f t="array" ref="W259">IF($A259="","",XLOOKUP($J259,Lists!$C$3:$C$7,Lists!$D$3:$D$7,1))</f>
        <v>1</v>
      </c>
      <c r="X259" s="12">
        <f>IF($A259="","",IF($I259="Yes",Settings!$J$10,1))</f>
        <v>1</v>
      </c>
      <c r="Y259" s="12">
        <f t="shared" si="2"/>
        <v>1</v>
      </c>
      <c r="Z259" s="12">
        <f>IF($A259="","",IFERROR(ROUND(AVERAGEIFS('Historical Drafts'!$G$4:$G$300,'Historical Drafts'!$D$4:$D$300,$E259,'Historical Drafts'!$J$4:$J$300,"&gt;="&amp;$L259*0.85,'Historical Drafts'!$J$4:$J$300,"&lt;="&amp;$L259*1.15),0),$Y259))</f>
        <v>2</v>
      </c>
      <c r="AA259" s="12" t="str">
        <f>IF($A259="","",IF(COUNTIF('Auction Log'!$B$3:$B$300,$A259)&gt;0,"Sold","Available"))</f>
        <v>Available</v>
      </c>
      <c r="AB259" s="12" t="str">
        <f t="array" ref="AB259">IF($A259="","",IFERROR(XLOOKUP($A259,'Auction Log'!$B$3:$B$300,'Auction Log'!$G$3:$G$300,""),""))</f>
        <v/>
      </c>
      <c r="AC259" s="12" t="str">
        <f t="array" ref="AC259">IF($A259="","",IFERROR(XLOOKUP($A259,'Auction Log'!$B$3:$B$300,'Auction Log'!$F$3:$F$300,""),""))</f>
        <v/>
      </c>
      <c r="AD259" s="12">
        <f t="array" ref="AD259">IF($A259="","",ROUND($Y259*XLOOKUP($F259,Settings!$I$15:$I$20,Settings!$K$15:$K$20,0.4),0))</f>
        <v>0</v>
      </c>
      <c r="AE259" s="12">
        <f t="array" ref="AE259">IF($A259="","",ROUND($Y259*XLOOKUP($F259,Settings!$I$15:$I$20,Settings!$L$15:$L$20,0.8),0))</f>
        <v>1</v>
      </c>
      <c r="AF259" s="12">
        <f t="array" ref="AF259">IF($A259="","",ROUND($Y259*XLOOKUP($F259,Settings!$I$15:$I$20,Settings!$M$15:$M$20,1),0))</f>
        <v>1</v>
      </c>
      <c r="AG259" s="12">
        <f t="array" ref="AG259">IF($A259="","",ROUND($Y259*XLOOKUP($F259,Settings!$I$15:$I$20,Settings!$N$15:$N$20,1.1),0))</f>
        <v>1</v>
      </c>
      <c r="AH259" s="12">
        <f t="array" ref="AH259">IF($A259="","",ROUND($Y259*XLOOKUP($F259,Settings!$I$15:$I$20,Settings!$O$15:$O$20,1.1)*Settings!$J$7,0))</f>
        <v>1</v>
      </c>
      <c r="AI259" s="12">
        <f t="array" ref="AI259">IF($A259="","",IF($AA259="Sold","",MIN($AH259,IFERROR(XLOOKUP(Settings!$B$12,Managers!$B$4:$B$15,Managers!$H$4:$H$15),$AH259))))</f>
        <v>1</v>
      </c>
      <c r="AJ259" s="12" t="str">
        <f t="shared" si="3"/>
        <v>Budget Drainer</v>
      </c>
      <c r="AK259" s="12">
        <f t="shared" si="4"/>
        <v>27</v>
      </c>
      <c r="AL259" s="12" t="str">
        <f t="shared" si="5"/>
        <v/>
      </c>
    </row>
    <row r="260" ht="15.75" customHeight="1">
      <c r="A260" s="10" t="s">
        <v>837</v>
      </c>
      <c r="B260" s="10" t="s">
        <v>838</v>
      </c>
      <c r="C260" s="10" t="s">
        <v>180</v>
      </c>
      <c r="D260" s="10" t="s">
        <v>121</v>
      </c>
      <c r="E260" s="10" t="s">
        <v>121</v>
      </c>
      <c r="F260" s="10" t="s">
        <v>114</v>
      </c>
      <c r="G260" s="10">
        <v>5.0</v>
      </c>
      <c r="H260" s="10">
        <v>7.0</v>
      </c>
      <c r="I260" s="10" t="s">
        <v>2140</v>
      </c>
      <c r="J260" s="10" t="s">
        <v>2136</v>
      </c>
      <c r="K260" s="10"/>
      <c r="L260" s="10">
        <v>121.5</v>
      </c>
      <c r="M260" s="10">
        <v>4.86</v>
      </c>
      <c r="N260" s="10"/>
      <c r="O260" s="10"/>
      <c r="P260" s="12">
        <f>IF($A260="","",IFERROR((IF($O260="",0,$O260)*Settings!$J$4+IF($L260="",0,$L260)*Settings!$J$5+IF($N260="",0,$N260)*Settings!$J$6)/(IF($O260="",0,Settings!$J$4)+IF($L260="",0,Settings!$J$5)+IF($N260="",0,Settings!$J$6)),0))</f>
        <v>121.5</v>
      </c>
      <c r="Q260" s="12">
        <f t="array" ref="Q260">IF($A260="","",XLOOKUP($E260,Settings!$A$19:$A$22,Settings!$G$19:$G$22,0))</f>
        <v>206</v>
      </c>
      <c r="R260" s="12">
        <f t="shared" si="1"/>
        <v>0</v>
      </c>
      <c r="S260" s="12">
        <f>IF($A260="","",IF($R260&lt;=0,1,1+$R260/SUMIF($R$4:$R$923,"&gt;0",$R$4:$R$923)*(Settings!$B$5*(Settings!$B$6-Settings!$B$7))))</f>
        <v>1</v>
      </c>
      <c r="T260" s="12">
        <f t="array" ref="T260">IF($A260="","",XLOOKUP($F260,Settings!$I$15:$I$20,Settings!$J$15:$J$20,1))</f>
        <v>0.9</v>
      </c>
      <c r="U260" s="12">
        <f>IF($A260="","",1+(($G260-5)/5)*Settings!$J$8)</f>
        <v>1</v>
      </c>
      <c r="V260" s="12">
        <f>IF($A260="","",1+(($H260-5)/5)*Settings!$J$9)</f>
        <v>1.06</v>
      </c>
      <c r="W260" s="12">
        <f t="array" ref="W260">IF($A260="","",XLOOKUP($J260,Lists!$C$3:$C$7,Lists!$D$3:$D$7,1))</f>
        <v>1</v>
      </c>
      <c r="X260" s="12">
        <f>IF($A260="","",IF($I260="Yes",Settings!$J$10,1))</f>
        <v>1</v>
      </c>
      <c r="Y260" s="12">
        <f t="shared" si="2"/>
        <v>1</v>
      </c>
      <c r="Z260" s="12">
        <f>IF($A260="","",IFERROR(ROUND(AVERAGEIFS('Historical Drafts'!$G$4:$G$300,'Historical Drafts'!$D$4:$D$300,$E260,'Historical Drafts'!$J$4:$J$300,"&gt;="&amp;$L260*0.85,'Historical Drafts'!$J$4:$J$300,"&lt;="&amp;$L260*1.15),0),$Y260))</f>
        <v>11</v>
      </c>
      <c r="AA260" s="12" t="str">
        <f>IF($A260="","",IF(COUNTIF('Auction Log'!$B$3:$B$300,$A260)&gt;0,"Sold","Available"))</f>
        <v>Available</v>
      </c>
      <c r="AB260" s="12" t="str">
        <f t="array" ref="AB260">IF($A260="","",IFERROR(XLOOKUP($A260,'Auction Log'!$B$3:$B$300,'Auction Log'!$G$3:$G$300,""),""))</f>
        <v/>
      </c>
      <c r="AC260" s="12" t="str">
        <f t="array" ref="AC260">IF($A260="","",IFERROR(XLOOKUP($A260,'Auction Log'!$B$3:$B$300,'Auction Log'!$F$3:$F$300,""),""))</f>
        <v/>
      </c>
      <c r="AD260" s="12">
        <f t="array" ref="AD260">IF($A260="","",ROUND($Y260*XLOOKUP($F260,Settings!$I$15:$I$20,Settings!$K$15:$K$20,0.4),0))</f>
        <v>0</v>
      </c>
      <c r="AE260" s="12">
        <f t="array" ref="AE260">IF($A260="","",ROUND($Y260*XLOOKUP($F260,Settings!$I$15:$I$20,Settings!$L$15:$L$20,0.8),0))</f>
        <v>1</v>
      </c>
      <c r="AF260" s="12">
        <f t="array" ref="AF260">IF($A260="","",ROUND($Y260*XLOOKUP($F260,Settings!$I$15:$I$20,Settings!$M$15:$M$20,1),0))</f>
        <v>1</v>
      </c>
      <c r="AG260" s="12">
        <f t="array" ref="AG260">IF($A260="","",ROUND($Y260*XLOOKUP($F260,Settings!$I$15:$I$20,Settings!$N$15:$N$20,1.1),0))</f>
        <v>1</v>
      </c>
      <c r="AH260" s="12">
        <f t="array" ref="AH260">IF($A260="","",ROUND($Y260*XLOOKUP($F260,Settings!$I$15:$I$20,Settings!$O$15:$O$20,1.1)*Settings!$J$7,0))</f>
        <v>1</v>
      </c>
      <c r="AI260" s="12">
        <f t="array" ref="AI260">IF($A260="","",IF($AA260="Sold","",MIN($AH260,IFERROR(XLOOKUP(Settings!$B$12,Managers!$B$4:$B$15,Managers!$H$4:$H$15),$AH260))))</f>
        <v>1</v>
      </c>
      <c r="AJ260" s="12" t="str">
        <f t="shared" si="3"/>
        <v>Budget Drainer</v>
      </c>
      <c r="AK260" s="12">
        <f t="shared" si="4"/>
        <v>36</v>
      </c>
      <c r="AL260" s="12" t="str">
        <f t="shared" si="5"/>
        <v/>
      </c>
    </row>
    <row r="261" ht="15.75" customHeight="1">
      <c r="A261" s="10" t="s">
        <v>839</v>
      </c>
      <c r="B261" s="10" t="s">
        <v>840</v>
      </c>
      <c r="C261" s="10" t="s">
        <v>566</v>
      </c>
      <c r="D261" s="10" t="s">
        <v>121</v>
      </c>
      <c r="E261" s="10" t="s">
        <v>121</v>
      </c>
      <c r="F261" s="10" t="s">
        <v>114</v>
      </c>
      <c r="G261" s="10">
        <v>5.0</v>
      </c>
      <c r="H261" s="10">
        <v>7.0</v>
      </c>
      <c r="I261" s="10" t="s">
        <v>2140</v>
      </c>
      <c r="J261" s="10" t="s">
        <v>2136</v>
      </c>
      <c r="K261" s="10"/>
      <c r="L261" s="10">
        <v>121.5</v>
      </c>
      <c r="M261" s="10">
        <v>4.5</v>
      </c>
      <c r="N261" s="10"/>
      <c r="O261" s="10"/>
      <c r="P261" s="12">
        <f>IF($A261="","",IFERROR((IF($O261="",0,$O261)*Settings!$J$4+IF($L261="",0,$L261)*Settings!$J$5+IF($N261="",0,$N261)*Settings!$J$6)/(IF($O261="",0,Settings!$J$4)+IF($L261="",0,Settings!$J$5)+IF($N261="",0,Settings!$J$6)),0))</f>
        <v>121.5</v>
      </c>
      <c r="Q261" s="12">
        <f t="array" ref="Q261">IF($A261="","",XLOOKUP($E261,Settings!$A$19:$A$22,Settings!$G$19:$G$22,0))</f>
        <v>206</v>
      </c>
      <c r="R261" s="12">
        <f t="shared" si="1"/>
        <v>0</v>
      </c>
      <c r="S261" s="12">
        <f>IF($A261="","",IF($R261&lt;=0,1,1+$R261/SUMIF($R$4:$R$923,"&gt;0",$R$4:$R$923)*(Settings!$B$5*(Settings!$B$6-Settings!$B$7))))</f>
        <v>1</v>
      </c>
      <c r="T261" s="12">
        <f t="array" ref="T261">IF($A261="","",XLOOKUP($F261,Settings!$I$15:$I$20,Settings!$J$15:$J$20,1))</f>
        <v>0.9</v>
      </c>
      <c r="U261" s="12">
        <f>IF($A261="","",1+(($G261-5)/5)*Settings!$J$8)</f>
        <v>1</v>
      </c>
      <c r="V261" s="12">
        <f>IF($A261="","",1+(($H261-5)/5)*Settings!$J$9)</f>
        <v>1.06</v>
      </c>
      <c r="W261" s="12">
        <f t="array" ref="W261">IF($A261="","",XLOOKUP($J261,Lists!$C$3:$C$7,Lists!$D$3:$D$7,1))</f>
        <v>1</v>
      </c>
      <c r="X261" s="12">
        <f>IF($A261="","",IF($I261="Yes",Settings!$J$10,1))</f>
        <v>1</v>
      </c>
      <c r="Y261" s="12">
        <f t="shared" si="2"/>
        <v>1</v>
      </c>
      <c r="Z261" s="12">
        <f>IF($A261="","",IFERROR(ROUND(AVERAGEIFS('Historical Drafts'!$G$4:$G$300,'Historical Drafts'!$D$4:$D$300,$E261,'Historical Drafts'!$J$4:$J$300,"&gt;="&amp;$L261*0.85,'Historical Drafts'!$J$4:$J$300,"&lt;="&amp;$L261*1.15),0),$Y261))</f>
        <v>11</v>
      </c>
      <c r="AA261" s="12" t="str">
        <f>IF($A261="","",IF(COUNTIF('Auction Log'!$B$3:$B$300,$A261)&gt;0,"Sold","Available"))</f>
        <v>Available</v>
      </c>
      <c r="AB261" s="12" t="str">
        <f t="array" ref="AB261">IF($A261="","",IFERROR(XLOOKUP($A261,'Auction Log'!$B$3:$B$300,'Auction Log'!$G$3:$G$300,""),""))</f>
        <v/>
      </c>
      <c r="AC261" s="12" t="str">
        <f t="array" ref="AC261">IF($A261="","",IFERROR(XLOOKUP($A261,'Auction Log'!$B$3:$B$300,'Auction Log'!$F$3:$F$300,""),""))</f>
        <v/>
      </c>
      <c r="AD261" s="12">
        <f t="array" ref="AD261">IF($A261="","",ROUND($Y261*XLOOKUP($F261,Settings!$I$15:$I$20,Settings!$K$15:$K$20,0.4),0))</f>
        <v>0</v>
      </c>
      <c r="AE261" s="12">
        <f t="array" ref="AE261">IF($A261="","",ROUND($Y261*XLOOKUP($F261,Settings!$I$15:$I$20,Settings!$L$15:$L$20,0.8),0))</f>
        <v>1</v>
      </c>
      <c r="AF261" s="12">
        <f t="array" ref="AF261">IF($A261="","",ROUND($Y261*XLOOKUP($F261,Settings!$I$15:$I$20,Settings!$M$15:$M$20,1),0))</f>
        <v>1</v>
      </c>
      <c r="AG261" s="12">
        <f t="array" ref="AG261">IF($A261="","",ROUND($Y261*XLOOKUP($F261,Settings!$I$15:$I$20,Settings!$N$15:$N$20,1.1),0))</f>
        <v>1</v>
      </c>
      <c r="AH261" s="12">
        <f t="array" ref="AH261">IF($A261="","",ROUND($Y261*XLOOKUP($F261,Settings!$I$15:$I$20,Settings!$O$15:$O$20,1.1)*Settings!$J$7,0))</f>
        <v>1</v>
      </c>
      <c r="AI261" s="12">
        <f t="array" ref="AI261">IF($A261="","",IF($AA261="Sold","",MIN($AH261,IFERROR(XLOOKUP(Settings!$B$12,Managers!$B$4:$B$15,Managers!$H$4:$H$15),$AH261))))</f>
        <v>1</v>
      </c>
      <c r="AJ261" s="12" t="str">
        <f t="shared" si="3"/>
        <v>Budget Drainer</v>
      </c>
      <c r="AK261" s="12">
        <f t="shared" si="4"/>
        <v>36</v>
      </c>
      <c r="AL261" s="12" t="str">
        <f t="shared" si="5"/>
        <v/>
      </c>
    </row>
    <row r="262" ht="15.75" customHeight="1">
      <c r="A262" s="10" t="s">
        <v>841</v>
      </c>
      <c r="B262" s="10" t="s">
        <v>842</v>
      </c>
      <c r="C262" s="10" t="s">
        <v>199</v>
      </c>
      <c r="D262" s="10" t="s">
        <v>118</v>
      </c>
      <c r="E262" s="10" t="s">
        <v>118</v>
      </c>
      <c r="F262" s="10" t="s">
        <v>114</v>
      </c>
      <c r="G262" s="10">
        <v>5.0</v>
      </c>
      <c r="H262" s="10">
        <v>7.0</v>
      </c>
      <c r="I262" s="10" t="s">
        <v>2140</v>
      </c>
      <c r="J262" s="10" t="s">
        <v>2136</v>
      </c>
      <c r="K262" s="10"/>
      <c r="L262" s="10">
        <v>121.0</v>
      </c>
      <c r="M262" s="10">
        <v>3.56</v>
      </c>
      <c r="N262" s="10"/>
      <c r="O262" s="10"/>
      <c r="P262" s="12">
        <f>IF($A262="","",IFERROR((IF($O262="",0,$O262)*Settings!$J$4+IF($L262="",0,$L262)*Settings!$J$5+IF($N262="",0,$N262)*Settings!$J$6)/(IF($O262="",0,Settings!$J$4)+IF($L262="",0,Settings!$J$5)+IF($N262="",0,Settings!$J$6)),0))</f>
        <v>121</v>
      </c>
      <c r="Q262" s="12">
        <f t="array" ref="Q262">IF($A262="","",XLOOKUP($E262,Settings!$A$19:$A$22,Settings!$G$19:$G$22,0))</f>
        <v>196.25</v>
      </c>
      <c r="R262" s="12">
        <f t="shared" si="1"/>
        <v>0</v>
      </c>
      <c r="S262" s="12">
        <f>IF($A262="","",IF($R262&lt;=0,1,1+$R262/SUMIF($R$4:$R$923,"&gt;0",$R$4:$R$923)*(Settings!$B$5*(Settings!$B$6-Settings!$B$7))))</f>
        <v>1</v>
      </c>
      <c r="T262" s="12">
        <f t="array" ref="T262">IF($A262="","",XLOOKUP($F262,Settings!$I$15:$I$20,Settings!$J$15:$J$20,1))</f>
        <v>0.9</v>
      </c>
      <c r="U262" s="12">
        <f>IF($A262="","",1+(($G262-5)/5)*Settings!$J$8)</f>
        <v>1</v>
      </c>
      <c r="V262" s="12">
        <f>IF($A262="","",1+(($H262-5)/5)*Settings!$J$9)</f>
        <v>1.06</v>
      </c>
      <c r="W262" s="12">
        <f t="array" ref="W262">IF($A262="","",XLOOKUP($J262,Lists!$C$3:$C$7,Lists!$D$3:$D$7,1))</f>
        <v>1</v>
      </c>
      <c r="X262" s="12">
        <f>IF($A262="","",IF($I262="Yes",Settings!$J$10,1))</f>
        <v>1</v>
      </c>
      <c r="Y262" s="12">
        <f t="shared" si="2"/>
        <v>1</v>
      </c>
      <c r="Z262" s="12">
        <f>IF($A262="","",IFERROR(ROUND(AVERAGEIFS('Historical Drafts'!$G$4:$G$300,'Historical Drafts'!$D$4:$D$300,$E262,'Historical Drafts'!$J$4:$J$300,"&gt;="&amp;$L262*0.85,'Historical Drafts'!$J$4:$J$300,"&lt;="&amp;$L262*1.15),0),$Y262))</f>
        <v>3</v>
      </c>
      <c r="AA262" s="12" t="str">
        <f>IF($A262="","",IF(COUNTIF('Auction Log'!$B$3:$B$300,$A262)&gt;0,"Sold","Available"))</f>
        <v>Available</v>
      </c>
      <c r="AB262" s="12" t="str">
        <f t="array" ref="AB262">IF($A262="","",IFERROR(XLOOKUP($A262,'Auction Log'!$B$3:$B$300,'Auction Log'!$G$3:$G$300,""),""))</f>
        <v/>
      </c>
      <c r="AC262" s="12" t="str">
        <f t="array" ref="AC262">IF($A262="","",IFERROR(XLOOKUP($A262,'Auction Log'!$B$3:$B$300,'Auction Log'!$F$3:$F$300,""),""))</f>
        <v/>
      </c>
      <c r="AD262" s="12">
        <f t="array" ref="AD262">IF($A262="","",ROUND($Y262*XLOOKUP($F262,Settings!$I$15:$I$20,Settings!$K$15:$K$20,0.4),0))</f>
        <v>0</v>
      </c>
      <c r="AE262" s="12">
        <f t="array" ref="AE262">IF($A262="","",ROUND($Y262*XLOOKUP($F262,Settings!$I$15:$I$20,Settings!$L$15:$L$20,0.8),0))</f>
        <v>1</v>
      </c>
      <c r="AF262" s="12">
        <f t="array" ref="AF262">IF($A262="","",ROUND($Y262*XLOOKUP($F262,Settings!$I$15:$I$20,Settings!$M$15:$M$20,1),0))</f>
        <v>1</v>
      </c>
      <c r="AG262" s="12">
        <f t="array" ref="AG262">IF($A262="","",ROUND($Y262*XLOOKUP($F262,Settings!$I$15:$I$20,Settings!$N$15:$N$20,1.1),0))</f>
        <v>1</v>
      </c>
      <c r="AH262" s="12">
        <f t="array" ref="AH262">IF($A262="","",ROUND($Y262*XLOOKUP($F262,Settings!$I$15:$I$20,Settings!$O$15:$O$20,1.1)*Settings!$J$7,0))</f>
        <v>1</v>
      </c>
      <c r="AI262" s="12">
        <f t="array" ref="AI262">IF($A262="","",IF($AA262="Sold","",MIN($AH262,IFERROR(XLOOKUP(Settings!$B$12,Managers!$B$4:$B$15,Managers!$H$4:$H$15),$AH262))))</f>
        <v>1</v>
      </c>
      <c r="AJ262" s="12" t="str">
        <f t="shared" si="3"/>
        <v>Budget Drainer</v>
      </c>
      <c r="AK262" s="12">
        <f t="shared" si="4"/>
        <v>28</v>
      </c>
      <c r="AL262" s="12" t="str">
        <f t="shared" si="5"/>
        <v/>
      </c>
    </row>
    <row r="263" ht="15.75" customHeight="1">
      <c r="A263" s="10" t="s">
        <v>383</v>
      </c>
      <c r="B263" s="10" t="s">
        <v>843</v>
      </c>
      <c r="C263" s="10" t="s">
        <v>191</v>
      </c>
      <c r="D263" s="10" t="s">
        <v>121</v>
      </c>
      <c r="E263" s="10" t="s">
        <v>121</v>
      </c>
      <c r="F263" s="10" t="s">
        <v>114</v>
      </c>
      <c r="G263" s="10">
        <v>5.0</v>
      </c>
      <c r="H263" s="10">
        <v>7.0</v>
      </c>
      <c r="I263" s="10" t="s">
        <v>2140</v>
      </c>
      <c r="J263" s="10" t="s">
        <v>2136</v>
      </c>
      <c r="K263" s="10"/>
      <c r="L263" s="10">
        <v>121.0</v>
      </c>
      <c r="M263" s="10">
        <v>4.03</v>
      </c>
      <c r="N263" s="10"/>
      <c r="O263" s="10"/>
      <c r="P263" s="12">
        <f>IF($A263="","",IFERROR((IF($O263="",0,$O263)*Settings!$J$4+IF($L263="",0,$L263)*Settings!$J$5+IF($N263="",0,$N263)*Settings!$J$6)/(IF($O263="",0,Settings!$J$4)+IF($L263="",0,Settings!$J$5)+IF($N263="",0,Settings!$J$6)),0))</f>
        <v>121</v>
      </c>
      <c r="Q263" s="12">
        <f t="array" ref="Q263">IF($A263="","",XLOOKUP($E263,Settings!$A$19:$A$22,Settings!$G$19:$G$22,0))</f>
        <v>206</v>
      </c>
      <c r="R263" s="12">
        <f t="shared" si="1"/>
        <v>0</v>
      </c>
      <c r="S263" s="12">
        <f>IF($A263="","",IF($R263&lt;=0,1,1+$R263/SUMIF($R$4:$R$923,"&gt;0",$R$4:$R$923)*(Settings!$B$5*(Settings!$B$6-Settings!$B$7))))</f>
        <v>1</v>
      </c>
      <c r="T263" s="12">
        <f t="array" ref="T263">IF($A263="","",XLOOKUP($F263,Settings!$I$15:$I$20,Settings!$J$15:$J$20,1))</f>
        <v>0.9</v>
      </c>
      <c r="U263" s="12">
        <f>IF($A263="","",1+(($G263-5)/5)*Settings!$J$8)</f>
        <v>1</v>
      </c>
      <c r="V263" s="12">
        <f>IF($A263="","",1+(($H263-5)/5)*Settings!$J$9)</f>
        <v>1.06</v>
      </c>
      <c r="W263" s="12">
        <f t="array" ref="W263">IF($A263="","",XLOOKUP($J263,Lists!$C$3:$C$7,Lists!$D$3:$D$7,1))</f>
        <v>1</v>
      </c>
      <c r="X263" s="12">
        <f>IF($A263="","",IF($I263="Yes",Settings!$J$10,1))</f>
        <v>1</v>
      </c>
      <c r="Y263" s="12">
        <f t="shared" si="2"/>
        <v>1</v>
      </c>
      <c r="Z263" s="12">
        <f>IF($A263="","",IFERROR(ROUND(AVERAGEIFS('Historical Drafts'!$G$4:$G$300,'Historical Drafts'!$D$4:$D$300,$E263,'Historical Drafts'!$J$4:$J$300,"&gt;="&amp;$L263*0.85,'Historical Drafts'!$J$4:$J$300,"&lt;="&amp;$L263*1.15),0),$Y263))</f>
        <v>11</v>
      </c>
      <c r="AA263" s="12" t="str">
        <f>IF($A263="","",IF(COUNTIF('Auction Log'!$B$3:$B$300,$A263)&gt;0,"Sold","Available"))</f>
        <v>Available</v>
      </c>
      <c r="AB263" s="12" t="str">
        <f t="array" ref="AB263">IF($A263="","",IFERROR(XLOOKUP($A263,'Auction Log'!$B$3:$B$300,'Auction Log'!$G$3:$G$300,""),""))</f>
        <v/>
      </c>
      <c r="AC263" s="12" t="str">
        <f t="array" ref="AC263">IF($A263="","",IFERROR(XLOOKUP($A263,'Auction Log'!$B$3:$B$300,'Auction Log'!$F$3:$F$300,""),""))</f>
        <v/>
      </c>
      <c r="AD263" s="12">
        <f t="array" ref="AD263">IF($A263="","",ROUND($Y263*XLOOKUP($F263,Settings!$I$15:$I$20,Settings!$K$15:$K$20,0.4),0))</f>
        <v>0</v>
      </c>
      <c r="AE263" s="12">
        <f t="array" ref="AE263">IF($A263="","",ROUND($Y263*XLOOKUP($F263,Settings!$I$15:$I$20,Settings!$L$15:$L$20,0.8),0))</f>
        <v>1</v>
      </c>
      <c r="AF263" s="12">
        <f t="array" ref="AF263">IF($A263="","",ROUND($Y263*XLOOKUP($F263,Settings!$I$15:$I$20,Settings!$M$15:$M$20,1),0))</f>
        <v>1</v>
      </c>
      <c r="AG263" s="12">
        <f t="array" ref="AG263">IF($A263="","",ROUND($Y263*XLOOKUP($F263,Settings!$I$15:$I$20,Settings!$N$15:$N$20,1.1),0))</f>
        <v>1</v>
      </c>
      <c r="AH263" s="12">
        <f t="array" ref="AH263">IF($A263="","",ROUND($Y263*XLOOKUP($F263,Settings!$I$15:$I$20,Settings!$O$15:$O$20,1.1)*Settings!$J$7,0))</f>
        <v>1</v>
      </c>
      <c r="AI263" s="12">
        <f t="array" ref="AI263">IF($A263="","",IF($AA263="Sold","",MIN($AH263,IFERROR(XLOOKUP(Settings!$B$12,Managers!$B$4:$B$15,Managers!$H$4:$H$15),$AH263))))</f>
        <v>1</v>
      </c>
      <c r="AJ263" s="12" t="str">
        <f t="shared" si="3"/>
        <v>Budget Drainer</v>
      </c>
      <c r="AK263" s="12">
        <f t="shared" si="4"/>
        <v>36</v>
      </c>
      <c r="AL263" s="12" t="str">
        <f t="shared" si="5"/>
        <v/>
      </c>
    </row>
    <row r="264" ht="15.75" customHeight="1">
      <c r="A264" s="10" t="s">
        <v>844</v>
      </c>
      <c r="B264" s="10" t="s">
        <v>845</v>
      </c>
      <c r="C264" s="10" t="s">
        <v>221</v>
      </c>
      <c r="D264" s="10" t="s">
        <v>121</v>
      </c>
      <c r="E264" s="10" t="s">
        <v>121</v>
      </c>
      <c r="F264" s="10" t="s">
        <v>114</v>
      </c>
      <c r="G264" s="10">
        <v>5.0</v>
      </c>
      <c r="H264" s="10">
        <v>7.0</v>
      </c>
      <c r="I264" s="10" t="s">
        <v>2140</v>
      </c>
      <c r="J264" s="10" t="s">
        <v>2136</v>
      </c>
      <c r="K264" s="10"/>
      <c r="L264" s="10">
        <v>119.0</v>
      </c>
      <c r="M264" s="10">
        <v>3.84</v>
      </c>
      <c r="N264" s="10"/>
      <c r="O264" s="10"/>
      <c r="P264" s="12">
        <f>IF($A264="","",IFERROR((IF($O264="",0,$O264)*Settings!$J$4+IF($L264="",0,$L264)*Settings!$J$5+IF($N264="",0,$N264)*Settings!$J$6)/(IF($O264="",0,Settings!$J$4)+IF($L264="",0,Settings!$J$5)+IF($N264="",0,Settings!$J$6)),0))</f>
        <v>119</v>
      </c>
      <c r="Q264" s="12">
        <f t="array" ref="Q264">IF($A264="","",XLOOKUP($E264,Settings!$A$19:$A$22,Settings!$G$19:$G$22,0))</f>
        <v>206</v>
      </c>
      <c r="R264" s="12">
        <f t="shared" si="1"/>
        <v>0</v>
      </c>
      <c r="S264" s="12">
        <f>IF($A264="","",IF($R264&lt;=0,1,1+$R264/SUMIF($R$4:$R$923,"&gt;0",$R$4:$R$923)*(Settings!$B$5*(Settings!$B$6-Settings!$B$7))))</f>
        <v>1</v>
      </c>
      <c r="T264" s="12">
        <f t="array" ref="T264">IF($A264="","",XLOOKUP($F264,Settings!$I$15:$I$20,Settings!$J$15:$J$20,1))</f>
        <v>0.9</v>
      </c>
      <c r="U264" s="12">
        <f>IF($A264="","",1+(($G264-5)/5)*Settings!$J$8)</f>
        <v>1</v>
      </c>
      <c r="V264" s="12">
        <f>IF($A264="","",1+(($H264-5)/5)*Settings!$J$9)</f>
        <v>1.06</v>
      </c>
      <c r="W264" s="12">
        <f t="array" ref="W264">IF($A264="","",XLOOKUP($J264,Lists!$C$3:$C$7,Lists!$D$3:$D$7,1))</f>
        <v>1</v>
      </c>
      <c r="X264" s="12">
        <f>IF($A264="","",IF($I264="Yes",Settings!$J$10,1))</f>
        <v>1</v>
      </c>
      <c r="Y264" s="12">
        <f t="shared" si="2"/>
        <v>1</v>
      </c>
      <c r="Z264" s="12">
        <f>IF($A264="","",IFERROR(ROUND(AVERAGEIFS('Historical Drafts'!$G$4:$G$300,'Historical Drafts'!$D$4:$D$300,$E264,'Historical Drafts'!$J$4:$J$300,"&gt;="&amp;$L264*0.85,'Historical Drafts'!$J$4:$J$300,"&lt;="&amp;$L264*1.15),0),$Y264))</f>
        <v>11</v>
      </c>
      <c r="AA264" s="12" t="str">
        <f>IF($A264="","",IF(COUNTIF('Auction Log'!$B$3:$B$300,$A264)&gt;0,"Sold","Available"))</f>
        <v>Available</v>
      </c>
      <c r="AB264" s="12" t="str">
        <f t="array" ref="AB264">IF($A264="","",IFERROR(XLOOKUP($A264,'Auction Log'!$B$3:$B$300,'Auction Log'!$G$3:$G$300,""),""))</f>
        <v/>
      </c>
      <c r="AC264" s="12" t="str">
        <f t="array" ref="AC264">IF($A264="","",IFERROR(XLOOKUP($A264,'Auction Log'!$B$3:$B$300,'Auction Log'!$F$3:$F$300,""),""))</f>
        <v/>
      </c>
      <c r="AD264" s="12">
        <f t="array" ref="AD264">IF($A264="","",ROUND($Y264*XLOOKUP($F264,Settings!$I$15:$I$20,Settings!$K$15:$K$20,0.4),0))</f>
        <v>0</v>
      </c>
      <c r="AE264" s="12">
        <f t="array" ref="AE264">IF($A264="","",ROUND($Y264*XLOOKUP($F264,Settings!$I$15:$I$20,Settings!$L$15:$L$20,0.8),0))</f>
        <v>1</v>
      </c>
      <c r="AF264" s="12">
        <f t="array" ref="AF264">IF($A264="","",ROUND($Y264*XLOOKUP($F264,Settings!$I$15:$I$20,Settings!$M$15:$M$20,1),0))</f>
        <v>1</v>
      </c>
      <c r="AG264" s="12">
        <f t="array" ref="AG264">IF($A264="","",ROUND($Y264*XLOOKUP($F264,Settings!$I$15:$I$20,Settings!$N$15:$N$20,1.1),0))</f>
        <v>1</v>
      </c>
      <c r="AH264" s="12">
        <f t="array" ref="AH264">IF($A264="","",ROUND($Y264*XLOOKUP($F264,Settings!$I$15:$I$20,Settings!$O$15:$O$20,1.1)*Settings!$J$7,0))</f>
        <v>1</v>
      </c>
      <c r="AI264" s="12">
        <f t="array" ref="AI264">IF($A264="","",IF($AA264="Sold","",MIN($AH264,IFERROR(XLOOKUP(Settings!$B$12,Managers!$B$4:$B$15,Managers!$H$4:$H$15),$AH264))))</f>
        <v>1</v>
      </c>
      <c r="AJ264" s="12" t="str">
        <f t="shared" si="3"/>
        <v>Budget Drainer</v>
      </c>
      <c r="AK264" s="12">
        <f t="shared" si="4"/>
        <v>36</v>
      </c>
      <c r="AL264" s="12" t="str">
        <f t="shared" si="5"/>
        <v/>
      </c>
    </row>
    <row r="265" ht="15.75" customHeight="1">
      <c r="A265" s="10" t="s">
        <v>462</v>
      </c>
      <c r="B265" s="10" t="s">
        <v>463</v>
      </c>
      <c r="C265" s="10" t="s">
        <v>464</v>
      </c>
      <c r="D265" s="10" t="s">
        <v>121</v>
      </c>
      <c r="E265" s="10" t="s">
        <v>121</v>
      </c>
      <c r="F265" s="10" t="s">
        <v>114</v>
      </c>
      <c r="G265" s="10">
        <v>5.0</v>
      </c>
      <c r="H265" s="10">
        <v>7.0</v>
      </c>
      <c r="I265" s="10" t="s">
        <v>2140</v>
      </c>
      <c r="J265" s="10" t="s">
        <v>2136</v>
      </c>
      <c r="K265" s="10"/>
      <c r="L265" s="10">
        <v>118.5</v>
      </c>
      <c r="M265" s="10">
        <v>5.15</v>
      </c>
      <c r="N265" s="10"/>
      <c r="O265" s="10"/>
      <c r="P265" s="12">
        <f>IF($A265="","",IFERROR((IF($O265="",0,$O265)*Settings!$J$4+IF($L265="",0,$L265)*Settings!$J$5+IF($N265="",0,$N265)*Settings!$J$6)/(IF($O265="",0,Settings!$J$4)+IF($L265="",0,Settings!$J$5)+IF($N265="",0,Settings!$J$6)),0))</f>
        <v>118.5</v>
      </c>
      <c r="Q265" s="12">
        <f t="array" ref="Q265">IF($A265="","",XLOOKUP($E265,Settings!$A$19:$A$22,Settings!$G$19:$G$22,0))</f>
        <v>206</v>
      </c>
      <c r="R265" s="12">
        <f t="shared" si="1"/>
        <v>0</v>
      </c>
      <c r="S265" s="12">
        <f>IF($A265="","",IF($R265&lt;=0,1,1+$R265/SUMIF($R$4:$R$923,"&gt;0",$R$4:$R$923)*(Settings!$B$5*(Settings!$B$6-Settings!$B$7))))</f>
        <v>1</v>
      </c>
      <c r="T265" s="12">
        <f t="array" ref="T265">IF($A265="","",XLOOKUP($F265,Settings!$I$15:$I$20,Settings!$J$15:$J$20,1))</f>
        <v>0.9</v>
      </c>
      <c r="U265" s="12">
        <f>IF($A265="","",1+(($G265-5)/5)*Settings!$J$8)</f>
        <v>1</v>
      </c>
      <c r="V265" s="12">
        <f>IF($A265="","",1+(($H265-5)/5)*Settings!$J$9)</f>
        <v>1.06</v>
      </c>
      <c r="W265" s="12">
        <f t="array" ref="W265">IF($A265="","",XLOOKUP($J265,Lists!$C$3:$C$7,Lists!$D$3:$D$7,1))</f>
        <v>1</v>
      </c>
      <c r="X265" s="12">
        <f>IF($A265="","",IF($I265="Yes",Settings!$J$10,1))</f>
        <v>1</v>
      </c>
      <c r="Y265" s="12">
        <f t="shared" si="2"/>
        <v>1</v>
      </c>
      <c r="Z265" s="12">
        <f>IF($A265="","",IFERROR(ROUND(AVERAGEIFS('Historical Drafts'!$G$4:$G$300,'Historical Drafts'!$D$4:$D$300,$E265,'Historical Drafts'!$J$4:$J$300,"&gt;="&amp;$L265*0.85,'Historical Drafts'!$J$4:$J$300,"&lt;="&amp;$L265*1.15),0),$Y265))</f>
        <v>11</v>
      </c>
      <c r="AA265" s="12" t="str">
        <f>IF($A265="","",IF(COUNTIF('Auction Log'!$B$3:$B$300,$A265)&gt;0,"Sold","Available"))</f>
        <v>Available</v>
      </c>
      <c r="AB265" s="12" t="str">
        <f t="array" ref="AB265">IF($A265="","",IFERROR(XLOOKUP($A265,'Auction Log'!$B$3:$B$300,'Auction Log'!$G$3:$G$300,""),""))</f>
        <v/>
      </c>
      <c r="AC265" s="12" t="str">
        <f t="array" ref="AC265">IF($A265="","",IFERROR(XLOOKUP($A265,'Auction Log'!$B$3:$B$300,'Auction Log'!$F$3:$F$300,""),""))</f>
        <v/>
      </c>
      <c r="AD265" s="12">
        <f t="array" ref="AD265">IF($A265="","",ROUND($Y265*XLOOKUP($F265,Settings!$I$15:$I$20,Settings!$K$15:$K$20,0.4),0))</f>
        <v>0</v>
      </c>
      <c r="AE265" s="12">
        <f t="array" ref="AE265">IF($A265="","",ROUND($Y265*XLOOKUP($F265,Settings!$I$15:$I$20,Settings!$L$15:$L$20,0.8),0))</f>
        <v>1</v>
      </c>
      <c r="AF265" s="12">
        <f t="array" ref="AF265">IF($A265="","",ROUND($Y265*XLOOKUP($F265,Settings!$I$15:$I$20,Settings!$M$15:$M$20,1),0))</f>
        <v>1</v>
      </c>
      <c r="AG265" s="12">
        <f t="array" ref="AG265">IF($A265="","",ROUND($Y265*XLOOKUP($F265,Settings!$I$15:$I$20,Settings!$N$15:$N$20,1.1),0))</f>
        <v>1</v>
      </c>
      <c r="AH265" s="12">
        <f t="array" ref="AH265">IF($A265="","",ROUND($Y265*XLOOKUP($F265,Settings!$I$15:$I$20,Settings!$O$15:$O$20,1.1)*Settings!$J$7,0))</f>
        <v>1</v>
      </c>
      <c r="AI265" s="12">
        <f t="array" ref="AI265">IF($A265="","",IF($AA265="Sold","",MIN($AH265,IFERROR(XLOOKUP(Settings!$B$12,Managers!$B$4:$B$15,Managers!$H$4:$H$15),$AH265))))</f>
        <v>1</v>
      </c>
      <c r="AJ265" s="12" t="str">
        <f t="shared" si="3"/>
        <v>Budget Drainer</v>
      </c>
      <c r="AK265" s="12">
        <f t="shared" si="4"/>
        <v>36</v>
      </c>
      <c r="AL265" s="12" t="str">
        <f t="shared" si="5"/>
        <v/>
      </c>
    </row>
    <row r="266" ht="15.75" customHeight="1">
      <c r="A266" s="10" t="s">
        <v>846</v>
      </c>
      <c r="B266" s="10" t="s">
        <v>847</v>
      </c>
      <c r="C266" s="10" t="s">
        <v>257</v>
      </c>
      <c r="D266" s="10" t="s">
        <v>121</v>
      </c>
      <c r="E266" s="10" t="s">
        <v>121</v>
      </c>
      <c r="F266" s="10" t="s">
        <v>114</v>
      </c>
      <c r="G266" s="10">
        <v>5.0</v>
      </c>
      <c r="H266" s="10">
        <v>7.0</v>
      </c>
      <c r="I266" s="10" t="s">
        <v>2140</v>
      </c>
      <c r="J266" s="10" t="s">
        <v>2136</v>
      </c>
      <c r="K266" s="10"/>
      <c r="L266" s="10">
        <v>118.0</v>
      </c>
      <c r="M266" s="10">
        <v>4.07</v>
      </c>
      <c r="N266" s="10"/>
      <c r="O266" s="10"/>
      <c r="P266" s="12">
        <f>IF($A266="","",IFERROR((IF($O266="",0,$O266)*Settings!$J$4+IF($L266="",0,$L266)*Settings!$J$5+IF($N266="",0,$N266)*Settings!$J$6)/(IF($O266="",0,Settings!$J$4)+IF($L266="",0,Settings!$J$5)+IF($N266="",0,Settings!$J$6)),0))</f>
        <v>118</v>
      </c>
      <c r="Q266" s="12">
        <f t="array" ref="Q266">IF($A266="","",XLOOKUP($E266,Settings!$A$19:$A$22,Settings!$G$19:$G$22,0))</f>
        <v>206</v>
      </c>
      <c r="R266" s="12">
        <f t="shared" si="1"/>
        <v>0</v>
      </c>
      <c r="S266" s="12">
        <f>IF($A266="","",IF($R266&lt;=0,1,1+$R266/SUMIF($R$4:$R$923,"&gt;0",$R$4:$R$923)*(Settings!$B$5*(Settings!$B$6-Settings!$B$7))))</f>
        <v>1</v>
      </c>
      <c r="T266" s="12">
        <f t="array" ref="T266">IF($A266="","",XLOOKUP($F266,Settings!$I$15:$I$20,Settings!$J$15:$J$20,1))</f>
        <v>0.9</v>
      </c>
      <c r="U266" s="12">
        <f>IF($A266="","",1+(($G266-5)/5)*Settings!$J$8)</f>
        <v>1</v>
      </c>
      <c r="V266" s="12">
        <f>IF($A266="","",1+(($H266-5)/5)*Settings!$J$9)</f>
        <v>1.06</v>
      </c>
      <c r="W266" s="12">
        <f t="array" ref="W266">IF($A266="","",XLOOKUP($J266,Lists!$C$3:$C$7,Lists!$D$3:$D$7,1))</f>
        <v>1</v>
      </c>
      <c r="X266" s="12">
        <f>IF($A266="","",IF($I266="Yes",Settings!$J$10,1))</f>
        <v>1</v>
      </c>
      <c r="Y266" s="12">
        <f t="shared" si="2"/>
        <v>1</v>
      </c>
      <c r="Z266" s="12">
        <f>IF($A266="","",IFERROR(ROUND(AVERAGEIFS('Historical Drafts'!$G$4:$G$300,'Historical Drafts'!$D$4:$D$300,$E266,'Historical Drafts'!$J$4:$J$300,"&gt;="&amp;$L266*0.85,'Historical Drafts'!$J$4:$J$300,"&lt;="&amp;$L266*1.15),0),$Y266))</f>
        <v>11</v>
      </c>
      <c r="AA266" s="12" t="str">
        <f>IF($A266="","",IF(COUNTIF('Auction Log'!$B$3:$B$300,$A266)&gt;0,"Sold","Available"))</f>
        <v>Available</v>
      </c>
      <c r="AB266" s="12" t="str">
        <f t="array" ref="AB266">IF($A266="","",IFERROR(XLOOKUP($A266,'Auction Log'!$B$3:$B$300,'Auction Log'!$G$3:$G$300,""),""))</f>
        <v/>
      </c>
      <c r="AC266" s="12" t="str">
        <f t="array" ref="AC266">IF($A266="","",IFERROR(XLOOKUP($A266,'Auction Log'!$B$3:$B$300,'Auction Log'!$F$3:$F$300,""),""))</f>
        <v/>
      </c>
      <c r="AD266" s="12">
        <f t="array" ref="AD266">IF($A266="","",ROUND($Y266*XLOOKUP($F266,Settings!$I$15:$I$20,Settings!$K$15:$K$20,0.4),0))</f>
        <v>0</v>
      </c>
      <c r="AE266" s="12">
        <f t="array" ref="AE266">IF($A266="","",ROUND($Y266*XLOOKUP($F266,Settings!$I$15:$I$20,Settings!$L$15:$L$20,0.8),0))</f>
        <v>1</v>
      </c>
      <c r="AF266" s="12">
        <f t="array" ref="AF266">IF($A266="","",ROUND($Y266*XLOOKUP($F266,Settings!$I$15:$I$20,Settings!$M$15:$M$20,1),0))</f>
        <v>1</v>
      </c>
      <c r="AG266" s="12">
        <f t="array" ref="AG266">IF($A266="","",ROUND($Y266*XLOOKUP($F266,Settings!$I$15:$I$20,Settings!$N$15:$N$20,1.1),0))</f>
        <v>1</v>
      </c>
      <c r="AH266" s="12">
        <f t="array" ref="AH266">IF($A266="","",ROUND($Y266*XLOOKUP($F266,Settings!$I$15:$I$20,Settings!$O$15:$O$20,1.1)*Settings!$J$7,0))</f>
        <v>1</v>
      </c>
      <c r="AI266" s="12">
        <f t="array" ref="AI266">IF($A266="","",IF($AA266="Sold","",MIN($AH266,IFERROR(XLOOKUP(Settings!$B$12,Managers!$B$4:$B$15,Managers!$H$4:$H$15),$AH266))))</f>
        <v>1</v>
      </c>
      <c r="AJ266" s="12" t="str">
        <f t="shared" si="3"/>
        <v>Budget Drainer</v>
      </c>
      <c r="AK266" s="12">
        <f t="shared" si="4"/>
        <v>36</v>
      </c>
      <c r="AL266" s="12" t="str">
        <f t="shared" si="5"/>
        <v/>
      </c>
    </row>
    <row r="267" ht="15.75" customHeight="1">
      <c r="A267" s="10" t="s">
        <v>848</v>
      </c>
      <c r="B267" s="10" t="s">
        <v>849</v>
      </c>
      <c r="C267" s="10" t="s">
        <v>177</v>
      </c>
      <c r="D267" s="10" t="s">
        <v>118</v>
      </c>
      <c r="E267" s="10" t="s">
        <v>118</v>
      </c>
      <c r="F267" s="10" t="s">
        <v>114</v>
      </c>
      <c r="G267" s="10">
        <v>5.0</v>
      </c>
      <c r="H267" s="10">
        <v>7.0</v>
      </c>
      <c r="I267" s="10" t="s">
        <v>2140</v>
      </c>
      <c r="J267" s="10" t="s">
        <v>2136</v>
      </c>
      <c r="K267" s="10"/>
      <c r="L267" s="10">
        <v>117.5</v>
      </c>
      <c r="M267" s="10">
        <v>4.9</v>
      </c>
      <c r="N267" s="10"/>
      <c r="O267" s="10"/>
      <c r="P267" s="12">
        <f>IF($A267="","",IFERROR((IF($O267="",0,$O267)*Settings!$J$4+IF($L267="",0,$L267)*Settings!$J$5+IF($N267="",0,$N267)*Settings!$J$6)/(IF($O267="",0,Settings!$J$4)+IF($L267="",0,Settings!$J$5)+IF($N267="",0,Settings!$J$6)),0))</f>
        <v>117.5</v>
      </c>
      <c r="Q267" s="12">
        <f t="array" ref="Q267">IF($A267="","",XLOOKUP($E267,Settings!$A$19:$A$22,Settings!$G$19:$G$22,0))</f>
        <v>196.25</v>
      </c>
      <c r="R267" s="12">
        <f t="shared" si="1"/>
        <v>0</v>
      </c>
      <c r="S267" s="12">
        <f>IF($A267="","",IF($R267&lt;=0,1,1+$R267/SUMIF($R$4:$R$923,"&gt;0",$R$4:$R$923)*(Settings!$B$5*(Settings!$B$6-Settings!$B$7))))</f>
        <v>1</v>
      </c>
      <c r="T267" s="12">
        <f t="array" ref="T267">IF($A267="","",XLOOKUP($F267,Settings!$I$15:$I$20,Settings!$J$15:$J$20,1))</f>
        <v>0.9</v>
      </c>
      <c r="U267" s="12">
        <f>IF($A267="","",1+(($G267-5)/5)*Settings!$J$8)</f>
        <v>1</v>
      </c>
      <c r="V267" s="12">
        <f>IF($A267="","",1+(($H267-5)/5)*Settings!$J$9)</f>
        <v>1.06</v>
      </c>
      <c r="W267" s="12">
        <f t="array" ref="W267">IF($A267="","",XLOOKUP($J267,Lists!$C$3:$C$7,Lists!$D$3:$D$7,1))</f>
        <v>1</v>
      </c>
      <c r="X267" s="12">
        <f>IF($A267="","",IF($I267="Yes",Settings!$J$10,1))</f>
        <v>1</v>
      </c>
      <c r="Y267" s="12">
        <f t="shared" si="2"/>
        <v>1</v>
      </c>
      <c r="Z267" s="12">
        <f>IF($A267="","",IFERROR(ROUND(AVERAGEIFS('Historical Drafts'!$G$4:$G$300,'Historical Drafts'!$D$4:$D$300,$E267,'Historical Drafts'!$J$4:$J$300,"&gt;="&amp;$L267*0.85,'Historical Drafts'!$J$4:$J$300,"&lt;="&amp;$L267*1.15),0),$Y267))</f>
        <v>3</v>
      </c>
      <c r="AA267" s="12" t="str">
        <f>IF($A267="","",IF(COUNTIF('Auction Log'!$B$3:$B$300,$A267)&gt;0,"Sold","Available"))</f>
        <v>Available</v>
      </c>
      <c r="AB267" s="12" t="str">
        <f t="array" ref="AB267">IF($A267="","",IFERROR(XLOOKUP($A267,'Auction Log'!$B$3:$B$300,'Auction Log'!$G$3:$G$300,""),""))</f>
        <v/>
      </c>
      <c r="AC267" s="12" t="str">
        <f t="array" ref="AC267">IF($A267="","",IFERROR(XLOOKUP($A267,'Auction Log'!$B$3:$B$300,'Auction Log'!$F$3:$F$300,""),""))</f>
        <v/>
      </c>
      <c r="AD267" s="12">
        <f t="array" ref="AD267">IF($A267="","",ROUND($Y267*XLOOKUP($F267,Settings!$I$15:$I$20,Settings!$K$15:$K$20,0.4),0))</f>
        <v>0</v>
      </c>
      <c r="AE267" s="12">
        <f t="array" ref="AE267">IF($A267="","",ROUND($Y267*XLOOKUP($F267,Settings!$I$15:$I$20,Settings!$L$15:$L$20,0.8),0))</f>
        <v>1</v>
      </c>
      <c r="AF267" s="12">
        <f t="array" ref="AF267">IF($A267="","",ROUND($Y267*XLOOKUP($F267,Settings!$I$15:$I$20,Settings!$M$15:$M$20,1),0))</f>
        <v>1</v>
      </c>
      <c r="AG267" s="12">
        <f t="array" ref="AG267">IF($A267="","",ROUND($Y267*XLOOKUP($F267,Settings!$I$15:$I$20,Settings!$N$15:$N$20,1.1),0))</f>
        <v>1</v>
      </c>
      <c r="AH267" s="12">
        <f t="array" ref="AH267">IF($A267="","",ROUND($Y267*XLOOKUP($F267,Settings!$I$15:$I$20,Settings!$O$15:$O$20,1.1)*Settings!$J$7,0))</f>
        <v>1</v>
      </c>
      <c r="AI267" s="12">
        <f t="array" ref="AI267">IF($A267="","",IF($AA267="Sold","",MIN($AH267,IFERROR(XLOOKUP(Settings!$B$12,Managers!$B$4:$B$15,Managers!$H$4:$H$15),$AH267))))</f>
        <v>1</v>
      </c>
      <c r="AJ267" s="12" t="str">
        <f t="shared" si="3"/>
        <v>Budget Drainer</v>
      </c>
      <c r="AK267" s="12">
        <f t="shared" si="4"/>
        <v>28</v>
      </c>
      <c r="AL267" s="12" t="str">
        <f t="shared" si="5"/>
        <v/>
      </c>
    </row>
    <row r="268" ht="15.75" customHeight="1">
      <c r="A268" s="10" t="s">
        <v>348</v>
      </c>
      <c r="B268" s="10" t="s">
        <v>349</v>
      </c>
      <c r="C268" s="10" t="s">
        <v>350</v>
      </c>
      <c r="D268" s="10" t="s">
        <v>123</v>
      </c>
      <c r="E268" s="10" t="s">
        <v>123</v>
      </c>
      <c r="F268" s="10" t="s">
        <v>114</v>
      </c>
      <c r="G268" s="10">
        <v>5.0</v>
      </c>
      <c r="H268" s="10">
        <v>7.0</v>
      </c>
      <c r="I268" s="10" t="s">
        <v>2140</v>
      </c>
      <c r="J268" s="10" t="s">
        <v>2136</v>
      </c>
      <c r="K268" s="10"/>
      <c r="L268" s="10">
        <v>115.5</v>
      </c>
      <c r="M268" s="10">
        <v>3.4</v>
      </c>
      <c r="N268" s="10"/>
      <c r="O268" s="10"/>
      <c r="P268" s="12">
        <f>IF($A268="","",IFERROR((IF($O268="",0,$O268)*Settings!$J$4+IF($L268="",0,$L268)*Settings!$J$5+IF($N268="",0,$N268)*Settings!$J$6)/(IF($O268="",0,Settings!$J$4)+IF($L268="",0,Settings!$J$5)+IF($N268="",0,Settings!$J$6)),0))</f>
        <v>115.5</v>
      </c>
      <c r="Q268" s="12">
        <f t="array" ref="Q268">IF($A268="","",XLOOKUP($E268,Settings!$A$19:$A$22,Settings!$G$19:$G$22,0))</f>
        <v>203</v>
      </c>
      <c r="R268" s="12">
        <f t="shared" si="1"/>
        <v>0</v>
      </c>
      <c r="S268" s="12">
        <f>IF($A268="","",IF($R268&lt;=0,1,1+$R268/SUMIF($R$4:$R$923,"&gt;0",$R$4:$R$923)*(Settings!$B$5*(Settings!$B$6-Settings!$B$7))))</f>
        <v>1</v>
      </c>
      <c r="T268" s="12">
        <f t="array" ref="T268">IF($A268="","",XLOOKUP($F268,Settings!$I$15:$I$20,Settings!$J$15:$J$20,1))</f>
        <v>0.9</v>
      </c>
      <c r="U268" s="12">
        <f>IF($A268="","",1+(($G268-5)/5)*Settings!$J$8)</f>
        <v>1</v>
      </c>
      <c r="V268" s="12">
        <f>IF($A268="","",1+(($H268-5)/5)*Settings!$J$9)</f>
        <v>1.06</v>
      </c>
      <c r="W268" s="12">
        <f t="array" ref="W268">IF($A268="","",XLOOKUP($J268,Lists!$C$3:$C$7,Lists!$D$3:$D$7,1))</f>
        <v>1</v>
      </c>
      <c r="X268" s="12">
        <f>IF($A268="","",IF($I268="Yes",Settings!$J$10,1))</f>
        <v>1</v>
      </c>
      <c r="Y268" s="12">
        <f t="shared" si="2"/>
        <v>1</v>
      </c>
      <c r="Z268" s="12">
        <f>IF($A268="","",IFERROR(ROUND(AVERAGEIFS('Historical Drafts'!$G$4:$G$300,'Historical Drafts'!$D$4:$D$300,$E268,'Historical Drafts'!$J$4:$J$300,"&gt;="&amp;$L268*0.85,'Historical Drafts'!$J$4:$J$300,"&lt;="&amp;$L268*1.15),0),$Y268))</f>
        <v>12</v>
      </c>
      <c r="AA268" s="12" t="str">
        <f>IF($A268="","",IF(COUNTIF('Auction Log'!$B$3:$B$300,$A268)&gt;0,"Sold","Available"))</f>
        <v>Available</v>
      </c>
      <c r="AB268" s="12" t="str">
        <f t="array" ref="AB268">IF($A268="","",IFERROR(XLOOKUP($A268,'Auction Log'!$B$3:$B$300,'Auction Log'!$G$3:$G$300,""),""))</f>
        <v/>
      </c>
      <c r="AC268" s="12" t="str">
        <f t="array" ref="AC268">IF($A268="","",IFERROR(XLOOKUP($A268,'Auction Log'!$B$3:$B$300,'Auction Log'!$F$3:$F$300,""),""))</f>
        <v/>
      </c>
      <c r="AD268" s="12">
        <f t="array" ref="AD268">IF($A268="","",ROUND($Y268*XLOOKUP($F268,Settings!$I$15:$I$20,Settings!$K$15:$K$20,0.4),0))</f>
        <v>0</v>
      </c>
      <c r="AE268" s="12">
        <f t="array" ref="AE268">IF($A268="","",ROUND($Y268*XLOOKUP($F268,Settings!$I$15:$I$20,Settings!$L$15:$L$20,0.8),0))</f>
        <v>1</v>
      </c>
      <c r="AF268" s="12">
        <f t="array" ref="AF268">IF($A268="","",ROUND($Y268*XLOOKUP($F268,Settings!$I$15:$I$20,Settings!$M$15:$M$20,1),0))</f>
        <v>1</v>
      </c>
      <c r="AG268" s="12">
        <f t="array" ref="AG268">IF($A268="","",ROUND($Y268*XLOOKUP($F268,Settings!$I$15:$I$20,Settings!$N$15:$N$20,1.1),0))</f>
        <v>1</v>
      </c>
      <c r="AH268" s="12">
        <f t="array" ref="AH268">IF($A268="","",ROUND($Y268*XLOOKUP($F268,Settings!$I$15:$I$20,Settings!$O$15:$O$20,1.1)*Settings!$J$7,0))</f>
        <v>1</v>
      </c>
      <c r="AI268" s="12">
        <f t="array" ref="AI268">IF($A268="","",IF($AA268="Sold","",MIN($AH268,IFERROR(XLOOKUP(Settings!$B$12,Managers!$B$4:$B$15,Managers!$H$4:$H$15),$AH268))))</f>
        <v>1</v>
      </c>
      <c r="AJ268" s="12" t="str">
        <f t="shared" si="3"/>
        <v>Budget Drainer</v>
      </c>
      <c r="AK268" s="12">
        <f t="shared" si="4"/>
        <v>37</v>
      </c>
      <c r="AL268" s="12" t="str">
        <f t="shared" si="5"/>
        <v/>
      </c>
    </row>
    <row r="269" ht="15.75" customHeight="1">
      <c r="A269" s="10" t="s">
        <v>850</v>
      </c>
      <c r="B269" s="10" t="s">
        <v>851</v>
      </c>
      <c r="C269" s="10" t="s">
        <v>226</v>
      </c>
      <c r="D269" s="10" t="s">
        <v>118</v>
      </c>
      <c r="E269" s="10" t="s">
        <v>118</v>
      </c>
      <c r="F269" s="10" t="s">
        <v>114</v>
      </c>
      <c r="G269" s="10">
        <v>5.0</v>
      </c>
      <c r="H269" s="10">
        <v>7.0</v>
      </c>
      <c r="I269" s="10" t="s">
        <v>2140</v>
      </c>
      <c r="J269" s="10" t="s">
        <v>2136</v>
      </c>
      <c r="K269" s="10"/>
      <c r="L269" s="10">
        <v>115.5</v>
      </c>
      <c r="M269" s="10">
        <v>7.22</v>
      </c>
      <c r="N269" s="10"/>
      <c r="O269" s="10"/>
      <c r="P269" s="12">
        <f>IF($A269="","",IFERROR((IF($O269="",0,$O269)*Settings!$J$4+IF($L269="",0,$L269)*Settings!$J$5+IF($N269="",0,$N269)*Settings!$J$6)/(IF($O269="",0,Settings!$J$4)+IF($L269="",0,Settings!$J$5)+IF($N269="",0,Settings!$J$6)),0))</f>
        <v>115.5</v>
      </c>
      <c r="Q269" s="12">
        <f t="array" ref="Q269">IF($A269="","",XLOOKUP($E269,Settings!$A$19:$A$22,Settings!$G$19:$G$22,0))</f>
        <v>196.25</v>
      </c>
      <c r="R269" s="12">
        <f t="shared" si="1"/>
        <v>0</v>
      </c>
      <c r="S269" s="12">
        <f>IF($A269="","",IF($R269&lt;=0,1,1+$R269/SUMIF($R$4:$R$923,"&gt;0",$R$4:$R$923)*(Settings!$B$5*(Settings!$B$6-Settings!$B$7))))</f>
        <v>1</v>
      </c>
      <c r="T269" s="12">
        <f t="array" ref="T269">IF($A269="","",XLOOKUP($F269,Settings!$I$15:$I$20,Settings!$J$15:$J$20,1))</f>
        <v>0.9</v>
      </c>
      <c r="U269" s="12">
        <f>IF($A269="","",1+(($G269-5)/5)*Settings!$J$8)</f>
        <v>1</v>
      </c>
      <c r="V269" s="12">
        <f>IF($A269="","",1+(($H269-5)/5)*Settings!$J$9)</f>
        <v>1.06</v>
      </c>
      <c r="W269" s="12">
        <f t="array" ref="W269">IF($A269="","",XLOOKUP($J269,Lists!$C$3:$C$7,Lists!$D$3:$D$7,1))</f>
        <v>1</v>
      </c>
      <c r="X269" s="12">
        <f>IF($A269="","",IF($I269="Yes",Settings!$J$10,1))</f>
        <v>1</v>
      </c>
      <c r="Y269" s="12">
        <f t="shared" si="2"/>
        <v>1</v>
      </c>
      <c r="Z269" s="12">
        <f>IF($A269="","",IFERROR(ROUND(AVERAGEIFS('Historical Drafts'!$G$4:$G$300,'Historical Drafts'!$D$4:$D$300,$E269,'Historical Drafts'!$J$4:$J$300,"&gt;="&amp;$L269*0.85,'Historical Drafts'!$J$4:$J$300,"&lt;="&amp;$L269*1.15),0),$Y269))</f>
        <v>3</v>
      </c>
      <c r="AA269" s="12" t="str">
        <f>IF($A269="","",IF(COUNTIF('Auction Log'!$B$3:$B$300,$A269)&gt;0,"Sold","Available"))</f>
        <v>Available</v>
      </c>
      <c r="AB269" s="12" t="str">
        <f t="array" ref="AB269">IF($A269="","",IFERROR(XLOOKUP($A269,'Auction Log'!$B$3:$B$300,'Auction Log'!$G$3:$G$300,""),""))</f>
        <v/>
      </c>
      <c r="AC269" s="12" t="str">
        <f t="array" ref="AC269">IF($A269="","",IFERROR(XLOOKUP($A269,'Auction Log'!$B$3:$B$300,'Auction Log'!$F$3:$F$300,""),""))</f>
        <v/>
      </c>
      <c r="AD269" s="12">
        <f t="array" ref="AD269">IF($A269="","",ROUND($Y269*XLOOKUP($F269,Settings!$I$15:$I$20,Settings!$K$15:$K$20,0.4),0))</f>
        <v>0</v>
      </c>
      <c r="AE269" s="12">
        <f t="array" ref="AE269">IF($A269="","",ROUND($Y269*XLOOKUP($F269,Settings!$I$15:$I$20,Settings!$L$15:$L$20,0.8),0))</f>
        <v>1</v>
      </c>
      <c r="AF269" s="12">
        <f t="array" ref="AF269">IF($A269="","",ROUND($Y269*XLOOKUP($F269,Settings!$I$15:$I$20,Settings!$M$15:$M$20,1),0))</f>
        <v>1</v>
      </c>
      <c r="AG269" s="12">
        <f t="array" ref="AG269">IF($A269="","",ROUND($Y269*XLOOKUP($F269,Settings!$I$15:$I$20,Settings!$N$15:$N$20,1.1),0))</f>
        <v>1</v>
      </c>
      <c r="AH269" s="12">
        <f t="array" ref="AH269">IF($A269="","",ROUND($Y269*XLOOKUP($F269,Settings!$I$15:$I$20,Settings!$O$15:$O$20,1.1)*Settings!$J$7,0))</f>
        <v>1</v>
      </c>
      <c r="AI269" s="12">
        <f t="array" ref="AI269">IF($A269="","",IF($AA269="Sold","",MIN($AH269,IFERROR(XLOOKUP(Settings!$B$12,Managers!$B$4:$B$15,Managers!$H$4:$H$15),$AH269))))</f>
        <v>1</v>
      </c>
      <c r="AJ269" s="12" t="str">
        <f t="shared" si="3"/>
        <v>Budget Drainer</v>
      </c>
      <c r="AK269" s="12">
        <f t="shared" si="4"/>
        <v>28</v>
      </c>
      <c r="AL269" s="12" t="str">
        <f t="shared" si="5"/>
        <v/>
      </c>
    </row>
    <row r="270" ht="15.75" customHeight="1">
      <c r="A270" s="10" t="s">
        <v>852</v>
      </c>
      <c r="B270" s="10" t="s">
        <v>853</v>
      </c>
      <c r="C270" s="10" t="s">
        <v>305</v>
      </c>
      <c r="D270" s="10" t="s">
        <v>121</v>
      </c>
      <c r="E270" s="10" t="s">
        <v>121</v>
      </c>
      <c r="F270" s="10" t="s">
        <v>114</v>
      </c>
      <c r="G270" s="10">
        <v>5.0</v>
      </c>
      <c r="H270" s="10">
        <v>7.0</v>
      </c>
      <c r="I270" s="10" t="s">
        <v>2140</v>
      </c>
      <c r="J270" s="10" t="s">
        <v>2136</v>
      </c>
      <c r="K270" s="10"/>
      <c r="L270" s="10">
        <v>113.5</v>
      </c>
      <c r="M270" s="10">
        <v>3.55</v>
      </c>
      <c r="N270" s="10"/>
      <c r="O270" s="10"/>
      <c r="P270" s="12">
        <f>IF($A270="","",IFERROR((IF($O270="",0,$O270)*Settings!$J$4+IF($L270="",0,$L270)*Settings!$J$5+IF($N270="",0,$N270)*Settings!$J$6)/(IF($O270="",0,Settings!$J$4)+IF($L270="",0,Settings!$J$5)+IF($N270="",0,Settings!$J$6)),0))</f>
        <v>113.5</v>
      </c>
      <c r="Q270" s="12">
        <f t="array" ref="Q270">IF($A270="","",XLOOKUP($E270,Settings!$A$19:$A$22,Settings!$G$19:$G$22,0))</f>
        <v>206</v>
      </c>
      <c r="R270" s="12">
        <f t="shared" si="1"/>
        <v>0</v>
      </c>
      <c r="S270" s="12">
        <f>IF($A270="","",IF($R270&lt;=0,1,1+$R270/SUMIF($R$4:$R$923,"&gt;0",$R$4:$R$923)*(Settings!$B$5*(Settings!$B$6-Settings!$B$7))))</f>
        <v>1</v>
      </c>
      <c r="T270" s="12">
        <f t="array" ref="T270">IF($A270="","",XLOOKUP($F270,Settings!$I$15:$I$20,Settings!$J$15:$J$20,1))</f>
        <v>0.9</v>
      </c>
      <c r="U270" s="12">
        <f>IF($A270="","",1+(($G270-5)/5)*Settings!$J$8)</f>
        <v>1</v>
      </c>
      <c r="V270" s="12">
        <f>IF($A270="","",1+(($H270-5)/5)*Settings!$J$9)</f>
        <v>1.06</v>
      </c>
      <c r="W270" s="12">
        <f t="array" ref="W270">IF($A270="","",XLOOKUP($J270,Lists!$C$3:$C$7,Lists!$D$3:$D$7,1))</f>
        <v>1</v>
      </c>
      <c r="X270" s="12">
        <f>IF($A270="","",IF($I270="Yes",Settings!$J$10,1))</f>
        <v>1</v>
      </c>
      <c r="Y270" s="12">
        <f t="shared" si="2"/>
        <v>1</v>
      </c>
      <c r="Z270" s="12">
        <f>IF($A270="","",IFERROR(ROUND(AVERAGEIFS('Historical Drafts'!$G$4:$G$300,'Historical Drafts'!$D$4:$D$300,$E270,'Historical Drafts'!$J$4:$J$300,"&gt;="&amp;$L270*0.85,'Historical Drafts'!$J$4:$J$300,"&lt;="&amp;$L270*1.15),0),$Y270))</f>
        <v>11</v>
      </c>
      <c r="AA270" s="12" t="str">
        <f>IF($A270="","",IF(COUNTIF('Auction Log'!$B$3:$B$300,$A270)&gt;0,"Sold","Available"))</f>
        <v>Available</v>
      </c>
      <c r="AB270" s="12" t="str">
        <f t="array" ref="AB270">IF($A270="","",IFERROR(XLOOKUP($A270,'Auction Log'!$B$3:$B$300,'Auction Log'!$G$3:$G$300,""),""))</f>
        <v/>
      </c>
      <c r="AC270" s="12" t="str">
        <f t="array" ref="AC270">IF($A270="","",IFERROR(XLOOKUP($A270,'Auction Log'!$B$3:$B$300,'Auction Log'!$F$3:$F$300,""),""))</f>
        <v/>
      </c>
      <c r="AD270" s="12">
        <f t="array" ref="AD270">IF($A270="","",ROUND($Y270*XLOOKUP($F270,Settings!$I$15:$I$20,Settings!$K$15:$K$20,0.4),0))</f>
        <v>0</v>
      </c>
      <c r="AE270" s="12">
        <f t="array" ref="AE270">IF($A270="","",ROUND($Y270*XLOOKUP($F270,Settings!$I$15:$I$20,Settings!$L$15:$L$20,0.8),0))</f>
        <v>1</v>
      </c>
      <c r="AF270" s="12">
        <f t="array" ref="AF270">IF($A270="","",ROUND($Y270*XLOOKUP($F270,Settings!$I$15:$I$20,Settings!$M$15:$M$20,1),0))</f>
        <v>1</v>
      </c>
      <c r="AG270" s="12">
        <f t="array" ref="AG270">IF($A270="","",ROUND($Y270*XLOOKUP($F270,Settings!$I$15:$I$20,Settings!$N$15:$N$20,1.1),0))</f>
        <v>1</v>
      </c>
      <c r="AH270" s="12">
        <f t="array" ref="AH270">IF($A270="","",ROUND($Y270*XLOOKUP($F270,Settings!$I$15:$I$20,Settings!$O$15:$O$20,1.1)*Settings!$J$7,0))</f>
        <v>1</v>
      </c>
      <c r="AI270" s="12">
        <f t="array" ref="AI270">IF($A270="","",IF($AA270="Sold","",MIN($AH270,IFERROR(XLOOKUP(Settings!$B$12,Managers!$B$4:$B$15,Managers!$H$4:$H$15),$AH270))))</f>
        <v>1</v>
      </c>
      <c r="AJ270" s="12" t="str">
        <f t="shared" si="3"/>
        <v>Budget Drainer</v>
      </c>
      <c r="AK270" s="12">
        <f t="shared" si="4"/>
        <v>36</v>
      </c>
      <c r="AL270" s="12" t="str">
        <f t="shared" si="5"/>
        <v/>
      </c>
    </row>
    <row r="271" ht="15.75" customHeight="1">
      <c r="A271" s="10" t="s">
        <v>275</v>
      </c>
      <c r="B271" s="10" t="s">
        <v>276</v>
      </c>
      <c r="C271" s="10" t="s">
        <v>257</v>
      </c>
      <c r="D271" s="10" t="s">
        <v>121</v>
      </c>
      <c r="E271" s="10" t="s">
        <v>121</v>
      </c>
      <c r="F271" s="10" t="s">
        <v>114</v>
      </c>
      <c r="G271" s="10">
        <v>5.0</v>
      </c>
      <c r="H271" s="10">
        <v>7.0</v>
      </c>
      <c r="I271" s="10" t="s">
        <v>2140</v>
      </c>
      <c r="J271" s="10" t="s">
        <v>2136</v>
      </c>
      <c r="K271" s="10"/>
      <c r="L271" s="10">
        <v>113.0</v>
      </c>
      <c r="M271" s="10">
        <v>5.14</v>
      </c>
      <c r="N271" s="10"/>
      <c r="O271" s="10"/>
      <c r="P271" s="12">
        <f>IF($A271="","",IFERROR((IF($O271="",0,$O271)*Settings!$J$4+IF($L271="",0,$L271)*Settings!$J$5+IF($N271="",0,$N271)*Settings!$J$6)/(IF($O271="",0,Settings!$J$4)+IF($L271="",0,Settings!$J$5)+IF($N271="",0,Settings!$J$6)),0))</f>
        <v>113</v>
      </c>
      <c r="Q271" s="12">
        <f t="array" ref="Q271">IF($A271="","",XLOOKUP($E271,Settings!$A$19:$A$22,Settings!$G$19:$G$22,0))</f>
        <v>206</v>
      </c>
      <c r="R271" s="12">
        <f t="shared" si="1"/>
        <v>0</v>
      </c>
      <c r="S271" s="12">
        <f>IF($A271="","",IF($R271&lt;=0,1,1+$R271/SUMIF($R$4:$R$923,"&gt;0",$R$4:$R$923)*(Settings!$B$5*(Settings!$B$6-Settings!$B$7))))</f>
        <v>1</v>
      </c>
      <c r="T271" s="12">
        <f t="array" ref="T271">IF($A271="","",XLOOKUP($F271,Settings!$I$15:$I$20,Settings!$J$15:$J$20,1))</f>
        <v>0.9</v>
      </c>
      <c r="U271" s="12">
        <f>IF($A271="","",1+(($G271-5)/5)*Settings!$J$8)</f>
        <v>1</v>
      </c>
      <c r="V271" s="12">
        <f>IF($A271="","",1+(($H271-5)/5)*Settings!$J$9)</f>
        <v>1.06</v>
      </c>
      <c r="W271" s="12">
        <f t="array" ref="W271">IF($A271="","",XLOOKUP($J271,Lists!$C$3:$C$7,Lists!$D$3:$D$7,1))</f>
        <v>1</v>
      </c>
      <c r="X271" s="12">
        <f>IF($A271="","",IF($I271="Yes",Settings!$J$10,1))</f>
        <v>1</v>
      </c>
      <c r="Y271" s="12">
        <f t="shared" si="2"/>
        <v>1</v>
      </c>
      <c r="Z271" s="12">
        <f>IF($A271="","",IFERROR(ROUND(AVERAGEIFS('Historical Drafts'!$G$4:$G$300,'Historical Drafts'!$D$4:$D$300,$E271,'Historical Drafts'!$J$4:$J$300,"&gt;="&amp;$L271*0.85,'Historical Drafts'!$J$4:$J$300,"&lt;="&amp;$L271*1.15),0),$Y271))</f>
        <v>11</v>
      </c>
      <c r="AA271" s="12" t="str">
        <f>IF($A271="","",IF(COUNTIF('Auction Log'!$B$3:$B$300,$A271)&gt;0,"Sold","Available"))</f>
        <v>Available</v>
      </c>
      <c r="AB271" s="12" t="str">
        <f t="array" ref="AB271">IF($A271="","",IFERROR(XLOOKUP($A271,'Auction Log'!$B$3:$B$300,'Auction Log'!$G$3:$G$300,""),""))</f>
        <v/>
      </c>
      <c r="AC271" s="12" t="str">
        <f t="array" ref="AC271">IF($A271="","",IFERROR(XLOOKUP($A271,'Auction Log'!$B$3:$B$300,'Auction Log'!$F$3:$F$300,""),""))</f>
        <v/>
      </c>
      <c r="AD271" s="12">
        <f t="array" ref="AD271">IF($A271="","",ROUND($Y271*XLOOKUP($F271,Settings!$I$15:$I$20,Settings!$K$15:$K$20,0.4),0))</f>
        <v>0</v>
      </c>
      <c r="AE271" s="12">
        <f t="array" ref="AE271">IF($A271="","",ROUND($Y271*XLOOKUP($F271,Settings!$I$15:$I$20,Settings!$L$15:$L$20,0.8),0))</f>
        <v>1</v>
      </c>
      <c r="AF271" s="12">
        <f t="array" ref="AF271">IF($A271="","",ROUND($Y271*XLOOKUP($F271,Settings!$I$15:$I$20,Settings!$M$15:$M$20,1),0))</f>
        <v>1</v>
      </c>
      <c r="AG271" s="12">
        <f t="array" ref="AG271">IF($A271="","",ROUND($Y271*XLOOKUP($F271,Settings!$I$15:$I$20,Settings!$N$15:$N$20,1.1),0))</f>
        <v>1</v>
      </c>
      <c r="AH271" s="12">
        <f t="array" ref="AH271">IF($A271="","",ROUND($Y271*XLOOKUP($F271,Settings!$I$15:$I$20,Settings!$O$15:$O$20,1.1)*Settings!$J$7,0))</f>
        <v>1</v>
      </c>
      <c r="AI271" s="12">
        <f t="array" ref="AI271">IF($A271="","",IF($AA271="Sold","",MIN($AH271,IFERROR(XLOOKUP(Settings!$B$12,Managers!$B$4:$B$15,Managers!$H$4:$H$15),$AH271))))</f>
        <v>1</v>
      </c>
      <c r="AJ271" s="12" t="str">
        <f t="shared" si="3"/>
        <v>Budget Drainer</v>
      </c>
      <c r="AK271" s="12">
        <f t="shared" si="4"/>
        <v>36</v>
      </c>
      <c r="AL271" s="12" t="str">
        <f t="shared" si="5"/>
        <v/>
      </c>
    </row>
    <row r="272" ht="15.75" customHeight="1">
      <c r="A272" s="10" t="s">
        <v>854</v>
      </c>
      <c r="B272" s="10" t="s">
        <v>855</v>
      </c>
      <c r="C272" s="10" t="s">
        <v>566</v>
      </c>
      <c r="D272" s="10" t="s">
        <v>118</v>
      </c>
      <c r="E272" s="10" t="s">
        <v>118</v>
      </c>
      <c r="F272" s="10" t="s">
        <v>114</v>
      </c>
      <c r="G272" s="10">
        <v>5.0</v>
      </c>
      <c r="H272" s="10">
        <v>7.0</v>
      </c>
      <c r="I272" s="10" t="s">
        <v>2140</v>
      </c>
      <c r="J272" s="10" t="s">
        <v>2136</v>
      </c>
      <c r="K272" s="10"/>
      <c r="L272" s="10">
        <v>112.25</v>
      </c>
      <c r="M272" s="10">
        <v>3.3</v>
      </c>
      <c r="N272" s="10"/>
      <c r="O272" s="10"/>
      <c r="P272" s="12">
        <f>IF($A272="","",IFERROR((IF($O272="",0,$O272)*Settings!$J$4+IF($L272="",0,$L272)*Settings!$J$5+IF($N272="",0,$N272)*Settings!$J$6)/(IF($O272="",0,Settings!$J$4)+IF($L272="",0,Settings!$J$5)+IF($N272="",0,Settings!$J$6)),0))</f>
        <v>112.25</v>
      </c>
      <c r="Q272" s="12">
        <f t="array" ref="Q272">IF($A272="","",XLOOKUP($E272,Settings!$A$19:$A$22,Settings!$G$19:$G$22,0))</f>
        <v>196.25</v>
      </c>
      <c r="R272" s="12">
        <f t="shared" si="1"/>
        <v>0</v>
      </c>
      <c r="S272" s="12">
        <f>IF($A272="","",IF($R272&lt;=0,1,1+$R272/SUMIF($R$4:$R$923,"&gt;0",$R$4:$R$923)*(Settings!$B$5*(Settings!$B$6-Settings!$B$7))))</f>
        <v>1</v>
      </c>
      <c r="T272" s="12">
        <f t="array" ref="T272">IF($A272="","",XLOOKUP($F272,Settings!$I$15:$I$20,Settings!$J$15:$J$20,1))</f>
        <v>0.9</v>
      </c>
      <c r="U272" s="12">
        <f>IF($A272="","",1+(($G272-5)/5)*Settings!$J$8)</f>
        <v>1</v>
      </c>
      <c r="V272" s="12">
        <f>IF($A272="","",1+(($H272-5)/5)*Settings!$J$9)</f>
        <v>1.06</v>
      </c>
      <c r="W272" s="12">
        <f t="array" ref="W272">IF($A272="","",XLOOKUP($J272,Lists!$C$3:$C$7,Lists!$D$3:$D$7,1))</f>
        <v>1</v>
      </c>
      <c r="X272" s="12">
        <f>IF($A272="","",IF($I272="Yes",Settings!$J$10,1))</f>
        <v>1</v>
      </c>
      <c r="Y272" s="12">
        <f t="shared" si="2"/>
        <v>1</v>
      </c>
      <c r="Z272" s="12">
        <f>IF($A272="","",IFERROR(ROUND(AVERAGEIFS('Historical Drafts'!$G$4:$G$300,'Historical Drafts'!$D$4:$D$300,$E272,'Historical Drafts'!$J$4:$J$300,"&gt;="&amp;$L272*0.85,'Historical Drafts'!$J$4:$J$300,"&lt;="&amp;$L272*1.15),0),$Y272))</f>
        <v>4</v>
      </c>
      <c r="AA272" s="12" t="str">
        <f>IF($A272="","",IF(COUNTIF('Auction Log'!$B$3:$B$300,$A272)&gt;0,"Sold","Available"))</f>
        <v>Available</v>
      </c>
      <c r="AB272" s="12" t="str">
        <f t="array" ref="AB272">IF($A272="","",IFERROR(XLOOKUP($A272,'Auction Log'!$B$3:$B$300,'Auction Log'!$G$3:$G$300,""),""))</f>
        <v/>
      </c>
      <c r="AC272" s="12" t="str">
        <f t="array" ref="AC272">IF($A272="","",IFERROR(XLOOKUP($A272,'Auction Log'!$B$3:$B$300,'Auction Log'!$F$3:$F$300,""),""))</f>
        <v/>
      </c>
      <c r="AD272" s="12">
        <f t="array" ref="AD272">IF($A272="","",ROUND($Y272*XLOOKUP($F272,Settings!$I$15:$I$20,Settings!$K$15:$K$20,0.4),0))</f>
        <v>0</v>
      </c>
      <c r="AE272" s="12">
        <f t="array" ref="AE272">IF($A272="","",ROUND($Y272*XLOOKUP($F272,Settings!$I$15:$I$20,Settings!$L$15:$L$20,0.8),0))</f>
        <v>1</v>
      </c>
      <c r="AF272" s="12">
        <f t="array" ref="AF272">IF($A272="","",ROUND($Y272*XLOOKUP($F272,Settings!$I$15:$I$20,Settings!$M$15:$M$20,1),0))</f>
        <v>1</v>
      </c>
      <c r="AG272" s="12">
        <f t="array" ref="AG272">IF($A272="","",ROUND($Y272*XLOOKUP($F272,Settings!$I$15:$I$20,Settings!$N$15:$N$20,1.1),0))</f>
        <v>1</v>
      </c>
      <c r="AH272" s="12">
        <f t="array" ref="AH272">IF($A272="","",ROUND($Y272*XLOOKUP($F272,Settings!$I$15:$I$20,Settings!$O$15:$O$20,1.1)*Settings!$J$7,0))</f>
        <v>1</v>
      </c>
      <c r="AI272" s="12">
        <f t="array" ref="AI272">IF($A272="","",IF($AA272="Sold","",MIN($AH272,IFERROR(XLOOKUP(Settings!$B$12,Managers!$B$4:$B$15,Managers!$H$4:$H$15),$AH272))))</f>
        <v>1</v>
      </c>
      <c r="AJ272" s="12" t="str">
        <f t="shared" si="3"/>
        <v>Budget Drainer</v>
      </c>
      <c r="AK272" s="12">
        <f t="shared" si="4"/>
        <v>29</v>
      </c>
      <c r="AL272" s="12" t="str">
        <f t="shared" si="5"/>
        <v/>
      </c>
    </row>
    <row r="273" ht="15.75" customHeight="1">
      <c r="A273" s="10" t="s">
        <v>332</v>
      </c>
      <c r="B273" s="10" t="s">
        <v>333</v>
      </c>
      <c r="C273" s="10" t="s">
        <v>226</v>
      </c>
      <c r="D273" s="10" t="s">
        <v>118</v>
      </c>
      <c r="E273" s="10" t="s">
        <v>118</v>
      </c>
      <c r="F273" s="10" t="s">
        <v>114</v>
      </c>
      <c r="G273" s="10">
        <v>5.0</v>
      </c>
      <c r="H273" s="10">
        <v>7.0</v>
      </c>
      <c r="I273" s="10" t="s">
        <v>2140</v>
      </c>
      <c r="J273" s="10" t="s">
        <v>2136</v>
      </c>
      <c r="K273" s="10"/>
      <c r="L273" s="10">
        <v>109.75</v>
      </c>
      <c r="M273" s="10">
        <v>6.46</v>
      </c>
      <c r="N273" s="10"/>
      <c r="O273" s="10"/>
      <c r="P273" s="12">
        <f>IF($A273="","",IFERROR((IF($O273="",0,$O273)*Settings!$J$4+IF($L273="",0,$L273)*Settings!$J$5+IF($N273="",0,$N273)*Settings!$J$6)/(IF($O273="",0,Settings!$J$4)+IF($L273="",0,Settings!$J$5)+IF($N273="",0,Settings!$J$6)),0))</f>
        <v>109.75</v>
      </c>
      <c r="Q273" s="12">
        <f t="array" ref="Q273">IF($A273="","",XLOOKUP($E273,Settings!$A$19:$A$22,Settings!$G$19:$G$22,0))</f>
        <v>196.25</v>
      </c>
      <c r="R273" s="12">
        <f t="shared" si="1"/>
        <v>0</v>
      </c>
      <c r="S273" s="12">
        <f>IF($A273="","",IF($R273&lt;=0,1,1+$R273/SUMIF($R$4:$R$923,"&gt;0",$R$4:$R$923)*(Settings!$B$5*(Settings!$B$6-Settings!$B$7))))</f>
        <v>1</v>
      </c>
      <c r="T273" s="12">
        <f t="array" ref="T273">IF($A273="","",XLOOKUP($F273,Settings!$I$15:$I$20,Settings!$J$15:$J$20,1))</f>
        <v>0.9</v>
      </c>
      <c r="U273" s="12">
        <f>IF($A273="","",1+(($G273-5)/5)*Settings!$J$8)</f>
        <v>1</v>
      </c>
      <c r="V273" s="12">
        <f>IF($A273="","",1+(($H273-5)/5)*Settings!$J$9)</f>
        <v>1.06</v>
      </c>
      <c r="W273" s="12">
        <f t="array" ref="W273">IF($A273="","",XLOOKUP($J273,Lists!$C$3:$C$7,Lists!$D$3:$D$7,1))</f>
        <v>1</v>
      </c>
      <c r="X273" s="12">
        <f>IF($A273="","",IF($I273="Yes",Settings!$J$10,1))</f>
        <v>1</v>
      </c>
      <c r="Y273" s="12">
        <f t="shared" si="2"/>
        <v>1</v>
      </c>
      <c r="Z273" s="12">
        <f>IF($A273="","",IFERROR(ROUND(AVERAGEIFS('Historical Drafts'!$G$4:$G$300,'Historical Drafts'!$D$4:$D$300,$E273,'Historical Drafts'!$J$4:$J$300,"&gt;="&amp;$L273*0.85,'Historical Drafts'!$J$4:$J$300,"&lt;="&amp;$L273*1.15),0),$Y273))</f>
        <v>4</v>
      </c>
      <c r="AA273" s="12" t="str">
        <f>IF($A273="","",IF(COUNTIF('Auction Log'!$B$3:$B$300,$A273)&gt;0,"Sold","Available"))</f>
        <v>Available</v>
      </c>
      <c r="AB273" s="12" t="str">
        <f t="array" ref="AB273">IF($A273="","",IFERROR(XLOOKUP($A273,'Auction Log'!$B$3:$B$300,'Auction Log'!$G$3:$G$300,""),""))</f>
        <v/>
      </c>
      <c r="AC273" s="12" t="str">
        <f t="array" ref="AC273">IF($A273="","",IFERROR(XLOOKUP($A273,'Auction Log'!$B$3:$B$300,'Auction Log'!$F$3:$F$300,""),""))</f>
        <v/>
      </c>
      <c r="AD273" s="12">
        <f t="array" ref="AD273">IF($A273="","",ROUND($Y273*XLOOKUP($F273,Settings!$I$15:$I$20,Settings!$K$15:$K$20,0.4),0))</f>
        <v>0</v>
      </c>
      <c r="AE273" s="12">
        <f t="array" ref="AE273">IF($A273="","",ROUND($Y273*XLOOKUP($F273,Settings!$I$15:$I$20,Settings!$L$15:$L$20,0.8),0))</f>
        <v>1</v>
      </c>
      <c r="AF273" s="12">
        <f t="array" ref="AF273">IF($A273="","",ROUND($Y273*XLOOKUP($F273,Settings!$I$15:$I$20,Settings!$M$15:$M$20,1),0))</f>
        <v>1</v>
      </c>
      <c r="AG273" s="12">
        <f t="array" ref="AG273">IF($A273="","",ROUND($Y273*XLOOKUP($F273,Settings!$I$15:$I$20,Settings!$N$15:$N$20,1.1),0))</f>
        <v>1</v>
      </c>
      <c r="AH273" s="12">
        <f t="array" ref="AH273">IF($A273="","",ROUND($Y273*XLOOKUP($F273,Settings!$I$15:$I$20,Settings!$O$15:$O$20,1.1)*Settings!$J$7,0))</f>
        <v>1</v>
      </c>
      <c r="AI273" s="12">
        <f t="array" ref="AI273">IF($A273="","",IF($AA273="Sold","",MIN($AH273,IFERROR(XLOOKUP(Settings!$B$12,Managers!$B$4:$B$15,Managers!$H$4:$H$15),$AH273))))</f>
        <v>1</v>
      </c>
      <c r="AJ273" s="12" t="str">
        <f t="shared" si="3"/>
        <v>Budget Drainer</v>
      </c>
      <c r="AK273" s="12">
        <f t="shared" si="4"/>
        <v>29</v>
      </c>
      <c r="AL273" s="12" t="str">
        <f t="shared" si="5"/>
        <v/>
      </c>
    </row>
    <row r="274" ht="15.75" customHeight="1">
      <c r="A274" s="10" t="s">
        <v>856</v>
      </c>
      <c r="B274" s="10" t="s">
        <v>857</v>
      </c>
      <c r="C274" s="10" t="s">
        <v>285</v>
      </c>
      <c r="D274" s="10" t="s">
        <v>121</v>
      </c>
      <c r="E274" s="10" t="s">
        <v>121</v>
      </c>
      <c r="F274" s="10" t="s">
        <v>114</v>
      </c>
      <c r="G274" s="10">
        <v>5.0</v>
      </c>
      <c r="H274" s="10">
        <v>7.0</v>
      </c>
      <c r="I274" s="10" t="s">
        <v>2140</v>
      </c>
      <c r="J274" s="10" t="s">
        <v>2136</v>
      </c>
      <c r="K274" s="10"/>
      <c r="L274" s="10">
        <v>109.5</v>
      </c>
      <c r="M274" s="10">
        <v>4.21</v>
      </c>
      <c r="N274" s="10"/>
      <c r="O274" s="10"/>
      <c r="P274" s="12">
        <f>IF($A274="","",IFERROR((IF($O274="",0,$O274)*Settings!$J$4+IF($L274="",0,$L274)*Settings!$J$5+IF($N274="",0,$N274)*Settings!$J$6)/(IF($O274="",0,Settings!$J$4)+IF($L274="",0,Settings!$J$5)+IF($N274="",0,Settings!$J$6)),0))</f>
        <v>109.5</v>
      </c>
      <c r="Q274" s="12">
        <f t="array" ref="Q274">IF($A274="","",XLOOKUP($E274,Settings!$A$19:$A$22,Settings!$G$19:$G$22,0))</f>
        <v>206</v>
      </c>
      <c r="R274" s="12">
        <f t="shared" si="1"/>
        <v>0</v>
      </c>
      <c r="S274" s="12">
        <f>IF($A274="","",IF($R274&lt;=0,1,1+$R274/SUMIF($R$4:$R$923,"&gt;0",$R$4:$R$923)*(Settings!$B$5*(Settings!$B$6-Settings!$B$7))))</f>
        <v>1</v>
      </c>
      <c r="T274" s="12">
        <f t="array" ref="T274">IF($A274="","",XLOOKUP($F274,Settings!$I$15:$I$20,Settings!$J$15:$J$20,1))</f>
        <v>0.9</v>
      </c>
      <c r="U274" s="12">
        <f>IF($A274="","",1+(($G274-5)/5)*Settings!$J$8)</f>
        <v>1</v>
      </c>
      <c r="V274" s="12">
        <f>IF($A274="","",1+(($H274-5)/5)*Settings!$J$9)</f>
        <v>1.06</v>
      </c>
      <c r="W274" s="12">
        <f t="array" ref="W274">IF($A274="","",XLOOKUP($J274,Lists!$C$3:$C$7,Lists!$D$3:$D$7,1))</f>
        <v>1</v>
      </c>
      <c r="X274" s="12">
        <f>IF($A274="","",IF($I274="Yes",Settings!$J$10,1))</f>
        <v>1</v>
      </c>
      <c r="Y274" s="12">
        <f t="shared" si="2"/>
        <v>1</v>
      </c>
      <c r="Z274" s="12">
        <f>IF($A274="","",IFERROR(ROUND(AVERAGEIFS('Historical Drafts'!$G$4:$G$300,'Historical Drafts'!$D$4:$D$300,$E274,'Historical Drafts'!$J$4:$J$300,"&gt;="&amp;$L274*0.85,'Historical Drafts'!$J$4:$J$300,"&lt;="&amp;$L274*1.15),0),$Y274))</f>
        <v>11</v>
      </c>
      <c r="AA274" s="12" t="str">
        <f>IF($A274="","",IF(COUNTIF('Auction Log'!$B$3:$B$300,$A274)&gt;0,"Sold","Available"))</f>
        <v>Available</v>
      </c>
      <c r="AB274" s="12" t="str">
        <f t="array" ref="AB274">IF($A274="","",IFERROR(XLOOKUP($A274,'Auction Log'!$B$3:$B$300,'Auction Log'!$G$3:$G$300,""),""))</f>
        <v/>
      </c>
      <c r="AC274" s="12" t="str">
        <f t="array" ref="AC274">IF($A274="","",IFERROR(XLOOKUP($A274,'Auction Log'!$B$3:$B$300,'Auction Log'!$F$3:$F$300,""),""))</f>
        <v/>
      </c>
      <c r="AD274" s="12">
        <f t="array" ref="AD274">IF($A274="","",ROUND($Y274*XLOOKUP($F274,Settings!$I$15:$I$20,Settings!$K$15:$K$20,0.4),0))</f>
        <v>0</v>
      </c>
      <c r="AE274" s="12">
        <f t="array" ref="AE274">IF($A274="","",ROUND($Y274*XLOOKUP($F274,Settings!$I$15:$I$20,Settings!$L$15:$L$20,0.8),0))</f>
        <v>1</v>
      </c>
      <c r="AF274" s="12">
        <f t="array" ref="AF274">IF($A274="","",ROUND($Y274*XLOOKUP($F274,Settings!$I$15:$I$20,Settings!$M$15:$M$20,1),0))</f>
        <v>1</v>
      </c>
      <c r="AG274" s="12">
        <f t="array" ref="AG274">IF($A274="","",ROUND($Y274*XLOOKUP($F274,Settings!$I$15:$I$20,Settings!$N$15:$N$20,1.1),0))</f>
        <v>1</v>
      </c>
      <c r="AH274" s="12">
        <f t="array" ref="AH274">IF($A274="","",ROUND($Y274*XLOOKUP($F274,Settings!$I$15:$I$20,Settings!$O$15:$O$20,1.1)*Settings!$J$7,0))</f>
        <v>1</v>
      </c>
      <c r="AI274" s="12">
        <f t="array" ref="AI274">IF($A274="","",IF($AA274="Sold","",MIN($AH274,IFERROR(XLOOKUP(Settings!$B$12,Managers!$B$4:$B$15,Managers!$H$4:$H$15),$AH274))))</f>
        <v>1</v>
      </c>
      <c r="AJ274" s="12" t="str">
        <f t="shared" si="3"/>
        <v>Budget Drainer</v>
      </c>
      <c r="AK274" s="12">
        <f t="shared" si="4"/>
        <v>36</v>
      </c>
      <c r="AL274" s="12" t="str">
        <f t="shared" si="5"/>
        <v/>
      </c>
    </row>
    <row r="275" ht="15.75" customHeight="1">
      <c r="A275" s="10" t="s">
        <v>858</v>
      </c>
      <c r="B275" s="10" t="s">
        <v>859</v>
      </c>
      <c r="C275" s="10" t="s">
        <v>236</v>
      </c>
      <c r="D275" s="10" t="s">
        <v>121</v>
      </c>
      <c r="E275" s="10" t="s">
        <v>121</v>
      </c>
      <c r="F275" s="10" t="s">
        <v>114</v>
      </c>
      <c r="G275" s="10">
        <v>5.0</v>
      </c>
      <c r="H275" s="10">
        <v>7.0</v>
      </c>
      <c r="I275" s="10" t="s">
        <v>2140</v>
      </c>
      <c r="J275" s="10" t="s">
        <v>2136</v>
      </c>
      <c r="K275" s="10"/>
      <c r="L275" s="10">
        <v>109.5</v>
      </c>
      <c r="M275" s="10">
        <v>4.06</v>
      </c>
      <c r="N275" s="10"/>
      <c r="O275" s="10"/>
      <c r="P275" s="12">
        <f>IF($A275="","",IFERROR((IF($O275="",0,$O275)*Settings!$J$4+IF($L275="",0,$L275)*Settings!$J$5+IF($N275="",0,$N275)*Settings!$J$6)/(IF($O275="",0,Settings!$J$4)+IF($L275="",0,Settings!$J$5)+IF($N275="",0,Settings!$J$6)),0))</f>
        <v>109.5</v>
      </c>
      <c r="Q275" s="12">
        <f t="array" ref="Q275">IF($A275="","",XLOOKUP($E275,Settings!$A$19:$A$22,Settings!$G$19:$G$22,0))</f>
        <v>206</v>
      </c>
      <c r="R275" s="12">
        <f t="shared" si="1"/>
        <v>0</v>
      </c>
      <c r="S275" s="12">
        <f>IF($A275="","",IF($R275&lt;=0,1,1+$R275/SUMIF($R$4:$R$923,"&gt;0",$R$4:$R$923)*(Settings!$B$5*(Settings!$B$6-Settings!$B$7))))</f>
        <v>1</v>
      </c>
      <c r="T275" s="12">
        <f t="array" ref="T275">IF($A275="","",XLOOKUP($F275,Settings!$I$15:$I$20,Settings!$J$15:$J$20,1))</f>
        <v>0.9</v>
      </c>
      <c r="U275" s="12">
        <f>IF($A275="","",1+(($G275-5)/5)*Settings!$J$8)</f>
        <v>1</v>
      </c>
      <c r="V275" s="12">
        <f>IF($A275="","",1+(($H275-5)/5)*Settings!$J$9)</f>
        <v>1.06</v>
      </c>
      <c r="W275" s="12">
        <f t="array" ref="W275">IF($A275="","",XLOOKUP($J275,Lists!$C$3:$C$7,Lists!$D$3:$D$7,1))</f>
        <v>1</v>
      </c>
      <c r="X275" s="12">
        <f>IF($A275="","",IF($I275="Yes",Settings!$J$10,1))</f>
        <v>1</v>
      </c>
      <c r="Y275" s="12">
        <f t="shared" si="2"/>
        <v>1</v>
      </c>
      <c r="Z275" s="12">
        <f>IF($A275="","",IFERROR(ROUND(AVERAGEIFS('Historical Drafts'!$G$4:$G$300,'Historical Drafts'!$D$4:$D$300,$E275,'Historical Drafts'!$J$4:$J$300,"&gt;="&amp;$L275*0.85,'Historical Drafts'!$J$4:$J$300,"&lt;="&amp;$L275*1.15),0),$Y275))</f>
        <v>11</v>
      </c>
      <c r="AA275" s="12" t="str">
        <f>IF($A275="","",IF(COUNTIF('Auction Log'!$B$3:$B$300,$A275)&gt;0,"Sold","Available"))</f>
        <v>Available</v>
      </c>
      <c r="AB275" s="12" t="str">
        <f t="array" ref="AB275">IF($A275="","",IFERROR(XLOOKUP($A275,'Auction Log'!$B$3:$B$300,'Auction Log'!$G$3:$G$300,""),""))</f>
        <v/>
      </c>
      <c r="AC275" s="12" t="str">
        <f t="array" ref="AC275">IF($A275="","",IFERROR(XLOOKUP($A275,'Auction Log'!$B$3:$B$300,'Auction Log'!$F$3:$F$300,""),""))</f>
        <v/>
      </c>
      <c r="AD275" s="12">
        <f t="array" ref="AD275">IF($A275="","",ROUND($Y275*XLOOKUP($F275,Settings!$I$15:$I$20,Settings!$K$15:$K$20,0.4),0))</f>
        <v>0</v>
      </c>
      <c r="AE275" s="12">
        <f t="array" ref="AE275">IF($A275="","",ROUND($Y275*XLOOKUP($F275,Settings!$I$15:$I$20,Settings!$L$15:$L$20,0.8),0))</f>
        <v>1</v>
      </c>
      <c r="AF275" s="12">
        <f t="array" ref="AF275">IF($A275="","",ROUND($Y275*XLOOKUP($F275,Settings!$I$15:$I$20,Settings!$M$15:$M$20,1),0))</f>
        <v>1</v>
      </c>
      <c r="AG275" s="12">
        <f t="array" ref="AG275">IF($A275="","",ROUND($Y275*XLOOKUP($F275,Settings!$I$15:$I$20,Settings!$N$15:$N$20,1.1),0))</f>
        <v>1</v>
      </c>
      <c r="AH275" s="12">
        <f t="array" ref="AH275">IF($A275="","",ROUND($Y275*XLOOKUP($F275,Settings!$I$15:$I$20,Settings!$O$15:$O$20,1.1)*Settings!$J$7,0))</f>
        <v>1</v>
      </c>
      <c r="AI275" s="12">
        <f t="array" ref="AI275">IF($A275="","",IF($AA275="Sold","",MIN($AH275,IFERROR(XLOOKUP(Settings!$B$12,Managers!$B$4:$B$15,Managers!$H$4:$H$15),$AH275))))</f>
        <v>1</v>
      </c>
      <c r="AJ275" s="12" t="str">
        <f t="shared" si="3"/>
        <v>Budget Drainer</v>
      </c>
      <c r="AK275" s="12">
        <f t="shared" si="4"/>
        <v>36</v>
      </c>
      <c r="AL275" s="12" t="str">
        <f t="shared" si="5"/>
        <v/>
      </c>
    </row>
    <row r="276" ht="15.75" customHeight="1">
      <c r="A276" s="10" t="s">
        <v>860</v>
      </c>
      <c r="B276" s="10" t="s">
        <v>861</v>
      </c>
      <c r="C276" s="10" t="s">
        <v>243</v>
      </c>
      <c r="D276" s="10" t="s">
        <v>123</v>
      </c>
      <c r="E276" s="10" t="s">
        <v>123</v>
      </c>
      <c r="F276" s="10" t="s">
        <v>114</v>
      </c>
      <c r="G276" s="10">
        <v>5.0</v>
      </c>
      <c r="H276" s="10">
        <v>7.0</v>
      </c>
      <c r="I276" s="10" t="s">
        <v>2140</v>
      </c>
      <c r="J276" s="10" t="s">
        <v>2136</v>
      </c>
      <c r="K276" s="10"/>
      <c r="L276" s="10">
        <v>109.5</v>
      </c>
      <c r="M276" s="10">
        <v>4.56</v>
      </c>
      <c r="N276" s="10"/>
      <c r="O276" s="10"/>
      <c r="P276" s="12">
        <f>IF($A276="","",IFERROR((IF($O276="",0,$O276)*Settings!$J$4+IF($L276="",0,$L276)*Settings!$J$5+IF($N276="",0,$N276)*Settings!$J$6)/(IF($O276="",0,Settings!$J$4)+IF($L276="",0,Settings!$J$5)+IF($N276="",0,Settings!$J$6)),0))</f>
        <v>109.5</v>
      </c>
      <c r="Q276" s="12">
        <f t="array" ref="Q276">IF($A276="","",XLOOKUP($E276,Settings!$A$19:$A$22,Settings!$G$19:$G$22,0))</f>
        <v>203</v>
      </c>
      <c r="R276" s="12">
        <f t="shared" si="1"/>
        <v>0</v>
      </c>
      <c r="S276" s="12">
        <f>IF($A276="","",IF($R276&lt;=0,1,1+$R276/SUMIF($R$4:$R$923,"&gt;0",$R$4:$R$923)*(Settings!$B$5*(Settings!$B$6-Settings!$B$7))))</f>
        <v>1</v>
      </c>
      <c r="T276" s="12">
        <f t="array" ref="T276">IF($A276="","",XLOOKUP($F276,Settings!$I$15:$I$20,Settings!$J$15:$J$20,1))</f>
        <v>0.9</v>
      </c>
      <c r="U276" s="12">
        <f>IF($A276="","",1+(($G276-5)/5)*Settings!$J$8)</f>
        <v>1</v>
      </c>
      <c r="V276" s="12">
        <f>IF($A276="","",1+(($H276-5)/5)*Settings!$J$9)</f>
        <v>1.06</v>
      </c>
      <c r="W276" s="12">
        <f t="array" ref="W276">IF($A276="","",XLOOKUP($J276,Lists!$C$3:$C$7,Lists!$D$3:$D$7,1))</f>
        <v>1</v>
      </c>
      <c r="X276" s="12">
        <f>IF($A276="","",IF($I276="Yes",Settings!$J$10,1))</f>
        <v>1</v>
      </c>
      <c r="Y276" s="12">
        <f t="shared" si="2"/>
        <v>1</v>
      </c>
      <c r="Z276" s="12">
        <f>IF($A276="","",IFERROR(ROUND(AVERAGEIFS('Historical Drafts'!$G$4:$G$300,'Historical Drafts'!$D$4:$D$300,$E276,'Historical Drafts'!$J$4:$J$300,"&gt;="&amp;$L276*0.85,'Historical Drafts'!$J$4:$J$300,"&lt;="&amp;$L276*1.15),0),$Y276))</f>
        <v>15</v>
      </c>
      <c r="AA276" s="12" t="str">
        <f>IF($A276="","",IF(COUNTIF('Auction Log'!$B$3:$B$300,$A276)&gt;0,"Sold","Available"))</f>
        <v>Available</v>
      </c>
      <c r="AB276" s="12" t="str">
        <f t="array" ref="AB276">IF($A276="","",IFERROR(XLOOKUP($A276,'Auction Log'!$B$3:$B$300,'Auction Log'!$G$3:$G$300,""),""))</f>
        <v/>
      </c>
      <c r="AC276" s="12" t="str">
        <f t="array" ref="AC276">IF($A276="","",IFERROR(XLOOKUP($A276,'Auction Log'!$B$3:$B$300,'Auction Log'!$F$3:$F$300,""),""))</f>
        <v/>
      </c>
      <c r="AD276" s="12">
        <f t="array" ref="AD276">IF($A276="","",ROUND($Y276*XLOOKUP($F276,Settings!$I$15:$I$20,Settings!$K$15:$K$20,0.4),0))</f>
        <v>0</v>
      </c>
      <c r="AE276" s="12">
        <f t="array" ref="AE276">IF($A276="","",ROUND($Y276*XLOOKUP($F276,Settings!$I$15:$I$20,Settings!$L$15:$L$20,0.8),0))</f>
        <v>1</v>
      </c>
      <c r="AF276" s="12">
        <f t="array" ref="AF276">IF($A276="","",ROUND($Y276*XLOOKUP($F276,Settings!$I$15:$I$20,Settings!$M$15:$M$20,1),0))</f>
        <v>1</v>
      </c>
      <c r="AG276" s="12">
        <f t="array" ref="AG276">IF($A276="","",ROUND($Y276*XLOOKUP($F276,Settings!$I$15:$I$20,Settings!$N$15:$N$20,1.1),0))</f>
        <v>1</v>
      </c>
      <c r="AH276" s="12">
        <f t="array" ref="AH276">IF($A276="","",ROUND($Y276*XLOOKUP($F276,Settings!$I$15:$I$20,Settings!$O$15:$O$20,1.1)*Settings!$J$7,0))</f>
        <v>1</v>
      </c>
      <c r="AI276" s="12">
        <f t="array" ref="AI276">IF($A276="","",IF($AA276="Sold","",MIN($AH276,IFERROR(XLOOKUP(Settings!$B$12,Managers!$B$4:$B$15,Managers!$H$4:$H$15),$AH276))))</f>
        <v>1</v>
      </c>
      <c r="AJ276" s="12" t="str">
        <f t="shared" si="3"/>
        <v>Budget Drainer</v>
      </c>
      <c r="AK276" s="12">
        <f t="shared" si="4"/>
        <v>40</v>
      </c>
      <c r="AL276" s="12" t="str">
        <f t="shared" si="5"/>
        <v/>
      </c>
    </row>
    <row r="277" ht="15.75" customHeight="1">
      <c r="A277" s="10" t="s">
        <v>862</v>
      </c>
      <c r="B277" s="10" t="s">
        <v>863</v>
      </c>
      <c r="C277" s="10" t="s">
        <v>566</v>
      </c>
      <c r="D277" s="10" t="s">
        <v>118</v>
      </c>
      <c r="E277" s="10" t="s">
        <v>118</v>
      </c>
      <c r="F277" s="10" t="s">
        <v>114</v>
      </c>
      <c r="G277" s="10">
        <v>5.0</v>
      </c>
      <c r="H277" s="10">
        <v>7.0</v>
      </c>
      <c r="I277" s="10" t="s">
        <v>2140</v>
      </c>
      <c r="J277" s="10" t="s">
        <v>2136</v>
      </c>
      <c r="K277" s="10"/>
      <c r="L277" s="10">
        <v>109.25</v>
      </c>
      <c r="M277" s="10">
        <v>5.46</v>
      </c>
      <c r="N277" s="10"/>
      <c r="O277" s="10"/>
      <c r="P277" s="12">
        <f>IF($A277="","",IFERROR((IF($O277="",0,$O277)*Settings!$J$4+IF($L277="",0,$L277)*Settings!$J$5+IF($N277="",0,$N277)*Settings!$J$6)/(IF($O277="",0,Settings!$J$4)+IF($L277="",0,Settings!$J$5)+IF($N277="",0,Settings!$J$6)),0))</f>
        <v>109.25</v>
      </c>
      <c r="Q277" s="12">
        <f t="array" ref="Q277">IF($A277="","",XLOOKUP($E277,Settings!$A$19:$A$22,Settings!$G$19:$G$22,0))</f>
        <v>196.25</v>
      </c>
      <c r="R277" s="12">
        <f t="shared" si="1"/>
        <v>0</v>
      </c>
      <c r="S277" s="12">
        <f>IF($A277="","",IF($R277&lt;=0,1,1+$R277/SUMIF($R$4:$R$923,"&gt;0",$R$4:$R$923)*(Settings!$B$5*(Settings!$B$6-Settings!$B$7))))</f>
        <v>1</v>
      </c>
      <c r="T277" s="12">
        <f t="array" ref="T277">IF($A277="","",XLOOKUP($F277,Settings!$I$15:$I$20,Settings!$J$15:$J$20,1))</f>
        <v>0.9</v>
      </c>
      <c r="U277" s="12">
        <f>IF($A277="","",1+(($G277-5)/5)*Settings!$J$8)</f>
        <v>1</v>
      </c>
      <c r="V277" s="12">
        <f>IF($A277="","",1+(($H277-5)/5)*Settings!$J$9)</f>
        <v>1.06</v>
      </c>
      <c r="W277" s="12">
        <f t="array" ref="W277">IF($A277="","",XLOOKUP($J277,Lists!$C$3:$C$7,Lists!$D$3:$D$7,1))</f>
        <v>1</v>
      </c>
      <c r="X277" s="12">
        <f>IF($A277="","",IF($I277="Yes",Settings!$J$10,1))</f>
        <v>1</v>
      </c>
      <c r="Y277" s="12">
        <f t="shared" si="2"/>
        <v>1</v>
      </c>
      <c r="Z277" s="12">
        <f>IF($A277="","",IFERROR(ROUND(AVERAGEIFS('Historical Drafts'!$G$4:$G$300,'Historical Drafts'!$D$4:$D$300,$E277,'Historical Drafts'!$J$4:$J$300,"&gt;="&amp;$L277*0.85,'Historical Drafts'!$J$4:$J$300,"&lt;="&amp;$L277*1.15),0),$Y277))</f>
        <v>4</v>
      </c>
      <c r="AA277" s="12" t="str">
        <f>IF($A277="","",IF(COUNTIF('Auction Log'!$B$3:$B$300,$A277)&gt;0,"Sold","Available"))</f>
        <v>Available</v>
      </c>
      <c r="AB277" s="12" t="str">
        <f t="array" ref="AB277">IF($A277="","",IFERROR(XLOOKUP($A277,'Auction Log'!$B$3:$B$300,'Auction Log'!$G$3:$G$300,""),""))</f>
        <v/>
      </c>
      <c r="AC277" s="12" t="str">
        <f t="array" ref="AC277">IF($A277="","",IFERROR(XLOOKUP($A277,'Auction Log'!$B$3:$B$300,'Auction Log'!$F$3:$F$300,""),""))</f>
        <v/>
      </c>
      <c r="AD277" s="12">
        <f t="array" ref="AD277">IF($A277="","",ROUND($Y277*XLOOKUP($F277,Settings!$I$15:$I$20,Settings!$K$15:$K$20,0.4),0))</f>
        <v>0</v>
      </c>
      <c r="AE277" s="12">
        <f t="array" ref="AE277">IF($A277="","",ROUND($Y277*XLOOKUP($F277,Settings!$I$15:$I$20,Settings!$L$15:$L$20,0.8),0))</f>
        <v>1</v>
      </c>
      <c r="AF277" s="12">
        <f t="array" ref="AF277">IF($A277="","",ROUND($Y277*XLOOKUP($F277,Settings!$I$15:$I$20,Settings!$M$15:$M$20,1),0))</f>
        <v>1</v>
      </c>
      <c r="AG277" s="12">
        <f t="array" ref="AG277">IF($A277="","",ROUND($Y277*XLOOKUP($F277,Settings!$I$15:$I$20,Settings!$N$15:$N$20,1.1),0))</f>
        <v>1</v>
      </c>
      <c r="AH277" s="12">
        <f t="array" ref="AH277">IF($A277="","",ROUND($Y277*XLOOKUP($F277,Settings!$I$15:$I$20,Settings!$O$15:$O$20,1.1)*Settings!$J$7,0))</f>
        <v>1</v>
      </c>
      <c r="AI277" s="12">
        <f t="array" ref="AI277">IF($A277="","",IF($AA277="Sold","",MIN($AH277,IFERROR(XLOOKUP(Settings!$B$12,Managers!$B$4:$B$15,Managers!$H$4:$H$15),$AH277))))</f>
        <v>1</v>
      </c>
      <c r="AJ277" s="12" t="str">
        <f t="shared" si="3"/>
        <v>Budget Drainer</v>
      </c>
      <c r="AK277" s="12">
        <f t="shared" si="4"/>
        <v>29</v>
      </c>
      <c r="AL277" s="12" t="str">
        <f t="shared" si="5"/>
        <v/>
      </c>
    </row>
    <row r="278" ht="15.75" customHeight="1">
      <c r="A278" s="10" t="s">
        <v>864</v>
      </c>
      <c r="B278" s="10" t="s">
        <v>865</v>
      </c>
      <c r="C278" s="10" t="s">
        <v>866</v>
      </c>
      <c r="D278" s="10" t="s">
        <v>121</v>
      </c>
      <c r="E278" s="10" t="s">
        <v>121</v>
      </c>
      <c r="F278" s="10" t="s">
        <v>114</v>
      </c>
      <c r="G278" s="10">
        <v>5.0</v>
      </c>
      <c r="H278" s="10">
        <v>7.0</v>
      </c>
      <c r="I278" s="10" t="s">
        <v>2140</v>
      </c>
      <c r="J278" s="10" t="s">
        <v>2136</v>
      </c>
      <c r="K278" s="10"/>
      <c r="L278" s="10">
        <v>108.5</v>
      </c>
      <c r="M278" s="10">
        <v>6.78</v>
      </c>
      <c r="N278" s="10"/>
      <c r="O278" s="10"/>
      <c r="P278" s="12">
        <f>IF($A278="","",IFERROR((IF($O278="",0,$O278)*Settings!$J$4+IF($L278="",0,$L278)*Settings!$J$5+IF($N278="",0,$N278)*Settings!$J$6)/(IF($O278="",0,Settings!$J$4)+IF($L278="",0,Settings!$J$5)+IF($N278="",0,Settings!$J$6)),0))</f>
        <v>108.5</v>
      </c>
      <c r="Q278" s="12">
        <f t="array" ref="Q278">IF($A278="","",XLOOKUP($E278,Settings!$A$19:$A$22,Settings!$G$19:$G$22,0))</f>
        <v>206</v>
      </c>
      <c r="R278" s="12">
        <f t="shared" si="1"/>
        <v>0</v>
      </c>
      <c r="S278" s="12">
        <f>IF($A278="","",IF($R278&lt;=0,1,1+$R278/SUMIF($R$4:$R$923,"&gt;0",$R$4:$R$923)*(Settings!$B$5*(Settings!$B$6-Settings!$B$7))))</f>
        <v>1</v>
      </c>
      <c r="T278" s="12">
        <f t="array" ref="T278">IF($A278="","",XLOOKUP($F278,Settings!$I$15:$I$20,Settings!$J$15:$J$20,1))</f>
        <v>0.9</v>
      </c>
      <c r="U278" s="12">
        <f>IF($A278="","",1+(($G278-5)/5)*Settings!$J$8)</f>
        <v>1</v>
      </c>
      <c r="V278" s="12">
        <f>IF($A278="","",1+(($H278-5)/5)*Settings!$J$9)</f>
        <v>1.06</v>
      </c>
      <c r="W278" s="12">
        <f t="array" ref="W278">IF($A278="","",XLOOKUP($J278,Lists!$C$3:$C$7,Lists!$D$3:$D$7,1))</f>
        <v>1</v>
      </c>
      <c r="X278" s="12">
        <f>IF($A278="","",IF($I278="Yes",Settings!$J$10,1))</f>
        <v>1</v>
      </c>
      <c r="Y278" s="12">
        <f t="shared" si="2"/>
        <v>1</v>
      </c>
      <c r="Z278" s="12">
        <f>IF($A278="","",IFERROR(ROUND(AVERAGEIFS('Historical Drafts'!$G$4:$G$300,'Historical Drafts'!$D$4:$D$300,$E278,'Historical Drafts'!$J$4:$J$300,"&gt;="&amp;$L278*0.85,'Historical Drafts'!$J$4:$J$300,"&lt;="&amp;$L278*1.15),0),$Y278))</f>
        <v>11</v>
      </c>
      <c r="AA278" s="12" t="str">
        <f>IF($A278="","",IF(COUNTIF('Auction Log'!$B$3:$B$300,$A278)&gt;0,"Sold","Available"))</f>
        <v>Available</v>
      </c>
      <c r="AB278" s="12" t="str">
        <f t="array" ref="AB278">IF($A278="","",IFERROR(XLOOKUP($A278,'Auction Log'!$B$3:$B$300,'Auction Log'!$G$3:$G$300,""),""))</f>
        <v/>
      </c>
      <c r="AC278" s="12" t="str">
        <f t="array" ref="AC278">IF($A278="","",IFERROR(XLOOKUP($A278,'Auction Log'!$B$3:$B$300,'Auction Log'!$F$3:$F$300,""),""))</f>
        <v/>
      </c>
      <c r="AD278" s="12">
        <f t="array" ref="AD278">IF($A278="","",ROUND($Y278*XLOOKUP($F278,Settings!$I$15:$I$20,Settings!$K$15:$K$20,0.4),0))</f>
        <v>0</v>
      </c>
      <c r="AE278" s="12">
        <f t="array" ref="AE278">IF($A278="","",ROUND($Y278*XLOOKUP($F278,Settings!$I$15:$I$20,Settings!$L$15:$L$20,0.8),0))</f>
        <v>1</v>
      </c>
      <c r="AF278" s="12">
        <f t="array" ref="AF278">IF($A278="","",ROUND($Y278*XLOOKUP($F278,Settings!$I$15:$I$20,Settings!$M$15:$M$20,1),0))</f>
        <v>1</v>
      </c>
      <c r="AG278" s="12">
        <f t="array" ref="AG278">IF($A278="","",ROUND($Y278*XLOOKUP($F278,Settings!$I$15:$I$20,Settings!$N$15:$N$20,1.1),0))</f>
        <v>1</v>
      </c>
      <c r="AH278" s="12">
        <f t="array" ref="AH278">IF($A278="","",ROUND($Y278*XLOOKUP($F278,Settings!$I$15:$I$20,Settings!$O$15:$O$20,1.1)*Settings!$J$7,0))</f>
        <v>1</v>
      </c>
      <c r="AI278" s="12">
        <f t="array" ref="AI278">IF($A278="","",IF($AA278="Sold","",MIN($AH278,IFERROR(XLOOKUP(Settings!$B$12,Managers!$B$4:$B$15,Managers!$H$4:$H$15),$AH278))))</f>
        <v>1</v>
      </c>
      <c r="AJ278" s="12" t="str">
        <f t="shared" si="3"/>
        <v>Budget Drainer</v>
      </c>
      <c r="AK278" s="12">
        <f t="shared" si="4"/>
        <v>36</v>
      </c>
      <c r="AL278" s="12" t="str">
        <f t="shared" si="5"/>
        <v/>
      </c>
    </row>
    <row r="279" ht="15.75" customHeight="1">
      <c r="A279" s="10" t="s">
        <v>867</v>
      </c>
      <c r="B279" s="10" t="s">
        <v>868</v>
      </c>
      <c r="C279" s="10" t="s">
        <v>566</v>
      </c>
      <c r="D279" s="10" t="s">
        <v>123</v>
      </c>
      <c r="E279" s="10" t="s">
        <v>123</v>
      </c>
      <c r="F279" s="10" t="s">
        <v>114</v>
      </c>
      <c r="G279" s="10">
        <v>5.0</v>
      </c>
      <c r="H279" s="10">
        <v>7.0</v>
      </c>
      <c r="I279" s="10" t="s">
        <v>2140</v>
      </c>
      <c r="J279" s="10" t="s">
        <v>2136</v>
      </c>
      <c r="K279" s="10"/>
      <c r="L279" s="10">
        <v>108.5</v>
      </c>
      <c r="M279" s="10">
        <v>3.74</v>
      </c>
      <c r="N279" s="10"/>
      <c r="O279" s="10"/>
      <c r="P279" s="12">
        <f>IF($A279="","",IFERROR((IF($O279="",0,$O279)*Settings!$J$4+IF($L279="",0,$L279)*Settings!$J$5+IF($N279="",0,$N279)*Settings!$J$6)/(IF($O279="",0,Settings!$J$4)+IF($L279="",0,Settings!$J$5)+IF($N279="",0,Settings!$J$6)),0))</f>
        <v>108.5</v>
      </c>
      <c r="Q279" s="12">
        <f t="array" ref="Q279">IF($A279="","",XLOOKUP($E279,Settings!$A$19:$A$22,Settings!$G$19:$G$22,0))</f>
        <v>203</v>
      </c>
      <c r="R279" s="12">
        <f t="shared" si="1"/>
        <v>0</v>
      </c>
      <c r="S279" s="12">
        <f>IF($A279="","",IF($R279&lt;=0,1,1+$R279/SUMIF($R$4:$R$923,"&gt;0",$R$4:$R$923)*(Settings!$B$5*(Settings!$B$6-Settings!$B$7))))</f>
        <v>1</v>
      </c>
      <c r="T279" s="12">
        <f t="array" ref="T279">IF($A279="","",XLOOKUP($F279,Settings!$I$15:$I$20,Settings!$J$15:$J$20,1))</f>
        <v>0.9</v>
      </c>
      <c r="U279" s="12">
        <f>IF($A279="","",1+(($G279-5)/5)*Settings!$J$8)</f>
        <v>1</v>
      </c>
      <c r="V279" s="12">
        <f>IF($A279="","",1+(($H279-5)/5)*Settings!$J$9)</f>
        <v>1.06</v>
      </c>
      <c r="W279" s="12">
        <f t="array" ref="W279">IF($A279="","",XLOOKUP($J279,Lists!$C$3:$C$7,Lists!$D$3:$D$7,1))</f>
        <v>1</v>
      </c>
      <c r="X279" s="12">
        <f>IF($A279="","",IF($I279="Yes",Settings!$J$10,1))</f>
        <v>1</v>
      </c>
      <c r="Y279" s="12">
        <f t="shared" si="2"/>
        <v>1</v>
      </c>
      <c r="Z279" s="12">
        <f>IF($A279="","",IFERROR(ROUND(AVERAGEIFS('Historical Drafts'!$G$4:$G$300,'Historical Drafts'!$D$4:$D$300,$E279,'Historical Drafts'!$J$4:$J$300,"&gt;="&amp;$L279*0.85,'Historical Drafts'!$J$4:$J$300,"&lt;="&amp;$L279*1.15),0),$Y279))</f>
        <v>12</v>
      </c>
      <c r="AA279" s="12" t="str">
        <f>IF($A279="","",IF(COUNTIF('Auction Log'!$B$3:$B$300,$A279)&gt;0,"Sold","Available"))</f>
        <v>Available</v>
      </c>
      <c r="AB279" s="12" t="str">
        <f t="array" ref="AB279">IF($A279="","",IFERROR(XLOOKUP($A279,'Auction Log'!$B$3:$B$300,'Auction Log'!$G$3:$G$300,""),""))</f>
        <v/>
      </c>
      <c r="AC279" s="12" t="str">
        <f t="array" ref="AC279">IF($A279="","",IFERROR(XLOOKUP($A279,'Auction Log'!$B$3:$B$300,'Auction Log'!$F$3:$F$300,""),""))</f>
        <v/>
      </c>
      <c r="AD279" s="12">
        <f t="array" ref="AD279">IF($A279="","",ROUND($Y279*XLOOKUP($F279,Settings!$I$15:$I$20,Settings!$K$15:$K$20,0.4),0))</f>
        <v>0</v>
      </c>
      <c r="AE279" s="12">
        <f t="array" ref="AE279">IF($A279="","",ROUND($Y279*XLOOKUP($F279,Settings!$I$15:$I$20,Settings!$L$15:$L$20,0.8),0))</f>
        <v>1</v>
      </c>
      <c r="AF279" s="12">
        <f t="array" ref="AF279">IF($A279="","",ROUND($Y279*XLOOKUP($F279,Settings!$I$15:$I$20,Settings!$M$15:$M$20,1),0))</f>
        <v>1</v>
      </c>
      <c r="AG279" s="12">
        <f t="array" ref="AG279">IF($A279="","",ROUND($Y279*XLOOKUP($F279,Settings!$I$15:$I$20,Settings!$N$15:$N$20,1.1),0))</f>
        <v>1</v>
      </c>
      <c r="AH279" s="12">
        <f t="array" ref="AH279">IF($A279="","",ROUND($Y279*XLOOKUP($F279,Settings!$I$15:$I$20,Settings!$O$15:$O$20,1.1)*Settings!$J$7,0))</f>
        <v>1</v>
      </c>
      <c r="AI279" s="12">
        <f t="array" ref="AI279">IF($A279="","",IF($AA279="Sold","",MIN($AH279,IFERROR(XLOOKUP(Settings!$B$12,Managers!$B$4:$B$15,Managers!$H$4:$H$15),$AH279))))</f>
        <v>1</v>
      </c>
      <c r="AJ279" s="12" t="str">
        <f t="shared" si="3"/>
        <v>Budget Drainer</v>
      </c>
      <c r="AK279" s="12">
        <f t="shared" si="4"/>
        <v>37</v>
      </c>
      <c r="AL279" s="12" t="str">
        <f t="shared" si="5"/>
        <v/>
      </c>
    </row>
    <row r="280" ht="15.75" customHeight="1">
      <c r="A280" s="10" t="s">
        <v>869</v>
      </c>
      <c r="B280" s="10" t="s">
        <v>870</v>
      </c>
      <c r="C280" s="10" t="s">
        <v>314</v>
      </c>
      <c r="D280" s="10" t="s">
        <v>121</v>
      </c>
      <c r="E280" s="10" t="s">
        <v>121</v>
      </c>
      <c r="F280" s="10" t="s">
        <v>114</v>
      </c>
      <c r="G280" s="10">
        <v>5.0</v>
      </c>
      <c r="H280" s="10">
        <v>7.0</v>
      </c>
      <c r="I280" s="10" t="s">
        <v>2140</v>
      </c>
      <c r="J280" s="10" t="s">
        <v>2136</v>
      </c>
      <c r="K280" s="10"/>
      <c r="L280" s="10">
        <v>108.0</v>
      </c>
      <c r="M280" s="10">
        <v>5.4</v>
      </c>
      <c r="N280" s="10"/>
      <c r="O280" s="10"/>
      <c r="P280" s="12">
        <f>IF($A280="","",IFERROR((IF($O280="",0,$O280)*Settings!$J$4+IF($L280="",0,$L280)*Settings!$J$5+IF($N280="",0,$N280)*Settings!$J$6)/(IF($O280="",0,Settings!$J$4)+IF($L280="",0,Settings!$J$5)+IF($N280="",0,Settings!$J$6)),0))</f>
        <v>108</v>
      </c>
      <c r="Q280" s="12">
        <f t="array" ref="Q280">IF($A280="","",XLOOKUP($E280,Settings!$A$19:$A$22,Settings!$G$19:$G$22,0))</f>
        <v>206</v>
      </c>
      <c r="R280" s="12">
        <f t="shared" si="1"/>
        <v>0</v>
      </c>
      <c r="S280" s="12">
        <f>IF($A280="","",IF($R280&lt;=0,1,1+$R280/SUMIF($R$4:$R$923,"&gt;0",$R$4:$R$923)*(Settings!$B$5*(Settings!$B$6-Settings!$B$7))))</f>
        <v>1</v>
      </c>
      <c r="T280" s="12">
        <f t="array" ref="T280">IF($A280="","",XLOOKUP($F280,Settings!$I$15:$I$20,Settings!$J$15:$J$20,1))</f>
        <v>0.9</v>
      </c>
      <c r="U280" s="12">
        <f>IF($A280="","",1+(($G280-5)/5)*Settings!$J$8)</f>
        <v>1</v>
      </c>
      <c r="V280" s="12">
        <f>IF($A280="","",1+(($H280-5)/5)*Settings!$J$9)</f>
        <v>1.06</v>
      </c>
      <c r="W280" s="12">
        <f t="array" ref="W280">IF($A280="","",XLOOKUP($J280,Lists!$C$3:$C$7,Lists!$D$3:$D$7,1))</f>
        <v>1</v>
      </c>
      <c r="X280" s="12">
        <f>IF($A280="","",IF($I280="Yes",Settings!$J$10,1))</f>
        <v>1</v>
      </c>
      <c r="Y280" s="12">
        <f t="shared" si="2"/>
        <v>1</v>
      </c>
      <c r="Z280" s="12">
        <f>IF($A280="","",IFERROR(ROUND(AVERAGEIFS('Historical Drafts'!$G$4:$G$300,'Historical Drafts'!$D$4:$D$300,$E280,'Historical Drafts'!$J$4:$J$300,"&gt;="&amp;$L280*0.85,'Historical Drafts'!$J$4:$J$300,"&lt;="&amp;$L280*1.15),0),$Y280))</f>
        <v>11</v>
      </c>
      <c r="AA280" s="12" t="str">
        <f>IF($A280="","",IF(COUNTIF('Auction Log'!$B$3:$B$300,$A280)&gt;0,"Sold","Available"))</f>
        <v>Available</v>
      </c>
      <c r="AB280" s="12" t="str">
        <f t="array" ref="AB280">IF($A280="","",IFERROR(XLOOKUP($A280,'Auction Log'!$B$3:$B$300,'Auction Log'!$G$3:$G$300,""),""))</f>
        <v/>
      </c>
      <c r="AC280" s="12" t="str">
        <f t="array" ref="AC280">IF($A280="","",IFERROR(XLOOKUP($A280,'Auction Log'!$B$3:$B$300,'Auction Log'!$F$3:$F$300,""),""))</f>
        <v/>
      </c>
      <c r="AD280" s="12">
        <f t="array" ref="AD280">IF($A280="","",ROUND($Y280*XLOOKUP($F280,Settings!$I$15:$I$20,Settings!$K$15:$K$20,0.4),0))</f>
        <v>0</v>
      </c>
      <c r="AE280" s="12">
        <f t="array" ref="AE280">IF($A280="","",ROUND($Y280*XLOOKUP($F280,Settings!$I$15:$I$20,Settings!$L$15:$L$20,0.8),0))</f>
        <v>1</v>
      </c>
      <c r="AF280" s="12">
        <f t="array" ref="AF280">IF($A280="","",ROUND($Y280*XLOOKUP($F280,Settings!$I$15:$I$20,Settings!$M$15:$M$20,1),0))</f>
        <v>1</v>
      </c>
      <c r="AG280" s="12">
        <f t="array" ref="AG280">IF($A280="","",ROUND($Y280*XLOOKUP($F280,Settings!$I$15:$I$20,Settings!$N$15:$N$20,1.1),0))</f>
        <v>1</v>
      </c>
      <c r="AH280" s="12">
        <f t="array" ref="AH280">IF($A280="","",ROUND($Y280*XLOOKUP($F280,Settings!$I$15:$I$20,Settings!$O$15:$O$20,1.1)*Settings!$J$7,0))</f>
        <v>1</v>
      </c>
      <c r="AI280" s="12">
        <f t="array" ref="AI280">IF($A280="","",IF($AA280="Sold","",MIN($AH280,IFERROR(XLOOKUP(Settings!$B$12,Managers!$B$4:$B$15,Managers!$H$4:$H$15),$AH280))))</f>
        <v>1</v>
      </c>
      <c r="AJ280" s="12" t="str">
        <f t="shared" si="3"/>
        <v>Budget Drainer</v>
      </c>
      <c r="AK280" s="12">
        <f t="shared" si="4"/>
        <v>36</v>
      </c>
      <c r="AL280" s="12" t="str">
        <f t="shared" si="5"/>
        <v/>
      </c>
    </row>
    <row r="281" ht="15.75" customHeight="1">
      <c r="A281" s="10" t="s">
        <v>871</v>
      </c>
      <c r="B281" s="10" t="s">
        <v>872</v>
      </c>
      <c r="C281" s="10" t="s">
        <v>177</v>
      </c>
      <c r="D281" s="10" t="s">
        <v>123</v>
      </c>
      <c r="E281" s="10" t="s">
        <v>123</v>
      </c>
      <c r="F281" s="10" t="s">
        <v>114</v>
      </c>
      <c r="G281" s="10">
        <v>5.0</v>
      </c>
      <c r="H281" s="10">
        <v>7.0</v>
      </c>
      <c r="I281" s="10" t="s">
        <v>2140</v>
      </c>
      <c r="J281" s="10" t="s">
        <v>2136</v>
      </c>
      <c r="K281" s="10"/>
      <c r="L281" s="10">
        <v>108.0</v>
      </c>
      <c r="M281" s="10">
        <v>5.68</v>
      </c>
      <c r="N281" s="10"/>
      <c r="O281" s="10"/>
      <c r="P281" s="12">
        <f>IF($A281="","",IFERROR((IF($O281="",0,$O281)*Settings!$J$4+IF($L281="",0,$L281)*Settings!$J$5+IF($N281="",0,$N281)*Settings!$J$6)/(IF($O281="",0,Settings!$J$4)+IF($L281="",0,Settings!$J$5)+IF($N281="",0,Settings!$J$6)),0))</f>
        <v>108</v>
      </c>
      <c r="Q281" s="12">
        <f t="array" ref="Q281">IF($A281="","",XLOOKUP($E281,Settings!$A$19:$A$22,Settings!$G$19:$G$22,0))</f>
        <v>203</v>
      </c>
      <c r="R281" s="12">
        <f t="shared" si="1"/>
        <v>0</v>
      </c>
      <c r="S281" s="12">
        <f>IF($A281="","",IF($R281&lt;=0,1,1+$R281/SUMIF($R$4:$R$923,"&gt;0",$R$4:$R$923)*(Settings!$B$5*(Settings!$B$6-Settings!$B$7))))</f>
        <v>1</v>
      </c>
      <c r="T281" s="12">
        <f t="array" ref="T281">IF($A281="","",XLOOKUP($F281,Settings!$I$15:$I$20,Settings!$J$15:$J$20,1))</f>
        <v>0.9</v>
      </c>
      <c r="U281" s="12">
        <f>IF($A281="","",1+(($G281-5)/5)*Settings!$J$8)</f>
        <v>1</v>
      </c>
      <c r="V281" s="12">
        <f>IF($A281="","",1+(($H281-5)/5)*Settings!$J$9)</f>
        <v>1.06</v>
      </c>
      <c r="W281" s="12">
        <f t="array" ref="W281">IF($A281="","",XLOOKUP($J281,Lists!$C$3:$C$7,Lists!$D$3:$D$7,1))</f>
        <v>1</v>
      </c>
      <c r="X281" s="12">
        <f>IF($A281="","",IF($I281="Yes",Settings!$J$10,1))</f>
        <v>1</v>
      </c>
      <c r="Y281" s="12">
        <f t="shared" si="2"/>
        <v>1</v>
      </c>
      <c r="Z281" s="12">
        <f>IF($A281="","",IFERROR(ROUND(AVERAGEIFS('Historical Drafts'!$G$4:$G$300,'Historical Drafts'!$D$4:$D$300,$E281,'Historical Drafts'!$J$4:$J$300,"&gt;="&amp;$L281*0.85,'Historical Drafts'!$J$4:$J$300,"&lt;="&amp;$L281*1.15),0),$Y281))</f>
        <v>12</v>
      </c>
      <c r="AA281" s="12" t="str">
        <f>IF($A281="","",IF(COUNTIF('Auction Log'!$B$3:$B$300,$A281)&gt;0,"Sold","Available"))</f>
        <v>Available</v>
      </c>
      <c r="AB281" s="12" t="str">
        <f t="array" ref="AB281">IF($A281="","",IFERROR(XLOOKUP($A281,'Auction Log'!$B$3:$B$300,'Auction Log'!$G$3:$G$300,""),""))</f>
        <v/>
      </c>
      <c r="AC281" s="12" t="str">
        <f t="array" ref="AC281">IF($A281="","",IFERROR(XLOOKUP($A281,'Auction Log'!$B$3:$B$300,'Auction Log'!$F$3:$F$300,""),""))</f>
        <v/>
      </c>
      <c r="AD281" s="12">
        <f t="array" ref="AD281">IF($A281="","",ROUND($Y281*XLOOKUP($F281,Settings!$I$15:$I$20,Settings!$K$15:$K$20,0.4),0))</f>
        <v>0</v>
      </c>
      <c r="AE281" s="12">
        <f t="array" ref="AE281">IF($A281="","",ROUND($Y281*XLOOKUP($F281,Settings!$I$15:$I$20,Settings!$L$15:$L$20,0.8),0))</f>
        <v>1</v>
      </c>
      <c r="AF281" s="12">
        <f t="array" ref="AF281">IF($A281="","",ROUND($Y281*XLOOKUP($F281,Settings!$I$15:$I$20,Settings!$M$15:$M$20,1),0))</f>
        <v>1</v>
      </c>
      <c r="AG281" s="12">
        <f t="array" ref="AG281">IF($A281="","",ROUND($Y281*XLOOKUP($F281,Settings!$I$15:$I$20,Settings!$N$15:$N$20,1.1),0))</f>
        <v>1</v>
      </c>
      <c r="AH281" s="12">
        <f t="array" ref="AH281">IF($A281="","",ROUND($Y281*XLOOKUP($F281,Settings!$I$15:$I$20,Settings!$O$15:$O$20,1.1)*Settings!$J$7,0))</f>
        <v>1</v>
      </c>
      <c r="AI281" s="12">
        <f t="array" ref="AI281">IF($A281="","",IF($AA281="Sold","",MIN($AH281,IFERROR(XLOOKUP(Settings!$B$12,Managers!$B$4:$B$15,Managers!$H$4:$H$15),$AH281))))</f>
        <v>1</v>
      </c>
      <c r="AJ281" s="12" t="str">
        <f t="shared" si="3"/>
        <v>Budget Drainer</v>
      </c>
      <c r="AK281" s="12">
        <f t="shared" si="4"/>
        <v>37</v>
      </c>
      <c r="AL281" s="12" t="str">
        <f t="shared" si="5"/>
        <v/>
      </c>
    </row>
    <row r="282" ht="15.75" customHeight="1">
      <c r="A282" s="10" t="s">
        <v>873</v>
      </c>
      <c r="B282" s="10" t="s">
        <v>874</v>
      </c>
      <c r="C282" s="10" t="s">
        <v>875</v>
      </c>
      <c r="D282" s="10" t="s">
        <v>121</v>
      </c>
      <c r="E282" s="10" t="s">
        <v>121</v>
      </c>
      <c r="F282" s="10" t="s">
        <v>114</v>
      </c>
      <c r="G282" s="10">
        <v>5.0</v>
      </c>
      <c r="H282" s="10">
        <v>7.0</v>
      </c>
      <c r="I282" s="10" t="s">
        <v>2140</v>
      </c>
      <c r="J282" s="10" t="s">
        <v>2136</v>
      </c>
      <c r="K282" s="10"/>
      <c r="L282" s="10">
        <v>108.0</v>
      </c>
      <c r="M282" s="10">
        <v>6.0</v>
      </c>
      <c r="N282" s="10"/>
      <c r="O282" s="10"/>
      <c r="P282" s="12">
        <f>IF($A282="","",IFERROR((IF($O282="",0,$O282)*Settings!$J$4+IF($L282="",0,$L282)*Settings!$J$5+IF($N282="",0,$N282)*Settings!$J$6)/(IF($O282="",0,Settings!$J$4)+IF($L282="",0,Settings!$J$5)+IF($N282="",0,Settings!$J$6)),0))</f>
        <v>108</v>
      </c>
      <c r="Q282" s="12">
        <f t="array" ref="Q282">IF($A282="","",XLOOKUP($E282,Settings!$A$19:$A$22,Settings!$G$19:$G$22,0))</f>
        <v>206</v>
      </c>
      <c r="R282" s="12">
        <f t="shared" si="1"/>
        <v>0</v>
      </c>
      <c r="S282" s="12">
        <f>IF($A282="","",IF($R282&lt;=0,1,1+$R282/SUMIF($R$4:$R$923,"&gt;0",$R$4:$R$923)*(Settings!$B$5*(Settings!$B$6-Settings!$B$7))))</f>
        <v>1</v>
      </c>
      <c r="T282" s="12">
        <f t="array" ref="T282">IF($A282="","",XLOOKUP($F282,Settings!$I$15:$I$20,Settings!$J$15:$J$20,1))</f>
        <v>0.9</v>
      </c>
      <c r="U282" s="12">
        <f>IF($A282="","",1+(($G282-5)/5)*Settings!$J$8)</f>
        <v>1</v>
      </c>
      <c r="V282" s="12">
        <f>IF($A282="","",1+(($H282-5)/5)*Settings!$J$9)</f>
        <v>1.06</v>
      </c>
      <c r="W282" s="12">
        <f t="array" ref="W282">IF($A282="","",XLOOKUP($J282,Lists!$C$3:$C$7,Lists!$D$3:$D$7,1))</f>
        <v>1</v>
      </c>
      <c r="X282" s="12">
        <f>IF($A282="","",IF($I282="Yes",Settings!$J$10,1))</f>
        <v>1</v>
      </c>
      <c r="Y282" s="12">
        <f t="shared" si="2"/>
        <v>1</v>
      </c>
      <c r="Z282" s="12">
        <f>IF($A282="","",IFERROR(ROUND(AVERAGEIFS('Historical Drafts'!$G$4:$G$300,'Historical Drafts'!$D$4:$D$300,$E282,'Historical Drafts'!$J$4:$J$300,"&gt;="&amp;$L282*0.85,'Historical Drafts'!$J$4:$J$300,"&lt;="&amp;$L282*1.15),0),$Y282))</f>
        <v>11</v>
      </c>
      <c r="AA282" s="12" t="str">
        <f>IF($A282="","",IF(COUNTIF('Auction Log'!$B$3:$B$300,$A282)&gt;0,"Sold","Available"))</f>
        <v>Available</v>
      </c>
      <c r="AB282" s="12" t="str">
        <f t="array" ref="AB282">IF($A282="","",IFERROR(XLOOKUP($A282,'Auction Log'!$B$3:$B$300,'Auction Log'!$G$3:$G$300,""),""))</f>
        <v/>
      </c>
      <c r="AC282" s="12" t="str">
        <f t="array" ref="AC282">IF($A282="","",IFERROR(XLOOKUP($A282,'Auction Log'!$B$3:$B$300,'Auction Log'!$F$3:$F$300,""),""))</f>
        <v/>
      </c>
      <c r="AD282" s="12">
        <f t="array" ref="AD282">IF($A282="","",ROUND($Y282*XLOOKUP($F282,Settings!$I$15:$I$20,Settings!$K$15:$K$20,0.4),0))</f>
        <v>0</v>
      </c>
      <c r="AE282" s="12">
        <f t="array" ref="AE282">IF($A282="","",ROUND($Y282*XLOOKUP($F282,Settings!$I$15:$I$20,Settings!$L$15:$L$20,0.8),0))</f>
        <v>1</v>
      </c>
      <c r="AF282" s="12">
        <f t="array" ref="AF282">IF($A282="","",ROUND($Y282*XLOOKUP($F282,Settings!$I$15:$I$20,Settings!$M$15:$M$20,1),0))</f>
        <v>1</v>
      </c>
      <c r="AG282" s="12">
        <f t="array" ref="AG282">IF($A282="","",ROUND($Y282*XLOOKUP($F282,Settings!$I$15:$I$20,Settings!$N$15:$N$20,1.1),0))</f>
        <v>1</v>
      </c>
      <c r="AH282" s="12">
        <f t="array" ref="AH282">IF($A282="","",ROUND($Y282*XLOOKUP($F282,Settings!$I$15:$I$20,Settings!$O$15:$O$20,1.1)*Settings!$J$7,0))</f>
        <v>1</v>
      </c>
      <c r="AI282" s="12">
        <f t="array" ref="AI282">IF($A282="","",IF($AA282="Sold","",MIN($AH282,IFERROR(XLOOKUP(Settings!$B$12,Managers!$B$4:$B$15,Managers!$H$4:$H$15),$AH282))))</f>
        <v>1</v>
      </c>
      <c r="AJ282" s="12" t="str">
        <f t="shared" si="3"/>
        <v>Budget Drainer</v>
      </c>
      <c r="AK282" s="12">
        <f t="shared" si="4"/>
        <v>36</v>
      </c>
      <c r="AL282" s="12" t="str">
        <f t="shared" si="5"/>
        <v/>
      </c>
    </row>
    <row r="283" ht="15.75" customHeight="1">
      <c r="A283" s="10" t="s">
        <v>493</v>
      </c>
      <c r="B283" s="10" t="s">
        <v>494</v>
      </c>
      <c r="C283" s="10" t="s">
        <v>236</v>
      </c>
      <c r="D283" s="10" t="s">
        <v>123</v>
      </c>
      <c r="E283" s="10" t="s">
        <v>123</v>
      </c>
      <c r="F283" s="10" t="s">
        <v>114</v>
      </c>
      <c r="G283" s="10">
        <v>5.0</v>
      </c>
      <c r="H283" s="10">
        <v>7.0</v>
      </c>
      <c r="I283" s="10" t="s">
        <v>2140</v>
      </c>
      <c r="J283" s="10" t="s">
        <v>2136</v>
      </c>
      <c r="K283" s="10"/>
      <c r="L283" s="10">
        <v>107.0</v>
      </c>
      <c r="M283" s="10">
        <v>4.46</v>
      </c>
      <c r="N283" s="10"/>
      <c r="O283" s="10"/>
      <c r="P283" s="12">
        <f>IF($A283="","",IFERROR((IF($O283="",0,$O283)*Settings!$J$4+IF($L283="",0,$L283)*Settings!$J$5+IF($N283="",0,$N283)*Settings!$J$6)/(IF($O283="",0,Settings!$J$4)+IF($L283="",0,Settings!$J$5)+IF($N283="",0,Settings!$J$6)),0))</f>
        <v>107</v>
      </c>
      <c r="Q283" s="12">
        <f t="array" ref="Q283">IF($A283="","",XLOOKUP($E283,Settings!$A$19:$A$22,Settings!$G$19:$G$22,0))</f>
        <v>203</v>
      </c>
      <c r="R283" s="12">
        <f t="shared" si="1"/>
        <v>0</v>
      </c>
      <c r="S283" s="12">
        <f>IF($A283="","",IF($R283&lt;=0,1,1+$R283/SUMIF($R$4:$R$923,"&gt;0",$R$4:$R$923)*(Settings!$B$5*(Settings!$B$6-Settings!$B$7))))</f>
        <v>1</v>
      </c>
      <c r="T283" s="12">
        <f t="array" ref="T283">IF($A283="","",XLOOKUP($F283,Settings!$I$15:$I$20,Settings!$J$15:$J$20,1))</f>
        <v>0.9</v>
      </c>
      <c r="U283" s="12">
        <f>IF($A283="","",1+(($G283-5)/5)*Settings!$J$8)</f>
        <v>1</v>
      </c>
      <c r="V283" s="12">
        <f>IF($A283="","",1+(($H283-5)/5)*Settings!$J$9)</f>
        <v>1.06</v>
      </c>
      <c r="W283" s="12">
        <f t="array" ref="W283">IF($A283="","",XLOOKUP($J283,Lists!$C$3:$C$7,Lists!$D$3:$D$7,1))</f>
        <v>1</v>
      </c>
      <c r="X283" s="12">
        <f>IF($A283="","",IF($I283="Yes",Settings!$J$10,1))</f>
        <v>1</v>
      </c>
      <c r="Y283" s="12">
        <f t="shared" si="2"/>
        <v>1</v>
      </c>
      <c r="Z283" s="12">
        <f>IF($A283="","",IFERROR(ROUND(AVERAGEIFS('Historical Drafts'!$G$4:$G$300,'Historical Drafts'!$D$4:$D$300,$E283,'Historical Drafts'!$J$4:$J$300,"&gt;="&amp;$L283*0.85,'Historical Drafts'!$J$4:$J$300,"&lt;="&amp;$L283*1.15),0),$Y283))</f>
        <v>12</v>
      </c>
      <c r="AA283" s="12" t="str">
        <f>IF($A283="","",IF(COUNTIF('Auction Log'!$B$3:$B$300,$A283)&gt;0,"Sold","Available"))</f>
        <v>Available</v>
      </c>
      <c r="AB283" s="12" t="str">
        <f t="array" ref="AB283">IF($A283="","",IFERROR(XLOOKUP($A283,'Auction Log'!$B$3:$B$300,'Auction Log'!$G$3:$G$300,""),""))</f>
        <v/>
      </c>
      <c r="AC283" s="12" t="str">
        <f t="array" ref="AC283">IF($A283="","",IFERROR(XLOOKUP($A283,'Auction Log'!$B$3:$B$300,'Auction Log'!$F$3:$F$300,""),""))</f>
        <v/>
      </c>
      <c r="AD283" s="12">
        <f t="array" ref="AD283">IF($A283="","",ROUND($Y283*XLOOKUP($F283,Settings!$I$15:$I$20,Settings!$K$15:$K$20,0.4),0))</f>
        <v>0</v>
      </c>
      <c r="AE283" s="12">
        <f t="array" ref="AE283">IF($A283="","",ROUND($Y283*XLOOKUP($F283,Settings!$I$15:$I$20,Settings!$L$15:$L$20,0.8),0))</f>
        <v>1</v>
      </c>
      <c r="AF283" s="12">
        <f t="array" ref="AF283">IF($A283="","",ROUND($Y283*XLOOKUP($F283,Settings!$I$15:$I$20,Settings!$M$15:$M$20,1),0))</f>
        <v>1</v>
      </c>
      <c r="AG283" s="12">
        <f t="array" ref="AG283">IF($A283="","",ROUND($Y283*XLOOKUP($F283,Settings!$I$15:$I$20,Settings!$N$15:$N$20,1.1),0))</f>
        <v>1</v>
      </c>
      <c r="AH283" s="12">
        <f t="array" ref="AH283">IF($A283="","",ROUND($Y283*XLOOKUP($F283,Settings!$I$15:$I$20,Settings!$O$15:$O$20,1.1)*Settings!$J$7,0))</f>
        <v>1</v>
      </c>
      <c r="AI283" s="12">
        <f t="array" ref="AI283">IF($A283="","",IF($AA283="Sold","",MIN($AH283,IFERROR(XLOOKUP(Settings!$B$12,Managers!$B$4:$B$15,Managers!$H$4:$H$15),$AH283))))</f>
        <v>1</v>
      </c>
      <c r="AJ283" s="12" t="str">
        <f t="shared" si="3"/>
        <v>Budget Drainer</v>
      </c>
      <c r="AK283" s="12">
        <f t="shared" si="4"/>
        <v>37</v>
      </c>
      <c r="AL283" s="12" t="str">
        <f t="shared" si="5"/>
        <v/>
      </c>
    </row>
    <row r="284" ht="15.75" customHeight="1">
      <c r="A284" s="10" t="s">
        <v>876</v>
      </c>
      <c r="B284" s="10" t="s">
        <v>877</v>
      </c>
      <c r="C284" s="10" t="s">
        <v>878</v>
      </c>
      <c r="D284" s="10" t="s">
        <v>121</v>
      </c>
      <c r="E284" s="10" t="s">
        <v>121</v>
      </c>
      <c r="F284" s="10" t="s">
        <v>114</v>
      </c>
      <c r="G284" s="10">
        <v>5.0</v>
      </c>
      <c r="H284" s="10">
        <v>7.0</v>
      </c>
      <c r="I284" s="10" t="s">
        <v>2140</v>
      </c>
      <c r="J284" s="10" t="s">
        <v>2136</v>
      </c>
      <c r="K284" s="10"/>
      <c r="L284" s="10">
        <v>106.5</v>
      </c>
      <c r="M284" s="10">
        <v>5.07</v>
      </c>
      <c r="N284" s="10"/>
      <c r="O284" s="10"/>
      <c r="P284" s="12">
        <f>IF($A284="","",IFERROR((IF($O284="",0,$O284)*Settings!$J$4+IF($L284="",0,$L284)*Settings!$J$5+IF($N284="",0,$N284)*Settings!$J$6)/(IF($O284="",0,Settings!$J$4)+IF($L284="",0,Settings!$J$5)+IF($N284="",0,Settings!$J$6)),0))</f>
        <v>106.5</v>
      </c>
      <c r="Q284" s="12">
        <f t="array" ref="Q284">IF($A284="","",XLOOKUP($E284,Settings!$A$19:$A$22,Settings!$G$19:$G$22,0))</f>
        <v>206</v>
      </c>
      <c r="R284" s="12">
        <f t="shared" si="1"/>
        <v>0</v>
      </c>
      <c r="S284" s="12">
        <f>IF($A284="","",IF($R284&lt;=0,1,1+$R284/SUMIF($R$4:$R$923,"&gt;0",$R$4:$R$923)*(Settings!$B$5*(Settings!$B$6-Settings!$B$7))))</f>
        <v>1</v>
      </c>
      <c r="T284" s="12">
        <f t="array" ref="T284">IF($A284="","",XLOOKUP($F284,Settings!$I$15:$I$20,Settings!$J$15:$J$20,1))</f>
        <v>0.9</v>
      </c>
      <c r="U284" s="12">
        <f>IF($A284="","",1+(($G284-5)/5)*Settings!$J$8)</f>
        <v>1</v>
      </c>
      <c r="V284" s="12">
        <f>IF($A284="","",1+(($H284-5)/5)*Settings!$J$9)</f>
        <v>1.06</v>
      </c>
      <c r="W284" s="12">
        <f t="array" ref="W284">IF($A284="","",XLOOKUP($J284,Lists!$C$3:$C$7,Lists!$D$3:$D$7,1))</f>
        <v>1</v>
      </c>
      <c r="X284" s="12">
        <f>IF($A284="","",IF($I284="Yes",Settings!$J$10,1))</f>
        <v>1</v>
      </c>
      <c r="Y284" s="12">
        <f t="shared" si="2"/>
        <v>1</v>
      </c>
      <c r="Z284" s="12">
        <f>IF($A284="","",IFERROR(ROUND(AVERAGEIFS('Historical Drafts'!$G$4:$G$300,'Historical Drafts'!$D$4:$D$300,$E284,'Historical Drafts'!$J$4:$J$300,"&gt;="&amp;$L284*0.85,'Historical Drafts'!$J$4:$J$300,"&lt;="&amp;$L284*1.15),0),$Y284))</f>
        <v>12</v>
      </c>
      <c r="AA284" s="12" t="str">
        <f>IF($A284="","",IF(COUNTIF('Auction Log'!$B$3:$B$300,$A284)&gt;0,"Sold","Available"))</f>
        <v>Available</v>
      </c>
      <c r="AB284" s="12" t="str">
        <f t="array" ref="AB284">IF($A284="","",IFERROR(XLOOKUP($A284,'Auction Log'!$B$3:$B$300,'Auction Log'!$G$3:$G$300,""),""))</f>
        <v/>
      </c>
      <c r="AC284" s="12" t="str">
        <f t="array" ref="AC284">IF($A284="","",IFERROR(XLOOKUP($A284,'Auction Log'!$B$3:$B$300,'Auction Log'!$F$3:$F$300,""),""))</f>
        <v/>
      </c>
      <c r="AD284" s="12">
        <f t="array" ref="AD284">IF($A284="","",ROUND($Y284*XLOOKUP($F284,Settings!$I$15:$I$20,Settings!$K$15:$K$20,0.4),0))</f>
        <v>0</v>
      </c>
      <c r="AE284" s="12">
        <f t="array" ref="AE284">IF($A284="","",ROUND($Y284*XLOOKUP($F284,Settings!$I$15:$I$20,Settings!$L$15:$L$20,0.8),0))</f>
        <v>1</v>
      </c>
      <c r="AF284" s="12">
        <f t="array" ref="AF284">IF($A284="","",ROUND($Y284*XLOOKUP($F284,Settings!$I$15:$I$20,Settings!$M$15:$M$20,1),0))</f>
        <v>1</v>
      </c>
      <c r="AG284" s="12">
        <f t="array" ref="AG284">IF($A284="","",ROUND($Y284*XLOOKUP($F284,Settings!$I$15:$I$20,Settings!$N$15:$N$20,1.1),0))</f>
        <v>1</v>
      </c>
      <c r="AH284" s="12">
        <f t="array" ref="AH284">IF($A284="","",ROUND($Y284*XLOOKUP($F284,Settings!$I$15:$I$20,Settings!$O$15:$O$20,1.1)*Settings!$J$7,0))</f>
        <v>1</v>
      </c>
      <c r="AI284" s="12">
        <f t="array" ref="AI284">IF($A284="","",IF($AA284="Sold","",MIN($AH284,IFERROR(XLOOKUP(Settings!$B$12,Managers!$B$4:$B$15,Managers!$H$4:$H$15),$AH284))))</f>
        <v>1</v>
      </c>
      <c r="AJ284" s="12" t="str">
        <f t="shared" si="3"/>
        <v>Budget Drainer</v>
      </c>
      <c r="AK284" s="12">
        <f t="shared" si="4"/>
        <v>37</v>
      </c>
      <c r="AL284" s="12" t="str">
        <f t="shared" si="5"/>
        <v/>
      </c>
    </row>
    <row r="285" ht="15.75" customHeight="1">
      <c r="A285" s="10" t="s">
        <v>879</v>
      </c>
      <c r="B285" s="10" t="s">
        <v>880</v>
      </c>
      <c r="C285" s="10" t="s">
        <v>453</v>
      </c>
      <c r="D285" s="10" t="s">
        <v>121</v>
      </c>
      <c r="E285" s="10" t="s">
        <v>121</v>
      </c>
      <c r="F285" s="10" t="s">
        <v>114</v>
      </c>
      <c r="G285" s="10">
        <v>5.0</v>
      </c>
      <c r="H285" s="10">
        <v>7.0</v>
      </c>
      <c r="I285" s="10" t="s">
        <v>2140</v>
      </c>
      <c r="J285" s="10" t="s">
        <v>2136</v>
      </c>
      <c r="K285" s="10"/>
      <c r="L285" s="10">
        <v>106.0</v>
      </c>
      <c r="M285" s="10">
        <v>4.61</v>
      </c>
      <c r="N285" s="10"/>
      <c r="O285" s="10"/>
      <c r="P285" s="12">
        <f>IF($A285="","",IFERROR((IF($O285="",0,$O285)*Settings!$J$4+IF($L285="",0,$L285)*Settings!$J$5+IF($N285="",0,$N285)*Settings!$J$6)/(IF($O285="",0,Settings!$J$4)+IF($L285="",0,Settings!$J$5)+IF($N285="",0,Settings!$J$6)),0))</f>
        <v>106</v>
      </c>
      <c r="Q285" s="12">
        <f t="array" ref="Q285">IF($A285="","",XLOOKUP($E285,Settings!$A$19:$A$22,Settings!$G$19:$G$22,0))</f>
        <v>206</v>
      </c>
      <c r="R285" s="12">
        <f t="shared" si="1"/>
        <v>0</v>
      </c>
      <c r="S285" s="12">
        <f>IF($A285="","",IF($R285&lt;=0,1,1+$R285/SUMIF($R$4:$R$923,"&gt;0",$R$4:$R$923)*(Settings!$B$5*(Settings!$B$6-Settings!$B$7))))</f>
        <v>1</v>
      </c>
      <c r="T285" s="12">
        <f t="array" ref="T285">IF($A285="","",XLOOKUP($F285,Settings!$I$15:$I$20,Settings!$J$15:$J$20,1))</f>
        <v>0.9</v>
      </c>
      <c r="U285" s="12">
        <f>IF($A285="","",1+(($G285-5)/5)*Settings!$J$8)</f>
        <v>1</v>
      </c>
      <c r="V285" s="12">
        <f>IF($A285="","",1+(($H285-5)/5)*Settings!$J$9)</f>
        <v>1.06</v>
      </c>
      <c r="W285" s="12">
        <f t="array" ref="W285">IF($A285="","",XLOOKUP($J285,Lists!$C$3:$C$7,Lists!$D$3:$D$7,1))</f>
        <v>1</v>
      </c>
      <c r="X285" s="12">
        <f>IF($A285="","",IF($I285="Yes",Settings!$J$10,1))</f>
        <v>1</v>
      </c>
      <c r="Y285" s="12">
        <f t="shared" si="2"/>
        <v>1</v>
      </c>
      <c r="Z285" s="12">
        <f>IF($A285="","",IFERROR(ROUND(AVERAGEIFS('Historical Drafts'!$G$4:$G$300,'Historical Drafts'!$D$4:$D$300,$E285,'Historical Drafts'!$J$4:$J$300,"&gt;="&amp;$L285*0.85,'Historical Drafts'!$J$4:$J$300,"&lt;="&amp;$L285*1.15),0),$Y285))</f>
        <v>10</v>
      </c>
      <c r="AA285" s="12" t="str">
        <f>IF($A285="","",IF(COUNTIF('Auction Log'!$B$3:$B$300,$A285)&gt;0,"Sold","Available"))</f>
        <v>Available</v>
      </c>
      <c r="AB285" s="12" t="str">
        <f t="array" ref="AB285">IF($A285="","",IFERROR(XLOOKUP($A285,'Auction Log'!$B$3:$B$300,'Auction Log'!$G$3:$G$300,""),""))</f>
        <v/>
      </c>
      <c r="AC285" s="12" t="str">
        <f t="array" ref="AC285">IF($A285="","",IFERROR(XLOOKUP($A285,'Auction Log'!$B$3:$B$300,'Auction Log'!$F$3:$F$300,""),""))</f>
        <v/>
      </c>
      <c r="AD285" s="12">
        <f t="array" ref="AD285">IF($A285="","",ROUND($Y285*XLOOKUP($F285,Settings!$I$15:$I$20,Settings!$K$15:$K$20,0.4),0))</f>
        <v>0</v>
      </c>
      <c r="AE285" s="12">
        <f t="array" ref="AE285">IF($A285="","",ROUND($Y285*XLOOKUP($F285,Settings!$I$15:$I$20,Settings!$L$15:$L$20,0.8),0))</f>
        <v>1</v>
      </c>
      <c r="AF285" s="12">
        <f t="array" ref="AF285">IF($A285="","",ROUND($Y285*XLOOKUP($F285,Settings!$I$15:$I$20,Settings!$M$15:$M$20,1),0))</f>
        <v>1</v>
      </c>
      <c r="AG285" s="12">
        <f t="array" ref="AG285">IF($A285="","",ROUND($Y285*XLOOKUP($F285,Settings!$I$15:$I$20,Settings!$N$15:$N$20,1.1),0))</f>
        <v>1</v>
      </c>
      <c r="AH285" s="12">
        <f t="array" ref="AH285">IF($A285="","",ROUND($Y285*XLOOKUP($F285,Settings!$I$15:$I$20,Settings!$O$15:$O$20,1.1)*Settings!$J$7,0))</f>
        <v>1</v>
      </c>
      <c r="AI285" s="12">
        <f t="array" ref="AI285">IF($A285="","",IF($AA285="Sold","",MIN($AH285,IFERROR(XLOOKUP(Settings!$B$12,Managers!$B$4:$B$15,Managers!$H$4:$H$15),$AH285))))</f>
        <v>1</v>
      </c>
      <c r="AJ285" s="12" t="str">
        <f t="shared" si="3"/>
        <v>Budget Drainer</v>
      </c>
      <c r="AK285" s="12">
        <f t="shared" si="4"/>
        <v>35</v>
      </c>
      <c r="AL285" s="12" t="str">
        <f t="shared" si="5"/>
        <v/>
      </c>
    </row>
    <row r="286" ht="15.75" customHeight="1">
      <c r="A286" s="10" t="s">
        <v>881</v>
      </c>
      <c r="B286" s="10" t="s">
        <v>882</v>
      </c>
      <c r="C286" s="10" t="s">
        <v>231</v>
      </c>
      <c r="D286" s="10" t="s">
        <v>121</v>
      </c>
      <c r="E286" s="10" t="s">
        <v>121</v>
      </c>
      <c r="F286" s="10" t="s">
        <v>114</v>
      </c>
      <c r="G286" s="10">
        <v>5.0</v>
      </c>
      <c r="H286" s="10">
        <v>7.0</v>
      </c>
      <c r="I286" s="10" t="s">
        <v>2140</v>
      </c>
      <c r="J286" s="10" t="s">
        <v>2136</v>
      </c>
      <c r="K286" s="10"/>
      <c r="L286" s="10">
        <v>105.5</v>
      </c>
      <c r="M286" s="10">
        <v>3.4</v>
      </c>
      <c r="N286" s="10"/>
      <c r="O286" s="10"/>
      <c r="P286" s="12">
        <f>IF($A286="","",IFERROR((IF($O286="",0,$O286)*Settings!$J$4+IF($L286="",0,$L286)*Settings!$J$5+IF($N286="",0,$N286)*Settings!$J$6)/(IF($O286="",0,Settings!$J$4)+IF($L286="",0,Settings!$J$5)+IF($N286="",0,Settings!$J$6)),0))</f>
        <v>105.5</v>
      </c>
      <c r="Q286" s="12">
        <f t="array" ref="Q286">IF($A286="","",XLOOKUP($E286,Settings!$A$19:$A$22,Settings!$G$19:$G$22,0))</f>
        <v>206</v>
      </c>
      <c r="R286" s="12">
        <f t="shared" si="1"/>
        <v>0</v>
      </c>
      <c r="S286" s="12">
        <f>IF($A286="","",IF($R286&lt;=0,1,1+$R286/SUMIF($R$4:$R$923,"&gt;0",$R$4:$R$923)*(Settings!$B$5*(Settings!$B$6-Settings!$B$7))))</f>
        <v>1</v>
      </c>
      <c r="T286" s="12">
        <f t="array" ref="T286">IF($A286="","",XLOOKUP($F286,Settings!$I$15:$I$20,Settings!$J$15:$J$20,1))</f>
        <v>0.9</v>
      </c>
      <c r="U286" s="12">
        <f>IF($A286="","",1+(($G286-5)/5)*Settings!$J$8)</f>
        <v>1</v>
      </c>
      <c r="V286" s="12">
        <f>IF($A286="","",1+(($H286-5)/5)*Settings!$J$9)</f>
        <v>1.06</v>
      </c>
      <c r="W286" s="12">
        <f t="array" ref="W286">IF($A286="","",XLOOKUP($J286,Lists!$C$3:$C$7,Lists!$D$3:$D$7,1))</f>
        <v>1</v>
      </c>
      <c r="X286" s="12">
        <f>IF($A286="","",IF($I286="Yes",Settings!$J$10,1))</f>
        <v>1</v>
      </c>
      <c r="Y286" s="12">
        <f t="shared" si="2"/>
        <v>1</v>
      </c>
      <c r="Z286" s="12">
        <f>IF($A286="","",IFERROR(ROUND(AVERAGEIFS('Historical Drafts'!$G$4:$G$300,'Historical Drafts'!$D$4:$D$300,$E286,'Historical Drafts'!$J$4:$J$300,"&gt;="&amp;$L286*0.85,'Historical Drafts'!$J$4:$J$300,"&lt;="&amp;$L286*1.15),0),$Y286))</f>
        <v>10</v>
      </c>
      <c r="AA286" s="12" t="str">
        <f>IF($A286="","",IF(COUNTIF('Auction Log'!$B$3:$B$300,$A286)&gt;0,"Sold","Available"))</f>
        <v>Available</v>
      </c>
      <c r="AB286" s="12" t="str">
        <f t="array" ref="AB286">IF($A286="","",IFERROR(XLOOKUP($A286,'Auction Log'!$B$3:$B$300,'Auction Log'!$G$3:$G$300,""),""))</f>
        <v/>
      </c>
      <c r="AC286" s="12" t="str">
        <f t="array" ref="AC286">IF($A286="","",IFERROR(XLOOKUP($A286,'Auction Log'!$B$3:$B$300,'Auction Log'!$F$3:$F$300,""),""))</f>
        <v/>
      </c>
      <c r="AD286" s="12">
        <f t="array" ref="AD286">IF($A286="","",ROUND($Y286*XLOOKUP($F286,Settings!$I$15:$I$20,Settings!$K$15:$K$20,0.4),0))</f>
        <v>0</v>
      </c>
      <c r="AE286" s="12">
        <f t="array" ref="AE286">IF($A286="","",ROUND($Y286*XLOOKUP($F286,Settings!$I$15:$I$20,Settings!$L$15:$L$20,0.8),0))</f>
        <v>1</v>
      </c>
      <c r="AF286" s="12">
        <f t="array" ref="AF286">IF($A286="","",ROUND($Y286*XLOOKUP($F286,Settings!$I$15:$I$20,Settings!$M$15:$M$20,1),0))</f>
        <v>1</v>
      </c>
      <c r="AG286" s="12">
        <f t="array" ref="AG286">IF($A286="","",ROUND($Y286*XLOOKUP($F286,Settings!$I$15:$I$20,Settings!$N$15:$N$20,1.1),0))</f>
        <v>1</v>
      </c>
      <c r="AH286" s="12">
        <f t="array" ref="AH286">IF($A286="","",ROUND($Y286*XLOOKUP($F286,Settings!$I$15:$I$20,Settings!$O$15:$O$20,1.1)*Settings!$J$7,0))</f>
        <v>1</v>
      </c>
      <c r="AI286" s="12">
        <f t="array" ref="AI286">IF($A286="","",IF($AA286="Sold","",MIN($AH286,IFERROR(XLOOKUP(Settings!$B$12,Managers!$B$4:$B$15,Managers!$H$4:$H$15),$AH286))))</f>
        <v>1</v>
      </c>
      <c r="AJ286" s="12" t="str">
        <f t="shared" si="3"/>
        <v>Budget Drainer</v>
      </c>
      <c r="AK286" s="12">
        <f t="shared" si="4"/>
        <v>35</v>
      </c>
      <c r="AL286" s="12" t="str">
        <f t="shared" si="5"/>
        <v/>
      </c>
    </row>
    <row r="287" ht="15.75" customHeight="1">
      <c r="A287" s="10" t="s">
        <v>429</v>
      </c>
      <c r="B287" s="10" t="s">
        <v>430</v>
      </c>
      <c r="C287" s="10" t="s">
        <v>185</v>
      </c>
      <c r="D287" s="10" t="s">
        <v>118</v>
      </c>
      <c r="E287" s="10" t="s">
        <v>118</v>
      </c>
      <c r="F287" s="10" t="s">
        <v>114</v>
      </c>
      <c r="G287" s="10">
        <v>5.0</v>
      </c>
      <c r="H287" s="10">
        <v>7.0</v>
      </c>
      <c r="I287" s="10" t="s">
        <v>2140</v>
      </c>
      <c r="J287" s="10" t="s">
        <v>2136</v>
      </c>
      <c r="K287" s="10"/>
      <c r="L287" s="10">
        <v>105.5</v>
      </c>
      <c r="M287" s="10">
        <v>5.28</v>
      </c>
      <c r="N287" s="10"/>
      <c r="O287" s="10"/>
      <c r="P287" s="12">
        <f>IF($A287="","",IFERROR((IF($O287="",0,$O287)*Settings!$J$4+IF($L287="",0,$L287)*Settings!$J$5+IF($N287="",0,$N287)*Settings!$J$6)/(IF($O287="",0,Settings!$J$4)+IF($L287="",0,Settings!$J$5)+IF($N287="",0,Settings!$J$6)),0))</f>
        <v>105.5</v>
      </c>
      <c r="Q287" s="12">
        <f t="array" ref="Q287">IF($A287="","",XLOOKUP($E287,Settings!$A$19:$A$22,Settings!$G$19:$G$22,0))</f>
        <v>196.25</v>
      </c>
      <c r="R287" s="12">
        <f t="shared" si="1"/>
        <v>0</v>
      </c>
      <c r="S287" s="12">
        <f>IF($A287="","",IF($R287&lt;=0,1,1+$R287/SUMIF($R$4:$R$923,"&gt;0",$R$4:$R$923)*(Settings!$B$5*(Settings!$B$6-Settings!$B$7))))</f>
        <v>1</v>
      </c>
      <c r="T287" s="12">
        <f t="array" ref="T287">IF($A287="","",XLOOKUP($F287,Settings!$I$15:$I$20,Settings!$J$15:$J$20,1))</f>
        <v>0.9</v>
      </c>
      <c r="U287" s="12">
        <f>IF($A287="","",1+(($G287-5)/5)*Settings!$J$8)</f>
        <v>1</v>
      </c>
      <c r="V287" s="12">
        <f>IF($A287="","",1+(($H287-5)/5)*Settings!$J$9)</f>
        <v>1.06</v>
      </c>
      <c r="W287" s="12">
        <f t="array" ref="W287">IF($A287="","",XLOOKUP($J287,Lists!$C$3:$C$7,Lists!$D$3:$D$7,1))</f>
        <v>1</v>
      </c>
      <c r="X287" s="12">
        <f>IF($A287="","",IF($I287="Yes",Settings!$J$10,1))</f>
        <v>1</v>
      </c>
      <c r="Y287" s="12">
        <f t="shared" si="2"/>
        <v>1</v>
      </c>
      <c r="Z287" s="12">
        <f>IF($A287="","",IFERROR(ROUND(AVERAGEIFS('Historical Drafts'!$G$4:$G$300,'Historical Drafts'!$D$4:$D$300,$E287,'Historical Drafts'!$J$4:$J$300,"&gt;="&amp;$L287*0.85,'Historical Drafts'!$J$4:$J$300,"&lt;="&amp;$L287*1.15),0),$Y287))</f>
        <v>4</v>
      </c>
      <c r="AA287" s="12" t="str">
        <f>IF($A287="","",IF(COUNTIF('Auction Log'!$B$3:$B$300,$A287)&gt;0,"Sold","Available"))</f>
        <v>Available</v>
      </c>
      <c r="AB287" s="12" t="str">
        <f t="array" ref="AB287">IF($A287="","",IFERROR(XLOOKUP($A287,'Auction Log'!$B$3:$B$300,'Auction Log'!$G$3:$G$300,""),""))</f>
        <v/>
      </c>
      <c r="AC287" s="12" t="str">
        <f t="array" ref="AC287">IF($A287="","",IFERROR(XLOOKUP($A287,'Auction Log'!$B$3:$B$300,'Auction Log'!$F$3:$F$300,""),""))</f>
        <v/>
      </c>
      <c r="AD287" s="12">
        <f t="array" ref="AD287">IF($A287="","",ROUND($Y287*XLOOKUP($F287,Settings!$I$15:$I$20,Settings!$K$15:$K$20,0.4),0))</f>
        <v>0</v>
      </c>
      <c r="AE287" s="12">
        <f t="array" ref="AE287">IF($A287="","",ROUND($Y287*XLOOKUP($F287,Settings!$I$15:$I$20,Settings!$L$15:$L$20,0.8),0))</f>
        <v>1</v>
      </c>
      <c r="AF287" s="12">
        <f t="array" ref="AF287">IF($A287="","",ROUND($Y287*XLOOKUP($F287,Settings!$I$15:$I$20,Settings!$M$15:$M$20,1),0))</f>
        <v>1</v>
      </c>
      <c r="AG287" s="12">
        <f t="array" ref="AG287">IF($A287="","",ROUND($Y287*XLOOKUP($F287,Settings!$I$15:$I$20,Settings!$N$15:$N$20,1.1),0))</f>
        <v>1</v>
      </c>
      <c r="AH287" s="12">
        <f t="array" ref="AH287">IF($A287="","",ROUND($Y287*XLOOKUP($F287,Settings!$I$15:$I$20,Settings!$O$15:$O$20,1.1)*Settings!$J$7,0))</f>
        <v>1</v>
      </c>
      <c r="AI287" s="12">
        <f t="array" ref="AI287">IF($A287="","",IF($AA287="Sold","",MIN($AH287,IFERROR(XLOOKUP(Settings!$B$12,Managers!$B$4:$B$15,Managers!$H$4:$H$15),$AH287))))</f>
        <v>1</v>
      </c>
      <c r="AJ287" s="12" t="str">
        <f t="shared" si="3"/>
        <v>Budget Drainer</v>
      </c>
      <c r="AK287" s="12">
        <f t="shared" si="4"/>
        <v>29</v>
      </c>
      <c r="AL287" s="12" t="str">
        <f t="shared" si="5"/>
        <v/>
      </c>
    </row>
    <row r="288" ht="15.75" customHeight="1">
      <c r="A288" s="10" t="s">
        <v>883</v>
      </c>
      <c r="B288" s="10" t="s">
        <v>884</v>
      </c>
      <c r="C288" s="10" t="s">
        <v>199</v>
      </c>
      <c r="D288" s="10" t="s">
        <v>121</v>
      </c>
      <c r="E288" s="10" t="s">
        <v>121</v>
      </c>
      <c r="F288" s="10" t="s">
        <v>114</v>
      </c>
      <c r="G288" s="10">
        <v>5.0</v>
      </c>
      <c r="H288" s="10">
        <v>7.0</v>
      </c>
      <c r="I288" s="10" t="s">
        <v>2140</v>
      </c>
      <c r="J288" s="10" t="s">
        <v>2136</v>
      </c>
      <c r="K288" s="10"/>
      <c r="L288" s="10">
        <v>104.0</v>
      </c>
      <c r="M288" s="10">
        <v>4.95</v>
      </c>
      <c r="N288" s="10"/>
      <c r="O288" s="10"/>
      <c r="P288" s="12">
        <f>IF($A288="","",IFERROR((IF($O288="",0,$O288)*Settings!$J$4+IF($L288="",0,$L288)*Settings!$J$5+IF($N288="",0,$N288)*Settings!$J$6)/(IF($O288="",0,Settings!$J$4)+IF($L288="",0,Settings!$J$5)+IF($N288="",0,Settings!$J$6)),0))</f>
        <v>104</v>
      </c>
      <c r="Q288" s="12">
        <f t="array" ref="Q288">IF($A288="","",XLOOKUP($E288,Settings!$A$19:$A$22,Settings!$G$19:$G$22,0))</f>
        <v>206</v>
      </c>
      <c r="R288" s="12">
        <f t="shared" si="1"/>
        <v>0</v>
      </c>
      <c r="S288" s="12">
        <f>IF($A288="","",IF($R288&lt;=0,1,1+$R288/SUMIF($R$4:$R$923,"&gt;0",$R$4:$R$923)*(Settings!$B$5*(Settings!$B$6-Settings!$B$7))))</f>
        <v>1</v>
      </c>
      <c r="T288" s="12">
        <f t="array" ref="T288">IF($A288="","",XLOOKUP($F288,Settings!$I$15:$I$20,Settings!$J$15:$J$20,1))</f>
        <v>0.9</v>
      </c>
      <c r="U288" s="12">
        <f>IF($A288="","",1+(($G288-5)/5)*Settings!$J$8)</f>
        <v>1</v>
      </c>
      <c r="V288" s="12">
        <f>IF($A288="","",1+(($H288-5)/5)*Settings!$J$9)</f>
        <v>1.06</v>
      </c>
      <c r="W288" s="12">
        <f t="array" ref="W288">IF($A288="","",XLOOKUP($J288,Lists!$C$3:$C$7,Lists!$D$3:$D$7,1))</f>
        <v>1</v>
      </c>
      <c r="X288" s="12">
        <f>IF($A288="","",IF($I288="Yes",Settings!$J$10,1))</f>
        <v>1</v>
      </c>
      <c r="Y288" s="12">
        <f t="shared" si="2"/>
        <v>1</v>
      </c>
      <c r="Z288" s="12">
        <f>IF($A288="","",IFERROR(ROUND(AVERAGEIFS('Historical Drafts'!$G$4:$G$300,'Historical Drafts'!$D$4:$D$300,$E288,'Historical Drafts'!$J$4:$J$300,"&gt;="&amp;$L288*0.85,'Historical Drafts'!$J$4:$J$300,"&lt;="&amp;$L288*1.15),0),$Y288))</f>
        <v>9</v>
      </c>
      <c r="AA288" s="12" t="str">
        <f>IF($A288="","",IF(COUNTIF('Auction Log'!$B$3:$B$300,$A288)&gt;0,"Sold","Available"))</f>
        <v>Available</v>
      </c>
      <c r="AB288" s="12" t="str">
        <f t="array" ref="AB288">IF($A288="","",IFERROR(XLOOKUP($A288,'Auction Log'!$B$3:$B$300,'Auction Log'!$G$3:$G$300,""),""))</f>
        <v/>
      </c>
      <c r="AC288" s="12" t="str">
        <f t="array" ref="AC288">IF($A288="","",IFERROR(XLOOKUP($A288,'Auction Log'!$B$3:$B$300,'Auction Log'!$F$3:$F$300,""),""))</f>
        <v/>
      </c>
      <c r="AD288" s="12">
        <f t="array" ref="AD288">IF($A288="","",ROUND($Y288*XLOOKUP($F288,Settings!$I$15:$I$20,Settings!$K$15:$K$20,0.4),0))</f>
        <v>0</v>
      </c>
      <c r="AE288" s="12">
        <f t="array" ref="AE288">IF($A288="","",ROUND($Y288*XLOOKUP($F288,Settings!$I$15:$I$20,Settings!$L$15:$L$20,0.8),0))</f>
        <v>1</v>
      </c>
      <c r="AF288" s="12">
        <f t="array" ref="AF288">IF($A288="","",ROUND($Y288*XLOOKUP($F288,Settings!$I$15:$I$20,Settings!$M$15:$M$20,1),0))</f>
        <v>1</v>
      </c>
      <c r="AG288" s="12">
        <f t="array" ref="AG288">IF($A288="","",ROUND($Y288*XLOOKUP($F288,Settings!$I$15:$I$20,Settings!$N$15:$N$20,1.1),0))</f>
        <v>1</v>
      </c>
      <c r="AH288" s="12">
        <f t="array" ref="AH288">IF($A288="","",ROUND($Y288*XLOOKUP($F288,Settings!$I$15:$I$20,Settings!$O$15:$O$20,1.1)*Settings!$J$7,0))</f>
        <v>1</v>
      </c>
      <c r="AI288" s="12">
        <f t="array" ref="AI288">IF($A288="","",IF($AA288="Sold","",MIN($AH288,IFERROR(XLOOKUP(Settings!$B$12,Managers!$B$4:$B$15,Managers!$H$4:$H$15),$AH288))))</f>
        <v>1</v>
      </c>
      <c r="AJ288" s="12" t="str">
        <f t="shared" si="3"/>
        <v>Budget Drainer</v>
      </c>
      <c r="AK288" s="12">
        <f t="shared" si="4"/>
        <v>34</v>
      </c>
      <c r="AL288" s="12" t="str">
        <f t="shared" si="5"/>
        <v/>
      </c>
    </row>
    <row r="289" ht="15.75" customHeight="1">
      <c r="A289" s="10" t="s">
        <v>885</v>
      </c>
      <c r="B289" s="10" t="s">
        <v>886</v>
      </c>
      <c r="C289" s="10" t="s">
        <v>185</v>
      </c>
      <c r="D289" s="10" t="s">
        <v>118</v>
      </c>
      <c r="E289" s="10" t="s">
        <v>118</v>
      </c>
      <c r="F289" s="10" t="s">
        <v>114</v>
      </c>
      <c r="G289" s="10">
        <v>5.0</v>
      </c>
      <c r="H289" s="10">
        <v>7.0</v>
      </c>
      <c r="I289" s="10" t="s">
        <v>2140</v>
      </c>
      <c r="J289" s="10" t="s">
        <v>2136</v>
      </c>
      <c r="K289" s="10"/>
      <c r="L289" s="10">
        <v>102.75</v>
      </c>
      <c r="M289" s="10">
        <v>3.21</v>
      </c>
      <c r="N289" s="10"/>
      <c r="O289" s="10"/>
      <c r="P289" s="12">
        <f>IF($A289="","",IFERROR((IF($O289="",0,$O289)*Settings!$J$4+IF($L289="",0,$L289)*Settings!$J$5+IF($N289="",0,$N289)*Settings!$J$6)/(IF($O289="",0,Settings!$J$4)+IF($L289="",0,Settings!$J$5)+IF($N289="",0,Settings!$J$6)),0))</f>
        <v>102.75</v>
      </c>
      <c r="Q289" s="12">
        <f t="array" ref="Q289">IF($A289="","",XLOOKUP($E289,Settings!$A$19:$A$22,Settings!$G$19:$G$22,0))</f>
        <v>196.25</v>
      </c>
      <c r="R289" s="12">
        <f t="shared" si="1"/>
        <v>0</v>
      </c>
      <c r="S289" s="12">
        <f>IF($A289="","",IF($R289&lt;=0,1,1+$R289/SUMIF($R$4:$R$923,"&gt;0",$R$4:$R$923)*(Settings!$B$5*(Settings!$B$6-Settings!$B$7))))</f>
        <v>1</v>
      </c>
      <c r="T289" s="12">
        <f t="array" ref="T289">IF($A289="","",XLOOKUP($F289,Settings!$I$15:$I$20,Settings!$J$15:$J$20,1))</f>
        <v>0.9</v>
      </c>
      <c r="U289" s="12">
        <f>IF($A289="","",1+(($G289-5)/5)*Settings!$J$8)</f>
        <v>1</v>
      </c>
      <c r="V289" s="12">
        <f>IF($A289="","",1+(($H289-5)/5)*Settings!$J$9)</f>
        <v>1.06</v>
      </c>
      <c r="W289" s="12">
        <f t="array" ref="W289">IF($A289="","",XLOOKUP($J289,Lists!$C$3:$C$7,Lists!$D$3:$D$7,1))</f>
        <v>1</v>
      </c>
      <c r="X289" s="12">
        <f>IF($A289="","",IF($I289="Yes",Settings!$J$10,1))</f>
        <v>1</v>
      </c>
      <c r="Y289" s="12">
        <f t="shared" si="2"/>
        <v>1</v>
      </c>
      <c r="Z289" s="12">
        <f>IF($A289="","",IFERROR(ROUND(AVERAGEIFS('Historical Drafts'!$G$4:$G$300,'Historical Drafts'!$D$4:$D$300,$E289,'Historical Drafts'!$J$4:$J$300,"&gt;="&amp;$L289*0.85,'Historical Drafts'!$J$4:$J$300,"&lt;="&amp;$L289*1.15),0),$Y289))</f>
        <v>4</v>
      </c>
      <c r="AA289" s="12" t="str">
        <f>IF($A289="","",IF(COUNTIF('Auction Log'!$B$3:$B$300,$A289)&gt;0,"Sold","Available"))</f>
        <v>Available</v>
      </c>
      <c r="AB289" s="12" t="str">
        <f t="array" ref="AB289">IF($A289="","",IFERROR(XLOOKUP($A289,'Auction Log'!$B$3:$B$300,'Auction Log'!$G$3:$G$300,""),""))</f>
        <v/>
      </c>
      <c r="AC289" s="12" t="str">
        <f t="array" ref="AC289">IF($A289="","",IFERROR(XLOOKUP($A289,'Auction Log'!$B$3:$B$300,'Auction Log'!$F$3:$F$300,""),""))</f>
        <v/>
      </c>
      <c r="AD289" s="12">
        <f t="array" ref="AD289">IF($A289="","",ROUND($Y289*XLOOKUP($F289,Settings!$I$15:$I$20,Settings!$K$15:$K$20,0.4),0))</f>
        <v>0</v>
      </c>
      <c r="AE289" s="12">
        <f t="array" ref="AE289">IF($A289="","",ROUND($Y289*XLOOKUP($F289,Settings!$I$15:$I$20,Settings!$L$15:$L$20,0.8),0))</f>
        <v>1</v>
      </c>
      <c r="AF289" s="12">
        <f t="array" ref="AF289">IF($A289="","",ROUND($Y289*XLOOKUP($F289,Settings!$I$15:$I$20,Settings!$M$15:$M$20,1),0))</f>
        <v>1</v>
      </c>
      <c r="AG289" s="12">
        <f t="array" ref="AG289">IF($A289="","",ROUND($Y289*XLOOKUP($F289,Settings!$I$15:$I$20,Settings!$N$15:$N$20,1.1),0))</f>
        <v>1</v>
      </c>
      <c r="AH289" s="12">
        <f t="array" ref="AH289">IF($A289="","",ROUND($Y289*XLOOKUP($F289,Settings!$I$15:$I$20,Settings!$O$15:$O$20,1.1)*Settings!$J$7,0))</f>
        <v>1</v>
      </c>
      <c r="AI289" s="12">
        <f t="array" ref="AI289">IF($A289="","",IF($AA289="Sold","",MIN($AH289,IFERROR(XLOOKUP(Settings!$B$12,Managers!$B$4:$B$15,Managers!$H$4:$H$15),$AH289))))</f>
        <v>1</v>
      </c>
      <c r="AJ289" s="12" t="str">
        <f t="shared" si="3"/>
        <v>Budget Drainer</v>
      </c>
      <c r="AK289" s="12">
        <f t="shared" si="4"/>
        <v>29</v>
      </c>
      <c r="AL289" s="12" t="str">
        <f t="shared" si="5"/>
        <v/>
      </c>
    </row>
    <row r="290" ht="15.75" customHeight="1">
      <c r="A290" s="10" t="s">
        <v>887</v>
      </c>
      <c r="B290" s="10" t="s">
        <v>888</v>
      </c>
      <c r="C290" s="10" t="s">
        <v>185</v>
      </c>
      <c r="D290" s="10" t="s">
        <v>121</v>
      </c>
      <c r="E290" s="10" t="s">
        <v>121</v>
      </c>
      <c r="F290" s="10" t="s">
        <v>114</v>
      </c>
      <c r="G290" s="10">
        <v>5.0</v>
      </c>
      <c r="H290" s="10">
        <v>7.0</v>
      </c>
      <c r="I290" s="10" t="s">
        <v>2140</v>
      </c>
      <c r="J290" s="10" t="s">
        <v>2136</v>
      </c>
      <c r="K290" s="10"/>
      <c r="L290" s="10">
        <v>102.5</v>
      </c>
      <c r="M290" s="10">
        <v>4.46</v>
      </c>
      <c r="N290" s="10"/>
      <c r="O290" s="10"/>
      <c r="P290" s="12">
        <f>IF($A290="","",IFERROR((IF($O290="",0,$O290)*Settings!$J$4+IF($L290="",0,$L290)*Settings!$J$5+IF($N290="",0,$N290)*Settings!$J$6)/(IF($O290="",0,Settings!$J$4)+IF($L290="",0,Settings!$J$5)+IF($N290="",0,Settings!$J$6)),0))</f>
        <v>102.5</v>
      </c>
      <c r="Q290" s="12">
        <f t="array" ref="Q290">IF($A290="","",XLOOKUP($E290,Settings!$A$19:$A$22,Settings!$G$19:$G$22,0))</f>
        <v>206</v>
      </c>
      <c r="R290" s="12">
        <f t="shared" si="1"/>
        <v>0</v>
      </c>
      <c r="S290" s="12">
        <f>IF($A290="","",IF($R290&lt;=0,1,1+$R290/SUMIF($R$4:$R$923,"&gt;0",$R$4:$R$923)*(Settings!$B$5*(Settings!$B$6-Settings!$B$7))))</f>
        <v>1</v>
      </c>
      <c r="T290" s="12">
        <f t="array" ref="T290">IF($A290="","",XLOOKUP($F290,Settings!$I$15:$I$20,Settings!$J$15:$J$20,1))</f>
        <v>0.9</v>
      </c>
      <c r="U290" s="12">
        <f>IF($A290="","",1+(($G290-5)/5)*Settings!$J$8)</f>
        <v>1</v>
      </c>
      <c r="V290" s="12">
        <f>IF($A290="","",1+(($H290-5)/5)*Settings!$J$9)</f>
        <v>1.06</v>
      </c>
      <c r="W290" s="12">
        <f t="array" ref="W290">IF($A290="","",XLOOKUP($J290,Lists!$C$3:$C$7,Lists!$D$3:$D$7,1))</f>
        <v>1</v>
      </c>
      <c r="X290" s="12">
        <f>IF($A290="","",IF($I290="Yes",Settings!$J$10,1))</f>
        <v>1</v>
      </c>
      <c r="Y290" s="12">
        <f t="shared" si="2"/>
        <v>1</v>
      </c>
      <c r="Z290" s="12">
        <f>IF($A290="","",IFERROR(ROUND(AVERAGEIFS('Historical Drafts'!$G$4:$G$300,'Historical Drafts'!$D$4:$D$300,$E290,'Historical Drafts'!$J$4:$J$300,"&gt;="&amp;$L290*0.85,'Historical Drafts'!$J$4:$J$300,"&lt;="&amp;$L290*1.15),0),$Y290))</f>
        <v>11</v>
      </c>
      <c r="AA290" s="12" t="str">
        <f>IF($A290="","",IF(COUNTIF('Auction Log'!$B$3:$B$300,$A290)&gt;0,"Sold","Available"))</f>
        <v>Available</v>
      </c>
      <c r="AB290" s="12" t="str">
        <f t="array" ref="AB290">IF($A290="","",IFERROR(XLOOKUP($A290,'Auction Log'!$B$3:$B$300,'Auction Log'!$G$3:$G$300,""),""))</f>
        <v/>
      </c>
      <c r="AC290" s="12" t="str">
        <f t="array" ref="AC290">IF($A290="","",IFERROR(XLOOKUP($A290,'Auction Log'!$B$3:$B$300,'Auction Log'!$F$3:$F$300,""),""))</f>
        <v/>
      </c>
      <c r="AD290" s="12">
        <f t="array" ref="AD290">IF($A290="","",ROUND($Y290*XLOOKUP($F290,Settings!$I$15:$I$20,Settings!$K$15:$K$20,0.4),0))</f>
        <v>0</v>
      </c>
      <c r="AE290" s="12">
        <f t="array" ref="AE290">IF($A290="","",ROUND($Y290*XLOOKUP($F290,Settings!$I$15:$I$20,Settings!$L$15:$L$20,0.8),0))</f>
        <v>1</v>
      </c>
      <c r="AF290" s="12">
        <f t="array" ref="AF290">IF($A290="","",ROUND($Y290*XLOOKUP($F290,Settings!$I$15:$I$20,Settings!$M$15:$M$20,1),0))</f>
        <v>1</v>
      </c>
      <c r="AG290" s="12">
        <f t="array" ref="AG290">IF($A290="","",ROUND($Y290*XLOOKUP($F290,Settings!$I$15:$I$20,Settings!$N$15:$N$20,1.1),0))</f>
        <v>1</v>
      </c>
      <c r="AH290" s="12">
        <f t="array" ref="AH290">IF($A290="","",ROUND($Y290*XLOOKUP($F290,Settings!$I$15:$I$20,Settings!$O$15:$O$20,1.1)*Settings!$J$7,0))</f>
        <v>1</v>
      </c>
      <c r="AI290" s="12">
        <f t="array" ref="AI290">IF($A290="","",IF($AA290="Sold","",MIN($AH290,IFERROR(XLOOKUP(Settings!$B$12,Managers!$B$4:$B$15,Managers!$H$4:$H$15),$AH290))))</f>
        <v>1</v>
      </c>
      <c r="AJ290" s="12" t="str">
        <f t="shared" si="3"/>
        <v>Budget Drainer</v>
      </c>
      <c r="AK290" s="12">
        <f t="shared" si="4"/>
        <v>36</v>
      </c>
      <c r="AL290" s="12" t="str">
        <f t="shared" si="5"/>
        <v/>
      </c>
    </row>
    <row r="291" ht="15.75" customHeight="1">
      <c r="A291" s="10" t="s">
        <v>241</v>
      </c>
      <c r="B291" s="10" t="s">
        <v>242</v>
      </c>
      <c r="C291" s="10" t="s">
        <v>243</v>
      </c>
      <c r="D291" s="10" t="s">
        <v>123</v>
      </c>
      <c r="E291" s="10" t="s">
        <v>123</v>
      </c>
      <c r="F291" s="10" t="s">
        <v>114</v>
      </c>
      <c r="G291" s="10">
        <v>5.0</v>
      </c>
      <c r="H291" s="10">
        <v>7.0</v>
      </c>
      <c r="I291" s="10" t="s">
        <v>2140</v>
      </c>
      <c r="J291" s="10" t="s">
        <v>2136</v>
      </c>
      <c r="K291" s="10"/>
      <c r="L291" s="10">
        <v>102.5</v>
      </c>
      <c r="M291" s="10">
        <v>6.83</v>
      </c>
      <c r="N291" s="10"/>
      <c r="O291" s="10"/>
      <c r="P291" s="12">
        <f>IF($A291="","",IFERROR((IF($O291="",0,$O291)*Settings!$J$4+IF($L291="",0,$L291)*Settings!$J$5+IF($N291="",0,$N291)*Settings!$J$6)/(IF($O291="",0,Settings!$J$4)+IF($L291="",0,Settings!$J$5)+IF($N291="",0,Settings!$J$6)),0))</f>
        <v>102.5</v>
      </c>
      <c r="Q291" s="12">
        <f t="array" ref="Q291">IF($A291="","",XLOOKUP($E291,Settings!$A$19:$A$22,Settings!$G$19:$G$22,0))</f>
        <v>203</v>
      </c>
      <c r="R291" s="12">
        <f t="shared" si="1"/>
        <v>0</v>
      </c>
      <c r="S291" s="12">
        <f>IF($A291="","",IF($R291&lt;=0,1,1+$R291/SUMIF($R$4:$R$923,"&gt;0",$R$4:$R$923)*(Settings!$B$5*(Settings!$B$6-Settings!$B$7))))</f>
        <v>1</v>
      </c>
      <c r="T291" s="12">
        <f t="array" ref="T291">IF($A291="","",XLOOKUP($F291,Settings!$I$15:$I$20,Settings!$J$15:$J$20,1))</f>
        <v>0.9</v>
      </c>
      <c r="U291" s="12">
        <f>IF($A291="","",1+(($G291-5)/5)*Settings!$J$8)</f>
        <v>1</v>
      </c>
      <c r="V291" s="12">
        <f>IF($A291="","",1+(($H291-5)/5)*Settings!$J$9)</f>
        <v>1.06</v>
      </c>
      <c r="W291" s="12">
        <f t="array" ref="W291">IF($A291="","",XLOOKUP($J291,Lists!$C$3:$C$7,Lists!$D$3:$D$7,1))</f>
        <v>1</v>
      </c>
      <c r="X291" s="12">
        <f>IF($A291="","",IF($I291="Yes",Settings!$J$10,1))</f>
        <v>1</v>
      </c>
      <c r="Y291" s="12">
        <f t="shared" si="2"/>
        <v>1</v>
      </c>
      <c r="Z291" s="12">
        <f>IF($A291="","",IFERROR(ROUND(AVERAGEIFS('Historical Drafts'!$G$4:$G$300,'Historical Drafts'!$D$4:$D$300,$E291,'Historical Drafts'!$J$4:$J$300,"&gt;="&amp;$L291*0.85,'Historical Drafts'!$J$4:$J$300,"&lt;="&amp;$L291*1.15),0),$Y291))</f>
        <v>12</v>
      </c>
      <c r="AA291" s="12" t="str">
        <f>IF($A291="","",IF(COUNTIF('Auction Log'!$B$3:$B$300,$A291)&gt;0,"Sold","Available"))</f>
        <v>Available</v>
      </c>
      <c r="AB291" s="12" t="str">
        <f t="array" ref="AB291">IF($A291="","",IFERROR(XLOOKUP($A291,'Auction Log'!$B$3:$B$300,'Auction Log'!$G$3:$G$300,""),""))</f>
        <v/>
      </c>
      <c r="AC291" s="12" t="str">
        <f t="array" ref="AC291">IF($A291="","",IFERROR(XLOOKUP($A291,'Auction Log'!$B$3:$B$300,'Auction Log'!$F$3:$F$300,""),""))</f>
        <v/>
      </c>
      <c r="AD291" s="12">
        <f t="array" ref="AD291">IF($A291="","",ROUND($Y291*XLOOKUP($F291,Settings!$I$15:$I$20,Settings!$K$15:$K$20,0.4),0))</f>
        <v>0</v>
      </c>
      <c r="AE291" s="12">
        <f t="array" ref="AE291">IF($A291="","",ROUND($Y291*XLOOKUP($F291,Settings!$I$15:$I$20,Settings!$L$15:$L$20,0.8),0))</f>
        <v>1</v>
      </c>
      <c r="AF291" s="12">
        <f t="array" ref="AF291">IF($A291="","",ROUND($Y291*XLOOKUP($F291,Settings!$I$15:$I$20,Settings!$M$15:$M$20,1),0))</f>
        <v>1</v>
      </c>
      <c r="AG291" s="12">
        <f t="array" ref="AG291">IF($A291="","",ROUND($Y291*XLOOKUP($F291,Settings!$I$15:$I$20,Settings!$N$15:$N$20,1.1),0))</f>
        <v>1</v>
      </c>
      <c r="AH291" s="12">
        <f t="array" ref="AH291">IF($A291="","",ROUND($Y291*XLOOKUP($F291,Settings!$I$15:$I$20,Settings!$O$15:$O$20,1.1)*Settings!$J$7,0))</f>
        <v>1</v>
      </c>
      <c r="AI291" s="12">
        <f t="array" ref="AI291">IF($A291="","",IF($AA291="Sold","",MIN($AH291,IFERROR(XLOOKUP(Settings!$B$12,Managers!$B$4:$B$15,Managers!$H$4:$H$15),$AH291))))</f>
        <v>1</v>
      </c>
      <c r="AJ291" s="12" t="str">
        <f t="shared" si="3"/>
        <v>Budget Drainer</v>
      </c>
      <c r="AK291" s="12">
        <f t="shared" si="4"/>
        <v>37</v>
      </c>
      <c r="AL291" s="12" t="str">
        <f t="shared" si="5"/>
        <v/>
      </c>
    </row>
    <row r="292" ht="15.75" customHeight="1">
      <c r="A292" s="10" t="s">
        <v>889</v>
      </c>
      <c r="B292" s="10" t="s">
        <v>890</v>
      </c>
      <c r="C292" s="10" t="s">
        <v>566</v>
      </c>
      <c r="D292" s="10" t="s">
        <v>123</v>
      </c>
      <c r="E292" s="10" t="s">
        <v>123</v>
      </c>
      <c r="F292" s="10" t="s">
        <v>114</v>
      </c>
      <c r="G292" s="10">
        <v>5.0</v>
      </c>
      <c r="H292" s="10">
        <v>7.0</v>
      </c>
      <c r="I292" s="10" t="s">
        <v>2140</v>
      </c>
      <c r="J292" s="10" t="s">
        <v>2136</v>
      </c>
      <c r="K292" s="10"/>
      <c r="L292" s="10">
        <v>102.0</v>
      </c>
      <c r="M292" s="10">
        <v>4.43</v>
      </c>
      <c r="N292" s="10"/>
      <c r="O292" s="10"/>
      <c r="P292" s="12">
        <f>IF($A292="","",IFERROR((IF($O292="",0,$O292)*Settings!$J$4+IF($L292="",0,$L292)*Settings!$J$5+IF($N292="",0,$N292)*Settings!$J$6)/(IF($O292="",0,Settings!$J$4)+IF($L292="",0,Settings!$J$5)+IF($N292="",0,Settings!$J$6)),0))</f>
        <v>102</v>
      </c>
      <c r="Q292" s="12">
        <f t="array" ref="Q292">IF($A292="","",XLOOKUP($E292,Settings!$A$19:$A$22,Settings!$G$19:$G$22,0))</f>
        <v>203</v>
      </c>
      <c r="R292" s="12">
        <f t="shared" si="1"/>
        <v>0</v>
      </c>
      <c r="S292" s="12">
        <f>IF($A292="","",IF($R292&lt;=0,1,1+$R292/SUMIF($R$4:$R$923,"&gt;0",$R$4:$R$923)*(Settings!$B$5*(Settings!$B$6-Settings!$B$7))))</f>
        <v>1</v>
      </c>
      <c r="T292" s="12">
        <f t="array" ref="T292">IF($A292="","",XLOOKUP($F292,Settings!$I$15:$I$20,Settings!$J$15:$J$20,1))</f>
        <v>0.9</v>
      </c>
      <c r="U292" s="12">
        <f>IF($A292="","",1+(($G292-5)/5)*Settings!$J$8)</f>
        <v>1</v>
      </c>
      <c r="V292" s="12">
        <f>IF($A292="","",1+(($H292-5)/5)*Settings!$J$9)</f>
        <v>1.06</v>
      </c>
      <c r="W292" s="12">
        <f t="array" ref="W292">IF($A292="","",XLOOKUP($J292,Lists!$C$3:$C$7,Lists!$D$3:$D$7,1))</f>
        <v>1</v>
      </c>
      <c r="X292" s="12">
        <f>IF($A292="","",IF($I292="Yes",Settings!$J$10,1))</f>
        <v>1</v>
      </c>
      <c r="Y292" s="12">
        <f t="shared" si="2"/>
        <v>1</v>
      </c>
      <c r="Z292" s="12">
        <f>IF($A292="","",IFERROR(ROUND(AVERAGEIFS('Historical Drafts'!$G$4:$G$300,'Historical Drafts'!$D$4:$D$300,$E292,'Historical Drafts'!$J$4:$J$300,"&gt;="&amp;$L292*0.85,'Historical Drafts'!$J$4:$J$300,"&lt;="&amp;$L292*1.15),0),$Y292))</f>
        <v>12</v>
      </c>
      <c r="AA292" s="12" t="str">
        <f>IF($A292="","",IF(COUNTIF('Auction Log'!$B$3:$B$300,$A292)&gt;0,"Sold","Available"))</f>
        <v>Available</v>
      </c>
      <c r="AB292" s="12" t="str">
        <f t="array" ref="AB292">IF($A292="","",IFERROR(XLOOKUP($A292,'Auction Log'!$B$3:$B$300,'Auction Log'!$G$3:$G$300,""),""))</f>
        <v/>
      </c>
      <c r="AC292" s="12" t="str">
        <f t="array" ref="AC292">IF($A292="","",IFERROR(XLOOKUP($A292,'Auction Log'!$B$3:$B$300,'Auction Log'!$F$3:$F$300,""),""))</f>
        <v/>
      </c>
      <c r="AD292" s="12">
        <f t="array" ref="AD292">IF($A292="","",ROUND($Y292*XLOOKUP($F292,Settings!$I$15:$I$20,Settings!$K$15:$K$20,0.4),0))</f>
        <v>0</v>
      </c>
      <c r="AE292" s="12">
        <f t="array" ref="AE292">IF($A292="","",ROUND($Y292*XLOOKUP($F292,Settings!$I$15:$I$20,Settings!$L$15:$L$20,0.8),0))</f>
        <v>1</v>
      </c>
      <c r="AF292" s="12">
        <f t="array" ref="AF292">IF($A292="","",ROUND($Y292*XLOOKUP($F292,Settings!$I$15:$I$20,Settings!$M$15:$M$20,1),0))</f>
        <v>1</v>
      </c>
      <c r="AG292" s="12">
        <f t="array" ref="AG292">IF($A292="","",ROUND($Y292*XLOOKUP($F292,Settings!$I$15:$I$20,Settings!$N$15:$N$20,1.1),0))</f>
        <v>1</v>
      </c>
      <c r="AH292" s="12">
        <f t="array" ref="AH292">IF($A292="","",ROUND($Y292*XLOOKUP($F292,Settings!$I$15:$I$20,Settings!$O$15:$O$20,1.1)*Settings!$J$7,0))</f>
        <v>1</v>
      </c>
      <c r="AI292" s="12">
        <f t="array" ref="AI292">IF($A292="","",IF($AA292="Sold","",MIN($AH292,IFERROR(XLOOKUP(Settings!$B$12,Managers!$B$4:$B$15,Managers!$H$4:$H$15),$AH292))))</f>
        <v>1</v>
      </c>
      <c r="AJ292" s="12" t="str">
        <f t="shared" si="3"/>
        <v>Budget Drainer</v>
      </c>
      <c r="AK292" s="12">
        <f t="shared" si="4"/>
        <v>37</v>
      </c>
      <c r="AL292" s="12" t="str">
        <f t="shared" si="5"/>
        <v/>
      </c>
    </row>
    <row r="293" ht="15.75" customHeight="1">
      <c r="A293" s="10" t="s">
        <v>202</v>
      </c>
      <c r="B293" s="10" t="s">
        <v>891</v>
      </c>
      <c r="C293" s="10" t="s">
        <v>180</v>
      </c>
      <c r="D293" s="10" t="s">
        <v>123</v>
      </c>
      <c r="E293" s="10" t="s">
        <v>123</v>
      </c>
      <c r="F293" s="10" t="s">
        <v>114</v>
      </c>
      <c r="G293" s="10">
        <v>5.0</v>
      </c>
      <c r="H293" s="10">
        <v>7.0</v>
      </c>
      <c r="I293" s="10" t="s">
        <v>2140</v>
      </c>
      <c r="J293" s="10" t="s">
        <v>2136</v>
      </c>
      <c r="K293" s="10"/>
      <c r="L293" s="10">
        <v>101.5</v>
      </c>
      <c r="M293" s="10">
        <v>4.83</v>
      </c>
      <c r="N293" s="10"/>
      <c r="O293" s="10"/>
      <c r="P293" s="12">
        <f>IF($A293="","",IFERROR((IF($O293="",0,$O293)*Settings!$J$4+IF($L293="",0,$L293)*Settings!$J$5+IF($N293="",0,$N293)*Settings!$J$6)/(IF($O293="",0,Settings!$J$4)+IF($L293="",0,Settings!$J$5)+IF($N293="",0,Settings!$J$6)),0))</f>
        <v>101.5</v>
      </c>
      <c r="Q293" s="12">
        <f t="array" ref="Q293">IF($A293="","",XLOOKUP($E293,Settings!$A$19:$A$22,Settings!$G$19:$G$22,0))</f>
        <v>203</v>
      </c>
      <c r="R293" s="12">
        <f t="shared" si="1"/>
        <v>0</v>
      </c>
      <c r="S293" s="12">
        <f>IF($A293="","",IF($R293&lt;=0,1,1+$R293/SUMIF($R$4:$R$923,"&gt;0",$R$4:$R$923)*(Settings!$B$5*(Settings!$B$6-Settings!$B$7))))</f>
        <v>1</v>
      </c>
      <c r="T293" s="12">
        <f t="array" ref="T293">IF($A293="","",XLOOKUP($F293,Settings!$I$15:$I$20,Settings!$J$15:$J$20,1))</f>
        <v>0.9</v>
      </c>
      <c r="U293" s="12">
        <f>IF($A293="","",1+(($G293-5)/5)*Settings!$J$8)</f>
        <v>1</v>
      </c>
      <c r="V293" s="12">
        <f>IF($A293="","",1+(($H293-5)/5)*Settings!$J$9)</f>
        <v>1.06</v>
      </c>
      <c r="W293" s="12">
        <f t="array" ref="W293">IF($A293="","",XLOOKUP($J293,Lists!$C$3:$C$7,Lists!$D$3:$D$7,1))</f>
        <v>1</v>
      </c>
      <c r="X293" s="12">
        <f>IF($A293="","",IF($I293="Yes",Settings!$J$10,1))</f>
        <v>1</v>
      </c>
      <c r="Y293" s="12">
        <f t="shared" si="2"/>
        <v>1</v>
      </c>
      <c r="Z293" s="12">
        <f>IF($A293="","",IFERROR(ROUND(AVERAGEIFS('Historical Drafts'!$G$4:$G$300,'Historical Drafts'!$D$4:$D$300,$E293,'Historical Drafts'!$J$4:$J$300,"&gt;="&amp;$L293*0.85,'Historical Drafts'!$J$4:$J$300,"&lt;="&amp;$L293*1.15),0),$Y293))</f>
        <v>12</v>
      </c>
      <c r="AA293" s="12" t="str">
        <f>IF($A293="","",IF(COUNTIF('Auction Log'!$B$3:$B$300,$A293)&gt;0,"Sold","Available"))</f>
        <v>Available</v>
      </c>
      <c r="AB293" s="12" t="str">
        <f t="array" ref="AB293">IF($A293="","",IFERROR(XLOOKUP($A293,'Auction Log'!$B$3:$B$300,'Auction Log'!$G$3:$G$300,""),""))</f>
        <v/>
      </c>
      <c r="AC293" s="12" t="str">
        <f t="array" ref="AC293">IF($A293="","",IFERROR(XLOOKUP($A293,'Auction Log'!$B$3:$B$300,'Auction Log'!$F$3:$F$300,""),""))</f>
        <v/>
      </c>
      <c r="AD293" s="12">
        <f t="array" ref="AD293">IF($A293="","",ROUND($Y293*XLOOKUP($F293,Settings!$I$15:$I$20,Settings!$K$15:$K$20,0.4),0))</f>
        <v>0</v>
      </c>
      <c r="AE293" s="12">
        <f t="array" ref="AE293">IF($A293="","",ROUND($Y293*XLOOKUP($F293,Settings!$I$15:$I$20,Settings!$L$15:$L$20,0.8),0))</f>
        <v>1</v>
      </c>
      <c r="AF293" s="12">
        <f t="array" ref="AF293">IF($A293="","",ROUND($Y293*XLOOKUP($F293,Settings!$I$15:$I$20,Settings!$M$15:$M$20,1),0))</f>
        <v>1</v>
      </c>
      <c r="AG293" s="12">
        <f t="array" ref="AG293">IF($A293="","",ROUND($Y293*XLOOKUP($F293,Settings!$I$15:$I$20,Settings!$N$15:$N$20,1.1),0))</f>
        <v>1</v>
      </c>
      <c r="AH293" s="12">
        <f t="array" ref="AH293">IF($A293="","",ROUND($Y293*XLOOKUP($F293,Settings!$I$15:$I$20,Settings!$O$15:$O$20,1.1)*Settings!$J$7,0))</f>
        <v>1</v>
      </c>
      <c r="AI293" s="12">
        <f t="array" ref="AI293">IF($A293="","",IF($AA293="Sold","",MIN($AH293,IFERROR(XLOOKUP(Settings!$B$12,Managers!$B$4:$B$15,Managers!$H$4:$H$15),$AH293))))</f>
        <v>1</v>
      </c>
      <c r="AJ293" s="12" t="str">
        <f t="shared" si="3"/>
        <v>Budget Drainer</v>
      </c>
      <c r="AK293" s="12">
        <f t="shared" si="4"/>
        <v>37</v>
      </c>
      <c r="AL293" s="12" t="str">
        <f t="shared" si="5"/>
        <v/>
      </c>
    </row>
    <row r="294" ht="15.75" customHeight="1">
      <c r="A294" s="10" t="s">
        <v>892</v>
      </c>
      <c r="B294" s="10" t="s">
        <v>893</v>
      </c>
      <c r="C294" s="10" t="s">
        <v>387</v>
      </c>
      <c r="D294" s="10" t="s">
        <v>118</v>
      </c>
      <c r="E294" s="10" t="s">
        <v>118</v>
      </c>
      <c r="F294" s="10" t="s">
        <v>114</v>
      </c>
      <c r="G294" s="10">
        <v>5.0</v>
      </c>
      <c r="H294" s="10">
        <v>7.0</v>
      </c>
      <c r="I294" s="10" t="s">
        <v>2140</v>
      </c>
      <c r="J294" s="10" t="s">
        <v>2136</v>
      </c>
      <c r="K294" s="10"/>
      <c r="L294" s="10">
        <v>101.25</v>
      </c>
      <c r="M294" s="10">
        <v>3.75</v>
      </c>
      <c r="N294" s="10"/>
      <c r="O294" s="10"/>
      <c r="P294" s="12">
        <f>IF($A294="","",IFERROR((IF($O294="",0,$O294)*Settings!$J$4+IF($L294="",0,$L294)*Settings!$J$5+IF($N294="",0,$N294)*Settings!$J$6)/(IF($O294="",0,Settings!$J$4)+IF($L294="",0,Settings!$J$5)+IF($N294="",0,Settings!$J$6)),0))</f>
        <v>101.25</v>
      </c>
      <c r="Q294" s="12">
        <f t="array" ref="Q294">IF($A294="","",XLOOKUP($E294,Settings!$A$19:$A$22,Settings!$G$19:$G$22,0))</f>
        <v>196.25</v>
      </c>
      <c r="R294" s="12">
        <f t="shared" si="1"/>
        <v>0</v>
      </c>
      <c r="S294" s="12">
        <f>IF($A294="","",IF($R294&lt;=0,1,1+$R294/SUMIF($R$4:$R$923,"&gt;0",$R$4:$R$923)*(Settings!$B$5*(Settings!$B$6-Settings!$B$7))))</f>
        <v>1</v>
      </c>
      <c r="T294" s="12">
        <f t="array" ref="T294">IF($A294="","",XLOOKUP($F294,Settings!$I$15:$I$20,Settings!$J$15:$J$20,1))</f>
        <v>0.9</v>
      </c>
      <c r="U294" s="12">
        <f>IF($A294="","",1+(($G294-5)/5)*Settings!$J$8)</f>
        <v>1</v>
      </c>
      <c r="V294" s="12">
        <f>IF($A294="","",1+(($H294-5)/5)*Settings!$J$9)</f>
        <v>1.06</v>
      </c>
      <c r="W294" s="12">
        <f t="array" ref="W294">IF($A294="","",XLOOKUP($J294,Lists!$C$3:$C$7,Lists!$D$3:$D$7,1))</f>
        <v>1</v>
      </c>
      <c r="X294" s="12">
        <f>IF($A294="","",IF($I294="Yes",Settings!$J$10,1))</f>
        <v>1</v>
      </c>
      <c r="Y294" s="12">
        <f t="shared" si="2"/>
        <v>1</v>
      </c>
      <c r="Z294" s="12">
        <f>IF($A294="","",IFERROR(ROUND(AVERAGEIFS('Historical Drafts'!$G$4:$G$300,'Historical Drafts'!$D$4:$D$300,$E294,'Historical Drafts'!$J$4:$J$300,"&gt;="&amp;$L294*0.85,'Historical Drafts'!$J$4:$J$300,"&lt;="&amp;$L294*1.15),0),$Y294))</f>
        <v>4</v>
      </c>
      <c r="AA294" s="12" t="str">
        <f>IF($A294="","",IF(COUNTIF('Auction Log'!$B$3:$B$300,$A294)&gt;0,"Sold","Available"))</f>
        <v>Available</v>
      </c>
      <c r="AB294" s="12" t="str">
        <f t="array" ref="AB294">IF($A294="","",IFERROR(XLOOKUP($A294,'Auction Log'!$B$3:$B$300,'Auction Log'!$G$3:$G$300,""),""))</f>
        <v/>
      </c>
      <c r="AC294" s="12" t="str">
        <f t="array" ref="AC294">IF($A294="","",IFERROR(XLOOKUP($A294,'Auction Log'!$B$3:$B$300,'Auction Log'!$F$3:$F$300,""),""))</f>
        <v/>
      </c>
      <c r="AD294" s="12">
        <f t="array" ref="AD294">IF($A294="","",ROUND($Y294*XLOOKUP($F294,Settings!$I$15:$I$20,Settings!$K$15:$K$20,0.4),0))</f>
        <v>0</v>
      </c>
      <c r="AE294" s="12">
        <f t="array" ref="AE294">IF($A294="","",ROUND($Y294*XLOOKUP($F294,Settings!$I$15:$I$20,Settings!$L$15:$L$20,0.8),0))</f>
        <v>1</v>
      </c>
      <c r="AF294" s="12">
        <f t="array" ref="AF294">IF($A294="","",ROUND($Y294*XLOOKUP($F294,Settings!$I$15:$I$20,Settings!$M$15:$M$20,1),0))</f>
        <v>1</v>
      </c>
      <c r="AG294" s="12">
        <f t="array" ref="AG294">IF($A294="","",ROUND($Y294*XLOOKUP($F294,Settings!$I$15:$I$20,Settings!$N$15:$N$20,1.1),0))</f>
        <v>1</v>
      </c>
      <c r="AH294" s="12">
        <f t="array" ref="AH294">IF($A294="","",ROUND($Y294*XLOOKUP($F294,Settings!$I$15:$I$20,Settings!$O$15:$O$20,1.1)*Settings!$J$7,0))</f>
        <v>1</v>
      </c>
      <c r="AI294" s="12">
        <f t="array" ref="AI294">IF($A294="","",IF($AA294="Sold","",MIN($AH294,IFERROR(XLOOKUP(Settings!$B$12,Managers!$B$4:$B$15,Managers!$H$4:$H$15),$AH294))))</f>
        <v>1</v>
      </c>
      <c r="AJ294" s="12" t="str">
        <f t="shared" si="3"/>
        <v>Budget Drainer</v>
      </c>
      <c r="AK294" s="12">
        <f t="shared" si="4"/>
        <v>29</v>
      </c>
      <c r="AL294" s="12" t="str">
        <f t="shared" si="5"/>
        <v/>
      </c>
    </row>
    <row r="295" ht="15.75" customHeight="1">
      <c r="A295" s="10" t="s">
        <v>894</v>
      </c>
      <c r="B295" s="10" t="s">
        <v>895</v>
      </c>
      <c r="C295" s="10" t="s">
        <v>387</v>
      </c>
      <c r="D295" s="10" t="s">
        <v>121</v>
      </c>
      <c r="E295" s="10" t="s">
        <v>121</v>
      </c>
      <c r="F295" s="10" t="s">
        <v>114</v>
      </c>
      <c r="G295" s="10">
        <v>5.0</v>
      </c>
      <c r="H295" s="10">
        <v>7.0</v>
      </c>
      <c r="I295" s="10" t="s">
        <v>2140</v>
      </c>
      <c r="J295" s="10" t="s">
        <v>2136</v>
      </c>
      <c r="K295" s="10"/>
      <c r="L295" s="10">
        <v>100.5</v>
      </c>
      <c r="M295" s="10">
        <v>3.87</v>
      </c>
      <c r="N295" s="10"/>
      <c r="O295" s="10"/>
      <c r="P295" s="12">
        <f>IF($A295="","",IFERROR((IF($O295="",0,$O295)*Settings!$J$4+IF($L295="",0,$L295)*Settings!$J$5+IF($N295="",0,$N295)*Settings!$J$6)/(IF($O295="",0,Settings!$J$4)+IF($L295="",0,Settings!$J$5)+IF($N295="",0,Settings!$J$6)),0))</f>
        <v>100.5</v>
      </c>
      <c r="Q295" s="12">
        <f t="array" ref="Q295">IF($A295="","",XLOOKUP($E295,Settings!$A$19:$A$22,Settings!$G$19:$G$22,0))</f>
        <v>206</v>
      </c>
      <c r="R295" s="12">
        <f t="shared" si="1"/>
        <v>0</v>
      </c>
      <c r="S295" s="12">
        <f>IF($A295="","",IF($R295&lt;=0,1,1+$R295/SUMIF($R$4:$R$923,"&gt;0",$R$4:$R$923)*(Settings!$B$5*(Settings!$B$6-Settings!$B$7))))</f>
        <v>1</v>
      </c>
      <c r="T295" s="12">
        <f t="array" ref="T295">IF($A295="","",XLOOKUP($F295,Settings!$I$15:$I$20,Settings!$J$15:$J$20,1))</f>
        <v>0.9</v>
      </c>
      <c r="U295" s="12">
        <f>IF($A295="","",1+(($G295-5)/5)*Settings!$J$8)</f>
        <v>1</v>
      </c>
      <c r="V295" s="12">
        <f>IF($A295="","",1+(($H295-5)/5)*Settings!$J$9)</f>
        <v>1.06</v>
      </c>
      <c r="W295" s="12">
        <f t="array" ref="W295">IF($A295="","",XLOOKUP($J295,Lists!$C$3:$C$7,Lists!$D$3:$D$7,1))</f>
        <v>1</v>
      </c>
      <c r="X295" s="12">
        <f>IF($A295="","",IF($I295="Yes",Settings!$J$10,1))</f>
        <v>1</v>
      </c>
      <c r="Y295" s="12">
        <f t="shared" si="2"/>
        <v>1</v>
      </c>
      <c r="Z295" s="12">
        <f>IF($A295="","",IFERROR(ROUND(AVERAGEIFS('Historical Drafts'!$G$4:$G$300,'Historical Drafts'!$D$4:$D$300,$E295,'Historical Drafts'!$J$4:$J$300,"&gt;="&amp;$L295*0.85,'Historical Drafts'!$J$4:$J$300,"&lt;="&amp;$L295*1.15),0),$Y295))</f>
        <v>11</v>
      </c>
      <c r="AA295" s="12" t="str">
        <f>IF($A295="","",IF(COUNTIF('Auction Log'!$B$3:$B$300,$A295)&gt;0,"Sold","Available"))</f>
        <v>Available</v>
      </c>
      <c r="AB295" s="12" t="str">
        <f t="array" ref="AB295">IF($A295="","",IFERROR(XLOOKUP($A295,'Auction Log'!$B$3:$B$300,'Auction Log'!$G$3:$G$300,""),""))</f>
        <v/>
      </c>
      <c r="AC295" s="12" t="str">
        <f t="array" ref="AC295">IF($A295="","",IFERROR(XLOOKUP($A295,'Auction Log'!$B$3:$B$300,'Auction Log'!$F$3:$F$300,""),""))</f>
        <v/>
      </c>
      <c r="AD295" s="12">
        <f t="array" ref="AD295">IF($A295="","",ROUND($Y295*XLOOKUP($F295,Settings!$I$15:$I$20,Settings!$K$15:$K$20,0.4),0))</f>
        <v>0</v>
      </c>
      <c r="AE295" s="12">
        <f t="array" ref="AE295">IF($A295="","",ROUND($Y295*XLOOKUP($F295,Settings!$I$15:$I$20,Settings!$L$15:$L$20,0.8),0))</f>
        <v>1</v>
      </c>
      <c r="AF295" s="12">
        <f t="array" ref="AF295">IF($A295="","",ROUND($Y295*XLOOKUP($F295,Settings!$I$15:$I$20,Settings!$M$15:$M$20,1),0))</f>
        <v>1</v>
      </c>
      <c r="AG295" s="12">
        <f t="array" ref="AG295">IF($A295="","",ROUND($Y295*XLOOKUP($F295,Settings!$I$15:$I$20,Settings!$N$15:$N$20,1.1),0))</f>
        <v>1</v>
      </c>
      <c r="AH295" s="12">
        <f t="array" ref="AH295">IF($A295="","",ROUND($Y295*XLOOKUP($F295,Settings!$I$15:$I$20,Settings!$O$15:$O$20,1.1)*Settings!$J$7,0))</f>
        <v>1</v>
      </c>
      <c r="AI295" s="12">
        <f t="array" ref="AI295">IF($A295="","",IF($AA295="Sold","",MIN($AH295,IFERROR(XLOOKUP(Settings!$B$12,Managers!$B$4:$B$15,Managers!$H$4:$H$15),$AH295))))</f>
        <v>1</v>
      </c>
      <c r="AJ295" s="12" t="str">
        <f t="shared" si="3"/>
        <v>Budget Drainer</v>
      </c>
      <c r="AK295" s="12">
        <f t="shared" si="4"/>
        <v>36</v>
      </c>
      <c r="AL295" s="12" t="str">
        <f t="shared" si="5"/>
        <v/>
      </c>
    </row>
    <row r="296" ht="15.75" customHeight="1">
      <c r="A296" s="10" t="s">
        <v>896</v>
      </c>
      <c r="B296" s="10" t="s">
        <v>897</v>
      </c>
      <c r="C296" s="10" t="s">
        <v>221</v>
      </c>
      <c r="D296" s="10" t="s">
        <v>118</v>
      </c>
      <c r="E296" s="10" t="s">
        <v>118</v>
      </c>
      <c r="F296" s="10" t="s">
        <v>114</v>
      </c>
      <c r="G296" s="10">
        <v>5.0</v>
      </c>
      <c r="H296" s="10">
        <v>7.0</v>
      </c>
      <c r="I296" s="10" t="s">
        <v>2140</v>
      </c>
      <c r="J296" s="10" t="s">
        <v>2136</v>
      </c>
      <c r="K296" s="10"/>
      <c r="L296" s="10">
        <v>100.5</v>
      </c>
      <c r="M296" s="10">
        <v>5.03</v>
      </c>
      <c r="N296" s="10"/>
      <c r="O296" s="10"/>
      <c r="P296" s="12">
        <f>IF($A296="","",IFERROR((IF($O296="",0,$O296)*Settings!$J$4+IF($L296="",0,$L296)*Settings!$J$5+IF($N296="",0,$N296)*Settings!$J$6)/(IF($O296="",0,Settings!$J$4)+IF($L296="",0,Settings!$J$5)+IF($N296="",0,Settings!$J$6)),0))</f>
        <v>100.5</v>
      </c>
      <c r="Q296" s="12">
        <f t="array" ref="Q296">IF($A296="","",XLOOKUP($E296,Settings!$A$19:$A$22,Settings!$G$19:$G$22,0))</f>
        <v>196.25</v>
      </c>
      <c r="R296" s="12">
        <f t="shared" si="1"/>
        <v>0</v>
      </c>
      <c r="S296" s="12">
        <f>IF($A296="","",IF($R296&lt;=0,1,1+$R296/SUMIF($R$4:$R$923,"&gt;0",$R$4:$R$923)*(Settings!$B$5*(Settings!$B$6-Settings!$B$7))))</f>
        <v>1</v>
      </c>
      <c r="T296" s="12">
        <f t="array" ref="T296">IF($A296="","",XLOOKUP($F296,Settings!$I$15:$I$20,Settings!$J$15:$J$20,1))</f>
        <v>0.9</v>
      </c>
      <c r="U296" s="12">
        <f>IF($A296="","",1+(($G296-5)/5)*Settings!$J$8)</f>
        <v>1</v>
      </c>
      <c r="V296" s="12">
        <f>IF($A296="","",1+(($H296-5)/5)*Settings!$J$9)</f>
        <v>1.06</v>
      </c>
      <c r="W296" s="12">
        <f t="array" ref="W296">IF($A296="","",XLOOKUP($J296,Lists!$C$3:$C$7,Lists!$D$3:$D$7,1))</f>
        <v>1</v>
      </c>
      <c r="X296" s="12">
        <f>IF($A296="","",IF($I296="Yes",Settings!$J$10,1))</f>
        <v>1</v>
      </c>
      <c r="Y296" s="12">
        <f t="shared" si="2"/>
        <v>1</v>
      </c>
      <c r="Z296" s="12">
        <f>IF($A296="","",IFERROR(ROUND(AVERAGEIFS('Historical Drafts'!$G$4:$G$300,'Historical Drafts'!$D$4:$D$300,$E296,'Historical Drafts'!$J$4:$J$300,"&gt;="&amp;$L296*0.85,'Historical Drafts'!$J$4:$J$300,"&lt;="&amp;$L296*1.15),0),$Y296))</f>
        <v>4</v>
      </c>
      <c r="AA296" s="12" t="str">
        <f>IF($A296="","",IF(COUNTIF('Auction Log'!$B$3:$B$300,$A296)&gt;0,"Sold","Available"))</f>
        <v>Available</v>
      </c>
      <c r="AB296" s="12" t="str">
        <f t="array" ref="AB296">IF($A296="","",IFERROR(XLOOKUP($A296,'Auction Log'!$B$3:$B$300,'Auction Log'!$G$3:$G$300,""),""))</f>
        <v/>
      </c>
      <c r="AC296" s="12" t="str">
        <f t="array" ref="AC296">IF($A296="","",IFERROR(XLOOKUP($A296,'Auction Log'!$B$3:$B$300,'Auction Log'!$F$3:$F$300,""),""))</f>
        <v/>
      </c>
      <c r="AD296" s="12">
        <f t="array" ref="AD296">IF($A296="","",ROUND($Y296*XLOOKUP($F296,Settings!$I$15:$I$20,Settings!$K$15:$K$20,0.4),0))</f>
        <v>0</v>
      </c>
      <c r="AE296" s="12">
        <f t="array" ref="AE296">IF($A296="","",ROUND($Y296*XLOOKUP($F296,Settings!$I$15:$I$20,Settings!$L$15:$L$20,0.8),0))</f>
        <v>1</v>
      </c>
      <c r="AF296" s="12">
        <f t="array" ref="AF296">IF($A296="","",ROUND($Y296*XLOOKUP($F296,Settings!$I$15:$I$20,Settings!$M$15:$M$20,1),0))</f>
        <v>1</v>
      </c>
      <c r="AG296" s="12">
        <f t="array" ref="AG296">IF($A296="","",ROUND($Y296*XLOOKUP($F296,Settings!$I$15:$I$20,Settings!$N$15:$N$20,1.1),0))</f>
        <v>1</v>
      </c>
      <c r="AH296" s="12">
        <f t="array" ref="AH296">IF($A296="","",ROUND($Y296*XLOOKUP($F296,Settings!$I$15:$I$20,Settings!$O$15:$O$20,1.1)*Settings!$J$7,0))</f>
        <v>1</v>
      </c>
      <c r="AI296" s="12">
        <f t="array" ref="AI296">IF($A296="","",IF($AA296="Sold","",MIN($AH296,IFERROR(XLOOKUP(Settings!$B$12,Managers!$B$4:$B$15,Managers!$H$4:$H$15),$AH296))))</f>
        <v>1</v>
      </c>
      <c r="AJ296" s="12" t="str">
        <f t="shared" si="3"/>
        <v>Budget Drainer</v>
      </c>
      <c r="AK296" s="12">
        <f t="shared" si="4"/>
        <v>29</v>
      </c>
      <c r="AL296" s="12" t="str">
        <f t="shared" si="5"/>
        <v/>
      </c>
    </row>
    <row r="297" ht="15.75" customHeight="1">
      <c r="A297" s="10" t="s">
        <v>898</v>
      </c>
      <c r="B297" s="10" t="s">
        <v>899</v>
      </c>
      <c r="C297" s="10" t="s">
        <v>387</v>
      </c>
      <c r="D297" s="10" t="s">
        <v>123</v>
      </c>
      <c r="E297" s="10" t="s">
        <v>123</v>
      </c>
      <c r="F297" s="10" t="s">
        <v>114</v>
      </c>
      <c r="G297" s="10">
        <v>5.0</v>
      </c>
      <c r="H297" s="10">
        <v>7.0</v>
      </c>
      <c r="I297" s="10" t="s">
        <v>2140</v>
      </c>
      <c r="J297" s="10" t="s">
        <v>2136</v>
      </c>
      <c r="K297" s="10"/>
      <c r="L297" s="10">
        <v>100.5</v>
      </c>
      <c r="M297" s="10">
        <v>3.87</v>
      </c>
      <c r="N297" s="10"/>
      <c r="O297" s="10"/>
      <c r="P297" s="12">
        <f>IF($A297="","",IFERROR((IF($O297="",0,$O297)*Settings!$J$4+IF($L297="",0,$L297)*Settings!$J$5+IF($N297="",0,$N297)*Settings!$J$6)/(IF($O297="",0,Settings!$J$4)+IF($L297="",0,Settings!$J$5)+IF($N297="",0,Settings!$J$6)),0))</f>
        <v>100.5</v>
      </c>
      <c r="Q297" s="12">
        <f t="array" ref="Q297">IF($A297="","",XLOOKUP($E297,Settings!$A$19:$A$22,Settings!$G$19:$G$22,0))</f>
        <v>203</v>
      </c>
      <c r="R297" s="12">
        <f t="shared" si="1"/>
        <v>0</v>
      </c>
      <c r="S297" s="12">
        <f>IF($A297="","",IF($R297&lt;=0,1,1+$R297/SUMIF($R$4:$R$923,"&gt;0",$R$4:$R$923)*(Settings!$B$5*(Settings!$B$6-Settings!$B$7))))</f>
        <v>1</v>
      </c>
      <c r="T297" s="12">
        <f t="array" ref="T297">IF($A297="","",XLOOKUP($F297,Settings!$I$15:$I$20,Settings!$J$15:$J$20,1))</f>
        <v>0.9</v>
      </c>
      <c r="U297" s="12">
        <f>IF($A297="","",1+(($G297-5)/5)*Settings!$J$8)</f>
        <v>1</v>
      </c>
      <c r="V297" s="12">
        <f>IF($A297="","",1+(($H297-5)/5)*Settings!$J$9)</f>
        <v>1.06</v>
      </c>
      <c r="W297" s="12">
        <f t="array" ref="W297">IF($A297="","",XLOOKUP($J297,Lists!$C$3:$C$7,Lists!$D$3:$D$7,1))</f>
        <v>1</v>
      </c>
      <c r="X297" s="12">
        <f>IF($A297="","",IF($I297="Yes",Settings!$J$10,1))</f>
        <v>1</v>
      </c>
      <c r="Y297" s="12">
        <f t="shared" si="2"/>
        <v>1</v>
      </c>
      <c r="Z297" s="12">
        <f>IF($A297="","",IFERROR(ROUND(AVERAGEIFS('Historical Drafts'!$G$4:$G$300,'Historical Drafts'!$D$4:$D$300,$E297,'Historical Drafts'!$J$4:$J$300,"&gt;="&amp;$L297*0.85,'Historical Drafts'!$J$4:$J$300,"&lt;="&amp;$L297*1.15),0),$Y297))</f>
        <v>12</v>
      </c>
      <c r="AA297" s="12" t="str">
        <f>IF($A297="","",IF(COUNTIF('Auction Log'!$B$3:$B$300,$A297)&gt;0,"Sold","Available"))</f>
        <v>Available</v>
      </c>
      <c r="AB297" s="12" t="str">
        <f t="array" ref="AB297">IF($A297="","",IFERROR(XLOOKUP($A297,'Auction Log'!$B$3:$B$300,'Auction Log'!$G$3:$G$300,""),""))</f>
        <v/>
      </c>
      <c r="AC297" s="12" t="str">
        <f t="array" ref="AC297">IF($A297="","",IFERROR(XLOOKUP($A297,'Auction Log'!$B$3:$B$300,'Auction Log'!$F$3:$F$300,""),""))</f>
        <v/>
      </c>
      <c r="AD297" s="12">
        <f t="array" ref="AD297">IF($A297="","",ROUND($Y297*XLOOKUP($F297,Settings!$I$15:$I$20,Settings!$K$15:$K$20,0.4),0))</f>
        <v>0</v>
      </c>
      <c r="AE297" s="12">
        <f t="array" ref="AE297">IF($A297="","",ROUND($Y297*XLOOKUP($F297,Settings!$I$15:$I$20,Settings!$L$15:$L$20,0.8),0))</f>
        <v>1</v>
      </c>
      <c r="AF297" s="12">
        <f t="array" ref="AF297">IF($A297="","",ROUND($Y297*XLOOKUP($F297,Settings!$I$15:$I$20,Settings!$M$15:$M$20,1),0))</f>
        <v>1</v>
      </c>
      <c r="AG297" s="12">
        <f t="array" ref="AG297">IF($A297="","",ROUND($Y297*XLOOKUP($F297,Settings!$I$15:$I$20,Settings!$N$15:$N$20,1.1),0))</f>
        <v>1</v>
      </c>
      <c r="AH297" s="12">
        <f t="array" ref="AH297">IF($A297="","",ROUND($Y297*XLOOKUP($F297,Settings!$I$15:$I$20,Settings!$O$15:$O$20,1.1)*Settings!$J$7,0))</f>
        <v>1</v>
      </c>
      <c r="AI297" s="12">
        <f t="array" ref="AI297">IF($A297="","",IF($AA297="Sold","",MIN($AH297,IFERROR(XLOOKUP(Settings!$B$12,Managers!$B$4:$B$15,Managers!$H$4:$H$15),$AH297))))</f>
        <v>1</v>
      </c>
      <c r="AJ297" s="12" t="str">
        <f t="shared" si="3"/>
        <v>Budget Drainer</v>
      </c>
      <c r="AK297" s="12">
        <f t="shared" si="4"/>
        <v>37</v>
      </c>
      <c r="AL297" s="12" t="str">
        <f t="shared" si="5"/>
        <v/>
      </c>
    </row>
    <row r="298" ht="15.75" customHeight="1">
      <c r="A298" s="10" t="s">
        <v>900</v>
      </c>
      <c r="B298" s="10" t="s">
        <v>901</v>
      </c>
      <c r="C298" s="10" t="s">
        <v>566</v>
      </c>
      <c r="D298" s="10" t="s">
        <v>123</v>
      </c>
      <c r="E298" s="10" t="s">
        <v>123</v>
      </c>
      <c r="F298" s="10" t="s">
        <v>114</v>
      </c>
      <c r="G298" s="10">
        <v>5.0</v>
      </c>
      <c r="H298" s="10">
        <v>7.0</v>
      </c>
      <c r="I298" s="10" t="s">
        <v>2140</v>
      </c>
      <c r="J298" s="10" t="s">
        <v>2136</v>
      </c>
      <c r="K298" s="10"/>
      <c r="L298" s="10">
        <v>99.5</v>
      </c>
      <c r="M298" s="10">
        <v>3.83</v>
      </c>
      <c r="N298" s="10"/>
      <c r="O298" s="10"/>
      <c r="P298" s="12">
        <f>IF($A298="","",IFERROR((IF($O298="",0,$O298)*Settings!$J$4+IF($L298="",0,$L298)*Settings!$J$5+IF($N298="",0,$N298)*Settings!$J$6)/(IF($O298="",0,Settings!$J$4)+IF($L298="",0,Settings!$J$5)+IF($N298="",0,Settings!$J$6)),0))</f>
        <v>99.5</v>
      </c>
      <c r="Q298" s="12">
        <f t="array" ref="Q298">IF($A298="","",XLOOKUP($E298,Settings!$A$19:$A$22,Settings!$G$19:$G$22,0))</f>
        <v>203</v>
      </c>
      <c r="R298" s="12">
        <f t="shared" si="1"/>
        <v>0</v>
      </c>
      <c r="S298" s="12">
        <f>IF($A298="","",IF($R298&lt;=0,1,1+$R298/SUMIF($R$4:$R$923,"&gt;0",$R$4:$R$923)*(Settings!$B$5*(Settings!$B$6-Settings!$B$7))))</f>
        <v>1</v>
      </c>
      <c r="T298" s="12">
        <f t="array" ref="T298">IF($A298="","",XLOOKUP($F298,Settings!$I$15:$I$20,Settings!$J$15:$J$20,1))</f>
        <v>0.9</v>
      </c>
      <c r="U298" s="12">
        <f>IF($A298="","",1+(($G298-5)/5)*Settings!$J$8)</f>
        <v>1</v>
      </c>
      <c r="V298" s="12">
        <f>IF($A298="","",1+(($H298-5)/5)*Settings!$J$9)</f>
        <v>1.06</v>
      </c>
      <c r="W298" s="12">
        <f t="array" ref="W298">IF($A298="","",XLOOKUP($J298,Lists!$C$3:$C$7,Lists!$D$3:$D$7,1))</f>
        <v>1</v>
      </c>
      <c r="X298" s="12">
        <f>IF($A298="","",IF($I298="Yes",Settings!$J$10,1))</f>
        <v>1</v>
      </c>
      <c r="Y298" s="12">
        <f t="shared" si="2"/>
        <v>1</v>
      </c>
      <c r="Z298" s="12">
        <f>IF($A298="","",IFERROR(ROUND(AVERAGEIFS('Historical Drafts'!$G$4:$G$300,'Historical Drafts'!$D$4:$D$300,$E298,'Historical Drafts'!$J$4:$J$300,"&gt;="&amp;$L298*0.85,'Historical Drafts'!$J$4:$J$300,"&lt;="&amp;$L298*1.15),0),$Y298))</f>
        <v>14</v>
      </c>
      <c r="AA298" s="12" t="str">
        <f>IF($A298="","",IF(COUNTIF('Auction Log'!$B$3:$B$300,$A298)&gt;0,"Sold","Available"))</f>
        <v>Available</v>
      </c>
      <c r="AB298" s="12" t="str">
        <f t="array" ref="AB298">IF($A298="","",IFERROR(XLOOKUP($A298,'Auction Log'!$B$3:$B$300,'Auction Log'!$G$3:$G$300,""),""))</f>
        <v/>
      </c>
      <c r="AC298" s="12" t="str">
        <f t="array" ref="AC298">IF($A298="","",IFERROR(XLOOKUP($A298,'Auction Log'!$B$3:$B$300,'Auction Log'!$F$3:$F$300,""),""))</f>
        <v/>
      </c>
      <c r="AD298" s="12">
        <f t="array" ref="AD298">IF($A298="","",ROUND($Y298*XLOOKUP($F298,Settings!$I$15:$I$20,Settings!$K$15:$K$20,0.4),0))</f>
        <v>0</v>
      </c>
      <c r="AE298" s="12">
        <f t="array" ref="AE298">IF($A298="","",ROUND($Y298*XLOOKUP($F298,Settings!$I$15:$I$20,Settings!$L$15:$L$20,0.8),0))</f>
        <v>1</v>
      </c>
      <c r="AF298" s="12">
        <f t="array" ref="AF298">IF($A298="","",ROUND($Y298*XLOOKUP($F298,Settings!$I$15:$I$20,Settings!$M$15:$M$20,1),0))</f>
        <v>1</v>
      </c>
      <c r="AG298" s="12">
        <f t="array" ref="AG298">IF($A298="","",ROUND($Y298*XLOOKUP($F298,Settings!$I$15:$I$20,Settings!$N$15:$N$20,1.1),0))</f>
        <v>1</v>
      </c>
      <c r="AH298" s="12">
        <f t="array" ref="AH298">IF($A298="","",ROUND($Y298*XLOOKUP($F298,Settings!$I$15:$I$20,Settings!$O$15:$O$20,1.1)*Settings!$J$7,0))</f>
        <v>1</v>
      </c>
      <c r="AI298" s="12">
        <f t="array" ref="AI298">IF($A298="","",IF($AA298="Sold","",MIN($AH298,IFERROR(XLOOKUP(Settings!$B$12,Managers!$B$4:$B$15,Managers!$H$4:$H$15),$AH298))))</f>
        <v>1</v>
      </c>
      <c r="AJ298" s="12" t="str">
        <f t="shared" si="3"/>
        <v>Budget Drainer</v>
      </c>
      <c r="AK298" s="12">
        <f t="shared" si="4"/>
        <v>39</v>
      </c>
      <c r="AL298" s="12" t="str">
        <f t="shared" si="5"/>
        <v/>
      </c>
    </row>
    <row r="299" ht="15.75" customHeight="1">
      <c r="A299" s="10" t="s">
        <v>902</v>
      </c>
      <c r="B299" s="10" t="s">
        <v>903</v>
      </c>
      <c r="C299" s="10" t="s">
        <v>191</v>
      </c>
      <c r="D299" s="10" t="s">
        <v>118</v>
      </c>
      <c r="E299" s="10" t="s">
        <v>118</v>
      </c>
      <c r="F299" s="10" t="s">
        <v>114</v>
      </c>
      <c r="G299" s="10">
        <v>5.0</v>
      </c>
      <c r="H299" s="10">
        <v>7.0</v>
      </c>
      <c r="I299" s="10" t="s">
        <v>2140</v>
      </c>
      <c r="J299" s="10" t="s">
        <v>2136</v>
      </c>
      <c r="K299" s="10"/>
      <c r="L299" s="10">
        <v>98.75</v>
      </c>
      <c r="M299" s="10">
        <v>8.23</v>
      </c>
      <c r="N299" s="10"/>
      <c r="O299" s="10"/>
      <c r="P299" s="12">
        <f>IF($A299="","",IFERROR((IF($O299="",0,$O299)*Settings!$J$4+IF($L299="",0,$L299)*Settings!$J$5+IF($N299="",0,$N299)*Settings!$J$6)/(IF($O299="",0,Settings!$J$4)+IF($L299="",0,Settings!$J$5)+IF($N299="",0,Settings!$J$6)),0))</f>
        <v>98.75</v>
      </c>
      <c r="Q299" s="12">
        <f t="array" ref="Q299">IF($A299="","",XLOOKUP($E299,Settings!$A$19:$A$22,Settings!$G$19:$G$22,0))</f>
        <v>196.25</v>
      </c>
      <c r="R299" s="12">
        <f t="shared" si="1"/>
        <v>0</v>
      </c>
      <c r="S299" s="12">
        <f>IF($A299="","",IF($R299&lt;=0,1,1+$R299/SUMIF($R$4:$R$923,"&gt;0",$R$4:$R$923)*(Settings!$B$5*(Settings!$B$6-Settings!$B$7))))</f>
        <v>1</v>
      </c>
      <c r="T299" s="12">
        <f t="array" ref="T299">IF($A299="","",XLOOKUP($F299,Settings!$I$15:$I$20,Settings!$J$15:$J$20,1))</f>
        <v>0.9</v>
      </c>
      <c r="U299" s="12">
        <f>IF($A299="","",1+(($G299-5)/5)*Settings!$J$8)</f>
        <v>1</v>
      </c>
      <c r="V299" s="12">
        <f>IF($A299="","",1+(($H299-5)/5)*Settings!$J$9)</f>
        <v>1.06</v>
      </c>
      <c r="W299" s="12">
        <f t="array" ref="W299">IF($A299="","",XLOOKUP($J299,Lists!$C$3:$C$7,Lists!$D$3:$D$7,1))</f>
        <v>1</v>
      </c>
      <c r="X299" s="12">
        <f>IF($A299="","",IF($I299="Yes",Settings!$J$10,1))</f>
        <v>1</v>
      </c>
      <c r="Y299" s="12">
        <f t="shared" si="2"/>
        <v>1</v>
      </c>
      <c r="Z299" s="12">
        <f>IF($A299="","",IFERROR(ROUND(AVERAGEIFS('Historical Drafts'!$G$4:$G$300,'Historical Drafts'!$D$4:$D$300,$E299,'Historical Drafts'!$J$4:$J$300,"&gt;="&amp;$L299*0.85,'Historical Drafts'!$J$4:$J$300,"&lt;="&amp;$L299*1.15),0),$Y299))</f>
        <v>4</v>
      </c>
      <c r="AA299" s="12" t="str">
        <f>IF($A299="","",IF(COUNTIF('Auction Log'!$B$3:$B$300,$A299)&gt;0,"Sold","Available"))</f>
        <v>Available</v>
      </c>
      <c r="AB299" s="12" t="str">
        <f t="array" ref="AB299">IF($A299="","",IFERROR(XLOOKUP($A299,'Auction Log'!$B$3:$B$300,'Auction Log'!$G$3:$G$300,""),""))</f>
        <v/>
      </c>
      <c r="AC299" s="12" t="str">
        <f t="array" ref="AC299">IF($A299="","",IFERROR(XLOOKUP($A299,'Auction Log'!$B$3:$B$300,'Auction Log'!$F$3:$F$300,""),""))</f>
        <v/>
      </c>
      <c r="AD299" s="12">
        <f t="array" ref="AD299">IF($A299="","",ROUND($Y299*XLOOKUP($F299,Settings!$I$15:$I$20,Settings!$K$15:$K$20,0.4),0))</f>
        <v>0</v>
      </c>
      <c r="AE299" s="12">
        <f t="array" ref="AE299">IF($A299="","",ROUND($Y299*XLOOKUP($F299,Settings!$I$15:$I$20,Settings!$L$15:$L$20,0.8),0))</f>
        <v>1</v>
      </c>
      <c r="AF299" s="12">
        <f t="array" ref="AF299">IF($A299="","",ROUND($Y299*XLOOKUP($F299,Settings!$I$15:$I$20,Settings!$M$15:$M$20,1),0))</f>
        <v>1</v>
      </c>
      <c r="AG299" s="12">
        <f t="array" ref="AG299">IF($A299="","",ROUND($Y299*XLOOKUP($F299,Settings!$I$15:$I$20,Settings!$N$15:$N$20,1.1),0))</f>
        <v>1</v>
      </c>
      <c r="AH299" s="12">
        <f t="array" ref="AH299">IF($A299="","",ROUND($Y299*XLOOKUP($F299,Settings!$I$15:$I$20,Settings!$O$15:$O$20,1.1)*Settings!$J$7,0))</f>
        <v>1</v>
      </c>
      <c r="AI299" s="12">
        <f t="array" ref="AI299">IF($A299="","",IF($AA299="Sold","",MIN($AH299,IFERROR(XLOOKUP(Settings!$B$12,Managers!$B$4:$B$15,Managers!$H$4:$H$15),$AH299))))</f>
        <v>1</v>
      </c>
      <c r="AJ299" s="12" t="str">
        <f t="shared" si="3"/>
        <v>Budget Drainer</v>
      </c>
      <c r="AK299" s="12">
        <f t="shared" si="4"/>
        <v>29</v>
      </c>
      <c r="AL299" s="12" t="str">
        <f t="shared" si="5"/>
        <v/>
      </c>
    </row>
    <row r="300" ht="15.75" customHeight="1">
      <c r="A300" s="10" t="s">
        <v>904</v>
      </c>
      <c r="B300" s="10" t="s">
        <v>905</v>
      </c>
      <c r="C300" s="10" t="s">
        <v>221</v>
      </c>
      <c r="D300" s="10" t="s">
        <v>121</v>
      </c>
      <c r="E300" s="10" t="s">
        <v>121</v>
      </c>
      <c r="F300" s="10" t="s">
        <v>114</v>
      </c>
      <c r="G300" s="10">
        <v>5.0</v>
      </c>
      <c r="H300" s="10">
        <v>7.0</v>
      </c>
      <c r="I300" s="10" t="s">
        <v>2140</v>
      </c>
      <c r="J300" s="10" t="s">
        <v>2136</v>
      </c>
      <c r="K300" s="10"/>
      <c r="L300" s="10">
        <v>97.5</v>
      </c>
      <c r="M300" s="10">
        <v>3.15</v>
      </c>
      <c r="N300" s="10"/>
      <c r="O300" s="10"/>
      <c r="P300" s="12">
        <f>IF($A300="","",IFERROR((IF($O300="",0,$O300)*Settings!$J$4+IF($L300="",0,$L300)*Settings!$J$5+IF($N300="",0,$N300)*Settings!$J$6)/(IF($O300="",0,Settings!$J$4)+IF($L300="",0,Settings!$J$5)+IF($N300="",0,Settings!$J$6)),0))</f>
        <v>97.5</v>
      </c>
      <c r="Q300" s="12">
        <f t="array" ref="Q300">IF($A300="","",XLOOKUP($E300,Settings!$A$19:$A$22,Settings!$G$19:$G$22,0))</f>
        <v>206</v>
      </c>
      <c r="R300" s="12">
        <f t="shared" si="1"/>
        <v>0</v>
      </c>
      <c r="S300" s="12">
        <f>IF($A300="","",IF($R300&lt;=0,1,1+$R300/SUMIF($R$4:$R$923,"&gt;0",$R$4:$R$923)*(Settings!$B$5*(Settings!$B$6-Settings!$B$7))))</f>
        <v>1</v>
      </c>
      <c r="T300" s="12">
        <f t="array" ref="T300">IF($A300="","",XLOOKUP($F300,Settings!$I$15:$I$20,Settings!$J$15:$J$20,1))</f>
        <v>0.9</v>
      </c>
      <c r="U300" s="12">
        <f>IF($A300="","",1+(($G300-5)/5)*Settings!$J$8)</f>
        <v>1</v>
      </c>
      <c r="V300" s="12">
        <f>IF($A300="","",1+(($H300-5)/5)*Settings!$J$9)</f>
        <v>1.06</v>
      </c>
      <c r="W300" s="12">
        <f t="array" ref="W300">IF($A300="","",XLOOKUP($J300,Lists!$C$3:$C$7,Lists!$D$3:$D$7,1))</f>
        <v>1</v>
      </c>
      <c r="X300" s="12">
        <f>IF($A300="","",IF($I300="Yes",Settings!$J$10,1))</f>
        <v>1</v>
      </c>
      <c r="Y300" s="12">
        <f t="shared" si="2"/>
        <v>1</v>
      </c>
      <c r="Z300" s="12">
        <f>IF($A300="","",IFERROR(ROUND(AVERAGEIFS('Historical Drafts'!$G$4:$G$300,'Historical Drafts'!$D$4:$D$300,$E300,'Historical Drafts'!$J$4:$J$300,"&gt;="&amp;$L300*0.85,'Historical Drafts'!$J$4:$J$300,"&lt;="&amp;$L300*1.15),0),$Y300))</f>
        <v>10</v>
      </c>
      <c r="AA300" s="12" t="str">
        <f>IF($A300="","",IF(COUNTIF('Auction Log'!$B$3:$B$300,$A300)&gt;0,"Sold","Available"))</f>
        <v>Available</v>
      </c>
      <c r="AB300" s="12" t="str">
        <f t="array" ref="AB300">IF($A300="","",IFERROR(XLOOKUP($A300,'Auction Log'!$B$3:$B$300,'Auction Log'!$G$3:$G$300,""),""))</f>
        <v/>
      </c>
      <c r="AC300" s="12" t="str">
        <f t="array" ref="AC300">IF($A300="","",IFERROR(XLOOKUP($A300,'Auction Log'!$B$3:$B$300,'Auction Log'!$F$3:$F$300,""),""))</f>
        <v/>
      </c>
      <c r="AD300" s="12">
        <f t="array" ref="AD300">IF($A300="","",ROUND($Y300*XLOOKUP($F300,Settings!$I$15:$I$20,Settings!$K$15:$K$20,0.4),0))</f>
        <v>0</v>
      </c>
      <c r="AE300" s="12">
        <f t="array" ref="AE300">IF($A300="","",ROUND($Y300*XLOOKUP($F300,Settings!$I$15:$I$20,Settings!$L$15:$L$20,0.8),0))</f>
        <v>1</v>
      </c>
      <c r="AF300" s="12">
        <f t="array" ref="AF300">IF($A300="","",ROUND($Y300*XLOOKUP($F300,Settings!$I$15:$I$20,Settings!$M$15:$M$20,1),0))</f>
        <v>1</v>
      </c>
      <c r="AG300" s="12">
        <f t="array" ref="AG300">IF($A300="","",ROUND($Y300*XLOOKUP($F300,Settings!$I$15:$I$20,Settings!$N$15:$N$20,1.1),0))</f>
        <v>1</v>
      </c>
      <c r="AH300" s="12">
        <f t="array" ref="AH300">IF($A300="","",ROUND($Y300*XLOOKUP($F300,Settings!$I$15:$I$20,Settings!$O$15:$O$20,1.1)*Settings!$J$7,0))</f>
        <v>1</v>
      </c>
      <c r="AI300" s="12">
        <f t="array" ref="AI300">IF($A300="","",IF($AA300="Sold","",MIN($AH300,IFERROR(XLOOKUP(Settings!$B$12,Managers!$B$4:$B$15,Managers!$H$4:$H$15),$AH300))))</f>
        <v>1</v>
      </c>
      <c r="AJ300" s="12" t="str">
        <f t="shared" si="3"/>
        <v>Budget Drainer</v>
      </c>
      <c r="AK300" s="12">
        <f t="shared" si="4"/>
        <v>35</v>
      </c>
      <c r="AL300" s="12" t="str">
        <f t="shared" si="5"/>
        <v/>
      </c>
    </row>
    <row r="301" ht="15.75" customHeight="1">
      <c r="A301" s="10" t="s">
        <v>293</v>
      </c>
      <c r="B301" s="10" t="s">
        <v>906</v>
      </c>
      <c r="C301" s="10" t="s">
        <v>180</v>
      </c>
      <c r="D301" s="10" t="s">
        <v>121</v>
      </c>
      <c r="E301" s="10" t="s">
        <v>121</v>
      </c>
      <c r="F301" s="10" t="s">
        <v>114</v>
      </c>
      <c r="G301" s="10">
        <v>5.0</v>
      </c>
      <c r="H301" s="10">
        <v>7.0</v>
      </c>
      <c r="I301" s="10" t="s">
        <v>2140</v>
      </c>
      <c r="J301" s="10" t="s">
        <v>2136</v>
      </c>
      <c r="K301" s="10"/>
      <c r="L301" s="10">
        <v>95.0</v>
      </c>
      <c r="M301" s="10">
        <v>3.96</v>
      </c>
      <c r="N301" s="10"/>
      <c r="O301" s="10"/>
      <c r="P301" s="12">
        <f>IF($A301="","",IFERROR((IF($O301="",0,$O301)*Settings!$J$4+IF($L301="",0,$L301)*Settings!$J$5+IF($N301="",0,$N301)*Settings!$J$6)/(IF($O301="",0,Settings!$J$4)+IF($L301="",0,Settings!$J$5)+IF($N301="",0,Settings!$J$6)),0))</f>
        <v>95</v>
      </c>
      <c r="Q301" s="12">
        <f t="array" ref="Q301">IF($A301="","",XLOOKUP($E301,Settings!$A$19:$A$22,Settings!$G$19:$G$22,0))</f>
        <v>206</v>
      </c>
      <c r="R301" s="12">
        <f t="shared" si="1"/>
        <v>0</v>
      </c>
      <c r="S301" s="12">
        <f>IF($A301="","",IF($R301&lt;=0,1,1+$R301/SUMIF($R$4:$R$923,"&gt;0",$R$4:$R$923)*(Settings!$B$5*(Settings!$B$6-Settings!$B$7))))</f>
        <v>1</v>
      </c>
      <c r="T301" s="12">
        <f t="array" ref="T301">IF($A301="","",XLOOKUP($F301,Settings!$I$15:$I$20,Settings!$J$15:$J$20,1))</f>
        <v>0.9</v>
      </c>
      <c r="U301" s="12">
        <f>IF($A301="","",1+(($G301-5)/5)*Settings!$J$8)</f>
        <v>1</v>
      </c>
      <c r="V301" s="12">
        <f>IF($A301="","",1+(($H301-5)/5)*Settings!$J$9)</f>
        <v>1.06</v>
      </c>
      <c r="W301" s="12">
        <f t="array" ref="W301">IF($A301="","",XLOOKUP($J301,Lists!$C$3:$C$7,Lists!$D$3:$D$7,1))</f>
        <v>1</v>
      </c>
      <c r="X301" s="12">
        <f>IF($A301="","",IF($I301="Yes",Settings!$J$10,1))</f>
        <v>1</v>
      </c>
      <c r="Y301" s="12">
        <f t="shared" si="2"/>
        <v>1</v>
      </c>
      <c r="Z301" s="12">
        <f>IF($A301="","",IFERROR(ROUND(AVERAGEIFS('Historical Drafts'!$G$4:$G$300,'Historical Drafts'!$D$4:$D$300,$E301,'Historical Drafts'!$J$4:$J$300,"&gt;="&amp;$L301*0.85,'Historical Drafts'!$J$4:$J$300,"&lt;="&amp;$L301*1.15),0),$Y301))</f>
        <v>10</v>
      </c>
      <c r="AA301" s="12" t="str">
        <f>IF($A301="","",IF(COUNTIF('Auction Log'!$B$3:$B$300,$A301)&gt;0,"Sold","Available"))</f>
        <v>Available</v>
      </c>
      <c r="AB301" s="12" t="str">
        <f t="array" ref="AB301">IF($A301="","",IFERROR(XLOOKUP($A301,'Auction Log'!$B$3:$B$300,'Auction Log'!$G$3:$G$300,""),""))</f>
        <v/>
      </c>
      <c r="AC301" s="12" t="str">
        <f t="array" ref="AC301">IF($A301="","",IFERROR(XLOOKUP($A301,'Auction Log'!$B$3:$B$300,'Auction Log'!$F$3:$F$300,""),""))</f>
        <v/>
      </c>
      <c r="AD301" s="12">
        <f t="array" ref="AD301">IF($A301="","",ROUND($Y301*XLOOKUP($F301,Settings!$I$15:$I$20,Settings!$K$15:$K$20,0.4),0))</f>
        <v>0</v>
      </c>
      <c r="AE301" s="12">
        <f t="array" ref="AE301">IF($A301="","",ROUND($Y301*XLOOKUP($F301,Settings!$I$15:$I$20,Settings!$L$15:$L$20,0.8),0))</f>
        <v>1</v>
      </c>
      <c r="AF301" s="12">
        <f t="array" ref="AF301">IF($A301="","",ROUND($Y301*XLOOKUP($F301,Settings!$I$15:$I$20,Settings!$M$15:$M$20,1),0))</f>
        <v>1</v>
      </c>
      <c r="AG301" s="12">
        <f t="array" ref="AG301">IF($A301="","",ROUND($Y301*XLOOKUP($F301,Settings!$I$15:$I$20,Settings!$N$15:$N$20,1.1),0))</f>
        <v>1</v>
      </c>
      <c r="AH301" s="12">
        <f t="array" ref="AH301">IF($A301="","",ROUND($Y301*XLOOKUP($F301,Settings!$I$15:$I$20,Settings!$O$15:$O$20,1.1)*Settings!$J$7,0))</f>
        <v>1</v>
      </c>
      <c r="AI301" s="12">
        <f t="array" ref="AI301">IF($A301="","",IF($AA301="Sold","",MIN($AH301,IFERROR(XLOOKUP(Settings!$B$12,Managers!$B$4:$B$15,Managers!$H$4:$H$15),$AH301))))</f>
        <v>1</v>
      </c>
      <c r="AJ301" s="12" t="str">
        <f t="shared" si="3"/>
        <v>Budget Drainer</v>
      </c>
      <c r="AK301" s="12">
        <f t="shared" si="4"/>
        <v>35</v>
      </c>
      <c r="AL301" s="12" t="str">
        <f t="shared" si="5"/>
        <v/>
      </c>
    </row>
    <row r="302" ht="15.75" customHeight="1">
      <c r="A302" s="10" t="s">
        <v>297</v>
      </c>
      <c r="B302" s="10" t="s">
        <v>298</v>
      </c>
      <c r="C302" s="10" t="s">
        <v>226</v>
      </c>
      <c r="D302" s="10" t="s">
        <v>123</v>
      </c>
      <c r="E302" s="10" t="s">
        <v>123</v>
      </c>
      <c r="F302" s="10" t="s">
        <v>114</v>
      </c>
      <c r="G302" s="10">
        <v>5.0</v>
      </c>
      <c r="H302" s="10">
        <v>7.0</v>
      </c>
      <c r="I302" s="10" t="s">
        <v>2140</v>
      </c>
      <c r="J302" s="10" t="s">
        <v>2136</v>
      </c>
      <c r="K302" s="10"/>
      <c r="L302" s="10">
        <v>94.5</v>
      </c>
      <c r="M302" s="10">
        <v>2.95</v>
      </c>
      <c r="N302" s="10"/>
      <c r="O302" s="10"/>
      <c r="P302" s="12">
        <f>IF($A302="","",IFERROR((IF($O302="",0,$O302)*Settings!$J$4+IF($L302="",0,$L302)*Settings!$J$5+IF($N302="",0,$N302)*Settings!$J$6)/(IF($O302="",0,Settings!$J$4)+IF($L302="",0,Settings!$J$5)+IF($N302="",0,Settings!$J$6)),0))</f>
        <v>94.5</v>
      </c>
      <c r="Q302" s="12">
        <f t="array" ref="Q302">IF($A302="","",XLOOKUP($E302,Settings!$A$19:$A$22,Settings!$G$19:$G$22,0))</f>
        <v>203</v>
      </c>
      <c r="R302" s="12">
        <f t="shared" si="1"/>
        <v>0</v>
      </c>
      <c r="S302" s="12">
        <f>IF($A302="","",IF($R302&lt;=0,1,1+$R302/SUMIF($R$4:$R$923,"&gt;0",$R$4:$R$923)*(Settings!$B$5*(Settings!$B$6-Settings!$B$7))))</f>
        <v>1</v>
      </c>
      <c r="T302" s="12">
        <f t="array" ref="T302">IF($A302="","",XLOOKUP($F302,Settings!$I$15:$I$20,Settings!$J$15:$J$20,1))</f>
        <v>0.9</v>
      </c>
      <c r="U302" s="12">
        <f>IF($A302="","",1+(($G302-5)/5)*Settings!$J$8)</f>
        <v>1</v>
      </c>
      <c r="V302" s="12">
        <f>IF($A302="","",1+(($H302-5)/5)*Settings!$J$9)</f>
        <v>1.06</v>
      </c>
      <c r="W302" s="12">
        <f t="array" ref="W302">IF($A302="","",XLOOKUP($J302,Lists!$C$3:$C$7,Lists!$D$3:$D$7,1))</f>
        <v>1</v>
      </c>
      <c r="X302" s="12">
        <f>IF($A302="","",IF($I302="Yes",Settings!$J$10,1))</f>
        <v>1</v>
      </c>
      <c r="Y302" s="12">
        <f t="shared" si="2"/>
        <v>1</v>
      </c>
      <c r="Z302" s="12">
        <f>IF($A302="","",IFERROR(ROUND(AVERAGEIFS('Historical Drafts'!$G$4:$G$300,'Historical Drafts'!$D$4:$D$300,$E302,'Historical Drafts'!$J$4:$J$300,"&gt;="&amp;$L302*0.85,'Historical Drafts'!$J$4:$J$300,"&lt;="&amp;$L302*1.15),0),$Y302))</f>
        <v>13</v>
      </c>
      <c r="AA302" s="12" t="str">
        <f>IF($A302="","",IF(COUNTIF('Auction Log'!$B$3:$B$300,$A302)&gt;0,"Sold","Available"))</f>
        <v>Available</v>
      </c>
      <c r="AB302" s="12" t="str">
        <f t="array" ref="AB302">IF($A302="","",IFERROR(XLOOKUP($A302,'Auction Log'!$B$3:$B$300,'Auction Log'!$G$3:$G$300,""),""))</f>
        <v/>
      </c>
      <c r="AC302" s="12" t="str">
        <f t="array" ref="AC302">IF($A302="","",IFERROR(XLOOKUP($A302,'Auction Log'!$B$3:$B$300,'Auction Log'!$F$3:$F$300,""),""))</f>
        <v/>
      </c>
      <c r="AD302" s="12">
        <f t="array" ref="AD302">IF($A302="","",ROUND($Y302*XLOOKUP($F302,Settings!$I$15:$I$20,Settings!$K$15:$K$20,0.4),0))</f>
        <v>0</v>
      </c>
      <c r="AE302" s="12">
        <f t="array" ref="AE302">IF($A302="","",ROUND($Y302*XLOOKUP($F302,Settings!$I$15:$I$20,Settings!$L$15:$L$20,0.8),0))</f>
        <v>1</v>
      </c>
      <c r="AF302" s="12">
        <f t="array" ref="AF302">IF($A302="","",ROUND($Y302*XLOOKUP($F302,Settings!$I$15:$I$20,Settings!$M$15:$M$20,1),0))</f>
        <v>1</v>
      </c>
      <c r="AG302" s="12">
        <f t="array" ref="AG302">IF($A302="","",ROUND($Y302*XLOOKUP($F302,Settings!$I$15:$I$20,Settings!$N$15:$N$20,1.1),0))</f>
        <v>1</v>
      </c>
      <c r="AH302" s="12">
        <f t="array" ref="AH302">IF($A302="","",ROUND($Y302*XLOOKUP($F302,Settings!$I$15:$I$20,Settings!$O$15:$O$20,1.1)*Settings!$J$7,0))</f>
        <v>1</v>
      </c>
      <c r="AI302" s="12">
        <f t="array" ref="AI302">IF($A302="","",IF($AA302="Sold","",MIN($AH302,IFERROR(XLOOKUP(Settings!$B$12,Managers!$B$4:$B$15,Managers!$H$4:$H$15),$AH302))))</f>
        <v>1</v>
      </c>
      <c r="AJ302" s="12" t="str">
        <f t="shared" si="3"/>
        <v>Budget Drainer</v>
      </c>
      <c r="AK302" s="12">
        <f t="shared" si="4"/>
        <v>38</v>
      </c>
      <c r="AL302" s="12" t="str">
        <f t="shared" si="5"/>
        <v/>
      </c>
    </row>
    <row r="303" ht="15.75" customHeight="1">
      <c r="A303" s="10" t="s">
        <v>907</v>
      </c>
      <c r="B303" s="10" t="s">
        <v>908</v>
      </c>
      <c r="C303" s="10" t="s">
        <v>185</v>
      </c>
      <c r="D303" s="10" t="s">
        <v>118</v>
      </c>
      <c r="E303" s="10" t="s">
        <v>118</v>
      </c>
      <c r="F303" s="10" t="s">
        <v>114</v>
      </c>
      <c r="G303" s="10">
        <v>5.0</v>
      </c>
      <c r="H303" s="10">
        <v>7.0</v>
      </c>
      <c r="I303" s="10" t="s">
        <v>2140</v>
      </c>
      <c r="J303" s="10" t="s">
        <v>2136</v>
      </c>
      <c r="K303" s="10"/>
      <c r="L303" s="10">
        <v>94.5</v>
      </c>
      <c r="M303" s="10">
        <v>7.27</v>
      </c>
      <c r="N303" s="10"/>
      <c r="O303" s="10"/>
      <c r="P303" s="12">
        <f>IF($A303="","",IFERROR((IF($O303="",0,$O303)*Settings!$J$4+IF($L303="",0,$L303)*Settings!$J$5+IF($N303="",0,$N303)*Settings!$J$6)/(IF($O303="",0,Settings!$J$4)+IF($L303="",0,Settings!$J$5)+IF($N303="",0,Settings!$J$6)),0))</f>
        <v>94.5</v>
      </c>
      <c r="Q303" s="12">
        <f t="array" ref="Q303">IF($A303="","",XLOOKUP($E303,Settings!$A$19:$A$22,Settings!$G$19:$G$22,0))</f>
        <v>196.25</v>
      </c>
      <c r="R303" s="12">
        <f t="shared" si="1"/>
        <v>0</v>
      </c>
      <c r="S303" s="12">
        <f>IF($A303="","",IF($R303&lt;=0,1,1+$R303/SUMIF($R$4:$R$923,"&gt;0",$R$4:$R$923)*(Settings!$B$5*(Settings!$B$6-Settings!$B$7))))</f>
        <v>1</v>
      </c>
      <c r="T303" s="12">
        <f t="array" ref="T303">IF($A303="","",XLOOKUP($F303,Settings!$I$15:$I$20,Settings!$J$15:$J$20,1))</f>
        <v>0.9</v>
      </c>
      <c r="U303" s="12">
        <f>IF($A303="","",1+(($G303-5)/5)*Settings!$J$8)</f>
        <v>1</v>
      </c>
      <c r="V303" s="12">
        <f>IF($A303="","",1+(($H303-5)/5)*Settings!$J$9)</f>
        <v>1.06</v>
      </c>
      <c r="W303" s="12">
        <f t="array" ref="W303">IF($A303="","",XLOOKUP($J303,Lists!$C$3:$C$7,Lists!$D$3:$D$7,1))</f>
        <v>1</v>
      </c>
      <c r="X303" s="12">
        <f>IF($A303="","",IF($I303="Yes",Settings!$J$10,1))</f>
        <v>1</v>
      </c>
      <c r="Y303" s="12">
        <f t="shared" si="2"/>
        <v>1</v>
      </c>
      <c r="Z303" s="12">
        <f>IF($A303="","",IFERROR(ROUND(AVERAGEIFS('Historical Drafts'!$G$4:$G$300,'Historical Drafts'!$D$4:$D$300,$E303,'Historical Drafts'!$J$4:$J$300,"&gt;="&amp;$L303*0.85,'Historical Drafts'!$J$4:$J$300,"&lt;="&amp;$L303*1.15),0),$Y303))</f>
        <v>1</v>
      </c>
      <c r="AA303" s="12" t="str">
        <f>IF($A303="","",IF(COUNTIF('Auction Log'!$B$3:$B$300,$A303)&gt;0,"Sold","Available"))</f>
        <v>Available</v>
      </c>
      <c r="AB303" s="12" t="str">
        <f t="array" ref="AB303">IF($A303="","",IFERROR(XLOOKUP($A303,'Auction Log'!$B$3:$B$300,'Auction Log'!$G$3:$G$300,""),""))</f>
        <v/>
      </c>
      <c r="AC303" s="12" t="str">
        <f t="array" ref="AC303">IF($A303="","",IFERROR(XLOOKUP($A303,'Auction Log'!$B$3:$B$300,'Auction Log'!$F$3:$F$300,""),""))</f>
        <v/>
      </c>
      <c r="AD303" s="12">
        <f t="array" ref="AD303">IF($A303="","",ROUND($Y303*XLOOKUP($F303,Settings!$I$15:$I$20,Settings!$K$15:$K$20,0.4),0))</f>
        <v>0</v>
      </c>
      <c r="AE303" s="12">
        <f t="array" ref="AE303">IF($A303="","",ROUND($Y303*XLOOKUP($F303,Settings!$I$15:$I$20,Settings!$L$15:$L$20,0.8),0))</f>
        <v>1</v>
      </c>
      <c r="AF303" s="12">
        <f t="array" ref="AF303">IF($A303="","",ROUND($Y303*XLOOKUP($F303,Settings!$I$15:$I$20,Settings!$M$15:$M$20,1),0))</f>
        <v>1</v>
      </c>
      <c r="AG303" s="12">
        <f t="array" ref="AG303">IF($A303="","",ROUND($Y303*XLOOKUP($F303,Settings!$I$15:$I$20,Settings!$N$15:$N$20,1.1),0))</f>
        <v>1</v>
      </c>
      <c r="AH303" s="12">
        <f t="array" ref="AH303">IF($A303="","",ROUND($Y303*XLOOKUP($F303,Settings!$I$15:$I$20,Settings!$O$15:$O$20,1.1)*Settings!$J$7,0))</f>
        <v>1</v>
      </c>
      <c r="AI303" s="12">
        <f t="array" ref="AI303">IF($A303="","",IF($AA303="Sold","",MIN($AH303,IFERROR(XLOOKUP(Settings!$B$12,Managers!$B$4:$B$15,Managers!$H$4:$H$15),$AH303))))</f>
        <v>1</v>
      </c>
      <c r="AJ303" s="12" t="str">
        <f t="shared" si="3"/>
        <v>Recommended</v>
      </c>
      <c r="AK303" s="12">
        <f t="shared" si="4"/>
        <v>26</v>
      </c>
      <c r="AL303" s="12" t="str">
        <f t="shared" si="5"/>
        <v/>
      </c>
    </row>
    <row r="304" ht="15.75" customHeight="1">
      <c r="A304" s="10" t="s">
        <v>909</v>
      </c>
      <c r="B304" s="10" t="s">
        <v>910</v>
      </c>
      <c r="C304" s="10" t="s">
        <v>199</v>
      </c>
      <c r="D304" s="10" t="s">
        <v>118</v>
      </c>
      <c r="E304" s="10" t="s">
        <v>118</v>
      </c>
      <c r="F304" s="10" t="s">
        <v>117</v>
      </c>
      <c r="G304" s="10">
        <v>5.0</v>
      </c>
      <c r="H304" s="10">
        <v>7.0</v>
      </c>
      <c r="I304" s="10" t="s">
        <v>2140</v>
      </c>
      <c r="J304" s="10" t="s">
        <v>2136</v>
      </c>
      <c r="K304" s="10"/>
      <c r="L304" s="10">
        <v>93.25</v>
      </c>
      <c r="M304" s="10">
        <v>4.44</v>
      </c>
      <c r="N304" s="10"/>
      <c r="O304" s="10"/>
      <c r="P304" s="12">
        <f>IF($A304="","",IFERROR((IF($O304="",0,$O304)*Settings!$J$4+IF($L304="",0,$L304)*Settings!$J$5+IF($N304="",0,$N304)*Settings!$J$6)/(IF($O304="",0,Settings!$J$4)+IF($L304="",0,Settings!$J$5)+IF($N304="",0,Settings!$J$6)),0))</f>
        <v>93.25</v>
      </c>
      <c r="Q304" s="12">
        <f t="array" ref="Q304">IF($A304="","",XLOOKUP($E304,Settings!$A$19:$A$22,Settings!$G$19:$G$22,0))</f>
        <v>196.25</v>
      </c>
      <c r="R304" s="12">
        <f t="shared" si="1"/>
        <v>0</v>
      </c>
      <c r="S304" s="12">
        <f>IF($A304="","",IF($R304&lt;=0,1,1+$R304/SUMIF($R$4:$R$923,"&gt;0",$R$4:$R$923)*(Settings!$B$5*(Settings!$B$6-Settings!$B$7))))</f>
        <v>1</v>
      </c>
      <c r="T304" s="12">
        <f t="array" ref="T304">IF($A304="","",XLOOKUP($F304,Settings!$I$15:$I$20,Settings!$J$15:$J$20,1))</f>
        <v>0.75</v>
      </c>
      <c r="U304" s="12">
        <f>IF($A304="","",1+(($G304-5)/5)*Settings!$J$8)</f>
        <v>1</v>
      </c>
      <c r="V304" s="12">
        <f>IF($A304="","",1+(($H304-5)/5)*Settings!$J$9)</f>
        <v>1.06</v>
      </c>
      <c r="W304" s="12">
        <f t="array" ref="W304">IF($A304="","",XLOOKUP($J304,Lists!$C$3:$C$7,Lists!$D$3:$D$7,1))</f>
        <v>1</v>
      </c>
      <c r="X304" s="12">
        <f>IF($A304="","",IF($I304="Yes",Settings!$J$10,1))</f>
        <v>1</v>
      </c>
      <c r="Y304" s="12">
        <f t="shared" si="2"/>
        <v>1</v>
      </c>
      <c r="Z304" s="12">
        <f>IF($A304="","",IFERROR(ROUND(AVERAGEIFS('Historical Drafts'!$G$4:$G$300,'Historical Drafts'!$D$4:$D$300,$E304,'Historical Drafts'!$J$4:$J$300,"&gt;="&amp;$L304*0.85,'Historical Drafts'!$J$4:$J$300,"&lt;="&amp;$L304*1.15),0),$Y304))</f>
        <v>1</v>
      </c>
      <c r="AA304" s="12" t="str">
        <f>IF($A304="","",IF(COUNTIF('Auction Log'!$B$3:$B$300,$A304)&gt;0,"Sold","Available"))</f>
        <v>Available</v>
      </c>
      <c r="AB304" s="12" t="str">
        <f t="array" ref="AB304">IF($A304="","",IFERROR(XLOOKUP($A304,'Auction Log'!$B$3:$B$300,'Auction Log'!$G$3:$G$300,""),""))</f>
        <v/>
      </c>
      <c r="AC304" s="12" t="str">
        <f t="array" ref="AC304">IF($A304="","",IFERROR(XLOOKUP($A304,'Auction Log'!$B$3:$B$300,'Auction Log'!$F$3:$F$300,""),""))</f>
        <v/>
      </c>
      <c r="AD304" s="12">
        <f t="array" ref="AD304">IF($A304="","",ROUND($Y304*XLOOKUP($F304,Settings!$I$15:$I$20,Settings!$K$15:$K$20,0.4),0))</f>
        <v>0</v>
      </c>
      <c r="AE304" s="12">
        <f t="array" ref="AE304">IF($A304="","",ROUND($Y304*XLOOKUP($F304,Settings!$I$15:$I$20,Settings!$L$15:$L$20,0.8),0))</f>
        <v>1</v>
      </c>
      <c r="AF304" s="12">
        <f t="array" ref="AF304">IF($A304="","",ROUND($Y304*XLOOKUP($F304,Settings!$I$15:$I$20,Settings!$M$15:$M$20,1),0))</f>
        <v>1</v>
      </c>
      <c r="AG304" s="12">
        <f t="array" ref="AG304">IF($A304="","",ROUND($Y304*XLOOKUP($F304,Settings!$I$15:$I$20,Settings!$N$15:$N$20,1.1),0))</f>
        <v>1</v>
      </c>
      <c r="AH304" s="12">
        <f t="array" ref="AH304">IF($A304="","",ROUND($Y304*XLOOKUP($F304,Settings!$I$15:$I$20,Settings!$O$15:$O$20,1.1)*Settings!$J$7,0))</f>
        <v>1</v>
      </c>
      <c r="AI304" s="12">
        <f t="array" ref="AI304">IF($A304="","",IF($AA304="Sold","",MIN($AH304,IFERROR(XLOOKUP(Settings!$B$12,Managers!$B$4:$B$15,Managers!$H$4:$H$15),$AH304))))</f>
        <v>1</v>
      </c>
      <c r="AJ304" s="12" t="str">
        <f t="shared" si="3"/>
        <v>Recommended</v>
      </c>
      <c r="AK304" s="12">
        <f t="shared" si="4"/>
        <v>26</v>
      </c>
      <c r="AL304" s="12" t="str">
        <f t="shared" si="5"/>
        <v/>
      </c>
    </row>
    <row r="305" ht="15.75" customHeight="1">
      <c r="A305" s="10" t="s">
        <v>489</v>
      </c>
      <c r="B305" s="10" t="s">
        <v>490</v>
      </c>
      <c r="C305" s="10" t="s">
        <v>199</v>
      </c>
      <c r="D305" s="10" t="s">
        <v>123</v>
      </c>
      <c r="E305" s="10" t="s">
        <v>123</v>
      </c>
      <c r="F305" s="10" t="s">
        <v>117</v>
      </c>
      <c r="G305" s="10">
        <v>5.0</v>
      </c>
      <c r="H305" s="10">
        <v>7.0</v>
      </c>
      <c r="I305" s="10" t="s">
        <v>2140</v>
      </c>
      <c r="J305" s="10" t="s">
        <v>2136</v>
      </c>
      <c r="K305" s="10"/>
      <c r="L305" s="10">
        <v>93.0</v>
      </c>
      <c r="M305" s="10">
        <v>4.43</v>
      </c>
      <c r="N305" s="10"/>
      <c r="O305" s="10"/>
      <c r="P305" s="12">
        <f>IF($A305="","",IFERROR((IF($O305="",0,$O305)*Settings!$J$4+IF($L305="",0,$L305)*Settings!$J$5+IF($N305="",0,$N305)*Settings!$J$6)/(IF($O305="",0,Settings!$J$4)+IF($L305="",0,Settings!$J$5)+IF($N305="",0,Settings!$J$6)),0))</f>
        <v>93</v>
      </c>
      <c r="Q305" s="12">
        <f t="array" ref="Q305">IF($A305="","",XLOOKUP($E305,Settings!$A$19:$A$22,Settings!$G$19:$G$22,0))</f>
        <v>203</v>
      </c>
      <c r="R305" s="12">
        <f t="shared" si="1"/>
        <v>0</v>
      </c>
      <c r="S305" s="12">
        <f>IF($A305="","",IF($R305&lt;=0,1,1+$R305/SUMIF($R$4:$R$923,"&gt;0",$R$4:$R$923)*(Settings!$B$5*(Settings!$B$6-Settings!$B$7))))</f>
        <v>1</v>
      </c>
      <c r="T305" s="12">
        <f t="array" ref="T305">IF($A305="","",XLOOKUP($F305,Settings!$I$15:$I$20,Settings!$J$15:$J$20,1))</f>
        <v>0.75</v>
      </c>
      <c r="U305" s="12">
        <f>IF($A305="","",1+(($G305-5)/5)*Settings!$J$8)</f>
        <v>1</v>
      </c>
      <c r="V305" s="12">
        <f>IF($A305="","",1+(($H305-5)/5)*Settings!$J$9)</f>
        <v>1.06</v>
      </c>
      <c r="W305" s="12">
        <f t="array" ref="W305">IF($A305="","",XLOOKUP($J305,Lists!$C$3:$C$7,Lists!$D$3:$D$7,1))</f>
        <v>1</v>
      </c>
      <c r="X305" s="12">
        <f>IF($A305="","",IF($I305="Yes",Settings!$J$10,1))</f>
        <v>1</v>
      </c>
      <c r="Y305" s="12">
        <f t="shared" si="2"/>
        <v>1</v>
      </c>
      <c r="Z305" s="12">
        <f>IF($A305="","",IFERROR(ROUND(AVERAGEIFS('Historical Drafts'!$G$4:$G$300,'Historical Drafts'!$D$4:$D$300,$E305,'Historical Drafts'!$J$4:$J$300,"&gt;="&amp;$L305*0.85,'Historical Drafts'!$J$4:$J$300,"&lt;="&amp;$L305*1.15),0),$Y305))</f>
        <v>15</v>
      </c>
      <c r="AA305" s="12" t="str">
        <f>IF($A305="","",IF(COUNTIF('Auction Log'!$B$3:$B$300,$A305)&gt;0,"Sold","Available"))</f>
        <v>Available</v>
      </c>
      <c r="AB305" s="12" t="str">
        <f t="array" ref="AB305">IF($A305="","",IFERROR(XLOOKUP($A305,'Auction Log'!$B$3:$B$300,'Auction Log'!$G$3:$G$300,""),""))</f>
        <v/>
      </c>
      <c r="AC305" s="12" t="str">
        <f t="array" ref="AC305">IF($A305="","",IFERROR(XLOOKUP($A305,'Auction Log'!$B$3:$B$300,'Auction Log'!$F$3:$F$300,""),""))</f>
        <v/>
      </c>
      <c r="AD305" s="12">
        <f t="array" ref="AD305">IF($A305="","",ROUND($Y305*XLOOKUP($F305,Settings!$I$15:$I$20,Settings!$K$15:$K$20,0.4),0))</f>
        <v>0</v>
      </c>
      <c r="AE305" s="12">
        <f t="array" ref="AE305">IF($A305="","",ROUND($Y305*XLOOKUP($F305,Settings!$I$15:$I$20,Settings!$L$15:$L$20,0.8),0))</f>
        <v>1</v>
      </c>
      <c r="AF305" s="12">
        <f t="array" ref="AF305">IF($A305="","",ROUND($Y305*XLOOKUP($F305,Settings!$I$15:$I$20,Settings!$M$15:$M$20,1),0))</f>
        <v>1</v>
      </c>
      <c r="AG305" s="12">
        <f t="array" ref="AG305">IF($A305="","",ROUND($Y305*XLOOKUP($F305,Settings!$I$15:$I$20,Settings!$N$15:$N$20,1.1),0))</f>
        <v>1</v>
      </c>
      <c r="AH305" s="12">
        <f t="array" ref="AH305">IF($A305="","",ROUND($Y305*XLOOKUP($F305,Settings!$I$15:$I$20,Settings!$O$15:$O$20,1.1)*Settings!$J$7,0))</f>
        <v>1</v>
      </c>
      <c r="AI305" s="12">
        <f t="array" ref="AI305">IF($A305="","",IF($AA305="Sold","",MIN($AH305,IFERROR(XLOOKUP(Settings!$B$12,Managers!$B$4:$B$15,Managers!$H$4:$H$15),$AH305))))</f>
        <v>1</v>
      </c>
      <c r="AJ305" s="12" t="str">
        <f t="shared" si="3"/>
        <v>Budget Drainer</v>
      </c>
      <c r="AK305" s="12">
        <f t="shared" si="4"/>
        <v>40</v>
      </c>
      <c r="AL305" s="12" t="str">
        <f t="shared" si="5"/>
        <v/>
      </c>
    </row>
    <row r="306" ht="15.75" customHeight="1">
      <c r="A306" s="10" t="s">
        <v>911</v>
      </c>
      <c r="B306" s="10" t="s">
        <v>912</v>
      </c>
      <c r="C306" s="10" t="s">
        <v>913</v>
      </c>
      <c r="D306" s="10" t="s">
        <v>121</v>
      </c>
      <c r="E306" s="10" t="s">
        <v>121</v>
      </c>
      <c r="F306" s="10" t="s">
        <v>117</v>
      </c>
      <c r="G306" s="10">
        <v>5.0</v>
      </c>
      <c r="H306" s="10">
        <v>7.0</v>
      </c>
      <c r="I306" s="10" t="s">
        <v>2140</v>
      </c>
      <c r="J306" s="10" t="s">
        <v>2136</v>
      </c>
      <c r="K306" s="10"/>
      <c r="L306" s="10">
        <v>92.5</v>
      </c>
      <c r="M306" s="10">
        <v>4.02</v>
      </c>
      <c r="N306" s="10"/>
      <c r="O306" s="10"/>
      <c r="P306" s="12">
        <f>IF($A306="","",IFERROR((IF($O306="",0,$O306)*Settings!$J$4+IF($L306="",0,$L306)*Settings!$J$5+IF($N306="",0,$N306)*Settings!$J$6)/(IF($O306="",0,Settings!$J$4)+IF($L306="",0,Settings!$J$5)+IF($N306="",0,Settings!$J$6)),0))</f>
        <v>92.5</v>
      </c>
      <c r="Q306" s="12">
        <f t="array" ref="Q306">IF($A306="","",XLOOKUP($E306,Settings!$A$19:$A$22,Settings!$G$19:$G$22,0))</f>
        <v>206</v>
      </c>
      <c r="R306" s="12">
        <f t="shared" si="1"/>
        <v>0</v>
      </c>
      <c r="S306" s="12">
        <f>IF($A306="","",IF($R306&lt;=0,1,1+$R306/SUMIF($R$4:$R$923,"&gt;0",$R$4:$R$923)*(Settings!$B$5*(Settings!$B$6-Settings!$B$7))))</f>
        <v>1</v>
      </c>
      <c r="T306" s="12">
        <f t="array" ref="T306">IF($A306="","",XLOOKUP($F306,Settings!$I$15:$I$20,Settings!$J$15:$J$20,1))</f>
        <v>0.75</v>
      </c>
      <c r="U306" s="12">
        <f>IF($A306="","",1+(($G306-5)/5)*Settings!$J$8)</f>
        <v>1</v>
      </c>
      <c r="V306" s="12">
        <f>IF($A306="","",1+(($H306-5)/5)*Settings!$J$9)</f>
        <v>1.06</v>
      </c>
      <c r="W306" s="12">
        <f t="array" ref="W306">IF($A306="","",XLOOKUP($J306,Lists!$C$3:$C$7,Lists!$D$3:$D$7,1))</f>
        <v>1</v>
      </c>
      <c r="X306" s="12">
        <f>IF($A306="","",IF($I306="Yes",Settings!$J$10,1))</f>
        <v>1</v>
      </c>
      <c r="Y306" s="12">
        <f t="shared" si="2"/>
        <v>1</v>
      </c>
      <c r="Z306" s="12">
        <f>IF($A306="","",IFERROR(ROUND(AVERAGEIFS('Historical Drafts'!$G$4:$G$300,'Historical Drafts'!$D$4:$D$300,$E306,'Historical Drafts'!$J$4:$J$300,"&gt;="&amp;$L306*0.85,'Historical Drafts'!$J$4:$J$300,"&lt;="&amp;$L306*1.15),0),$Y306))</f>
        <v>10</v>
      </c>
      <c r="AA306" s="12" t="str">
        <f>IF($A306="","",IF(COUNTIF('Auction Log'!$B$3:$B$300,$A306)&gt;0,"Sold","Available"))</f>
        <v>Available</v>
      </c>
      <c r="AB306" s="12" t="str">
        <f t="array" ref="AB306">IF($A306="","",IFERROR(XLOOKUP($A306,'Auction Log'!$B$3:$B$300,'Auction Log'!$G$3:$G$300,""),""))</f>
        <v/>
      </c>
      <c r="AC306" s="12" t="str">
        <f t="array" ref="AC306">IF($A306="","",IFERROR(XLOOKUP($A306,'Auction Log'!$B$3:$B$300,'Auction Log'!$F$3:$F$300,""),""))</f>
        <v/>
      </c>
      <c r="AD306" s="12">
        <f t="array" ref="AD306">IF($A306="","",ROUND($Y306*XLOOKUP($F306,Settings!$I$15:$I$20,Settings!$K$15:$K$20,0.4),0))</f>
        <v>0</v>
      </c>
      <c r="AE306" s="12">
        <f t="array" ref="AE306">IF($A306="","",ROUND($Y306*XLOOKUP($F306,Settings!$I$15:$I$20,Settings!$L$15:$L$20,0.8),0))</f>
        <v>1</v>
      </c>
      <c r="AF306" s="12">
        <f t="array" ref="AF306">IF($A306="","",ROUND($Y306*XLOOKUP($F306,Settings!$I$15:$I$20,Settings!$M$15:$M$20,1),0))</f>
        <v>1</v>
      </c>
      <c r="AG306" s="12">
        <f t="array" ref="AG306">IF($A306="","",ROUND($Y306*XLOOKUP($F306,Settings!$I$15:$I$20,Settings!$N$15:$N$20,1.1),0))</f>
        <v>1</v>
      </c>
      <c r="AH306" s="12">
        <f t="array" ref="AH306">IF($A306="","",ROUND($Y306*XLOOKUP($F306,Settings!$I$15:$I$20,Settings!$O$15:$O$20,1.1)*Settings!$J$7,0))</f>
        <v>1</v>
      </c>
      <c r="AI306" s="12">
        <f t="array" ref="AI306">IF($A306="","",IF($AA306="Sold","",MIN($AH306,IFERROR(XLOOKUP(Settings!$B$12,Managers!$B$4:$B$15,Managers!$H$4:$H$15),$AH306))))</f>
        <v>1</v>
      </c>
      <c r="AJ306" s="12" t="str">
        <f t="shared" si="3"/>
        <v>Budget Drainer</v>
      </c>
      <c r="AK306" s="12">
        <f t="shared" si="4"/>
        <v>35</v>
      </c>
      <c r="AL306" s="12" t="str">
        <f t="shared" si="5"/>
        <v/>
      </c>
    </row>
    <row r="307" ht="15.75" customHeight="1">
      <c r="A307" s="10" t="s">
        <v>319</v>
      </c>
      <c r="B307" s="10" t="s">
        <v>320</v>
      </c>
      <c r="C307" s="10" t="s">
        <v>285</v>
      </c>
      <c r="D307" s="10" t="s">
        <v>121</v>
      </c>
      <c r="E307" s="10" t="s">
        <v>121</v>
      </c>
      <c r="F307" s="10" t="s">
        <v>117</v>
      </c>
      <c r="G307" s="10">
        <v>5.0</v>
      </c>
      <c r="H307" s="10">
        <v>7.0</v>
      </c>
      <c r="I307" s="10" t="s">
        <v>2140</v>
      </c>
      <c r="J307" s="10" t="s">
        <v>2136</v>
      </c>
      <c r="K307" s="10"/>
      <c r="L307" s="10">
        <v>91.5</v>
      </c>
      <c r="M307" s="10">
        <v>4.58</v>
      </c>
      <c r="N307" s="10"/>
      <c r="O307" s="10"/>
      <c r="P307" s="12">
        <f>IF($A307="","",IFERROR((IF($O307="",0,$O307)*Settings!$J$4+IF($L307="",0,$L307)*Settings!$J$5+IF($N307="",0,$N307)*Settings!$J$6)/(IF($O307="",0,Settings!$J$4)+IF($L307="",0,Settings!$J$5)+IF($N307="",0,Settings!$J$6)),0))</f>
        <v>91.5</v>
      </c>
      <c r="Q307" s="12">
        <f t="array" ref="Q307">IF($A307="","",XLOOKUP($E307,Settings!$A$19:$A$22,Settings!$G$19:$G$22,0))</f>
        <v>206</v>
      </c>
      <c r="R307" s="12">
        <f t="shared" si="1"/>
        <v>0</v>
      </c>
      <c r="S307" s="12">
        <f>IF($A307="","",IF($R307&lt;=0,1,1+$R307/SUMIF($R$4:$R$923,"&gt;0",$R$4:$R$923)*(Settings!$B$5*(Settings!$B$6-Settings!$B$7))))</f>
        <v>1</v>
      </c>
      <c r="T307" s="12">
        <f t="array" ref="T307">IF($A307="","",XLOOKUP($F307,Settings!$I$15:$I$20,Settings!$J$15:$J$20,1))</f>
        <v>0.75</v>
      </c>
      <c r="U307" s="12">
        <f>IF($A307="","",1+(($G307-5)/5)*Settings!$J$8)</f>
        <v>1</v>
      </c>
      <c r="V307" s="12">
        <f>IF($A307="","",1+(($H307-5)/5)*Settings!$J$9)</f>
        <v>1.06</v>
      </c>
      <c r="W307" s="12">
        <f t="array" ref="W307">IF($A307="","",XLOOKUP($J307,Lists!$C$3:$C$7,Lists!$D$3:$D$7,1))</f>
        <v>1</v>
      </c>
      <c r="X307" s="12">
        <f>IF($A307="","",IF($I307="Yes",Settings!$J$10,1))</f>
        <v>1</v>
      </c>
      <c r="Y307" s="12">
        <f t="shared" si="2"/>
        <v>1</v>
      </c>
      <c r="Z307" s="12">
        <f>IF($A307="","",IFERROR(ROUND(AVERAGEIFS('Historical Drafts'!$G$4:$G$300,'Historical Drafts'!$D$4:$D$300,$E307,'Historical Drafts'!$J$4:$J$300,"&gt;="&amp;$L307*0.85,'Historical Drafts'!$J$4:$J$300,"&lt;="&amp;$L307*1.15),0),$Y307))</f>
        <v>10</v>
      </c>
      <c r="AA307" s="12" t="str">
        <f>IF($A307="","",IF(COUNTIF('Auction Log'!$B$3:$B$300,$A307)&gt;0,"Sold","Available"))</f>
        <v>Available</v>
      </c>
      <c r="AB307" s="12" t="str">
        <f t="array" ref="AB307">IF($A307="","",IFERROR(XLOOKUP($A307,'Auction Log'!$B$3:$B$300,'Auction Log'!$G$3:$G$300,""),""))</f>
        <v/>
      </c>
      <c r="AC307" s="12" t="str">
        <f t="array" ref="AC307">IF($A307="","",IFERROR(XLOOKUP($A307,'Auction Log'!$B$3:$B$300,'Auction Log'!$F$3:$F$300,""),""))</f>
        <v/>
      </c>
      <c r="AD307" s="12">
        <f t="array" ref="AD307">IF($A307="","",ROUND($Y307*XLOOKUP($F307,Settings!$I$15:$I$20,Settings!$K$15:$K$20,0.4),0))</f>
        <v>0</v>
      </c>
      <c r="AE307" s="12">
        <f t="array" ref="AE307">IF($A307="","",ROUND($Y307*XLOOKUP($F307,Settings!$I$15:$I$20,Settings!$L$15:$L$20,0.8),0))</f>
        <v>1</v>
      </c>
      <c r="AF307" s="12">
        <f t="array" ref="AF307">IF($A307="","",ROUND($Y307*XLOOKUP($F307,Settings!$I$15:$I$20,Settings!$M$15:$M$20,1),0))</f>
        <v>1</v>
      </c>
      <c r="AG307" s="12">
        <f t="array" ref="AG307">IF($A307="","",ROUND($Y307*XLOOKUP($F307,Settings!$I$15:$I$20,Settings!$N$15:$N$20,1.1),0))</f>
        <v>1</v>
      </c>
      <c r="AH307" s="12">
        <f t="array" ref="AH307">IF($A307="","",ROUND($Y307*XLOOKUP($F307,Settings!$I$15:$I$20,Settings!$O$15:$O$20,1.1)*Settings!$J$7,0))</f>
        <v>1</v>
      </c>
      <c r="AI307" s="12">
        <f t="array" ref="AI307">IF($A307="","",IF($AA307="Sold","",MIN($AH307,IFERROR(XLOOKUP(Settings!$B$12,Managers!$B$4:$B$15,Managers!$H$4:$H$15),$AH307))))</f>
        <v>1</v>
      </c>
      <c r="AJ307" s="12" t="str">
        <f t="shared" si="3"/>
        <v>Budget Drainer</v>
      </c>
      <c r="AK307" s="12">
        <f t="shared" si="4"/>
        <v>35</v>
      </c>
      <c r="AL307" s="12" t="str">
        <f t="shared" si="5"/>
        <v/>
      </c>
    </row>
    <row r="308" ht="15.75" customHeight="1">
      <c r="A308" s="10" t="s">
        <v>385</v>
      </c>
      <c r="B308" s="10" t="s">
        <v>386</v>
      </c>
      <c r="C308" s="10" t="s">
        <v>387</v>
      </c>
      <c r="D308" s="10" t="s">
        <v>121</v>
      </c>
      <c r="E308" s="10" t="s">
        <v>121</v>
      </c>
      <c r="F308" s="10" t="s">
        <v>117</v>
      </c>
      <c r="G308" s="10">
        <v>5.0</v>
      </c>
      <c r="H308" s="10">
        <v>7.0</v>
      </c>
      <c r="I308" s="10" t="s">
        <v>2140</v>
      </c>
      <c r="J308" s="10" t="s">
        <v>2136</v>
      </c>
      <c r="K308" s="10"/>
      <c r="L308" s="10">
        <v>90.5</v>
      </c>
      <c r="M308" s="10">
        <v>3.93</v>
      </c>
      <c r="N308" s="10"/>
      <c r="O308" s="10"/>
      <c r="P308" s="12">
        <f>IF($A308="","",IFERROR((IF($O308="",0,$O308)*Settings!$J$4+IF($L308="",0,$L308)*Settings!$J$5+IF($N308="",0,$N308)*Settings!$J$6)/(IF($O308="",0,Settings!$J$4)+IF($L308="",0,Settings!$J$5)+IF($N308="",0,Settings!$J$6)),0))</f>
        <v>90.5</v>
      </c>
      <c r="Q308" s="12">
        <f t="array" ref="Q308">IF($A308="","",XLOOKUP($E308,Settings!$A$19:$A$22,Settings!$G$19:$G$22,0))</f>
        <v>206</v>
      </c>
      <c r="R308" s="12">
        <f t="shared" si="1"/>
        <v>0</v>
      </c>
      <c r="S308" s="12">
        <f>IF($A308="","",IF($R308&lt;=0,1,1+$R308/SUMIF($R$4:$R$923,"&gt;0",$R$4:$R$923)*(Settings!$B$5*(Settings!$B$6-Settings!$B$7))))</f>
        <v>1</v>
      </c>
      <c r="T308" s="12">
        <f t="array" ref="T308">IF($A308="","",XLOOKUP($F308,Settings!$I$15:$I$20,Settings!$J$15:$J$20,1))</f>
        <v>0.75</v>
      </c>
      <c r="U308" s="12">
        <f>IF($A308="","",1+(($G308-5)/5)*Settings!$J$8)</f>
        <v>1</v>
      </c>
      <c r="V308" s="12">
        <f>IF($A308="","",1+(($H308-5)/5)*Settings!$J$9)</f>
        <v>1.06</v>
      </c>
      <c r="W308" s="12">
        <f t="array" ref="W308">IF($A308="","",XLOOKUP($J308,Lists!$C$3:$C$7,Lists!$D$3:$D$7,1))</f>
        <v>1</v>
      </c>
      <c r="X308" s="12">
        <f>IF($A308="","",IF($I308="Yes",Settings!$J$10,1))</f>
        <v>1</v>
      </c>
      <c r="Y308" s="12">
        <f t="shared" si="2"/>
        <v>1</v>
      </c>
      <c r="Z308" s="12">
        <f>IF($A308="","",IFERROR(ROUND(AVERAGEIFS('Historical Drafts'!$G$4:$G$300,'Historical Drafts'!$D$4:$D$300,$E308,'Historical Drafts'!$J$4:$J$300,"&gt;="&amp;$L308*0.85,'Historical Drafts'!$J$4:$J$300,"&lt;="&amp;$L308*1.15),0),$Y308))</f>
        <v>10</v>
      </c>
      <c r="AA308" s="12" t="str">
        <f>IF($A308="","",IF(COUNTIF('Auction Log'!$B$3:$B$300,$A308)&gt;0,"Sold","Available"))</f>
        <v>Available</v>
      </c>
      <c r="AB308" s="12" t="str">
        <f t="array" ref="AB308">IF($A308="","",IFERROR(XLOOKUP($A308,'Auction Log'!$B$3:$B$300,'Auction Log'!$G$3:$G$300,""),""))</f>
        <v/>
      </c>
      <c r="AC308" s="12" t="str">
        <f t="array" ref="AC308">IF($A308="","",IFERROR(XLOOKUP($A308,'Auction Log'!$B$3:$B$300,'Auction Log'!$F$3:$F$300,""),""))</f>
        <v/>
      </c>
      <c r="AD308" s="12">
        <f t="array" ref="AD308">IF($A308="","",ROUND($Y308*XLOOKUP($F308,Settings!$I$15:$I$20,Settings!$K$15:$K$20,0.4),0))</f>
        <v>0</v>
      </c>
      <c r="AE308" s="12">
        <f t="array" ref="AE308">IF($A308="","",ROUND($Y308*XLOOKUP($F308,Settings!$I$15:$I$20,Settings!$L$15:$L$20,0.8),0))</f>
        <v>1</v>
      </c>
      <c r="AF308" s="12">
        <f t="array" ref="AF308">IF($A308="","",ROUND($Y308*XLOOKUP($F308,Settings!$I$15:$I$20,Settings!$M$15:$M$20,1),0))</f>
        <v>1</v>
      </c>
      <c r="AG308" s="12">
        <f t="array" ref="AG308">IF($A308="","",ROUND($Y308*XLOOKUP($F308,Settings!$I$15:$I$20,Settings!$N$15:$N$20,1.1),0))</f>
        <v>1</v>
      </c>
      <c r="AH308" s="12">
        <f t="array" ref="AH308">IF($A308="","",ROUND($Y308*XLOOKUP($F308,Settings!$I$15:$I$20,Settings!$O$15:$O$20,1.1)*Settings!$J$7,0))</f>
        <v>1</v>
      </c>
      <c r="AI308" s="12">
        <f t="array" ref="AI308">IF($A308="","",IF($AA308="Sold","",MIN($AH308,IFERROR(XLOOKUP(Settings!$B$12,Managers!$B$4:$B$15,Managers!$H$4:$H$15),$AH308))))</f>
        <v>1</v>
      </c>
      <c r="AJ308" s="12" t="str">
        <f t="shared" si="3"/>
        <v>Budget Drainer</v>
      </c>
      <c r="AK308" s="12">
        <f t="shared" si="4"/>
        <v>35</v>
      </c>
      <c r="AL308" s="12" t="str">
        <f t="shared" si="5"/>
        <v/>
      </c>
    </row>
    <row r="309" ht="15.75" customHeight="1">
      <c r="A309" s="10" t="s">
        <v>914</v>
      </c>
      <c r="B309" s="10" t="s">
        <v>915</v>
      </c>
      <c r="C309" s="10" t="s">
        <v>231</v>
      </c>
      <c r="D309" s="10" t="s">
        <v>121</v>
      </c>
      <c r="E309" s="10" t="s">
        <v>121</v>
      </c>
      <c r="F309" s="10" t="s">
        <v>117</v>
      </c>
      <c r="G309" s="10">
        <v>5.0</v>
      </c>
      <c r="H309" s="10">
        <v>7.0</v>
      </c>
      <c r="I309" s="10" t="s">
        <v>2140</v>
      </c>
      <c r="J309" s="10" t="s">
        <v>2136</v>
      </c>
      <c r="K309" s="10"/>
      <c r="L309" s="10">
        <v>89.0</v>
      </c>
      <c r="M309" s="10">
        <v>4.94</v>
      </c>
      <c r="N309" s="10"/>
      <c r="O309" s="10"/>
      <c r="P309" s="12">
        <f>IF($A309="","",IFERROR((IF($O309="",0,$O309)*Settings!$J$4+IF($L309="",0,$L309)*Settings!$J$5+IF($N309="",0,$N309)*Settings!$J$6)/(IF($O309="",0,Settings!$J$4)+IF($L309="",0,Settings!$J$5)+IF($N309="",0,Settings!$J$6)),0))</f>
        <v>89</v>
      </c>
      <c r="Q309" s="12">
        <f t="array" ref="Q309">IF($A309="","",XLOOKUP($E309,Settings!$A$19:$A$22,Settings!$G$19:$G$22,0))</f>
        <v>206</v>
      </c>
      <c r="R309" s="12">
        <f t="shared" si="1"/>
        <v>0</v>
      </c>
      <c r="S309" s="12">
        <f>IF($A309="","",IF($R309&lt;=0,1,1+$R309/SUMIF($R$4:$R$923,"&gt;0",$R$4:$R$923)*(Settings!$B$5*(Settings!$B$6-Settings!$B$7))))</f>
        <v>1</v>
      </c>
      <c r="T309" s="12">
        <f t="array" ref="T309">IF($A309="","",XLOOKUP($F309,Settings!$I$15:$I$20,Settings!$J$15:$J$20,1))</f>
        <v>0.75</v>
      </c>
      <c r="U309" s="12">
        <f>IF($A309="","",1+(($G309-5)/5)*Settings!$J$8)</f>
        <v>1</v>
      </c>
      <c r="V309" s="12">
        <f>IF($A309="","",1+(($H309-5)/5)*Settings!$J$9)</f>
        <v>1.06</v>
      </c>
      <c r="W309" s="12">
        <f t="array" ref="W309">IF($A309="","",XLOOKUP($J309,Lists!$C$3:$C$7,Lists!$D$3:$D$7,1))</f>
        <v>1</v>
      </c>
      <c r="X309" s="12">
        <f>IF($A309="","",IF($I309="Yes",Settings!$J$10,1))</f>
        <v>1</v>
      </c>
      <c r="Y309" s="12">
        <f t="shared" si="2"/>
        <v>1</v>
      </c>
      <c r="Z309" s="12">
        <f>IF($A309="","",IFERROR(ROUND(AVERAGEIFS('Historical Drafts'!$G$4:$G$300,'Historical Drafts'!$D$4:$D$300,$E309,'Historical Drafts'!$J$4:$J$300,"&gt;="&amp;$L309*0.85,'Historical Drafts'!$J$4:$J$300,"&lt;="&amp;$L309*1.15),0),$Y309))</f>
        <v>10</v>
      </c>
      <c r="AA309" s="12" t="str">
        <f>IF($A309="","",IF(COUNTIF('Auction Log'!$B$3:$B$300,$A309)&gt;0,"Sold","Available"))</f>
        <v>Available</v>
      </c>
      <c r="AB309" s="12" t="str">
        <f t="array" ref="AB309">IF($A309="","",IFERROR(XLOOKUP($A309,'Auction Log'!$B$3:$B$300,'Auction Log'!$G$3:$G$300,""),""))</f>
        <v/>
      </c>
      <c r="AC309" s="12" t="str">
        <f t="array" ref="AC309">IF($A309="","",IFERROR(XLOOKUP($A309,'Auction Log'!$B$3:$B$300,'Auction Log'!$F$3:$F$300,""),""))</f>
        <v/>
      </c>
      <c r="AD309" s="12">
        <f t="array" ref="AD309">IF($A309="","",ROUND($Y309*XLOOKUP($F309,Settings!$I$15:$I$20,Settings!$K$15:$K$20,0.4),0))</f>
        <v>0</v>
      </c>
      <c r="AE309" s="12">
        <f t="array" ref="AE309">IF($A309="","",ROUND($Y309*XLOOKUP($F309,Settings!$I$15:$I$20,Settings!$L$15:$L$20,0.8),0))</f>
        <v>1</v>
      </c>
      <c r="AF309" s="12">
        <f t="array" ref="AF309">IF($A309="","",ROUND($Y309*XLOOKUP($F309,Settings!$I$15:$I$20,Settings!$M$15:$M$20,1),0))</f>
        <v>1</v>
      </c>
      <c r="AG309" s="12">
        <f t="array" ref="AG309">IF($A309="","",ROUND($Y309*XLOOKUP($F309,Settings!$I$15:$I$20,Settings!$N$15:$N$20,1.1),0))</f>
        <v>1</v>
      </c>
      <c r="AH309" s="12">
        <f t="array" ref="AH309">IF($A309="","",ROUND($Y309*XLOOKUP($F309,Settings!$I$15:$I$20,Settings!$O$15:$O$20,1.1)*Settings!$J$7,0))</f>
        <v>1</v>
      </c>
      <c r="AI309" s="12">
        <f t="array" ref="AI309">IF($A309="","",IF($AA309="Sold","",MIN($AH309,IFERROR(XLOOKUP(Settings!$B$12,Managers!$B$4:$B$15,Managers!$H$4:$H$15),$AH309))))</f>
        <v>1</v>
      </c>
      <c r="AJ309" s="12" t="str">
        <f t="shared" si="3"/>
        <v>Budget Drainer</v>
      </c>
      <c r="AK309" s="12">
        <f t="shared" si="4"/>
        <v>35</v>
      </c>
      <c r="AL309" s="12" t="str">
        <f t="shared" si="5"/>
        <v/>
      </c>
    </row>
    <row r="310" ht="15.75" customHeight="1">
      <c r="A310" s="10" t="s">
        <v>916</v>
      </c>
      <c r="B310" s="10" t="s">
        <v>917</v>
      </c>
      <c r="C310" s="10" t="s">
        <v>226</v>
      </c>
      <c r="D310" s="10" t="s">
        <v>121</v>
      </c>
      <c r="E310" s="10" t="s">
        <v>121</v>
      </c>
      <c r="F310" s="10" t="s">
        <v>117</v>
      </c>
      <c r="G310" s="10">
        <v>5.0</v>
      </c>
      <c r="H310" s="10">
        <v>7.0</v>
      </c>
      <c r="I310" s="10" t="s">
        <v>2140</v>
      </c>
      <c r="J310" s="10" t="s">
        <v>2136</v>
      </c>
      <c r="K310" s="10"/>
      <c r="L310" s="10">
        <v>88.5</v>
      </c>
      <c r="M310" s="10">
        <v>3.69</v>
      </c>
      <c r="N310" s="10"/>
      <c r="O310" s="10"/>
      <c r="P310" s="12">
        <f>IF($A310="","",IFERROR((IF($O310="",0,$O310)*Settings!$J$4+IF($L310="",0,$L310)*Settings!$J$5+IF($N310="",0,$N310)*Settings!$J$6)/(IF($O310="",0,Settings!$J$4)+IF($L310="",0,Settings!$J$5)+IF($N310="",0,Settings!$J$6)),0))</f>
        <v>88.5</v>
      </c>
      <c r="Q310" s="12">
        <f t="array" ref="Q310">IF($A310="","",XLOOKUP($E310,Settings!$A$19:$A$22,Settings!$G$19:$G$22,0))</f>
        <v>206</v>
      </c>
      <c r="R310" s="12">
        <f t="shared" si="1"/>
        <v>0</v>
      </c>
      <c r="S310" s="12">
        <f>IF($A310="","",IF($R310&lt;=0,1,1+$R310/SUMIF($R$4:$R$923,"&gt;0",$R$4:$R$923)*(Settings!$B$5*(Settings!$B$6-Settings!$B$7))))</f>
        <v>1</v>
      </c>
      <c r="T310" s="12">
        <f t="array" ref="T310">IF($A310="","",XLOOKUP($F310,Settings!$I$15:$I$20,Settings!$J$15:$J$20,1))</f>
        <v>0.75</v>
      </c>
      <c r="U310" s="12">
        <f>IF($A310="","",1+(($G310-5)/5)*Settings!$J$8)</f>
        <v>1</v>
      </c>
      <c r="V310" s="12">
        <f>IF($A310="","",1+(($H310-5)/5)*Settings!$J$9)</f>
        <v>1.06</v>
      </c>
      <c r="W310" s="12">
        <f t="array" ref="W310">IF($A310="","",XLOOKUP($J310,Lists!$C$3:$C$7,Lists!$D$3:$D$7,1))</f>
        <v>1</v>
      </c>
      <c r="X310" s="12">
        <f>IF($A310="","",IF($I310="Yes",Settings!$J$10,1))</f>
        <v>1</v>
      </c>
      <c r="Y310" s="12">
        <f t="shared" si="2"/>
        <v>1</v>
      </c>
      <c r="Z310" s="12">
        <f>IF($A310="","",IFERROR(ROUND(AVERAGEIFS('Historical Drafts'!$G$4:$G$300,'Historical Drafts'!$D$4:$D$300,$E310,'Historical Drafts'!$J$4:$J$300,"&gt;="&amp;$L310*0.85,'Historical Drafts'!$J$4:$J$300,"&lt;="&amp;$L310*1.15),0),$Y310))</f>
        <v>10</v>
      </c>
      <c r="AA310" s="12" t="str">
        <f>IF($A310="","",IF(COUNTIF('Auction Log'!$B$3:$B$300,$A310)&gt;0,"Sold","Available"))</f>
        <v>Available</v>
      </c>
      <c r="AB310" s="12" t="str">
        <f t="array" ref="AB310">IF($A310="","",IFERROR(XLOOKUP($A310,'Auction Log'!$B$3:$B$300,'Auction Log'!$G$3:$G$300,""),""))</f>
        <v/>
      </c>
      <c r="AC310" s="12" t="str">
        <f t="array" ref="AC310">IF($A310="","",IFERROR(XLOOKUP($A310,'Auction Log'!$B$3:$B$300,'Auction Log'!$F$3:$F$300,""),""))</f>
        <v/>
      </c>
      <c r="AD310" s="12">
        <f t="array" ref="AD310">IF($A310="","",ROUND($Y310*XLOOKUP($F310,Settings!$I$15:$I$20,Settings!$K$15:$K$20,0.4),0))</f>
        <v>0</v>
      </c>
      <c r="AE310" s="12">
        <f t="array" ref="AE310">IF($A310="","",ROUND($Y310*XLOOKUP($F310,Settings!$I$15:$I$20,Settings!$L$15:$L$20,0.8),0))</f>
        <v>1</v>
      </c>
      <c r="AF310" s="12">
        <f t="array" ref="AF310">IF($A310="","",ROUND($Y310*XLOOKUP($F310,Settings!$I$15:$I$20,Settings!$M$15:$M$20,1),0))</f>
        <v>1</v>
      </c>
      <c r="AG310" s="12">
        <f t="array" ref="AG310">IF($A310="","",ROUND($Y310*XLOOKUP($F310,Settings!$I$15:$I$20,Settings!$N$15:$N$20,1.1),0))</f>
        <v>1</v>
      </c>
      <c r="AH310" s="12">
        <f t="array" ref="AH310">IF($A310="","",ROUND($Y310*XLOOKUP($F310,Settings!$I$15:$I$20,Settings!$O$15:$O$20,1.1)*Settings!$J$7,0))</f>
        <v>1</v>
      </c>
      <c r="AI310" s="12">
        <f t="array" ref="AI310">IF($A310="","",IF($AA310="Sold","",MIN($AH310,IFERROR(XLOOKUP(Settings!$B$12,Managers!$B$4:$B$15,Managers!$H$4:$H$15),$AH310))))</f>
        <v>1</v>
      </c>
      <c r="AJ310" s="12" t="str">
        <f t="shared" si="3"/>
        <v>Budget Drainer</v>
      </c>
      <c r="AK310" s="12">
        <f t="shared" si="4"/>
        <v>35</v>
      </c>
      <c r="AL310" s="12" t="str">
        <f t="shared" si="5"/>
        <v/>
      </c>
    </row>
    <row r="311" ht="15.75" customHeight="1">
      <c r="A311" s="10" t="s">
        <v>918</v>
      </c>
      <c r="B311" s="10" t="s">
        <v>919</v>
      </c>
      <c r="C311" s="10" t="s">
        <v>314</v>
      </c>
      <c r="D311" s="10" t="s">
        <v>118</v>
      </c>
      <c r="E311" s="10" t="s">
        <v>118</v>
      </c>
      <c r="F311" s="10" t="s">
        <v>117</v>
      </c>
      <c r="G311" s="10">
        <v>5.0</v>
      </c>
      <c r="H311" s="10">
        <v>7.0</v>
      </c>
      <c r="I311" s="10" t="s">
        <v>2140</v>
      </c>
      <c r="J311" s="10" t="s">
        <v>2136</v>
      </c>
      <c r="K311" s="10"/>
      <c r="L311" s="10">
        <v>88.25</v>
      </c>
      <c r="M311" s="10">
        <v>3.15</v>
      </c>
      <c r="N311" s="10"/>
      <c r="O311" s="10"/>
      <c r="P311" s="12">
        <f>IF($A311="","",IFERROR((IF($O311="",0,$O311)*Settings!$J$4+IF($L311="",0,$L311)*Settings!$J$5+IF($N311="",0,$N311)*Settings!$J$6)/(IF($O311="",0,Settings!$J$4)+IF($L311="",0,Settings!$J$5)+IF($N311="",0,Settings!$J$6)),0))</f>
        <v>88.25</v>
      </c>
      <c r="Q311" s="12">
        <f t="array" ref="Q311">IF($A311="","",XLOOKUP($E311,Settings!$A$19:$A$22,Settings!$G$19:$G$22,0))</f>
        <v>196.25</v>
      </c>
      <c r="R311" s="12">
        <f t="shared" si="1"/>
        <v>0</v>
      </c>
      <c r="S311" s="12">
        <f>IF($A311="","",IF($R311&lt;=0,1,1+$R311/SUMIF($R$4:$R$923,"&gt;0",$R$4:$R$923)*(Settings!$B$5*(Settings!$B$6-Settings!$B$7))))</f>
        <v>1</v>
      </c>
      <c r="T311" s="12">
        <f t="array" ref="T311">IF($A311="","",XLOOKUP($F311,Settings!$I$15:$I$20,Settings!$J$15:$J$20,1))</f>
        <v>0.75</v>
      </c>
      <c r="U311" s="12">
        <f>IF($A311="","",1+(($G311-5)/5)*Settings!$J$8)</f>
        <v>1</v>
      </c>
      <c r="V311" s="12">
        <f>IF($A311="","",1+(($H311-5)/5)*Settings!$J$9)</f>
        <v>1.06</v>
      </c>
      <c r="W311" s="12">
        <f t="array" ref="W311">IF($A311="","",XLOOKUP($J311,Lists!$C$3:$C$7,Lists!$D$3:$D$7,1))</f>
        <v>1</v>
      </c>
      <c r="X311" s="12">
        <f>IF($A311="","",IF($I311="Yes",Settings!$J$10,1))</f>
        <v>1</v>
      </c>
      <c r="Y311" s="12">
        <f t="shared" si="2"/>
        <v>1</v>
      </c>
      <c r="Z311" s="12">
        <f>IF($A311="","",IFERROR(ROUND(AVERAGEIFS('Historical Drafts'!$G$4:$G$300,'Historical Drafts'!$D$4:$D$300,$E311,'Historical Drafts'!$J$4:$J$300,"&gt;="&amp;$L311*0.85,'Historical Drafts'!$J$4:$J$300,"&lt;="&amp;$L311*1.15),0),$Y311))</f>
        <v>1</v>
      </c>
      <c r="AA311" s="12" t="str">
        <f>IF($A311="","",IF(COUNTIF('Auction Log'!$B$3:$B$300,$A311)&gt;0,"Sold","Available"))</f>
        <v>Available</v>
      </c>
      <c r="AB311" s="12" t="str">
        <f t="array" ref="AB311">IF($A311="","",IFERROR(XLOOKUP($A311,'Auction Log'!$B$3:$B$300,'Auction Log'!$G$3:$G$300,""),""))</f>
        <v/>
      </c>
      <c r="AC311" s="12" t="str">
        <f t="array" ref="AC311">IF($A311="","",IFERROR(XLOOKUP($A311,'Auction Log'!$B$3:$B$300,'Auction Log'!$F$3:$F$300,""),""))</f>
        <v/>
      </c>
      <c r="AD311" s="12">
        <f t="array" ref="AD311">IF($A311="","",ROUND($Y311*XLOOKUP($F311,Settings!$I$15:$I$20,Settings!$K$15:$K$20,0.4),0))</f>
        <v>0</v>
      </c>
      <c r="AE311" s="12">
        <f t="array" ref="AE311">IF($A311="","",ROUND($Y311*XLOOKUP($F311,Settings!$I$15:$I$20,Settings!$L$15:$L$20,0.8),0))</f>
        <v>1</v>
      </c>
      <c r="AF311" s="12">
        <f t="array" ref="AF311">IF($A311="","",ROUND($Y311*XLOOKUP($F311,Settings!$I$15:$I$20,Settings!$M$15:$M$20,1),0))</f>
        <v>1</v>
      </c>
      <c r="AG311" s="12">
        <f t="array" ref="AG311">IF($A311="","",ROUND($Y311*XLOOKUP($F311,Settings!$I$15:$I$20,Settings!$N$15:$N$20,1.1),0))</f>
        <v>1</v>
      </c>
      <c r="AH311" s="12">
        <f t="array" ref="AH311">IF($A311="","",ROUND($Y311*XLOOKUP($F311,Settings!$I$15:$I$20,Settings!$O$15:$O$20,1.1)*Settings!$J$7,0))</f>
        <v>1</v>
      </c>
      <c r="AI311" s="12">
        <f t="array" ref="AI311">IF($A311="","",IF($AA311="Sold","",MIN($AH311,IFERROR(XLOOKUP(Settings!$B$12,Managers!$B$4:$B$15,Managers!$H$4:$H$15),$AH311))))</f>
        <v>1</v>
      </c>
      <c r="AJ311" s="12" t="str">
        <f t="shared" si="3"/>
        <v>Recommended</v>
      </c>
      <c r="AK311" s="12">
        <f t="shared" si="4"/>
        <v>26</v>
      </c>
      <c r="AL311" s="12" t="str">
        <f t="shared" si="5"/>
        <v/>
      </c>
    </row>
    <row r="312" ht="15.75" customHeight="1">
      <c r="A312" s="10" t="s">
        <v>920</v>
      </c>
      <c r="B312" s="10" t="s">
        <v>921</v>
      </c>
      <c r="C312" s="10" t="s">
        <v>243</v>
      </c>
      <c r="D312" s="10" t="s">
        <v>121</v>
      </c>
      <c r="E312" s="10" t="s">
        <v>121</v>
      </c>
      <c r="F312" s="10" t="s">
        <v>117</v>
      </c>
      <c r="G312" s="10">
        <v>5.0</v>
      </c>
      <c r="H312" s="10">
        <v>7.0</v>
      </c>
      <c r="I312" s="10" t="s">
        <v>2140</v>
      </c>
      <c r="J312" s="10" t="s">
        <v>2136</v>
      </c>
      <c r="K312" s="10"/>
      <c r="L312" s="10">
        <v>87.0</v>
      </c>
      <c r="M312" s="10">
        <v>3.78</v>
      </c>
      <c r="N312" s="10"/>
      <c r="O312" s="10"/>
      <c r="P312" s="12">
        <f>IF($A312="","",IFERROR((IF($O312="",0,$O312)*Settings!$J$4+IF($L312="",0,$L312)*Settings!$J$5+IF($N312="",0,$N312)*Settings!$J$6)/(IF($O312="",0,Settings!$J$4)+IF($L312="",0,Settings!$J$5)+IF($N312="",0,Settings!$J$6)),0))</f>
        <v>87</v>
      </c>
      <c r="Q312" s="12">
        <f t="array" ref="Q312">IF($A312="","",XLOOKUP($E312,Settings!$A$19:$A$22,Settings!$G$19:$G$22,0))</f>
        <v>206</v>
      </c>
      <c r="R312" s="12">
        <f t="shared" si="1"/>
        <v>0</v>
      </c>
      <c r="S312" s="12">
        <f>IF($A312="","",IF($R312&lt;=0,1,1+$R312/SUMIF($R$4:$R$923,"&gt;0",$R$4:$R$923)*(Settings!$B$5*(Settings!$B$6-Settings!$B$7))))</f>
        <v>1</v>
      </c>
      <c r="T312" s="12">
        <f t="array" ref="T312">IF($A312="","",XLOOKUP($F312,Settings!$I$15:$I$20,Settings!$J$15:$J$20,1))</f>
        <v>0.75</v>
      </c>
      <c r="U312" s="12">
        <f>IF($A312="","",1+(($G312-5)/5)*Settings!$J$8)</f>
        <v>1</v>
      </c>
      <c r="V312" s="12">
        <f>IF($A312="","",1+(($H312-5)/5)*Settings!$J$9)</f>
        <v>1.06</v>
      </c>
      <c r="W312" s="12">
        <f t="array" ref="W312">IF($A312="","",XLOOKUP($J312,Lists!$C$3:$C$7,Lists!$D$3:$D$7,1))</f>
        <v>1</v>
      </c>
      <c r="X312" s="12">
        <f>IF($A312="","",IF($I312="Yes",Settings!$J$10,1))</f>
        <v>1</v>
      </c>
      <c r="Y312" s="12">
        <f t="shared" si="2"/>
        <v>1</v>
      </c>
      <c r="Z312" s="12">
        <f>IF($A312="","",IFERROR(ROUND(AVERAGEIFS('Historical Drafts'!$G$4:$G$300,'Historical Drafts'!$D$4:$D$300,$E312,'Historical Drafts'!$J$4:$J$300,"&gt;="&amp;$L312*0.85,'Historical Drafts'!$J$4:$J$300,"&lt;="&amp;$L312*1.15),0),$Y312))</f>
        <v>10</v>
      </c>
      <c r="AA312" s="12" t="str">
        <f>IF($A312="","",IF(COUNTIF('Auction Log'!$B$3:$B$300,$A312)&gt;0,"Sold","Available"))</f>
        <v>Available</v>
      </c>
      <c r="AB312" s="12" t="str">
        <f t="array" ref="AB312">IF($A312="","",IFERROR(XLOOKUP($A312,'Auction Log'!$B$3:$B$300,'Auction Log'!$G$3:$G$300,""),""))</f>
        <v/>
      </c>
      <c r="AC312" s="12" t="str">
        <f t="array" ref="AC312">IF($A312="","",IFERROR(XLOOKUP($A312,'Auction Log'!$B$3:$B$300,'Auction Log'!$F$3:$F$300,""),""))</f>
        <v/>
      </c>
      <c r="AD312" s="12">
        <f t="array" ref="AD312">IF($A312="","",ROUND($Y312*XLOOKUP($F312,Settings!$I$15:$I$20,Settings!$K$15:$K$20,0.4),0))</f>
        <v>0</v>
      </c>
      <c r="AE312" s="12">
        <f t="array" ref="AE312">IF($A312="","",ROUND($Y312*XLOOKUP($F312,Settings!$I$15:$I$20,Settings!$L$15:$L$20,0.8),0))</f>
        <v>1</v>
      </c>
      <c r="AF312" s="12">
        <f t="array" ref="AF312">IF($A312="","",ROUND($Y312*XLOOKUP($F312,Settings!$I$15:$I$20,Settings!$M$15:$M$20,1),0))</f>
        <v>1</v>
      </c>
      <c r="AG312" s="12">
        <f t="array" ref="AG312">IF($A312="","",ROUND($Y312*XLOOKUP($F312,Settings!$I$15:$I$20,Settings!$N$15:$N$20,1.1),0))</f>
        <v>1</v>
      </c>
      <c r="AH312" s="12">
        <f t="array" ref="AH312">IF($A312="","",ROUND($Y312*XLOOKUP($F312,Settings!$I$15:$I$20,Settings!$O$15:$O$20,1.1)*Settings!$J$7,0))</f>
        <v>1</v>
      </c>
      <c r="AI312" s="12">
        <f t="array" ref="AI312">IF($A312="","",IF($AA312="Sold","",MIN($AH312,IFERROR(XLOOKUP(Settings!$B$12,Managers!$B$4:$B$15,Managers!$H$4:$H$15),$AH312))))</f>
        <v>1</v>
      </c>
      <c r="AJ312" s="12" t="str">
        <f t="shared" si="3"/>
        <v>Budget Drainer</v>
      </c>
      <c r="AK312" s="12">
        <f t="shared" si="4"/>
        <v>35</v>
      </c>
      <c r="AL312" s="12" t="str">
        <f t="shared" si="5"/>
        <v/>
      </c>
    </row>
    <row r="313" ht="15.75" customHeight="1">
      <c r="A313" s="10" t="s">
        <v>922</v>
      </c>
      <c r="B313" s="10" t="s">
        <v>923</v>
      </c>
      <c r="C313" s="10" t="s">
        <v>243</v>
      </c>
      <c r="D313" s="10" t="s">
        <v>121</v>
      </c>
      <c r="E313" s="10" t="s">
        <v>121</v>
      </c>
      <c r="F313" s="10" t="s">
        <v>117</v>
      </c>
      <c r="G313" s="10">
        <v>5.0</v>
      </c>
      <c r="H313" s="10">
        <v>7.0</v>
      </c>
      <c r="I313" s="10" t="s">
        <v>2140</v>
      </c>
      <c r="J313" s="10" t="s">
        <v>2136</v>
      </c>
      <c r="K313" s="10"/>
      <c r="L313" s="10">
        <v>87.0</v>
      </c>
      <c r="M313" s="10">
        <v>3.62</v>
      </c>
      <c r="N313" s="10"/>
      <c r="O313" s="10"/>
      <c r="P313" s="12">
        <f>IF($A313="","",IFERROR((IF($O313="",0,$O313)*Settings!$J$4+IF($L313="",0,$L313)*Settings!$J$5+IF($N313="",0,$N313)*Settings!$J$6)/(IF($O313="",0,Settings!$J$4)+IF($L313="",0,Settings!$J$5)+IF($N313="",0,Settings!$J$6)),0))</f>
        <v>87</v>
      </c>
      <c r="Q313" s="12">
        <f t="array" ref="Q313">IF($A313="","",XLOOKUP($E313,Settings!$A$19:$A$22,Settings!$G$19:$G$22,0))</f>
        <v>206</v>
      </c>
      <c r="R313" s="12">
        <f t="shared" si="1"/>
        <v>0</v>
      </c>
      <c r="S313" s="12">
        <f>IF($A313="","",IF($R313&lt;=0,1,1+$R313/SUMIF($R$4:$R$923,"&gt;0",$R$4:$R$923)*(Settings!$B$5*(Settings!$B$6-Settings!$B$7))))</f>
        <v>1</v>
      </c>
      <c r="T313" s="12">
        <f t="array" ref="T313">IF($A313="","",XLOOKUP($F313,Settings!$I$15:$I$20,Settings!$J$15:$J$20,1))</f>
        <v>0.75</v>
      </c>
      <c r="U313" s="12">
        <f>IF($A313="","",1+(($G313-5)/5)*Settings!$J$8)</f>
        <v>1</v>
      </c>
      <c r="V313" s="12">
        <f>IF($A313="","",1+(($H313-5)/5)*Settings!$J$9)</f>
        <v>1.06</v>
      </c>
      <c r="W313" s="12">
        <f t="array" ref="W313">IF($A313="","",XLOOKUP($J313,Lists!$C$3:$C$7,Lists!$D$3:$D$7,1))</f>
        <v>1</v>
      </c>
      <c r="X313" s="12">
        <f>IF($A313="","",IF($I313="Yes",Settings!$J$10,1))</f>
        <v>1</v>
      </c>
      <c r="Y313" s="12">
        <f t="shared" si="2"/>
        <v>1</v>
      </c>
      <c r="Z313" s="12">
        <f>IF($A313="","",IFERROR(ROUND(AVERAGEIFS('Historical Drafts'!$G$4:$G$300,'Historical Drafts'!$D$4:$D$300,$E313,'Historical Drafts'!$J$4:$J$300,"&gt;="&amp;$L313*0.85,'Historical Drafts'!$J$4:$J$300,"&lt;="&amp;$L313*1.15),0),$Y313))</f>
        <v>10</v>
      </c>
      <c r="AA313" s="12" t="str">
        <f>IF($A313="","",IF(COUNTIF('Auction Log'!$B$3:$B$300,$A313)&gt;0,"Sold","Available"))</f>
        <v>Available</v>
      </c>
      <c r="AB313" s="12" t="str">
        <f t="array" ref="AB313">IF($A313="","",IFERROR(XLOOKUP($A313,'Auction Log'!$B$3:$B$300,'Auction Log'!$G$3:$G$300,""),""))</f>
        <v/>
      </c>
      <c r="AC313" s="12" t="str">
        <f t="array" ref="AC313">IF($A313="","",IFERROR(XLOOKUP($A313,'Auction Log'!$B$3:$B$300,'Auction Log'!$F$3:$F$300,""),""))</f>
        <v/>
      </c>
      <c r="AD313" s="12">
        <f t="array" ref="AD313">IF($A313="","",ROUND($Y313*XLOOKUP($F313,Settings!$I$15:$I$20,Settings!$K$15:$K$20,0.4),0))</f>
        <v>0</v>
      </c>
      <c r="AE313" s="12">
        <f t="array" ref="AE313">IF($A313="","",ROUND($Y313*XLOOKUP($F313,Settings!$I$15:$I$20,Settings!$L$15:$L$20,0.8),0))</f>
        <v>1</v>
      </c>
      <c r="AF313" s="12">
        <f t="array" ref="AF313">IF($A313="","",ROUND($Y313*XLOOKUP($F313,Settings!$I$15:$I$20,Settings!$M$15:$M$20,1),0))</f>
        <v>1</v>
      </c>
      <c r="AG313" s="12">
        <f t="array" ref="AG313">IF($A313="","",ROUND($Y313*XLOOKUP($F313,Settings!$I$15:$I$20,Settings!$N$15:$N$20,1.1),0))</f>
        <v>1</v>
      </c>
      <c r="AH313" s="12">
        <f t="array" ref="AH313">IF($A313="","",ROUND($Y313*XLOOKUP($F313,Settings!$I$15:$I$20,Settings!$O$15:$O$20,1.1)*Settings!$J$7,0))</f>
        <v>1</v>
      </c>
      <c r="AI313" s="12">
        <f t="array" ref="AI313">IF($A313="","",IF($AA313="Sold","",MIN($AH313,IFERROR(XLOOKUP(Settings!$B$12,Managers!$B$4:$B$15,Managers!$H$4:$H$15),$AH313))))</f>
        <v>1</v>
      </c>
      <c r="AJ313" s="12" t="str">
        <f t="shared" si="3"/>
        <v>Budget Drainer</v>
      </c>
      <c r="AK313" s="12">
        <f t="shared" si="4"/>
        <v>35</v>
      </c>
      <c r="AL313" s="12" t="str">
        <f t="shared" si="5"/>
        <v/>
      </c>
    </row>
    <row r="314" ht="15.75" customHeight="1">
      <c r="A314" s="10" t="s">
        <v>924</v>
      </c>
      <c r="B314" s="10" t="s">
        <v>925</v>
      </c>
      <c r="C314" s="10" t="s">
        <v>285</v>
      </c>
      <c r="D314" s="10" t="s">
        <v>118</v>
      </c>
      <c r="E314" s="10" t="s">
        <v>118</v>
      </c>
      <c r="F314" s="10" t="s">
        <v>117</v>
      </c>
      <c r="G314" s="10">
        <v>5.0</v>
      </c>
      <c r="H314" s="10">
        <v>7.0</v>
      </c>
      <c r="I314" s="10" t="s">
        <v>2140</v>
      </c>
      <c r="J314" s="10" t="s">
        <v>2136</v>
      </c>
      <c r="K314" s="10"/>
      <c r="L314" s="10">
        <v>85.5</v>
      </c>
      <c r="M314" s="10">
        <v>3.89</v>
      </c>
      <c r="N314" s="10"/>
      <c r="O314" s="10"/>
      <c r="P314" s="12">
        <f>IF($A314="","",IFERROR((IF($O314="",0,$O314)*Settings!$J$4+IF($L314="",0,$L314)*Settings!$J$5+IF($N314="",0,$N314)*Settings!$J$6)/(IF($O314="",0,Settings!$J$4)+IF($L314="",0,Settings!$J$5)+IF($N314="",0,Settings!$J$6)),0))</f>
        <v>85.5</v>
      </c>
      <c r="Q314" s="12">
        <f t="array" ref="Q314">IF($A314="","",XLOOKUP($E314,Settings!$A$19:$A$22,Settings!$G$19:$G$22,0))</f>
        <v>196.25</v>
      </c>
      <c r="R314" s="12">
        <f t="shared" si="1"/>
        <v>0</v>
      </c>
      <c r="S314" s="12">
        <f>IF($A314="","",IF($R314&lt;=0,1,1+$R314/SUMIF($R$4:$R$923,"&gt;0",$R$4:$R$923)*(Settings!$B$5*(Settings!$B$6-Settings!$B$7))))</f>
        <v>1</v>
      </c>
      <c r="T314" s="12">
        <f t="array" ref="T314">IF($A314="","",XLOOKUP($F314,Settings!$I$15:$I$20,Settings!$J$15:$J$20,1))</f>
        <v>0.75</v>
      </c>
      <c r="U314" s="12">
        <f>IF($A314="","",1+(($G314-5)/5)*Settings!$J$8)</f>
        <v>1</v>
      </c>
      <c r="V314" s="12">
        <f>IF($A314="","",1+(($H314-5)/5)*Settings!$J$9)</f>
        <v>1.06</v>
      </c>
      <c r="W314" s="12">
        <f t="array" ref="W314">IF($A314="","",XLOOKUP($J314,Lists!$C$3:$C$7,Lists!$D$3:$D$7,1))</f>
        <v>1</v>
      </c>
      <c r="X314" s="12">
        <f>IF($A314="","",IF($I314="Yes",Settings!$J$10,1))</f>
        <v>1</v>
      </c>
      <c r="Y314" s="12">
        <f t="shared" si="2"/>
        <v>1</v>
      </c>
      <c r="Z314" s="12">
        <f>IF($A314="","",IFERROR(ROUND(AVERAGEIFS('Historical Drafts'!$G$4:$G$300,'Historical Drafts'!$D$4:$D$300,$E314,'Historical Drafts'!$J$4:$J$300,"&gt;="&amp;$L314*0.85,'Historical Drafts'!$J$4:$J$300,"&lt;="&amp;$L314*1.15),0),$Y314))</f>
        <v>1</v>
      </c>
      <c r="AA314" s="12" t="str">
        <f>IF($A314="","",IF(COUNTIF('Auction Log'!$B$3:$B$300,$A314)&gt;0,"Sold","Available"))</f>
        <v>Available</v>
      </c>
      <c r="AB314" s="12" t="str">
        <f t="array" ref="AB314">IF($A314="","",IFERROR(XLOOKUP($A314,'Auction Log'!$B$3:$B$300,'Auction Log'!$G$3:$G$300,""),""))</f>
        <v/>
      </c>
      <c r="AC314" s="12" t="str">
        <f t="array" ref="AC314">IF($A314="","",IFERROR(XLOOKUP($A314,'Auction Log'!$B$3:$B$300,'Auction Log'!$F$3:$F$300,""),""))</f>
        <v/>
      </c>
      <c r="AD314" s="12">
        <f t="array" ref="AD314">IF($A314="","",ROUND($Y314*XLOOKUP($F314,Settings!$I$15:$I$20,Settings!$K$15:$K$20,0.4),0))</f>
        <v>0</v>
      </c>
      <c r="AE314" s="12">
        <f t="array" ref="AE314">IF($A314="","",ROUND($Y314*XLOOKUP($F314,Settings!$I$15:$I$20,Settings!$L$15:$L$20,0.8),0))</f>
        <v>1</v>
      </c>
      <c r="AF314" s="12">
        <f t="array" ref="AF314">IF($A314="","",ROUND($Y314*XLOOKUP($F314,Settings!$I$15:$I$20,Settings!$M$15:$M$20,1),0))</f>
        <v>1</v>
      </c>
      <c r="AG314" s="12">
        <f t="array" ref="AG314">IF($A314="","",ROUND($Y314*XLOOKUP($F314,Settings!$I$15:$I$20,Settings!$N$15:$N$20,1.1),0))</f>
        <v>1</v>
      </c>
      <c r="AH314" s="12">
        <f t="array" ref="AH314">IF($A314="","",ROUND($Y314*XLOOKUP($F314,Settings!$I$15:$I$20,Settings!$O$15:$O$20,1.1)*Settings!$J$7,0))</f>
        <v>1</v>
      </c>
      <c r="AI314" s="12">
        <f t="array" ref="AI314">IF($A314="","",IF($AA314="Sold","",MIN($AH314,IFERROR(XLOOKUP(Settings!$B$12,Managers!$B$4:$B$15,Managers!$H$4:$H$15),$AH314))))</f>
        <v>1</v>
      </c>
      <c r="AJ314" s="12" t="str">
        <f t="shared" si="3"/>
        <v>Recommended</v>
      </c>
      <c r="AK314" s="12">
        <f t="shared" si="4"/>
        <v>26</v>
      </c>
      <c r="AL314" s="12" t="str">
        <f t="shared" si="5"/>
        <v/>
      </c>
    </row>
    <row r="315" ht="15.75" customHeight="1">
      <c r="A315" s="10" t="s">
        <v>926</v>
      </c>
      <c r="B315" s="10" t="s">
        <v>927</v>
      </c>
      <c r="C315" s="10" t="s">
        <v>566</v>
      </c>
      <c r="D315" s="10" t="s">
        <v>118</v>
      </c>
      <c r="E315" s="10" t="s">
        <v>118</v>
      </c>
      <c r="F315" s="10" t="s">
        <v>117</v>
      </c>
      <c r="G315" s="10">
        <v>5.0</v>
      </c>
      <c r="H315" s="10">
        <v>7.0</v>
      </c>
      <c r="I315" s="10" t="s">
        <v>2140</v>
      </c>
      <c r="J315" s="10" t="s">
        <v>2136</v>
      </c>
      <c r="K315" s="10"/>
      <c r="L315" s="10">
        <v>85.25</v>
      </c>
      <c r="M315" s="10">
        <v>4.49</v>
      </c>
      <c r="N315" s="10"/>
      <c r="O315" s="10"/>
      <c r="P315" s="12">
        <f>IF($A315="","",IFERROR((IF($O315="",0,$O315)*Settings!$J$4+IF($L315="",0,$L315)*Settings!$J$5+IF($N315="",0,$N315)*Settings!$J$6)/(IF($O315="",0,Settings!$J$4)+IF($L315="",0,Settings!$J$5)+IF($N315="",0,Settings!$J$6)),0))</f>
        <v>85.25</v>
      </c>
      <c r="Q315" s="12">
        <f t="array" ref="Q315">IF($A315="","",XLOOKUP($E315,Settings!$A$19:$A$22,Settings!$G$19:$G$22,0))</f>
        <v>196.25</v>
      </c>
      <c r="R315" s="12">
        <f t="shared" si="1"/>
        <v>0</v>
      </c>
      <c r="S315" s="12">
        <f>IF($A315="","",IF($R315&lt;=0,1,1+$R315/SUMIF($R$4:$R$923,"&gt;0",$R$4:$R$923)*(Settings!$B$5*(Settings!$B$6-Settings!$B$7))))</f>
        <v>1</v>
      </c>
      <c r="T315" s="12">
        <f t="array" ref="T315">IF($A315="","",XLOOKUP($F315,Settings!$I$15:$I$20,Settings!$J$15:$J$20,1))</f>
        <v>0.75</v>
      </c>
      <c r="U315" s="12">
        <f>IF($A315="","",1+(($G315-5)/5)*Settings!$J$8)</f>
        <v>1</v>
      </c>
      <c r="V315" s="12">
        <f>IF($A315="","",1+(($H315-5)/5)*Settings!$J$9)</f>
        <v>1.06</v>
      </c>
      <c r="W315" s="12">
        <f t="array" ref="W315">IF($A315="","",XLOOKUP($J315,Lists!$C$3:$C$7,Lists!$D$3:$D$7,1))</f>
        <v>1</v>
      </c>
      <c r="X315" s="12">
        <f>IF($A315="","",IF($I315="Yes",Settings!$J$10,1))</f>
        <v>1</v>
      </c>
      <c r="Y315" s="12">
        <f t="shared" si="2"/>
        <v>1</v>
      </c>
      <c r="Z315" s="12">
        <f>IF($A315="","",IFERROR(ROUND(AVERAGEIFS('Historical Drafts'!$G$4:$G$300,'Historical Drafts'!$D$4:$D$300,$E315,'Historical Drafts'!$J$4:$J$300,"&gt;="&amp;$L315*0.85,'Historical Drafts'!$J$4:$J$300,"&lt;="&amp;$L315*1.15),0),$Y315))</f>
        <v>1</v>
      </c>
      <c r="AA315" s="12" t="str">
        <f>IF($A315="","",IF(COUNTIF('Auction Log'!$B$3:$B$300,$A315)&gt;0,"Sold","Available"))</f>
        <v>Available</v>
      </c>
      <c r="AB315" s="12" t="str">
        <f t="array" ref="AB315">IF($A315="","",IFERROR(XLOOKUP($A315,'Auction Log'!$B$3:$B$300,'Auction Log'!$G$3:$G$300,""),""))</f>
        <v/>
      </c>
      <c r="AC315" s="12" t="str">
        <f t="array" ref="AC315">IF($A315="","",IFERROR(XLOOKUP($A315,'Auction Log'!$B$3:$B$300,'Auction Log'!$F$3:$F$300,""),""))</f>
        <v/>
      </c>
      <c r="AD315" s="12">
        <f t="array" ref="AD315">IF($A315="","",ROUND($Y315*XLOOKUP($F315,Settings!$I$15:$I$20,Settings!$K$15:$K$20,0.4),0))</f>
        <v>0</v>
      </c>
      <c r="AE315" s="12">
        <f t="array" ref="AE315">IF($A315="","",ROUND($Y315*XLOOKUP($F315,Settings!$I$15:$I$20,Settings!$L$15:$L$20,0.8),0))</f>
        <v>1</v>
      </c>
      <c r="AF315" s="12">
        <f t="array" ref="AF315">IF($A315="","",ROUND($Y315*XLOOKUP($F315,Settings!$I$15:$I$20,Settings!$M$15:$M$20,1),0))</f>
        <v>1</v>
      </c>
      <c r="AG315" s="12">
        <f t="array" ref="AG315">IF($A315="","",ROUND($Y315*XLOOKUP($F315,Settings!$I$15:$I$20,Settings!$N$15:$N$20,1.1),0))</f>
        <v>1</v>
      </c>
      <c r="AH315" s="12">
        <f t="array" ref="AH315">IF($A315="","",ROUND($Y315*XLOOKUP($F315,Settings!$I$15:$I$20,Settings!$O$15:$O$20,1.1)*Settings!$J$7,0))</f>
        <v>1</v>
      </c>
      <c r="AI315" s="12">
        <f t="array" ref="AI315">IF($A315="","",IF($AA315="Sold","",MIN($AH315,IFERROR(XLOOKUP(Settings!$B$12,Managers!$B$4:$B$15,Managers!$H$4:$H$15),$AH315))))</f>
        <v>1</v>
      </c>
      <c r="AJ315" s="12" t="str">
        <f t="shared" si="3"/>
        <v>Recommended</v>
      </c>
      <c r="AK315" s="12">
        <f t="shared" si="4"/>
        <v>26</v>
      </c>
      <c r="AL315" s="12" t="str">
        <f t="shared" si="5"/>
        <v/>
      </c>
    </row>
    <row r="316" ht="15.75" customHeight="1">
      <c r="A316" s="10" t="s">
        <v>340</v>
      </c>
      <c r="B316" s="10" t="s">
        <v>341</v>
      </c>
      <c r="C316" s="10" t="s">
        <v>191</v>
      </c>
      <c r="D316" s="10" t="s">
        <v>123</v>
      </c>
      <c r="E316" s="10" t="s">
        <v>123</v>
      </c>
      <c r="F316" s="10" t="s">
        <v>117</v>
      </c>
      <c r="G316" s="10">
        <v>5.0</v>
      </c>
      <c r="H316" s="10">
        <v>7.0</v>
      </c>
      <c r="I316" s="10" t="s">
        <v>2140</v>
      </c>
      <c r="J316" s="10" t="s">
        <v>2136</v>
      </c>
      <c r="K316" s="10"/>
      <c r="L316" s="10">
        <v>84.5</v>
      </c>
      <c r="M316" s="10">
        <v>7.04</v>
      </c>
      <c r="N316" s="10"/>
      <c r="O316" s="10"/>
      <c r="P316" s="12">
        <f>IF($A316="","",IFERROR((IF($O316="",0,$O316)*Settings!$J$4+IF($L316="",0,$L316)*Settings!$J$5+IF($N316="",0,$N316)*Settings!$J$6)/(IF($O316="",0,Settings!$J$4)+IF($L316="",0,Settings!$J$5)+IF($N316="",0,Settings!$J$6)),0))</f>
        <v>84.5</v>
      </c>
      <c r="Q316" s="12">
        <f t="array" ref="Q316">IF($A316="","",XLOOKUP($E316,Settings!$A$19:$A$22,Settings!$G$19:$G$22,0))</f>
        <v>203</v>
      </c>
      <c r="R316" s="12">
        <f t="shared" si="1"/>
        <v>0</v>
      </c>
      <c r="S316" s="12">
        <f>IF($A316="","",IF($R316&lt;=0,1,1+$R316/SUMIF($R$4:$R$923,"&gt;0",$R$4:$R$923)*(Settings!$B$5*(Settings!$B$6-Settings!$B$7))))</f>
        <v>1</v>
      </c>
      <c r="T316" s="12">
        <f t="array" ref="T316">IF($A316="","",XLOOKUP($F316,Settings!$I$15:$I$20,Settings!$J$15:$J$20,1))</f>
        <v>0.75</v>
      </c>
      <c r="U316" s="12">
        <f>IF($A316="","",1+(($G316-5)/5)*Settings!$J$8)</f>
        <v>1</v>
      </c>
      <c r="V316" s="12">
        <f>IF($A316="","",1+(($H316-5)/5)*Settings!$J$9)</f>
        <v>1.06</v>
      </c>
      <c r="W316" s="12">
        <f t="array" ref="W316">IF($A316="","",XLOOKUP($J316,Lists!$C$3:$C$7,Lists!$D$3:$D$7,1))</f>
        <v>1</v>
      </c>
      <c r="X316" s="12">
        <f>IF($A316="","",IF($I316="Yes",Settings!$J$10,1))</f>
        <v>1</v>
      </c>
      <c r="Y316" s="12">
        <f t="shared" si="2"/>
        <v>1</v>
      </c>
      <c r="Z316" s="12">
        <f>IF($A316="","",IFERROR(ROUND(AVERAGEIFS('Historical Drafts'!$G$4:$G$300,'Historical Drafts'!$D$4:$D$300,$E316,'Historical Drafts'!$J$4:$J$300,"&gt;="&amp;$L316*0.85,'Historical Drafts'!$J$4:$J$300,"&lt;="&amp;$L316*1.15),0),$Y316))</f>
        <v>9</v>
      </c>
      <c r="AA316" s="12" t="str">
        <f>IF($A316="","",IF(COUNTIF('Auction Log'!$B$3:$B$300,$A316)&gt;0,"Sold","Available"))</f>
        <v>Available</v>
      </c>
      <c r="AB316" s="12" t="str">
        <f t="array" ref="AB316">IF($A316="","",IFERROR(XLOOKUP($A316,'Auction Log'!$B$3:$B$300,'Auction Log'!$G$3:$G$300,""),""))</f>
        <v/>
      </c>
      <c r="AC316" s="12" t="str">
        <f t="array" ref="AC316">IF($A316="","",IFERROR(XLOOKUP($A316,'Auction Log'!$B$3:$B$300,'Auction Log'!$F$3:$F$300,""),""))</f>
        <v/>
      </c>
      <c r="AD316" s="12">
        <f t="array" ref="AD316">IF($A316="","",ROUND($Y316*XLOOKUP($F316,Settings!$I$15:$I$20,Settings!$K$15:$K$20,0.4),0))</f>
        <v>0</v>
      </c>
      <c r="AE316" s="12">
        <f t="array" ref="AE316">IF($A316="","",ROUND($Y316*XLOOKUP($F316,Settings!$I$15:$I$20,Settings!$L$15:$L$20,0.8),0))</f>
        <v>1</v>
      </c>
      <c r="AF316" s="12">
        <f t="array" ref="AF316">IF($A316="","",ROUND($Y316*XLOOKUP($F316,Settings!$I$15:$I$20,Settings!$M$15:$M$20,1),0))</f>
        <v>1</v>
      </c>
      <c r="AG316" s="12">
        <f t="array" ref="AG316">IF($A316="","",ROUND($Y316*XLOOKUP($F316,Settings!$I$15:$I$20,Settings!$N$15:$N$20,1.1),0))</f>
        <v>1</v>
      </c>
      <c r="AH316" s="12">
        <f t="array" ref="AH316">IF($A316="","",ROUND($Y316*XLOOKUP($F316,Settings!$I$15:$I$20,Settings!$O$15:$O$20,1.1)*Settings!$J$7,0))</f>
        <v>1</v>
      </c>
      <c r="AI316" s="12">
        <f t="array" ref="AI316">IF($A316="","",IF($AA316="Sold","",MIN($AH316,IFERROR(XLOOKUP(Settings!$B$12,Managers!$B$4:$B$15,Managers!$H$4:$H$15),$AH316))))</f>
        <v>1</v>
      </c>
      <c r="AJ316" s="12" t="str">
        <f t="shared" si="3"/>
        <v>Budget Drainer</v>
      </c>
      <c r="AK316" s="12">
        <f t="shared" si="4"/>
        <v>34</v>
      </c>
      <c r="AL316" s="12" t="str">
        <f t="shared" si="5"/>
        <v/>
      </c>
    </row>
    <row r="317" ht="15.75" customHeight="1">
      <c r="A317" s="10" t="s">
        <v>928</v>
      </c>
      <c r="B317" s="10" t="s">
        <v>929</v>
      </c>
      <c r="C317" s="10" t="s">
        <v>215</v>
      </c>
      <c r="D317" s="10" t="s">
        <v>118</v>
      </c>
      <c r="E317" s="10" t="s">
        <v>118</v>
      </c>
      <c r="F317" s="10" t="s">
        <v>117</v>
      </c>
      <c r="G317" s="10">
        <v>5.0</v>
      </c>
      <c r="H317" s="10">
        <v>7.0</v>
      </c>
      <c r="I317" s="10" t="s">
        <v>2140</v>
      </c>
      <c r="J317" s="10" t="s">
        <v>2136</v>
      </c>
      <c r="K317" s="10"/>
      <c r="L317" s="10">
        <v>82.5</v>
      </c>
      <c r="M317" s="10">
        <v>3.59</v>
      </c>
      <c r="N317" s="10"/>
      <c r="O317" s="10"/>
      <c r="P317" s="12">
        <f>IF($A317="","",IFERROR((IF($O317="",0,$O317)*Settings!$J$4+IF($L317="",0,$L317)*Settings!$J$5+IF($N317="",0,$N317)*Settings!$J$6)/(IF($O317="",0,Settings!$J$4)+IF($L317="",0,Settings!$J$5)+IF($N317="",0,Settings!$J$6)),0))</f>
        <v>82.5</v>
      </c>
      <c r="Q317" s="12">
        <f t="array" ref="Q317">IF($A317="","",XLOOKUP($E317,Settings!$A$19:$A$22,Settings!$G$19:$G$22,0))</f>
        <v>196.25</v>
      </c>
      <c r="R317" s="12">
        <f t="shared" si="1"/>
        <v>0</v>
      </c>
      <c r="S317" s="12">
        <f>IF($A317="","",IF($R317&lt;=0,1,1+$R317/SUMIF($R$4:$R$923,"&gt;0",$R$4:$R$923)*(Settings!$B$5*(Settings!$B$6-Settings!$B$7))))</f>
        <v>1</v>
      </c>
      <c r="T317" s="12">
        <f t="array" ref="T317">IF($A317="","",XLOOKUP($F317,Settings!$I$15:$I$20,Settings!$J$15:$J$20,1))</f>
        <v>0.75</v>
      </c>
      <c r="U317" s="12">
        <f>IF($A317="","",1+(($G317-5)/5)*Settings!$J$8)</f>
        <v>1</v>
      </c>
      <c r="V317" s="12">
        <f>IF($A317="","",1+(($H317-5)/5)*Settings!$J$9)</f>
        <v>1.06</v>
      </c>
      <c r="W317" s="12">
        <f t="array" ref="W317">IF($A317="","",XLOOKUP($J317,Lists!$C$3:$C$7,Lists!$D$3:$D$7,1))</f>
        <v>1</v>
      </c>
      <c r="X317" s="12">
        <f>IF($A317="","",IF($I317="Yes",Settings!$J$10,1))</f>
        <v>1</v>
      </c>
      <c r="Y317" s="12">
        <f t="shared" si="2"/>
        <v>1</v>
      </c>
      <c r="Z317" s="12">
        <f>IF($A317="","",IFERROR(ROUND(AVERAGEIFS('Historical Drafts'!$G$4:$G$300,'Historical Drafts'!$D$4:$D$300,$E317,'Historical Drafts'!$J$4:$J$300,"&gt;="&amp;$L317*0.85,'Historical Drafts'!$J$4:$J$300,"&lt;="&amp;$L317*1.15),0),$Y317))</f>
        <v>1</v>
      </c>
      <c r="AA317" s="12" t="str">
        <f>IF($A317="","",IF(COUNTIF('Auction Log'!$B$3:$B$300,$A317)&gt;0,"Sold","Available"))</f>
        <v>Available</v>
      </c>
      <c r="AB317" s="12" t="str">
        <f t="array" ref="AB317">IF($A317="","",IFERROR(XLOOKUP($A317,'Auction Log'!$B$3:$B$300,'Auction Log'!$G$3:$G$300,""),""))</f>
        <v/>
      </c>
      <c r="AC317" s="12" t="str">
        <f t="array" ref="AC317">IF($A317="","",IFERROR(XLOOKUP($A317,'Auction Log'!$B$3:$B$300,'Auction Log'!$F$3:$F$300,""),""))</f>
        <v/>
      </c>
      <c r="AD317" s="12">
        <f t="array" ref="AD317">IF($A317="","",ROUND($Y317*XLOOKUP($F317,Settings!$I$15:$I$20,Settings!$K$15:$K$20,0.4),0))</f>
        <v>0</v>
      </c>
      <c r="AE317" s="12">
        <f t="array" ref="AE317">IF($A317="","",ROUND($Y317*XLOOKUP($F317,Settings!$I$15:$I$20,Settings!$L$15:$L$20,0.8),0))</f>
        <v>1</v>
      </c>
      <c r="AF317" s="12">
        <f t="array" ref="AF317">IF($A317="","",ROUND($Y317*XLOOKUP($F317,Settings!$I$15:$I$20,Settings!$M$15:$M$20,1),0))</f>
        <v>1</v>
      </c>
      <c r="AG317" s="12">
        <f t="array" ref="AG317">IF($A317="","",ROUND($Y317*XLOOKUP($F317,Settings!$I$15:$I$20,Settings!$N$15:$N$20,1.1),0))</f>
        <v>1</v>
      </c>
      <c r="AH317" s="12">
        <f t="array" ref="AH317">IF($A317="","",ROUND($Y317*XLOOKUP($F317,Settings!$I$15:$I$20,Settings!$O$15:$O$20,1.1)*Settings!$J$7,0))</f>
        <v>1</v>
      </c>
      <c r="AI317" s="12">
        <f t="array" ref="AI317">IF($A317="","",IF($AA317="Sold","",MIN($AH317,IFERROR(XLOOKUP(Settings!$B$12,Managers!$B$4:$B$15,Managers!$H$4:$H$15),$AH317))))</f>
        <v>1</v>
      </c>
      <c r="AJ317" s="12" t="str">
        <f t="shared" si="3"/>
        <v>Recommended</v>
      </c>
      <c r="AK317" s="12">
        <f t="shared" si="4"/>
        <v>26</v>
      </c>
      <c r="AL317" s="12" t="str">
        <f t="shared" si="5"/>
        <v/>
      </c>
    </row>
    <row r="318" ht="15.75" customHeight="1">
      <c r="A318" s="10" t="s">
        <v>930</v>
      </c>
      <c r="B318" s="10" t="s">
        <v>931</v>
      </c>
      <c r="C318" s="10" t="s">
        <v>231</v>
      </c>
      <c r="D318" s="10" t="s">
        <v>123</v>
      </c>
      <c r="E318" s="10" t="s">
        <v>123</v>
      </c>
      <c r="F318" s="10" t="s">
        <v>117</v>
      </c>
      <c r="G318" s="10">
        <v>5.0</v>
      </c>
      <c r="H318" s="10">
        <v>7.0</v>
      </c>
      <c r="I318" s="10" t="s">
        <v>2140</v>
      </c>
      <c r="J318" s="10" t="s">
        <v>2136</v>
      </c>
      <c r="K318" s="10"/>
      <c r="L318" s="10">
        <v>81.0</v>
      </c>
      <c r="M318" s="10">
        <v>3.86</v>
      </c>
      <c r="N318" s="10"/>
      <c r="O318" s="10"/>
      <c r="P318" s="12">
        <f>IF($A318="","",IFERROR((IF($O318="",0,$O318)*Settings!$J$4+IF($L318="",0,$L318)*Settings!$J$5+IF($N318="",0,$N318)*Settings!$J$6)/(IF($O318="",0,Settings!$J$4)+IF($L318="",0,Settings!$J$5)+IF($N318="",0,Settings!$J$6)),0))</f>
        <v>81</v>
      </c>
      <c r="Q318" s="12">
        <f t="array" ref="Q318">IF($A318="","",XLOOKUP($E318,Settings!$A$19:$A$22,Settings!$G$19:$G$22,0))</f>
        <v>203</v>
      </c>
      <c r="R318" s="12">
        <f t="shared" si="1"/>
        <v>0</v>
      </c>
      <c r="S318" s="12">
        <f>IF($A318="","",IF($R318&lt;=0,1,1+$R318/SUMIF($R$4:$R$923,"&gt;0",$R$4:$R$923)*(Settings!$B$5*(Settings!$B$6-Settings!$B$7))))</f>
        <v>1</v>
      </c>
      <c r="T318" s="12">
        <f t="array" ref="T318">IF($A318="","",XLOOKUP($F318,Settings!$I$15:$I$20,Settings!$J$15:$J$20,1))</f>
        <v>0.75</v>
      </c>
      <c r="U318" s="12">
        <f>IF($A318="","",1+(($G318-5)/5)*Settings!$J$8)</f>
        <v>1</v>
      </c>
      <c r="V318" s="12">
        <f>IF($A318="","",1+(($H318-5)/5)*Settings!$J$9)</f>
        <v>1.06</v>
      </c>
      <c r="W318" s="12">
        <f t="array" ref="W318">IF($A318="","",XLOOKUP($J318,Lists!$C$3:$C$7,Lists!$D$3:$D$7,1))</f>
        <v>1</v>
      </c>
      <c r="X318" s="12">
        <f>IF($A318="","",IF($I318="Yes",Settings!$J$10,1))</f>
        <v>1</v>
      </c>
      <c r="Y318" s="12">
        <f t="shared" si="2"/>
        <v>1</v>
      </c>
      <c r="Z318" s="12">
        <f>IF($A318="","",IFERROR(ROUND(AVERAGEIFS('Historical Drafts'!$G$4:$G$300,'Historical Drafts'!$D$4:$D$300,$E318,'Historical Drafts'!$J$4:$J$300,"&gt;="&amp;$L318*0.85,'Historical Drafts'!$J$4:$J$300,"&lt;="&amp;$L318*1.15),0),$Y318))</f>
        <v>7</v>
      </c>
      <c r="AA318" s="12" t="str">
        <f>IF($A318="","",IF(COUNTIF('Auction Log'!$B$3:$B$300,$A318)&gt;0,"Sold","Available"))</f>
        <v>Available</v>
      </c>
      <c r="AB318" s="12" t="str">
        <f t="array" ref="AB318">IF($A318="","",IFERROR(XLOOKUP($A318,'Auction Log'!$B$3:$B$300,'Auction Log'!$G$3:$G$300,""),""))</f>
        <v/>
      </c>
      <c r="AC318" s="12" t="str">
        <f t="array" ref="AC318">IF($A318="","",IFERROR(XLOOKUP($A318,'Auction Log'!$B$3:$B$300,'Auction Log'!$F$3:$F$300,""),""))</f>
        <v/>
      </c>
      <c r="AD318" s="12">
        <f t="array" ref="AD318">IF($A318="","",ROUND($Y318*XLOOKUP($F318,Settings!$I$15:$I$20,Settings!$K$15:$K$20,0.4),0))</f>
        <v>0</v>
      </c>
      <c r="AE318" s="12">
        <f t="array" ref="AE318">IF($A318="","",ROUND($Y318*XLOOKUP($F318,Settings!$I$15:$I$20,Settings!$L$15:$L$20,0.8),0))</f>
        <v>1</v>
      </c>
      <c r="AF318" s="12">
        <f t="array" ref="AF318">IF($A318="","",ROUND($Y318*XLOOKUP($F318,Settings!$I$15:$I$20,Settings!$M$15:$M$20,1),0))</f>
        <v>1</v>
      </c>
      <c r="AG318" s="12">
        <f t="array" ref="AG318">IF($A318="","",ROUND($Y318*XLOOKUP($F318,Settings!$I$15:$I$20,Settings!$N$15:$N$20,1.1),0))</f>
        <v>1</v>
      </c>
      <c r="AH318" s="12">
        <f t="array" ref="AH318">IF($A318="","",ROUND($Y318*XLOOKUP($F318,Settings!$I$15:$I$20,Settings!$O$15:$O$20,1.1)*Settings!$J$7,0))</f>
        <v>1</v>
      </c>
      <c r="AI318" s="12">
        <f t="array" ref="AI318">IF($A318="","",IF($AA318="Sold","",MIN($AH318,IFERROR(XLOOKUP(Settings!$B$12,Managers!$B$4:$B$15,Managers!$H$4:$H$15),$AH318))))</f>
        <v>1</v>
      </c>
      <c r="AJ318" s="12" t="str">
        <f t="shared" si="3"/>
        <v>Budget Drainer</v>
      </c>
      <c r="AK318" s="12">
        <f t="shared" si="4"/>
        <v>32</v>
      </c>
      <c r="AL318" s="12" t="str">
        <f t="shared" si="5"/>
        <v/>
      </c>
    </row>
    <row r="319" ht="15.75" customHeight="1">
      <c r="A319" s="10" t="s">
        <v>268</v>
      </c>
      <c r="B319" s="10" t="s">
        <v>269</v>
      </c>
      <c r="C319" s="10" t="s">
        <v>236</v>
      </c>
      <c r="D319" s="10" t="s">
        <v>123</v>
      </c>
      <c r="E319" s="10" t="s">
        <v>123</v>
      </c>
      <c r="F319" s="10" t="s">
        <v>117</v>
      </c>
      <c r="G319" s="10">
        <v>5.0</v>
      </c>
      <c r="H319" s="10">
        <v>7.0</v>
      </c>
      <c r="I319" s="10" t="s">
        <v>2140</v>
      </c>
      <c r="J319" s="10" t="s">
        <v>2136</v>
      </c>
      <c r="K319" s="10"/>
      <c r="L319" s="10">
        <v>81.0</v>
      </c>
      <c r="M319" s="10">
        <v>5.4</v>
      </c>
      <c r="N319" s="10"/>
      <c r="O319" s="10"/>
      <c r="P319" s="12">
        <f>IF($A319="","",IFERROR((IF($O319="",0,$O319)*Settings!$J$4+IF($L319="",0,$L319)*Settings!$J$5+IF($N319="",0,$N319)*Settings!$J$6)/(IF($O319="",0,Settings!$J$4)+IF($L319="",0,Settings!$J$5)+IF($N319="",0,Settings!$J$6)),0))</f>
        <v>81</v>
      </c>
      <c r="Q319" s="12">
        <f t="array" ref="Q319">IF($A319="","",XLOOKUP($E319,Settings!$A$19:$A$22,Settings!$G$19:$G$22,0))</f>
        <v>203</v>
      </c>
      <c r="R319" s="12">
        <f t="shared" si="1"/>
        <v>0</v>
      </c>
      <c r="S319" s="12">
        <f>IF($A319="","",IF($R319&lt;=0,1,1+$R319/SUMIF($R$4:$R$923,"&gt;0",$R$4:$R$923)*(Settings!$B$5*(Settings!$B$6-Settings!$B$7))))</f>
        <v>1</v>
      </c>
      <c r="T319" s="12">
        <f t="array" ref="T319">IF($A319="","",XLOOKUP($F319,Settings!$I$15:$I$20,Settings!$J$15:$J$20,1))</f>
        <v>0.75</v>
      </c>
      <c r="U319" s="12">
        <f>IF($A319="","",1+(($G319-5)/5)*Settings!$J$8)</f>
        <v>1</v>
      </c>
      <c r="V319" s="12">
        <f>IF($A319="","",1+(($H319-5)/5)*Settings!$J$9)</f>
        <v>1.06</v>
      </c>
      <c r="W319" s="12">
        <f t="array" ref="W319">IF($A319="","",XLOOKUP($J319,Lists!$C$3:$C$7,Lists!$D$3:$D$7,1))</f>
        <v>1</v>
      </c>
      <c r="X319" s="12">
        <f>IF($A319="","",IF($I319="Yes",Settings!$J$10,1))</f>
        <v>1</v>
      </c>
      <c r="Y319" s="12">
        <f t="shared" si="2"/>
        <v>1</v>
      </c>
      <c r="Z319" s="12">
        <f>IF($A319="","",IFERROR(ROUND(AVERAGEIFS('Historical Drafts'!$G$4:$G$300,'Historical Drafts'!$D$4:$D$300,$E319,'Historical Drafts'!$J$4:$J$300,"&gt;="&amp;$L319*0.85,'Historical Drafts'!$J$4:$J$300,"&lt;="&amp;$L319*1.15),0),$Y319))</f>
        <v>7</v>
      </c>
      <c r="AA319" s="12" t="str">
        <f>IF($A319="","",IF(COUNTIF('Auction Log'!$B$3:$B$300,$A319)&gt;0,"Sold","Available"))</f>
        <v>Available</v>
      </c>
      <c r="AB319" s="12" t="str">
        <f t="array" ref="AB319">IF($A319="","",IFERROR(XLOOKUP($A319,'Auction Log'!$B$3:$B$300,'Auction Log'!$G$3:$G$300,""),""))</f>
        <v/>
      </c>
      <c r="AC319" s="12" t="str">
        <f t="array" ref="AC319">IF($A319="","",IFERROR(XLOOKUP($A319,'Auction Log'!$B$3:$B$300,'Auction Log'!$F$3:$F$300,""),""))</f>
        <v/>
      </c>
      <c r="AD319" s="12">
        <f t="array" ref="AD319">IF($A319="","",ROUND($Y319*XLOOKUP($F319,Settings!$I$15:$I$20,Settings!$K$15:$K$20,0.4),0))</f>
        <v>0</v>
      </c>
      <c r="AE319" s="12">
        <f t="array" ref="AE319">IF($A319="","",ROUND($Y319*XLOOKUP($F319,Settings!$I$15:$I$20,Settings!$L$15:$L$20,0.8),0))</f>
        <v>1</v>
      </c>
      <c r="AF319" s="12">
        <f t="array" ref="AF319">IF($A319="","",ROUND($Y319*XLOOKUP($F319,Settings!$I$15:$I$20,Settings!$M$15:$M$20,1),0))</f>
        <v>1</v>
      </c>
      <c r="AG319" s="12">
        <f t="array" ref="AG319">IF($A319="","",ROUND($Y319*XLOOKUP($F319,Settings!$I$15:$I$20,Settings!$N$15:$N$20,1.1),0))</f>
        <v>1</v>
      </c>
      <c r="AH319" s="12">
        <f t="array" ref="AH319">IF($A319="","",ROUND($Y319*XLOOKUP($F319,Settings!$I$15:$I$20,Settings!$O$15:$O$20,1.1)*Settings!$J$7,0))</f>
        <v>1</v>
      </c>
      <c r="AI319" s="12">
        <f t="array" ref="AI319">IF($A319="","",IF($AA319="Sold","",MIN($AH319,IFERROR(XLOOKUP(Settings!$B$12,Managers!$B$4:$B$15,Managers!$H$4:$H$15),$AH319))))</f>
        <v>1</v>
      </c>
      <c r="AJ319" s="12" t="str">
        <f t="shared" si="3"/>
        <v>Budget Drainer</v>
      </c>
      <c r="AK319" s="12">
        <f t="shared" si="4"/>
        <v>32</v>
      </c>
      <c r="AL319" s="12" t="str">
        <f t="shared" si="5"/>
        <v/>
      </c>
    </row>
    <row r="320" ht="15.75" customHeight="1">
      <c r="A320" s="10" t="s">
        <v>932</v>
      </c>
      <c r="B320" s="10" t="s">
        <v>933</v>
      </c>
      <c r="C320" s="10" t="s">
        <v>934</v>
      </c>
      <c r="D320" s="10" t="s">
        <v>123</v>
      </c>
      <c r="E320" s="10" t="s">
        <v>123</v>
      </c>
      <c r="F320" s="10" t="s">
        <v>117</v>
      </c>
      <c r="G320" s="10">
        <v>5.0</v>
      </c>
      <c r="H320" s="10">
        <v>7.0</v>
      </c>
      <c r="I320" s="10" t="s">
        <v>2140</v>
      </c>
      <c r="J320" s="10" t="s">
        <v>2136</v>
      </c>
      <c r="K320" s="10"/>
      <c r="L320" s="10">
        <v>80.5</v>
      </c>
      <c r="M320" s="10">
        <v>3.83</v>
      </c>
      <c r="N320" s="10"/>
      <c r="O320" s="10"/>
      <c r="P320" s="12">
        <f>IF($A320="","",IFERROR((IF($O320="",0,$O320)*Settings!$J$4+IF($L320="",0,$L320)*Settings!$J$5+IF($N320="",0,$N320)*Settings!$J$6)/(IF($O320="",0,Settings!$J$4)+IF($L320="",0,Settings!$J$5)+IF($N320="",0,Settings!$J$6)),0))</f>
        <v>80.5</v>
      </c>
      <c r="Q320" s="12">
        <f t="array" ref="Q320">IF($A320="","",XLOOKUP($E320,Settings!$A$19:$A$22,Settings!$G$19:$G$22,0))</f>
        <v>203</v>
      </c>
      <c r="R320" s="12">
        <f t="shared" si="1"/>
        <v>0</v>
      </c>
      <c r="S320" s="12">
        <f>IF($A320="","",IF($R320&lt;=0,1,1+$R320/SUMIF($R$4:$R$923,"&gt;0",$R$4:$R$923)*(Settings!$B$5*(Settings!$B$6-Settings!$B$7))))</f>
        <v>1</v>
      </c>
      <c r="T320" s="12">
        <f t="array" ref="T320">IF($A320="","",XLOOKUP($F320,Settings!$I$15:$I$20,Settings!$J$15:$J$20,1))</f>
        <v>0.75</v>
      </c>
      <c r="U320" s="12">
        <f>IF($A320="","",1+(($G320-5)/5)*Settings!$J$8)</f>
        <v>1</v>
      </c>
      <c r="V320" s="12">
        <f>IF($A320="","",1+(($H320-5)/5)*Settings!$J$9)</f>
        <v>1.06</v>
      </c>
      <c r="W320" s="12">
        <f t="array" ref="W320">IF($A320="","",XLOOKUP($J320,Lists!$C$3:$C$7,Lists!$D$3:$D$7,1))</f>
        <v>1</v>
      </c>
      <c r="X320" s="12">
        <f>IF($A320="","",IF($I320="Yes",Settings!$J$10,1))</f>
        <v>1</v>
      </c>
      <c r="Y320" s="12">
        <f t="shared" si="2"/>
        <v>1</v>
      </c>
      <c r="Z320" s="12">
        <f>IF($A320="","",IFERROR(ROUND(AVERAGEIFS('Historical Drafts'!$G$4:$G$300,'Historical Drafts'!$D$4:$D$300,$E320,'Historical Drafts'!$J$4:$J$300,"&gt;="&amp;$L320*0.85,'Historical Drafts'!$J$4:$J$300,"&lt;="&amp;$L320*1.15),0),$Y320))</f>
        <v>11</v>
      </c>
      <c r="AA320" s="12" t="str">
        <f>IF($A320="","",IF(COUNTIF('Auction Log'!$B$3:$B$300,$A320)&gt;0,"Sold","Available"))</f>
        <v>Available</v>
      </c>
      <c r="AB320" s="12" t="str">
        <f t="array" ref="AB320">IF($A320="","",IFERROR(XLOOKUP($A320,'Auction Log'!$B$3:$B$300,'Auction Log'!$G$3:$G$300,""),""))</f>
        <v/>
      </c>
      <c r="AC320" s="12" t="str">
        <f t="array" ref="AC320">IF($A320="","",IFERROR(XLOOKUP($A320,'Auction Log'!$B$3:$B$300,'Auction Log'!$F$3:$F$300,""),""))</f>
        <v/>
      </c>
      <c r="AD320" s="12">
        <f t="array" ref="AD320">IF($A320="","",ROUND($Y320*XLOOKUP($F320,Settings!$I$15:$I$20,Settings!$K$15:$K$20,0.4),0))</f>
        <v>0</v>
      </c>
      <c r="AE320" s="12">
        <f t="array" ref="AE320">IF($A320="","",ROUND($Y320*XLOOKUP($F320,Settings!$I$15:$I$20,Settings!$L$15:$L$20,0.8),0))</f>
        <v>1</v>
      </c>
      <c r="AF320" s="12">
        <f t="array" ref="AF320">IF($A320="","",ROUND($Y320*XLOOKUP($F320,Settings!$I$15:$I$20,Settings!$M$15:$M$20,1),0))</f>
        <v>1</v>
      </c>
      <c r="AG320" s="12">
        <f t="array" ref="AG320">IF($A320="","",ROUND($Y320*XLOOKUP($F320,Settings!$I$15:$I$20,Settings!$N$15:$N$20,1.1),0))</f>
        <v>1</v>
      </c>
      <c r="AH320" s="12">
        <f t="array" ref="AH320">IF($A320="","",ROUND($Y320*XLOOKUP($F320,Settings!$I$15:$I$20,Settings!$O$15:$O$20,1.1)*Settings!$J$7,0))</f>
        <v>1</v>
      </c>
      <c r="AI320" s="12">
        <f t="array" ref="AI320">IF($A320="","",IF($AA320="Sold","",MIN($AH320,IFERROR(XLOOKUP(Settings!$B$12,Managers!$B$4:$B$15,Managers!$H$4:$H$15),$AH320))))</f>
        <v>1</v>
      </c>
      <c r="AJ320" s="12" t="str">
        <f t="shared" si="3"/>
        <v>Budget Drainer</v>
      </c>
      <c r="AK320" s="12">
        <f t="shared" si="4"/>
        <v>36</v>
      </c>
      <c r="AL320" s="12" t="str">
        <f t="shared" si="5"/>
        <v/>
      </c>
    </row>
    <row r="321" ht="15.75" customHeight="1">
      <c r="A321" s="10" t="s">
        <v>935</v>
      </c>
      <c r="B321" s="10" t="s">
        <v>936</v>
      </c>
      <c r="C321" s="10" t="s">
        <v>215</v>
      </c>
      <c r="D321" s="10" t="s">
        <v>123</v>
      </c>
      <c r="E321" s="10" t="s">
        <v>123</v>
      </c>
      <c r="F321" s="10" t="s">
        <v>117</v>
      </c>
      <c r="G321" s="10">
        <v>5.0</v>
      </c>
      <c r="H321" s="10">
        <v>7.0</v>
      </c>
      <c r="I321" s="10" t="s">
        <v>2140</v>
      </c>
      <c r="J321" s="10" t="s">
        <v>2136</v>
      </c>
      <c r="K321" s="10"/>
      <c r="L321" s="10">
        <v>80.5</v>
      </c>
      <c r="M321" s="10">
        <v>5.75</v>
      </c>
      <c r="N321" s="10"/>
      <c r="O321" s="10"/>
      <c r="P321" s="12">
        <f>IF($A321="","",IFERROR((IF($O321="",0,$O321)*Settings!$J$4+IF($L321="",0,$L321)*Settings!$J$5+IF($N321="",0,$N321)*Settings!$J$6)/(IF($O321="",0,Settings!$J$4)+IF($L321="",0,Settings!$J$5)+IF($N321="",0,Settings!$J$6)),0))</f>
        <v>80.5</v>
      </c>
      <c r="Q321" s="12">
        <f t="array" ref="Q321">IF($A321="","",XLOOKUP($E321,Settings!$A$19:$A$22,Settings!$G$19:$G$22,0))</f>
        <v>203</v>
      </c>
      <c r="R321" s="12">
        <f t="shared" si="1"/>
        <v>0</v>
      </c>
      <c r="S321" s="12">
        <f>IF($A321="","",IF($R321&lt;=0,1,1+$R321/SUMIF($R$4:$R$923,"&gt;0",$R$4:$R$923)*(Settings!$B$5*(Settings!$B$6-Settings!$B$7))))</f>
        <v>1</v>
      </c>
      <c r="T321" s="12">
        <f t="array" ref="T321">IF($A321="","",XLOOKUP($F321,Settings!$I$15:$I$20,Settings!$J$15:$J$20,1))</f>
        <v>0.75</v>
      </c>
      <c r="U321" s="12">
        <f>IF($A321="","",1+(($G321-5)/5)*Settings!$J$8)</f>
        <v>1</v>
      </c>
      <c r="V321" s="12">
        <f>IF($A321="","",1+(($H321-5)/5)*Settings!$J$9)</f>
        <v>1.06</v>
      </c>
      <c r="W321" s="12">
        <f t="array" ref="W321">IF($A321="","",XLOOKUP($J321,Lists!$C$3:$C$7,Lists!$D$3:$D$7,1))</f>
        <v>1</v>
      </c>
      <c r="X321" s="12">
        <f>IF($A321="","",IF($I321="Yes",Settings!$J$10,1))</f>
        <v>1</v>
      </c>
      <c r="Y321" s="12">
        <f t="shared" si="2"/>
        <v>1</v>
      </c>
      <c r="Z321" s="12">
        <f>IF($A321="","",IFERROR(ROUND(AVERAGEIFS('Historical Drafts'!$G$4:$G$300,'Historical Drafts'!$D$4:$D$300,$E321,'Historical Drafts'!$J$4:$J$300,"&gt;="&amp;$L321*0.85,'Historical Drafts'!$J$4:$J$300,"&lt;="&amp;$L321*1.15),0),$Y321))</f>
        <v>11</v>
      </c>
      <c r="AA321" s="12" t="str">
        <f>IF($A321="","",IF(COUNTIF('Auction Log'!$B$3:$B$300,$A321)&gt;0,"Sold","Available"))</f>
        <v>Available</v>
      </c>
      <c r="AB321" s="12" t="str">
        <f t="array" ref="AB321">IF($A321="","",IFERROR(XLOOKUP($A321,'Auction Log'!$B$3:$B$300,'Auction Log'!$G$3:$G$300,""),""))</f>
        <v/>
      </c>
      <c r="AC321" s="12" t="str">
        <f t="array" ref="AC321">IF($A321="","",IFERROR(XLOOKUP($A321,'Auction Log'!$B$3:$B$300,'Auction Log'!$F$3:$F$300,""),""))</f>
        <v/>
      </c>
      <c r="AD321" s="12">
        <f t="array" ref="AD321">IF($A321="","",ROUND($Y321*XLOOKUP($F321,Settings!$I$15:$I$20,Settings!$K$15:$K$20,0.4),0))</f>
        <v>0</v>
      </c>
      <c r="AE321" s="12">
        <f t="array" ref="AE321">IF($A321="","",ROUND($Y321*XLOOKUP($F321,Settings!$I$15:$I$20,Settings!$L$15:$L$20,0.8),0))</f>
        <v>1</v>
      </c>
      <c r="AF321" s="12">
        <f t="array" ref="AF321">IF($A321="","",ROUND($Y321*XLOOKUP($F321,Settings!$I$15:$I$20,Settings!$M$15:$M$20,1),0))</f>
        <v>1</v>
      </c>
      <c r="AG321" s="12">
        <f t="array" ref="AG321">IF($A321="","",ROUND($Y321*XLOOKUP($F321,Settings!$I$15:$I$20,Settings!$N$15:$N$20,1.1),0))</f>
        <v>1</v>
      </c>
      <c r="AH321" s="12">
        <f t="array" ref="AH321">IF($A321="","",ROUND($Y321*XLOOKUP($F321,Settings!$I$15:$I$20,Settings!$O$15:$O$20,1.1)*Settings!$J$7,0))</f>
        <v>1</v>
      </c>
      <c r="AI321" s="12">
        <f t="array" ref="AI321">IF($A321="","",IF($AA321="Sold","",MIN($AH321,IFERROR(XLOOKUP(Settings!$B$12,Managers!$B$4:$B$15,Managers!$H$4:$H$15),$AH321))))</f>
        <v>1</v>
      </c>
      <c r="AJ321" s="12" t="str">
        <f t="shared" si="3"/>
        <v>Budget Drainer</v>
      </c>
      <c r="AK321" s="12">
        <f t="shared" si="4"/>
        <v>36</v>
      </c>
      <c r="AL321" s="12" t="str">
        <f t="shared" si="5"/>
        <v/>
      </c>
    </row>
    <row r="322" ht="15.75" customHeight="1">
      <c r="A322" s="10" t="s">
        <v>937</v>
      </c>
      <c r="B322" s="10" t="s">
        <v>938</v>
      </c>
      <c r="C322" s="10" t="s">
        <v>199</v>
      </c>
      <c r="D322" s="10" t="s">
        <v>118</v>
      </c>
      <c r="E322" s="10" t="s">
        <v>118</v>
      </c>
      <c r="F322" s="10" t="s">
        <v>117</v>
      </c>
      <c r="G322" s="10">
        <v>5.0</v>
      </c>
      <c r="H322" s="10">
        <v>7.0</v>
      </c>
      <c r="I322" s="10" t="s">
        <v>2140</v>
      </c>
      <c r="J322" s="10" t="s">
        <v>2136</v>
      </c>
      <c r="K322" s="10"/>
      <c r="L322" s="10">
        <v>79.75</v>
      </c>
      <c r="M322" s="10">
        <v>4.69</v>
      </c>
      <c r="N322" s="10"/>
      <c r="O322" s="10"/>
      <c r="P322" s="12">
        <f>IF($A322="","",IFERROR((IF($O322="",0,$O322)*Settings!$J$4+IF($L322="",0,$L322)*Settings!$J$5+IF($N322="",0,$N322)*Settings!$J$6)/(IF($O322="",0,Settings!$J$4)+IF($L322="",0,Settings!$J$5)+IF($N322="",0,Settings!$J$6)),0))</f>
        <v>79.75</v>
      </c>
      <c r="Q322" s="12">
        <f t="array" ref="Q322">IF($A322="","",XLOOKUP($E322,Settings!$A$19:$A$22,Settings!$G$19:$G$22,0))</f>
        <v>196.25</v>
      </c>
      <c r="R322" s="12">
        <f t="shared" si="1"/>
        <v>0</v>
      </c>
      <c r="S322" s="12">
        <f>IF($A322="","",IF($R322&lt;=0,1,1+$R322/SUMIF($R$4:$R$923,"&gt;0",$R$4:$R$923)*(Settings!$B$5*(Settings!$B$6-Settings!$B$7))))</f>
        <v>1</v>
      </c>
      <c r="T322" s="12">
        <f t="array" ref="T322">IF($A322="","",XLOOKUP($F322,Settings!$I$15:$I$20,Settings!$J$15:$J$20,1))</f>
        <v>0.75</v>
      </c>
      <c r="U322" s="12">
        <f>IF($A322="","",1+(($G322-5)/5)*Settings!$J$8)</f>
        <v>1</v>
      </c>
      <c r="V322" s="12">
        <f>IF($A322="","",1+(($H322-5)/5)*Settings!$J$9)</f>
        <v>1.06</v>
      </c>
      <c r="W322" s="12">
        <f t="array" ref="W322">IF($A322="","",XLOOKUP($J322,Lists!$C$3:$C$7,Lists!$D$3:$D$7,1))</f>
        <v>1</v>
      </c>
      <c r="X322" s="12">
        <f>IF($A322="","",IF($I322="Yes",Settings!$J$10,1))</f>
        <v>1</v>
      </c>
      <c r="Y322" s="12">
        <f t="shared" si="2"/>
        <v>1</v>
      </c>
      <c r="Z322" s="12">
        <f>IF($A322="","",IFERROR(ROUND(AVERAGEIFS('Historical Drafts'!$G$4:$G$300,'Historical Drafts'!$D$4:$D$300,$E322,'Historical Drafts'!$J$4:$J$300,"&gt;="&amp;$L322*0.85,'Historical Drafts'!$J$4:$J$300,"&lt;="&amp;$L322*1.15),0),$Y322))</f>
        <v>1</v>
      </c>
      <c r="AA322" s="12" t="str">
        <f>IF($A322="","",IF(COUNTIF('Auction Log'!$B$3:$B$300,$A322)&gt;0,"Sold","Available"))</f>
        <v>Available</v>
      </c>
      <c r="AB322" s="12" t="str">
        <f t="array" ref="AB322">IF($A322="","",IFERROR(XLOOKUP($A322,'Auction Log'!$B$3:$B$300,'Auction Log'!$G$3:$G$300,""),""))</f>
        <v/>
      </c>
      <c r="AC322" s="12" t="str">
        <f t="array" ref="AC322">IF($A322="","",IFERROR(XLOOKUP($A322,'Auction Log'!$B$3:$B$300,'Auction Log'!$F$3:$F$300,""),""))</f>
        <v/>
      </c>
      <c r="AD322" s="12">
        <f t="array" ref="AD322">IF($A322="","",ROUND($Y322*XLOOKUP($F322,Settings!$I$15:$I$20,Settings!$K$15:$K$20,0.4),0))</f>
        <v>0</v>
      </c>
      <c r="AE322" s="12">
        <f t="array" ref="AE322">IF($A322="","",ROUND($Y322*XLOOKUP($F322,Settings!$I$15:$I$20,Settings!$L$15:$L$20,0.8),0))</f>
        <v>1</v>
      </c>
      <c r="AF322" s="12">
        <f t="array" ref="AF322">IF($A322="","",ROUND($Y322*XLOOKUP($F322,Settings!$I$15:$I$20,Settings!$M$15:$M$20,1),0))</f>
        <v>1</v>
      </c>
      <c r="AG322" s="12">
        <f t="array" ref="AG322">IF($A322="","",ROUND($Y322*XLOOKUP($F322,Settings!$I$15:$I$20,Settings!$N$15:$N$20,1.1),0))</f>
        <v>1</v>
      </c>
      <c r="AH322" s="12">
        <f t="array" ref="AH322">IF($A322="","",ROUND($Y322*XLOOKUP($F322,Settings!$I$15:$I$20,Settings!$O$15:$O$20,1.1)*Settings!$J$7,0))</f>
        <v>1</v>
      </c>
      <c r="AI322" s="12">
        <f t="array" ref="AI322">IF($A322="","",IF($AA322="Sold","",MIN($AH322,IFERROR(XLOOKUP(Settings!$B$12,Managers!$B$4:$B$15,Managers!$H$4:$H$15),$AH322))))</f>
        <v>1</v>
      </c>
      <c r="AJ322" s="12" t="str">
        <f t="shared" si="3"/>
        <v>Recommended</v>
      </c>
      <c r="AK322" s="12">
        <f t="shared" si="4"/>
        <v>26</v>
      </c>
      <c r="AL322" s="12" t="str">
        <f t="shared" si="5"/>
        <v/>
      </c>
    </row>
    <row r="323" ht="15.75" customHeight="1">
      <c r="A323" s="10" t="s">
        <v>939</v>
      </c>
      <c r="B323" s="10" t="s">
        <v>940</v>
      </c>
      <c r="C323" s="10" t="s">
        <v>177</v>
      </c>
      <c r="D323" s="10" t="s">
        <v>118</v>
      </c>
      <c r="E323" s="10" t="s">
        <v>118</v>
      </c>
      <c r="F323" s="10" t="s">
        <v>117</v>
      </c>
      <c r="G323" s="10">
        <v>5.0</v>
      </c>
      <c r="H323" s="10">
        <v>7.0</v>
      </c>
      <c r="I323" s="10" t="s">
        <v>2140</v>
      </c>
      <c r="J323" s="10" t="s">
        <v>2136</v>
      </c>
      <c r="K323" s="10"/>
      <c r="L323" s="10">
        <v>79.25</v>
      </c>
      <c r="M323" s="10">
        <v>5.28</v>
      </c>
      <c r="N323" s="10"/>
      <c r="O323" s="10"/>
      <c r="P323" s="12">
        <f>IF($A323="","",IFERROR((IF($O323="",0,$O323)*Settings!$J$4+IF($L323="",0,$L323)*Settings!$J$5+IF($N323="",0,$N323)*Settings!$J$6)/(IF($O323="",0,Settings!$J$4)+IF($L323="",0,Settings!$J$5)+IF($N323="",0,Settings!$J$6)),0))</f>
        <v>79.25</v>
      </c>
      <c r="Q323" s="12">
        <f t="array" ref="Q323">IF($A323="","",XLOOKUP($E323,Settings!$A$19:$A$22,Settings!$G$19:$G$22,0))</f>
        <v>196.25</v>
      </c>
      <c r="R323" s="12">
        <f t="shared" si="1"/>
        <v>0</v>
      </c>
      <c r="S323" s="12">
        <f>IF($A323="","",IF($R323&lt;=0,1,1+$R323/SUMIF($R$4:$R$923,"&gt;0",$R$4:$R$923)*(Settings!$B$5*(Settings!$B$6-Settings!$B$7))))</f>
        <v>1</v>
      </c>
      <c r="T323" s="12">
        <f t="array" ref="T323">IF($A323="","",XLOOKUP($F323,Settings!$I$15:$I$20,Settings!$J$15:$J$20,1))</f>
        <v>0.75</v>
      </c>
      <c r="U323" s="12">
        <f>IF($A323="","",1+(($G323-5)/5)*Settings!$J$8)</f>
        <v>1</v>
      </c>
      <c r="V323" s="12">
        <f>IF($A323="","",1+(($H323-5)/5)*Settings!$J$9)</f>
        <v>1.06</v>
      </c>
      <c r="W323" s="12">
        <f t="array" ref="W323">IF($A323="","",XLOOKUP($J323,Lists!$C$3:$C$7,Lists!$D$3:$D$7,1))</f>
        <v>1</v>
      </c>
      <c r="X323" s="12">
        <f>IF($A323="","",IF($I323="Yes",Settings!$J$10,1))</f>
        <v>1</v>
      </c>
      <c r="Y323" s="12">
        <f t="shared" si="2"/>
        <v>1</v>
      </c>
      <c r="Z323" s="12">
        <f>IF($A323="","",IFERROR(ROUND(AVERAGEIFS('Historical Drafts'!$G$4:$G$300,'Historical Drafts'!$D$4:$D$300,$E323,'Historical Drafts'!$J$4:$J$300,"&gt;="&amp;$L323*0.85,'Historical Drafts'!$J$4:$J$300,"&lt;="&amp;$L323*1.15),0),$Y323))</f>
        <v>1</v>
      </c>
      <c r="AA323" s="12" t="str">
        <f>IF($A323="","",IF(COUNTIF('Auction Log'!$B$3:$B$300,$A323)&gt;0,"Sold","Available"))</f>
        <v>Available</v>
      </c>
      <c r="AB323" s="12" t="str">
        <f t="array" ref="AB323">IF($A323="","",IFERROR(XLOOKUP($A323,'Auction Log'!$B$3:$B$300,'Auction Log'!$G$3:$G$300,""),""))</f>
        <v/>
      </c>
      <c r="AC323" s="12" t="str">
        <f t="array" ref="AC323">IF($A323="","",IFERROR(XLOOKUP($A323,'Auction Log'!$B$3:$B$300,'Auction Log'!$F$3:$F$300,""),""))</f>
        <v/>
      </c>
      <c r="AD323" s="12">
        <f t="array" ref="AD323">IF($A323="","",ROUND($Y323*XLOOKUP($F323,Settings!$I$15:$I$20,Settings!$K$15:$K$20,0.4),0))</f>
        <v>0</v>
      </c>
      <c r="AE323" s="12">
        <f t="array" ref="AE323">IF($A323="","",ROUND($Y323*XLOOKUP($F323,Settings!$I$15:$I$20,Settings!$L$15:$L$20,0.8),0))</f>
        <v>1</v>
      </c>
      <c r="AF323" s="12">
        <f t="array" ref="AF323">IF($A323="","",ROUND($Y323*XLOOKUP($F323,Settings!$I$15:$I$20,Settings!$M$15:$M$20,1),0))</f>
        <v>1</v>
      </c>
      <c r="AG323" s="12">
        <f t="array" ref="AG323">IF($A323="","",ROUND($Y323*XLOOKUP($F323,Settings!$I$15:$I$20,Settings!$N$15:$N$20,1.1),0))</f>
        <v>1</v>
      </c>
      <c r="AH323" s="12">
        <f t="array" ref="AH323">IF($A323="","",ROUND($Y323*XLOOKUP($F323,Settings!$I$15:$I$20,Settings!$O$15:$O$20,1.1)*Settings!$J$7,0))</f>
        <v>1</v>
      </c>
      <c r="AI323" s="12">
        <f t="array" ref="AI323">IF($A323="","",IF($AA323="Sold","",MIN($AH323,IFERROR(XLOOKUP(Settings!$B$12,Managers!$B$4:$B$15,Managers!$H$4:$H$15),$AH323))))</f>
        <v>1</v>
      </c>
      <c r="AJ323" s="12" t="str">
        <f t="shared" si="3"/>
        <v>Recommended</v>
      </c>
      <c r="AK323" s="12">
        <f t="shared" si="4"/>
        <v>26</v>
      </c>
      <c r="AL323" s="12" t="str">
        <f t="shared" si="5"/>
        <v/>
      </c>
    </row>
    <row r="324" ht="15.75" customHeight="1">
      <c r="A324" s="10" t="s">
        <v>941</v>
      </c>
      <c r="B324" s="10" t="s">
        <v>942</v>
      </c>
      <c r="C324" s="10" t="s">
        <v>236</v>
      </c>
      <c r="D324" s="10" t="s">
        <v>123</v>
      </c>
      <c r="E324" s="10" t="s">
        <v>123</v>
      </c>
      <c r="F324" s="10" t="s">
        <v>117</v>
      </c>
      <c r="G324" s="10">
        <v>5.0</v>
      </c>
      <c r="H324" s="10">
        <v>7.0</v>
      </c>
      <c r="I324" s="10" t="s">
        <v>2140</v>
      </c>
      <c r="J324" s="10" t="s">
        <v>2136</v>
      </c>
      <c r="K324" s="10"/>
      <c r="L324" s="10">
        <v>79.0</v>
      </c>
      <c r="M324" s="10">
        <v>4.65</v>
      </c>
      <c r="N324" s="10"/>
      <c r="O324" s="10"/>
      <c r="P324" s="12">
        <f>IF($A324="","",IFERROR((IF($O324="",0,$O324)*Settings!$J$4+IF($L324="",0,$L324)*Settings!$J$5+IF($N324="",0,$N324)*Settings!$J$6)/(IF($O324="",0,Settings!$J$4)+IF($L324="",0,Settings!$J$5)+IF($N324="",0,Settings!$J$6)),0))</f>
        <v>79</v>
      </c>
      <c r="Q324" s="12">
        <f t="array" ref="Q324">IF($A324="","",XLOOKUP($E324,Settings!$A$19:$A$22,Settings!$G$19:$G$22,0))</f>
        <v>203</v>
      </c>
      <c r="R324" s="12">
        <f t="shared" si="1"/>
        <v>0</v>
      </c>
      <c r="S324" s="12">
        <f>IF($A324="","",IF($R324&lt;=0,1,1+$R324/SUMIF($R$4:$R$923,"&gt;0",$R$4:$R$923)*(Settings!$B$5*(Settings!$B$6-Settings!$B$7))))</f>
        <v>1</v>
      </c>
      <c r="T324" s="12">
        <f t="array" ref="T324">IF($A324="","",XLOOKUP($F324,Settings!$I$15:$I$20,Settings!$J$15:$J$20,1))</f>
        <v>0.75</v>
      </c>
      <c r="U324" s="12">
        <f>IF($A324="","",1+(($G324-5)/5)*Settings!$J$8)</f>
        <v>1</v>
      </c>
      <c r="V324" s="12">
        <f>IF($A324="","",1+(($H324-5)/5)*Settings!$J$9)</f>
        <v>1.06</v>
      </c>
      <c r="W324" s="12">
        <f t="array" ref="W324">IF($A324="","",XLOOKUP($J324,Lists!$C$3:$C$7,Lists!$D$3:$D$7,1))</f>
        <v>1</v>
      </c>
      <c r="X324" s="12">
        <f>IF($A324="","",IF($I324="Yes",Settings!$J$10,1))</f>
        <v>1</v>
      </c>
      <c r="Y324" s="12">
        <f t="shared" si="2"/>
        <v>1</v>
      </c>
      <c r="Z324" s="12">
        <f>IF($A324="","",IFERROR(ROUND(AVERAGEIFS('Historical Drafts'!$G$4:$G$300,'Historical Drafts'!$D$4:$D$300,$E324,'Historical Drafts'!$J$4:$J$300,"&gt;="&amp;$L324*0.85,'Historical Drafts'!$J$4:$J$300,"&lt;="&amp;$L324*1.15),0),$Y324))</f>
        <v>11</v>
      </c>
      <c r="AA324" s="12" t="str">
        <f>IF($A324="","",IF(COUNTIF('Auction Log'!$B$3:$B$300,$A324)&gt;0,"Sold","Available"))</f>
        <v>Available</v>
      </c>
      <c r="AB324" s="12" t="str">
        <f t="array" ref="AB324">IF($A324="","",IFERROR(XLOOKUP($A324,'Auction Log'!$B$3:$B$300,'Auction Log'!$G$3:$G$300,""),""))</f>
        <v/>
      </c>
      <c r="AC324" s="12" t="str">
        <f t="array" ref="AC324">IF($A324="","",IFERROR(XLOOKUP($A324,'Auction Log'!$B$3:$B$300,'Auction Log'!$F$3:$F$300,""),""))</f>
        <v/>
      </c>
      <c r="AD324" s="12">
        <f t="array" ref="AD324">IF($A324="","",ROUND($Y324*XLOOKUP($F324,Settings!$I$15:$I$20,Settings!$K$15:$K$20,0.4),0))</f>
        <v>0</v>
      </c>
      <c r="AE324" s="12">
        <f t="array" ref="AE324">IF($A324="","",ROUND($Y324*XLOOKUP($F324,Settings!$I$15:$I$20,Settings!$L$15:$L$20,0.8),0))</f>
        <v>1</v>
      </c>
      <c r="AF324" s="12">
        <f t="array" ref="AF324">IF($A324="","",ROUND($Y324*XLOOKUP($F324,Settings!$I$15:$I$20,Settings!$M$15:$M$20,1),0))</f>
        <v>1</v>
      </c>
      <c r="AG324" s="12">
        <f t="array" ref="AG324">IF($A324="","",ROUND($Y324*XLOOKUP($F324,Settings!$I$15:$I$20,Settings!$N$15:$N$20,1.1),0))</f>
        <v>1</v>
      </c>
      <c r="AH324" s="12">
        <f t="array" ref="AH324">IF($A324="","",ROUND($Y324*XLOOKUP($F324,Settings!$I$15:$I$20,Settings!$O$15:$O$20,1.1)*Settings!$J$7,0))</f>
        <v>1</v>
      </c>
      <c r="AI324" s="12">
        <f t="array" ref="AI324">IF($A324="","",IF($AA324="Sold","",MIN($AH324,IFERROR(XLOOKUP(Settings!$B$12,Managers!$B$4:$B$15,Managers!$H$4:$H$15),$AH324))))</f>
        <v>1</v>
      </c>
      <c r="AJ324" s="12" t="str">
        <f t="shared" si="3"/>
        <v>Budget Drainer</v>
      </c>
      <c r="AK324" s="12">
        <f t="shared" si="4"/>
        <v>36</v>
      </c>
      <c r="AL324" s="12" t="str">
        <f t="shared" si="5"/>
        <v/>
      </c>
    </row>
    <row r="325" ht="15.75" customHeight="1">
      <c r="A325" s="10" t="s">
        <v>943</v>
      </c>
      <c r="B325" s="10" t="s">
        <v>944</v>
      </c>
      <c r="C325" s="10" t="s">
        <v>387</v>
      </c>
      <c r="D325" s="10" t="s">
        <v>121</v>
      </c>
      <c r="E325" s="10" t="s">
        <v>121</v>
      </c>
      <c r="F325" s="10" t="s">
        <v>117</v>
      </c>
      <c r="G325" s="10">
        <v>5.0</v>
      </c>
      <c r="H325" s="10">
        <v>7.0</v>
      </c>
      <c r="I325" s="10" t="s">
        <v>2140</v>
      </c>
      <c r="J325" s="10" t="s">
        <v>2136</v>
      </c>
      <c r="K325" s="10"/>
      <c r="L325" s="10">
        <v>79.0</v>
      </c>
      <c r="M325" s="10">
        <v>3.59</v>
      </c>
      <c r="N325" s="10"/>
      <c r="O325" s="10"/>
      <c r="P325" s="12">
        <f>IF($A325="","",IFERROR((IF($O325="",0,$O325)*Settings!$J$4+IF($L325="",0,$L325)*Settings!$J$5+IF($N325="",0,$N325)*Settings!$J$6)/(IF($O325="",0,Settings!$J$4)+IF($L325="",0,Settings!$J$5)+IF($N325="",0,Settings!$J$6)),0))</f>
        <v>79</v>
      </c>
      <c r="Q325" s="12">
        <f t="array" ref="Q325">IF($A325="","",XLOOKUP($E325,Settings!$A$19:$A$22,Settings!$G$19:$G$22,0))</f>
        <v>206</v>
      </c>
      <c r="R325" s="12">
        <f t="shared" si="1"/>
        <v>0</v>
      </c>
      <c r="S325" s="12">
        <f>IF($A325="","",IF($R325&lt;=0,1,1+$R325/SUMIF($R$4:$R$923,"&gt;0",$R$4:$R$923)*(Settings!$B$5*(Settings!$B$6-Settings!$B$7))))</f>
        <v>1</v>
      </c>
      <c r="T325" s="12">
        <f t="array" ref="T325">IF($A325="","",XLOOKUP($F325,Settings!$I$15:$I$20,Settings!$J$15:$J$20,1))</f>
        <v>0.75</v>
      </c>
      <c r="U325" s="12">
        <f>IF($A325="","",1+(($G325-5)/5)*Settings!$J$8)</f>
        <v>1</v>
      </c>
      <c r="V325" s="12">
        <f>IF($A325="","",1+(($H325-5)/5)*Settings!$J$9)</f>
        <v>1.06</v>
      </c>
      <c r="W325" s="12">
        <f t="array" ref="W325">IF($A325="","",XLOOKUP($J325,Lists!$C$3:$C$7,Lists!$D$3:$D$7,1))</f>
        <v>1</v>
      </c>
      <c r="X325" s="12">
        <f>IF($A325="","",IF($I325="Yes",Settings!$J$10,1))</f>
        <v>1</v>
      </c>
      <c r="Y325" s="12">
        <f t="shared" si="2"/>
        <v>1</v>
      </c>
      <c r="Z325" s="12">
        <f>IF($A325="","",IFERROR(ROUND(AVERAGEIFS('Historical Drafts'!$G$4:$G$300,'Historical Drafts'!$D$4:$D$300,$E325,'Historical Drafts'!$J$4:$J$300,"&gt;="&amp;$L325*0.85,'Historical Drafts'!$J$4:$J$300,"&lt;="&amp;$L325*1.15),0),$Y325))</f>
        <v>3</v>
      </c>
      <c r="AA325" s="12" t="str">
        <f>IF($A325="","",IF(COUNTIF('Auction Log'!$B$3:$B$300,$A325)&gt;0,"Sold","Available"))</f>
        <v>Available</v>
      </c>
      <c r="AB325" s="12" t="str">
        <f t="array" ref="AB325">IF($A325="","",IFERROR(XLOOKUP($A325,'Auction Log'!$B$3:$B$300,'Auction Log'!$G$3:$G$300,""),""))</f>
        <v/>
      </c>
      <c r="AC325" s="12" t="str">
        <f t="array" ref="AC325">IF($A325="","",IFERROR(XLOOKUP($A325,'Auction Log'!$B$3:$B$300,'Auction Log'!$F$3:$F$300,""),""))</f>
        <v/>
      </c>
      <c r="AD325" s="12">
        <f t="array" ref="AD325">IF($A325="","",ROUND($Y325*XLOOKUP($F325,Settings!$I$15:$I$20,Settings!$K$15:$K$20,0.4),0))</f>
        <v>0</v>
      </c>
      <c r="AE325" s="12">
        <f t="array" ref="AE325">IF($A325="","",ROUND($Y325*XLOOKUP($F325,Settings!$I$15:$I$20,Settings!$L$15:$L$20,0.8),0))</f>
        <v>1</v>
      </c>
      <c r="AF325" s="12">
        <f t="array" ref="AF325">IF($A325="","",ROUND($Y325*XLOOKUP($F325,Settings!$I$15:$I$20,Settings!$M$15:$M$20,1),0))</f>
        <v>1</v>
      </c>
      <c r="AG325" s="12">
        <f t="array" ref="AG325">IF($A325="","",ROUND($Y325*XLOOKUP($F325,Settings!$I$15:$I$20,Settings!$N$15:$N$20,1.1),0))</f>
        <v>1</v>
      </c>
      <c r="AH325" s="12">
        <f t="array" ref="AH325">IF($A325="","",ROUND($Y325*XLOOKUP($F325,Settings!$I$15:$I$20,Settings!$O$15:$O$20,1.1)*Settings!$J$7,0))</f>
        <v>1</v>
      </c>
      <c r="AI325" s="12">
        <f t="array" ref="AI325">IF($A325="","",IF($AA325="Sold","",MIN($AH325,IFERROR(XLOOKUP(Settings!$B$12,Managers!$B$4:$B$15,Managers!$H$4:$H$15),$AH325))))</f>
        <v>1</v>
      </c>
      <c r="AJ325" s="12" t="str">
        <f t="shared" si="3"/>
        <v>Budget Drainer</v>
      </c>
      <c r="AK325" s="12">
        <f t="shared" si="4"/>
        <v>28</v>
      </c>
      <c r="AL325" s="12" t="str">
        <f t="shared" si="5"/>
        <v/>
      </c>
    </row>
    <row r="326" ht="15.75" customHeight="1">
      <c r="A326" s="10" t="s">
        <v>945</v>
      </c>
      <c r="B326" s="10" t="s">
        <v>946</v>
      </c>
      <c r="C326" s="10" t="s">
        <v>305</v>
      </c>
      <c r="D326" s="10" t="s">
        <v>123</v>
      </c>
      <c r="E326" s="10" t="s">
        <v>123</v>
      </c>
      <c r="F326" s="10" t="s">
        <v>117</v>
      </c>
      <c r="G326" s="10">
        <v>5.0</v>
      </c>
      <c r="H326" s="10">
        <v>7.0</v>
      </c>
      <c r="I326" s="10" t="s">
        <v>2140</v>
      </c>
      <c r="J326" s="10" t="s">
        <v>2136</v>
      </c>
      <c r="K326" s="10"/>
      <c r="L326" s="10">
        <v>79.0</v>
      </c>
      <c r="M326" s="10">
        <v>3.76</v>
      </c>
      <c r="N326" s="10"/>
      <c r="O326" s="10"/>
      <c r="P326" s="12">
        <f>IF($A326="","",IFERROR((IF($O326="",0,$O326)*Settings!$J$4+IF($L326="",0,$L326)*Settings!$J$5+IF($N326="",0,$N326)*Settings!$J$6)/(IF($O326="",0,Settings!$J$4)+IF($L326="",0,Settings!$J$5)+IF($N326="",0,Settings!$J$6)),0))</f>
        <v>79</v>
      </c>
      <c r="Q326" s="12">
        <f t="array" ref="Q326">IF($A326="","",XLOOKUP($E326,Settings!$A$19:$A$22,Settings!$G$19:$G$22,0))</f>
        <v>203</v>
      </c>
      <c r="R326" s="12">
        <f t="shared" si="1"/>
        <v>0</v>
      </c>
      <c r="S326" s="12">
        <f>IF($A326="","",IF($R326&lt;=0,1,1+$R326/SUMIF($R$4:$R$923,"&gt;0",$R$4:$R$923)*(Settings!$B$5*(Settings!$B$6-Settings!$B$7))))</f>
        <v>1</v>
      </c>
      <c r="T326" s="12">
        <f t="array" ref="T326">IF($A326="","",XLOOKUP($F326,Settings!$I$15:$I$20,Settings!$J$15:$J$20,1))</f>
        <v>0.75</v>
      </c>
      <c r="U326" s="12">
        <f>IF($A326="","",1+(($G326-5)/5)*Settings!$J$8)</f>
        <v>1</v>
      </c>
      <c r="V326" s="12">
        <f>IF($A326="","",1+(($H326-5)/5)*Settings!$J$9)</f>
        <v>1.06</v>
      </c>
      <c r="W326" s="12">
        <f t="array" ref="W326">IF($A326="","",XLOOKUP($J326,Lists!$C$3:$C$7,Lists!$D$3:$D$7,1))</f>
        <v>1</v>
      </c>
      <c r="X326" s="12">
        <f>IF($A326="","",IF($I326="Yes",Settings!$J$10,1))</f>
        <v>1</v>
      </c>
      <c r="Y326" s="12">
        <f t="shared" si="2"/>
        <v>1</v>
      </c>
      <c r="Z326" s="12">
        <f>IF($A326="","",IFERROR(ROUND(AVERAGEIFS('Historical Drafts'!$G$4:$G$300,'Historical Drafts'!$D$4:$D$300,$E326,'Historical Drafts'!$J$4:$J$300,"&gt;="&amp;$L326*0.85,'Historical Drafts'!$J$4:$J$300,"&lt;="&amp;$L326*1.15),0),$Y326))</f>
        <v>11</v>
      </c>
      <c r="AA326" s="12" t="str">
        <f>IF($A326="","",IF(COUNTIF('Auction Log'!$B$3:$B$300,$A326)&gt;0,"Sold","Available"))</f>
        <v>Available</v>
      </c>
      <c r="AB326" s="12" t="str">
        <f t="array" ref="AB326">IF($A326="","",IFERROR(XLOOKUP($A326,'Auction Log'!$B$3:$B$300,'Auction Log'!$G$3:$G$300,""),""))</f>
        <v/>
      </c>
      <c r="AC326" s="12" t="str">
        <f t="array" ref="AC326">IF($A326="","",IFERROR(XLOOKUP($A326,'Auction Log'!$B$3:$B$300,'Auction Log'!$F$3:$F$300,""),""))</f>
        <v/>
      </c>
      <c r="AD326" s="12">
        <f t="array" ref="AD326">IF($A326="","",ROUND($Y326*XLOOKUP($F326,Settings!$I$15:$I$20,Settings!$K$15:$K$20,0.4),0))</f>
        <v>0</v>
      </c>
      <c r="AE326" s="12">
        <f t="array" ref="AE326">IF($A326="","",ROUND($Y326*XLOOKUP($F326,Settings!$I$15:$I$20,Settings!$L$15:$L$20,0.8),0))</f>
        <v>1</v>
      </c>
      <c r="AF326" s="12">
        <f t="array" ref="AF326">IF($A326="","",ROUND($Y326*XLOOKUP($F326,Settings!$I$15:$I$20,Settings!$M$15:$M$20,1),0))</f>
        <v>1</v>
      </c>
      <c r="AG326" s="12">
        <f t="array" ref="AG326">IF($A326="","",ROUND($Y326*XLOOKUP($F326,Settings!$I$15:$I$20,Settings!$N$15:$N$20,1.1),0))</f>
        <v>1</v>
      </c>
      <c r="AH326" s="12">
        <f t="array" ref="AH326">IF($A326="","",ROUND($Y326*XLOOKUP($F326,Settings!$I$15:$I$20,Settings!$O$15:$O$20,1.1)*Settings!$J$7,0))</f>
        <v>1</v>
      </c>
      <c r="AI326" s="12">
        <f t="array" ref="AI326">IF($A326="","",IF($AA326="Sold","",MIN($AH326,IFERROR(XLOOKUP(Settings!$B$12,Managers!$B$4:$B$15,Managers!$H$4:$H$15),$AH326))))</f>
        <v>1</v>
      </c>
      <c r="AJ326" s="12" t="str">
        <f t="shared" si="3"/>
        <v>Budget Drainer</v>
      </c>
      <c r="AK326" s="12">
        <f t="shared" si="4"/>
        <v>36</v>
      </c>
      <c r="AL326" s="12" t="str">
        <f t="shared" si="5"/>
        <v/>
      </c>
    </row>
    <row r="327" ht="15.75" customHeight="1">
      <c r="A327" s="10" t="s">
        <v>947</v>
      </c>
      <c r="B327" s="10" t="s">
        <v>948</v>
      </c>
      <c r="C327" s="10" t="s">
        <v>215</v>
      </c>
      <c r="D327" s="10" t="s">
        <v>121</v>
      </c>
      <c r="E327" s="10" t="s">
        <v>121</v>
      </c>
      <c r="F327" s="10" t="s">
        <v>117</v>
      </c>
      <c r="G327" s="10">
        <v>5.0</v>
      </c>
      <c r="H327" s="10">
        <v>7.0</v>
      </c>
      <c r="I327" s="10" t="s">
        <v>2140</v>
      </c>
      <c r="J327" s="10" t="s">
        <v>2136</v>
      </c>
      <c r="K327" s="10"/>
      <c r="L327" s="10">
        <v>79.0</v>
      </c>
      <c r="M327" s="10">
        <v>3.59</v>
      </c>
      <c r="N327" s="10"/>
      <c r="O327" s="10"/>
      <c r="P327" s="12">
        <f>IF($A327="","",IFERROR((IF($O327="",0,$O327)*Settings!$J$4+IF($L327="",0,$L327)*Settings!$J$5+IF($N327="",0,$N327)*Settings!$J$6)/(IF($O327="",0,Settings!$J$4)+IF($L327="",0,Settings!$J$5)+IF($N327="",0,Settings!$J$6)),0))</f>
        <v>79</v>
      </c>
      <c r="Q327" s="12">
        <f t="array" ref="Q327">IF($A327="","",XLOOKUP($E327,Settings!$A$19:$A$22,Settings!$G$19:$G$22,0))</f>
        <v>206</v>
      </c>
      <c r="R327" s="12">
        <f t="shared" si="1"/>
        <v>0</v>
      </c>
      <c r="S327" s="12">
        <f>IF($A327="","",IF($R327&lt;=0,1,1+$R327/SUMIF($R$4:$R$923,"&gt;0",$R$4:$R$923)*(Settings!$B$5*(Settings!$B$6-Settings!$B$7))))</f>
        <v>1</v>
      </c>
      <c r="T327" s="12">
        <f t="array" ref="T327">IF($A327="","",XLOOKUP($F327,Settings!$I$15:$I$20,Settings!$J$15:$J$20,1))</f>
        <v>0.75</v>
      </c>
      <c r="U327" s="12">
        <f>IF($A327="","",1+(($G327-5)/5)*Settings!$J$8)</f>
        <v>1</v>
      </c>
      <c r="V327" s="12">
        <f>IF($A327="","",1+(($H327-5)/5)*Settings!$J$9)</f>
        <v>1.06</v>
      </c>
      <c r="W327" s="12">
        <f t="array" ref="W327">IF($A327="","",XLOOKUP($J327,Lists!$C$3:$C$7,Lists!$D$3:$D$7,1))</f>
        <v>1</v>
      </c>
      <c r="X327" s="12">
        <f>IF($A327="","",IF($I327="Yes",Settings!$J$10,1))</f>
        <v>1</v>
      </c>
      <c r="Y327" s="12">
        <f t="shared" si="2"/>
        <v>1</v>
      </c>
      <c r="Z327" s="12">
        <f>IF($A327="","",IFERROR(ROUND(AVERAGEIFS('Historical Drafts'!$G$4:$G$300,'Historical Drafts'!$D$4:$D$300,$E327,'Historical Drafts'!$J$4:$J$300,"&gt;="&amp;$L327*0.85,'Historical Drafts'!$J$4:$J$300,"&lt;="&amp;$L327*1.15),0),$Y327))</f>
        <v>3</v>
      </c>
      <c r="AA327" s="12" t="str">
        <f>IF($A327="","",IF(COUNTIF('Auction Log'!$B$3:$B$300,$A327)&gt;0,"Sold","Available"))</f>
        <v>Available</v>
      </c>
      <c r="AB327" s="12" t="str">
        <f t="array" ref="AB327">IF($A327="","",IFERROR(XLOOKUP($A327,'Auction Log'!$B$3:$B$300,'Auction Log'!$G$3:$G$300,""),""))</f>
        <v/>
      </c>
      <c r="AC327" s="12" t="str">
        <f t="array" ref="AC327">IF($A327="","",IFERROR(XLOOKUP($A327,'Auction Log'!$B$3:$B$300,'Auction Log'!$F$3:$F$300,""),""))</f>
        <v/>
      </c>
      <c r="AD327" s="12">
        <f t="array" ref="AD327">IF($A327="","",ROUND($Y327*XLOOKUP($F327,Settings!$I$15:$I$20,Settings!$K$15:$K$20,0.4),0))</f>
        <v>0</v>
      </c>
      <c r="AE327" s="12">
        <f t="array" ref="AE327">IF($A327="","",ROUND($Y327*XLOOKUP($F327,Settings!$I$15:$I$20,Settings!$L$15:$L$20,0.8),0))</f>
        <v>1</v>
      </c>
      <c r="AF327" s="12">
        <f t="array" ref="AF327">IF($A327="","",ROUND($Y327*XLOOKUP($F327,Settings!$I$15:$I$20,Settings!$M$15:$M$20,1),0))</f>
        <v>1</v>
      </c>
      <c r="AG327" s="12">
        <f t="array" ref="AG327">IF($A327="","",ROUND($Y327*XLOOKUP($F327,Settings!$I$15:$I$20,Settings!$N$15:$N$20,1.1),0))</f>
        <v>1</v>
      </c>
      <c r="AH327" s="12">
        <f t="array" ref="AH327">IF($A327="","",ROUND($Y327*XLOOKUP($F327,Settings!$I$15:$I$20,Settings!$O$15:$O$20,1.1)*Settings!$J$7,0))</f>
        <v>1</v>
      </c>
      <c r="AI327" s="12">
        <f t="array" ref="AI327">IF($A327="","",IF($AA327="Sold","",MIN($AH327,IFERROR(XLOOKUP(Settings!$B$12,Managers!$B$4:$B$15,Managers!$H$4:$H$15),$AH327))))</f>
        <v>1</v>
      </c>
      <c r="AJ327" s="12" t="str">
        <f t="shared" si="3"/>
        <v>Budget Drainer</v>
      </c>
      <c r="AK327" s="12">
        <f t="shared" si="4"/>
        <v>28</v>
      </c>
      <c r="AL327" s="12" t="str">
        <f t="shared" si="5"/>
        <v/>
      </c>
    </row>
    <row r="328" ht="15.75" customHeight="1">
      <c r="A328" s="10" t="s">
        <v>949</v>
      </c>
      <c r="B328" s="10" t="s">
        <v>950</v>
      </c>
      <c r="C328" s="10" t="s">
        <v>387</v>
      </c>
      <c r="D328" s="10" t="s">
        <v>121</v>
      </c>
      <c r="E328" s="10" t="s">
        <v>121</v>
      </c>
      <c r="F328" s="10" t="s">
        <v>117</v>
      </c>
      <c r="G328" s="10">
        <v>5.0</v>
      </c>
      <c r="H328" s="10">
        <v>7.0</v>
      </c>
      <c r="I328" s="10" t="s">
        <v>2140</v>
      </c>
      <c r="J328" s="10" t="s">
        <v>2136</v>
      </c>
      <c r="K328" s="10"/>
      <c r="L328" s="10">
        <v>78.0</v>
      </c>
      <c r="M328" s="10">
        <v>6.0</v>
      </c>
      <c r="N328" s="10"/>
      <c r="O328" s="10"/>
      <c r="P328" s="12">
        <f>IF($A328="","",IFERROR((IF($O328="",0,$O328)*Settings!$J$4+IF($L328="",0,$L328)*Settings!$J$5+IF($N328="",0,$N328)*Settings!$J$6)/(IF($O328="",0,Settings!$J$4)+IF($L328="",0,Settings!$J$5)+IF($N328="",0,Settings!$J$6)),0))</f>
        <v>78</v>
      </c>
      <c r="Q328" s="12">
        <f t="array" ref="Q328">IF($A328="","",XLOOKUP($E328,Settings!$A$19:$A$22,Settings!$G$19:$G$22,0))</f>
        <v>206</v>
      </c>
      <c r="R328" s="12">
        <f t="shared" si="1"/>
        <v>0</v>
      </c>
      <c r="S328" s="12">
        <f>IF($A328="","",IF($R328&lt;=0,1,1+$R328/SUMIF($R$4:$R$923,"&gt;0",$R$4:$R$923)*(Settings!$B$5*(Settings!$B$6-Settings!$B$7))))</f>
        <v>1</v>
      </c>
      <c r="T328" s="12">
        <f t="array" ref="T328">IF($A328="","",XLOOKUP($F328,Settings!$I$15:$I$20,Settings!$J$15:$J$20,1))</f>
        <v>0.75</v>
      </c>
      <c r="U328" s="12">
        <f>IF($A328="","",1+(($G328-5)/5)*Settings!$J$8)</f>
        <v>1</v>
      </c>
      <c r="V328" s="12">
        <f>IF($A328="","",1+(($H328-5)/5)*Settings!$J$9)</f>
        <v>1.06</v>
      </c>
      <c r="W328" s="12">
        <f t="array" ref="W328">IF($A328="","",XLOOKUP($J328,Lists!$C$3:$C$7,Lists!$D$3:$D$7,1))</f>
        <v>1</v>
      </c>
      <c r="X328" s="12">
        <f>IF($A328="","",IF($I328="Yes",Settings!$J$10,1))</f>
        <v>1</v>
      </c>
      <c r="Y328" s="12">
        <f t="shared" si="2"/>
        <v>1</v>
      </c>
      <c r="Z328" s="12">
        <f>IF($A328="","",IFERROR(ROUND(AVERAGEIFS('Historical Drafts'!$G$4:$G$300,'Historical Drafts'!$D$4:$D$300,$E328,'Historical Drafts'!$J$4:$J$300,"&gt;="&amp;$L328*0.85,'Historical Drafts'!$J$4:$J$300,"&lt;="&amp;$L328*1.15),0),$Y328))</f>
        <v>1</v>
      </c>
      <c r="AA328" s="12" t="str">
        <f>IF($A328="","",IF(COUNTIF('Auction Log'!$B$3:$B$300,$A328)&gt;0,"Sold","Available"))</f>
        <v>Available</v>
      </c>
      <c r="AB328" s="12" t="str">
        <f t="array" ref="AB328">IF($A328="","",IFERROR(XLOOKUP($A328,'Auction Log'!$B$3:$B$300,'Auction Log'!$G$3:$G$300,""),""))</f>
        <v/>
      </c>
      <c r="AC328" s="12" t="str">
        <f t="array" ref="AC328">IF($A328="","",IFERROR(XLOOKUP($A328,'Auction Log'!$B$3:$B$300,'Auction Log'!$F$3:$F$300,""),""))</f>
        <v/>
      </c>
      <c r="AD328" s="12">
        <f t="array" ref="AD328">IF($A328="","",ROUND($Y328*XLOOKUP($F328,Settings!$I$15:$I$20,Settings!$K$15:$K$20,0.4),0))</f>
        <v>0</v>
      </c>
      <c r="AE328" s="12">
        <f t="array" ref="AE328">IF($A328="","",ROUND($Y328*XLOOKUP($F328,Settings!$I$15:$I$20,Settings!$L$15:$L$20,0.8),0))</f>
        <v>1</v>
      </c>
      <c r="AF328" s="12">
        <f t="array" ref="AF328">IF($A328="","",ROUND($Y328*XLOOKUP($F328,Settings!$I$15:$I$20,Settings!$M$15:$M$20,1),0))</f>
        <v>1</v>
      </c>
      <c r="AG328" s="12">
        <f t="array" ref="AG328">IF($A328="","",ROUND($Y328*XLOOKUP($F328,Settings!$I$15:$I$20,Settings!$N$15:$N$20,1.1),0))</f>
        <v>1</v>
      </c>
      <c r="AH328" s="12">
        <f t="array" ref="AH328">IF($A328="","",ROUND($Y328*XLOOKUP($F328,Settings!$I$15:$I$20,Settings!$O$15:$O$20,1.1)*Settings!$J$7,0))</f>
        <v>1</v>
      </c>
      <c r="AI328" s="12">
        <f t="array" ref="AI328">IF($A328="","",IF($AA328="Sold","",MIN($AH328,IFERROR(XLOOKUP(Settings!$B$12,Managers!$B$4:$B$15,Managers!$H$4:$H$15),$AH328))))</f>
        <v>1</v>
      </c>
      <c r="AJ328" s="12" t="str">
        <f t="shared" si="3"/>
        <v>Recommended</v>
      </c>
      <c r="AK328" s="12">
        <f t="shared" si="4"/>
        <v>26</v>
      </c>
      <c r="AL328" s="12" t="str">
        <f t="shared" si="5"/>
        <v/>
      </c>
    </row>
    <row r="329" ht="15.75" customHeight="1">
      <c r="A329" s="10" t="s">
        <v>951</v>
      </c>
      <c r="B329" s="10" t="s">
        <v>952</v>
      </c>
      <c r="C329" s="10" t="s">
        <v>188</v>
      </c>
      <c r="D329" s="10" t="s">
        <v>121</v>
      </c>
      <c r="E329" s="10" t="s">
        <v>121</v>
      </c>
      <c r="F329" s="10" t="s">
        <v>117</v>
      </c>
      <c r="G329" s="10">
        <v>5.0</v>
      </c>
      <c r="H329" s="10">
        <v>7.0</v>
      </c>
      <c r="I329" s="10" t="s">
        <v>2140</v>
      </c>
      <c r="J329" s="10" t="s">
        <v>2136</v>
      </c>
      <c r="K329" s="10"/>
      <c r="L329" s="10">
        <v>78.0</v>
      </c>
      <c r="M329" s="10">
        <v>2.89</v>
      </c>
      <c r="N329" s="10"/>
      <c r="O329" s="10"/>
      <c r="P329" s="12">
        <f>IF($A329="","",IFERROR((IF($O329="",0,$O329)*Settings!$J$4+IF($L329="",0,$L329)*Settings!$J$5+IF($N329="",0,$N329)*Settings!$J$6)/(IF($O329="",0,Settings!$J$4)+IF($L329="",0,Settings!$J$5)+IF($N329="",0,Settings!$J$6)),0))</f>
        <v>78</v>
      </c>
      <c r="Q329" s="12">
        <f t="array" ref="Q329">IF($A329="","",XLOOKUP($E329,Settings!$A$19:$A$22,Settings!$G$19:$G$22,0))</f>
        <v>206</v>
      </c>
      <c r="R329" s="12">
        <f t="shared" si="1"/>
        <v>0</v>
      </c>
      <c r="S329" s="12">
        <f>IF($A329="","",IF($R329&lt;=0,1,1+$R329/SUMIF($R$4:$R$923,"&gt;0",$R$4:$R$923)*(Settings!$B$5*(Settings!$B$6-Settings!$B$7))))</f>
        <v>1</v>
      </c>
      <c r="T329" s="12">
        <f t="array" ref="T329">IF($A329="","",XLOOKUP($F329,Settings!$I$15:$I$20,Settings!$J$15:$J$20,1))</f>
        <v>0.75</v>
      </c>
      <c r="U329" s="12">
        <f>IF($A329="","",1+(($G329-5)/5)*Settings!$J$8)</f>
        <v>1</v>
      </c>
      <c r="V329" s="12">
        <f>IF($A329="","",1+(($H329-5)/5)*Settings!$J$9)</f>
        <v>1.06</v>
      </c>
      <c r="W329" s="12">
        <f t="array" ref="W329">IF($A329="","",XLOOKUP($J329,Lists!$C$3:$C$7,Lists!$D$3:$D$7,1))</f>
        <v>1</v>
      </c>
      <c r="X329" s="12">
        <f>IF($A329="","",IF($I329="Yes",Settings!$J$10,1))</f>
        <v>1</v>
      </c>
      <c r="Y329" s="12">
        <f t="shared" si="2"/>
        <v>1</v>
      </c>
      <c r="Z329" s="12">
        <f>IF($A329="","",IFERROR(ROUND(AVERAGEIFS('Historical Drafts'!$G$4:$G$300,'Historical Drafts'!$D$4:$D$300,$E329,'Historical Drafts'!$J$4:$J$300,"&gt;="&amp;$L329*0.85,'Historical Drafts'!$J$4:$J$300,"&lt;="&amp;$L329*1.15),0),$Y329))</f>
        <v>1</v>
      </c>
      <c r="AA329" s="12" t="str">
        <f>IF($A329="","",IF(COUNTIF('Auction Log'!$B$3:$B$300,$A329)&gt;0,"Sold","Available"))</f>
        <v>Available</v>
      </c>
      <c r="AB329" s="12" t="str">
        <f t="array" ref="AB329">IF($A329="","",IFERROR(XLOOKUP($A329,'Auction Log'!$B$3:$B$300,'Auction Log'!$G$3:$G$300,""),""))</f>
        <v/>
      </c>
      <c r="AC329" s="12" t="str">
        <f t="array" ref="AC329">IF($A329="","",IFERROR(XLOOKUP($A329,'Auction Log'!$B$3:$B$300,'Auction Log'!$F$3:$F$300,""),""))</f>
        <v/>
      </c>
      <c r="AD329" s="12">
        <f t="array" ref="AD329">IF($A329="","",ROUND($Y329*XLOOKUP($F329,Settings!$I$15:$I$20,Settings!$K$15:$K$20,0.4),0))</f>
        <v>0</v>
      </c>
      <c r="AE329" s="12">
        <f t="array" ref="AE329">IF($A329="","",ROUND($Y329*XLOOKUP($F329,Settings!$I$15:$I$20,Settings!$L$15:$L$20,0.8),0))</f>
        <v>1</v>
      </c>
      <c r="AF329" s="12">
        <f t="array" ref="AF329">IF($A329="","",ROUND($Y329*XLOOKUP($F329,Settings!$I$15:$I$20,Settings!$M$15:$M$20,1),0))</f>
        <v>1</v>
      </c>
      <c r="AG329" s="12">
        <f t="array" ref="AG329">IF($A329="","",ROUND($Y329*XLOOKUP($F329,Settings!$I$15:$I$20,Settings!$N$15:$N$20,1.1),0))</f>
        <v>1</v>
      </c>
      <c r="AH329" s="12">
        <f t="array" ref="AH329">IF($A329="","",ROUND($Y329*XLOOKUP($F329,Settings!$I$15:$I$20,Settings!$O$15:$O$20,1.1)*Settings!$J$7,0))</f>
        <v>1</v>
      </c>
      <c r="AI329" s="12">
        <f t="array" ref="AI329">IF($A329="","",IF($AA329="Sold","",MIN($AH329,IFERROR(XLOOKUP(Settings!$B$12,Managers!$B$4:$B$15,Managers!$H$4:$H$15),$AH329))))</f>
        <v>1</v>
      </c>
      <c r="AJ329" s="12" t="str">
        <f t="shared" si="3"/>
        <v>Recommended</v>
      </c>
      <c r="AK329" s="12">
        <f t="shared" si="4"/>
        <v>26</v>
      </c>
      <c r="AL329" s="12" t="str">
        <f t="shared" si="5"/>
        <v/>
      </c>
    </row>
    <row r="330" ht="15.75" customHeight="1">
      <c r="A330" s="10" t="s">
        <v>953</v>
      </c>
      <c r="B330" s="10" t="s">
        <v>954</v>
      </c>
      <c r="C330" s="10" t="s">
        <v>231</v>
      </c>
      <c r="D330" s="10" t="s">
        <v>118</v>
      </c>
      <c r="E330" s="10" t="s">
        <v>118</v>
      </c>
      <c r="F330" s="10" t="s">
        <v>117</v>
      </c>
      <c r="G330" s="10">
        <v>5.0</v>
      </c>
      <c r="H330" s="10">
        <v>7.0</v>
      </c>
      <c r="I330" s="10" t="s">
        <v>2140</v>
      </c>
      <c r="J330" s="10" t="s">
        <v>2136</v>
      </c>
      <c r="K330" s="10"/>
      <c r="L330" s="10">
        <v>77.75</v>
      </c>
      <c r="M330" s="10">
        <v>6.48</v>
      </c>
      <c r="N330" s="10"/>
      <c r="O330" s="10"/>
      <c r="P330" s="12">
        <f>IF($A330="","",IFERROR((IF($O330="",0,$O330)*Settings!$J$4+IF($L330="",0,$L330)*Settings!$J$5+IF($N330="",0,$N330)*Settings!$J$6)/(IF($O330="",0,Settings!$J$4)+IF($L330="",0,Settings!$J$5)+IF($N330="",0,Settings!$J$6)),0))</f>
        <v>77.75</v>
      </c>
      <c r="Q330" s="12">
        <f t="array" ref="Q330">IF($A330="","",XLOOKUP($E330,Settings!$A$19:$A$22,Settings!$G$19:$G$22,0))</f>
        <v>196.25</v>
      </c>
      <c r="R330" s="12">
        <f t="shared" si="1"/>
        <v>0</v>
      </c>
      <c r="S330" s="12">
        <f>IF($A330="","",IF($R330&lt;=0,1,1+$R330/SUMIF($R$4:$R$923,"&gt;0",$R$4:$R$923)*(Settings!$B$5*(Settings!$B$6-Settings!$B$7))))</f>
        <v>1</v>
      </c>
      <c r="T330" s="12">
        <f t="array" ref="T330">IF($A330="","",XLOOKUP($F330,Settings!$I$15:$I$20,Settings!$J$15:$J$20,1))</f>
        <v>0.75</v>
      </c>
      <c r="U330" s="12">
        <f>IF($A330="","",1+(($G330-5)/5)*Settings!$J$8)</f>
        <v>1</v>
      </c>
      <c r="V330" s="12">
        <f>IF($A330="","",1+(($H330-5)/5)*Settings!$J$9)</f>
        <v>1.06</v>
      </c>
      <c r="W330" s="12">
        <f t="array" ref="W330">IF($A330="","",XLOOKUP($J330,Lists!$C$3:$C$7,Lists!$D$3:$D$7,1))</f>
        <v>1</v>
      </c>
      <c r="X330" s="12">
        <f>IF($A330="","",IF($I330="Yes",Settings!$J$10,1))</f>
        <v>1</v>
      </c>
      <c r="Y330" s="12">
        <f t="shared" si="2"/>
        <v>1</v>
      </c>
      <c r="Z330" s="12">
        <f>IF($A330="","",IFERROR(ROUND(AVERAGEIFS('Historical Drafts'!$G$4:$G$300,'Historical Drafts'!$D$4:$D$300,$E330,'Historical Drafts'!$J$4:$J$300,"&gt;="&amp;$L330*0.85,'Historical Drafts'!$J$4:$J$300,"&lt;="&amp;$L330*1.15),0),$Y330))</f>
        <v>1</v>
      </c>
      <c r="AA330" s="12" t="str">
        <f>IF($A330="","",IF(COUNTIF('Auction Log'!$B$3:$B$300,$A330)&gt;0,"Sold","Available"))</f>
        <v>Available</v>
      </c>
      <c r="AB330" s="12" t="str">
        <f t="array" ref="AB330">IF($A330="","",IFERROR(XLOOKUP($A330,'Auction Log'!$B$3:$B$300,'Auction Log'!$G$3:$G$300,""),""))</f>
        <v/>
      </c>
      <c r="AC330" s="12" t="str">
        <f t="array" ref="AC330">IF($A330="","",IFERROR(XLOOKUP($A330,'Auction Log'!$B$3:$B$300,'Auction Log'!$F$3:$F$300,""),""))</f>
        <v/>
      </c>
      <c r="AD330" s="12">
        <f t="array" ref="AD330">IF($A330="","",ROUND($Y330*XLOOKUP($F330,Settings!$I$15:$I$20,Settings!$K$15:$K$20,0.4),0))</f>
        <v>0</v>
      </c>
      <c r="AE330" s="12">
        <f t="array" ref="AE330">IF($A330="","",ROUND($Y330*XLOOKUP($F330,Settings!$I$15:$I$20,Settings!$L$15:$L$20,0.8),0))</f>
        <v>1</v>
      </c>
      <c r="AF330" s="12">
        <f t="array" ref="AF330">IF($A330="","",ROUND($Y330*XLOOKUP($F330,Settings!$I$15:$I$20,Settings!$M$15:$M$20,1),0))</f>
        <v>1</v>
      </c>
      <c r="AG330" s="12">
        <f t="array" ref="AG330">IF($A330="","",ROUND($Y330*XLOOKUP($F330,Settings!$I$15:$I$20,Settings!$N$15:$N$20,1.1),0))</f>
        <v>1</v>
      </c>
      <c r="AH330" s="12">
        <f t="array" ref="AH330">IF($A330="","",ROUND($Y330*XLOOKUP($F330,Settings!$I$15:$I$20,Settings!$O$15:$O$20,1.1)*Settings!$J$7,0))</f>
        <v>1</v>
      </c>
      <c r="AI330" s="12">
        <f t="array" ref="AI330">IF($A330="","",IF($AA330="Sold","",MIN($AH330,IFERROR(XLOOKUP(Settings!$B$12,Managers!$B$4:$B$15,Managers!$H$4:$H$15),$AH330))))</f>
        <v>1</v>
      </c>
      <c r="AJ330" s="12" t="str">
        <f t="shared" si="3"/>
        <v>Recommended</v>
      </c>
      <c r="AK330" s="12">
        <f t="shared" si="4"/>
        <v>26</v>
      </c>
      <c r="AL330" s="12" t="str">
        <f t="shared" si="5"/>
        <v/>
      </c>
    </row>
    <row r="331" ht="15.75" customHeight="1">
      <c r="A331" s="10" t="s">
        <v>955</v>
      </c>
      <c r="B331" s="10" t="s">
        <v>956</v>
      </c>
      <c r="C331" s="10" t="s">
        <v>185</v>
      </c>
      <c r="D331" s="10" t="s">
        <v>123</v>
      </c>
      <c r="E331" s="10" t="s">
        <v>123</v>
      </c>
      <c r="F331" s="10" t="s">
        <v>117</v>
      </c>
      <c r="G331" s="10">
        <v>5.0</v>
      </c>
      <c r="H331" s="10">
        <v>7.0</v>
      </c>
      <c r="I331" s="10" t="s">
        <v>2140</v>
      </c>
      <c r="J331" s="10" t="s">
        <v>2136</v>
      </c>
      <c r="K331" s="10"/>
      <c r="L331" s="10">
        <v>77.5</v>
      </c>
      <c r="M331" s="10">
        <v>3.23</v>
      </c>
      <c r="N331" s="10"/>
      <c r="O331" s="10"/>
      <c r="P331" s="12">
        <f>IF($A331="","",IFERROR((IF($O331="",0,$O331)*Settings!$J$4+IF($L331="",0,$L331)*Settings!$J$5+IF($N331="",0,$N331)*Settings!$J$6)/(IF($O331="",0,Settings!$J$4)+IF($L331="",0,Settings!$J$5)+IF($N331="",0,Settings!$J$6)),0))</f>
        <v>77.5</v>
      </c>
      <c r="Q331" s="12">
        <f t="array" ref="Q331">IF($A331="","",XLOOKUP($E331,Settings!$A$19:$A$22,Settings!$G$19:$G$22,0))</f>
        <v>203</v>
      </c>
      <c r="R331" s="12">
        <f t="shared" si="1"/>
        <v>0</v>
      </c>
      <c r="S331" s="12">
        <f>IF($A331="","",IF($R331&lt;=0,1,1+$R331/SUMIF($R$4:$R$923,"&gt;0",$R$4:$R$923)*(Settings!$B$5*(Settings!$B$6-Settings!$B$7))))</f>
        <v>1</v>
      </c>
      <c r="T331" s="12">
        <f t="array" ref="T331">IF($A331="","",XLOOKUP($F331,Settings!$I$15:$I$20,Settings!$J$15:$J$20,1))</f>
        <v>0.75</v>
      </c>
      <c r="U331" s="12">
        <f>IF($A331="","",1+(($G331-5)/5)*Settings!$J$8)</f>
        <v>1</v>
      </c>
      <c r="V331" s="12">
        <f>IF($A331="","",1+(($H331-5)/5)*Settings!$J$9)</f>
        <v>1.06</v>
      </c>
      <c r="W331" s="12">
        <f t="array" ref="W331">IF($A331="","",XLOOKUP($J331,Lists!$C$3:$C$7,Lists!$D$3:$D$7,1))</f>
        <v>1</v>
      </c>
      <c r="X331" s="12">
        <f>IF($A331="","",IF($I331="Yes",Settings!$J$10,1))</f>
        <v>1</v>
      </c>
      <c r="Y331" s="12">
        <f t="shared" si="2"/>
        <v>1</v>
      </c>
      <c r="Z331" s="12">
        <f>IF($A331="","",IFERROR(ROUND(AVERAGEIFS('Historical Drafts'!$G$4:$G$300,'Historical Drafts'!$D$4:$D$300,$E331,'Historical Drafts'!$J$4:$J$300,"&gt;="&amp;$L331*0.85,'Historical Drafts'!$J$4:$J$300,"&lt;="&amp;$L331*1.15),0),$Y331))</f>
        <v>11</v>
      </c>
      <c r="AA331" s="12" t="str">
        <f>IF($A331="","",IF(COUNTIF('Auction Log'!$B$3:$B$300,$A331)&gt;0,"Sold","Available"))</f>
        <v>Available</v>
      </c>
      <c r="AB331" s="12" t="str">
        <f t="array" ref="AB331">IF($A331="","",IFERROR(XLOOKUP($A331,'Auction Log'!$B$3:$B$300,'Auction Log'!$G$3:$G$300,""),""))</f>
        <v/>
      </c>
      <c r="AC331" s="12" t="str">
        <f t="array" ref="AC331">IF($A331="","",IFERROR(XLOOKUP($A331,'Auction Log'!$B$3:$B$300,'Auction Log'!$F$3:$F$300,""),""))</f>
        <v/>
      </c>
      <c r="AD331" s="12">
        <f t="array" ref="AD331">IF($A331="","",ROUND($Y331*XLOOKUP($F331,Settings!$I$15:$I$20,Settings!$K$15:$K$20,0.4),0))</f>
        <v>0</v>
      </c>
      <c r="AE331" s="12">
        <f t="array" ref="AE331">IF($A331="","",ROUND($Y331*XLOOKUP($F331,Settings!$I$15:$I$20,Settings!$L$15:$L$20,0.8),0))</f>
        <v>1</v>
      </c>
      <c r="AF331" s="12">
        <f t="array" ref="AF331">IF($A331="","",ROUND($Y331*XLOOKUP($F331,Settings!$I$15:$I$20,Settings!$M$15:$M$20,1),0))</f>
        <v>1</v>
      </c>
      <c r="AG331" s="12">
        <f t="array" ref="AG331">IF($A331="","",ROUND($Y331*XLOOKUP($F331,Settings!$I$15:$I$20,Settings!$N$15:$N$20,1.1),0))</f>
        <v>1</v>
      </c>
      <c r="AH331" s="12">
        <f t="array" ref="AH331">IF($A331="","",ROUND($Y331*XLOOKUP($F331,Settings!$I$15:$I$20,Settings!$O$15:$O$20,1.1)*Settings!$J$7,0))</f>
        <v>1</v>
      </c>
      <c r="AI331" s="12">
        <f t="array" ref="AI331">IF($A331="","",IF($AA331="Sold","",MIN($AH331,IFERROR(XLOOKUP(Settings!$B$12,Managers!$B$4:$B$15,Managers!$H$4:$H$15),$AH331))))</f>
        <v>1</v>
      </c>
      <c r="AJ331" s="12" t="str">
        <f t="shared" si="3"/>
        <v>Budget Drainer</v>
      </c>
      <c r="AK331" s="12">
        <f t="shared" si="4"/>
        <v>36</v>
      </c>
      <c r="AL331" s="12" t="str">
        <f t="shared" si="5"/>
        <v/>
      </c>
    </row>
    <row r="332" ht="15.75" customHeight="1">
      <c r="A332" s="10" t="s">
        <v>957</v>
      </c>
      <c r="B332" s="10" t="s">
        <v>958</v>
      </c>
      <c r="C332" s="10" t="s">
        <v>185</v>
      </c>
      <c r="D332" s="10" t="s">
        <v>118</v>
      </c>
      <c r="E332" s="10" t="s">
        <v>118</v>
      </c>
      <c r="F332" s="10" t="s">
        <v>117</v>
      </c>
      <c r="G332" s="10">
        <v>5.0</v>
      </c>
      <c r="H332" s="10">
        <v>7.0</v>
      </c>
      <c r="I332" s="10" t="s">
        <v>2140</v>
      </c>
      <c r="J332" s="10" t="s">
        <v>2136</v>
      </c>
      <c r="K332" s="10"/>
      <c r="L332" s="10">
        <v>77.25</v>
      </c>
      <c r="M332" s="10">
        <v>4.29</v>
      </c>
      <c r="N332" s="10"/>
      <c r="O332" s="10"/>
      <c r="P332" s="12">
        <f>IF($A332="","",IFERROR((IF($O332="",0,$O332)*Settings!$J$4+IF($L332="",0,$L332)*Settings!$J$5+IF($N332="",0,$N332)*Settings!$J$6)/(IF($O332="",0,Settings!$J$4)+IF($L332="",0,Settings!$J$5)+IF($N332="",0,Settings!$J$6)),0))</f>
        <v>77.25</v>
      </c>
      <c r="Q332" s="12">
        <f t="array" ref="Q332">IF($A332="","",XLOOKUP($E332,Settings!$A$19:$A$22,Settings!$G$19:$G$22,0))</f>
        <v>196.25</v>
      </c>
      <c r="R332" s="12">
        <f t="shared" si="1"/>
        <v>0</v>
      </c>
      <c r="S332" s="12">
        <f>IF($A332="","",IF($R332&lt;=0,1,1+$R332/SUMIF($R$4:$R$923,"&gt;0",$R$4:$R$923)*(Settings!$B$5*(Settings!$B$6-Settings!$B$7))))</f>
        <v>1</v>
      </c>
      <c r="T332" s="12">
        <f t="array" ref="T332">IF($A332="","",XLOOKUP($F332,Settings!$I$15:$I$20,Settings!$J$15:$J$20,1))</f>
        <v>0.75</v>
      </c>
      <c r="U332" s="12">
        <f>IF($A332="","",1+(($G332-5)/5)*Settings!$J$8)</f>
        <v>1</v>
      </c>
      <c r="V332" s="12">
        <f>IF($A332="","",1+(($H332-5)/5)*Settings!$J$9)</f>
        <v>1.06</v>
      </c>
      <c r="W332" s="12">
        <f t="array" ref="W332">IF($A332="","",XLOOKUP($J332,Lists!$C$3:$C$7,Lists!$D$3:$D$7,1))</f>
        <v>1</v>
      </c>
      <c r="X332" s="12">
        <f>IF($A332="","",IF($I332="Yes",Settings!$J$10,1))</f>
        <v>1</v>
      </c>
      <c r="Y332" s="12">
        <f t="shared" si="2"/>
        <v>1</v>
      </c>
      <c r="Z332" s="12">
        <f>IF($A332="","",IFERROR(ROUND(AVERAGEIFS('Historical Drafts'!$G$4:$G$300,'Historical Drafts'!$D$4:$D$300,$E332,'Historical Drafts'!$J$4:$J$300,"&gt;="&amp;$L332*0.85,'Historical Drafts'!$J$4:$J$300,"&lt;="&amp;$L332*1.15),0),$Y332))</f>
        <v>1</v>
      </c>
      <c r="AA332" s="12" t="str">
        <f>IF($A332="","",IF(COUNTIF('Auction Log'!$B$3:$B$300,$A332)&gt;0,"Sold","Available"))</f>
        <v>Available</v>
      </c>
      <c r="AB332" s="12" t="str">
        <f t="array" ref="AB332">IF($A332="","",IFERROR(XLOOKUP($A332,'Auction Log'!$B$3:$B$300,'Auction Log'!$G$3:$G$300,""),""))</f>
        <v/>
      </c>
      <c r="AC332" s="12" t="str">
        <f t="array" ref="AC332">IF($A332="","",IFERROR(XLOOKUP($A332,'Auction Log'!$B$3:$B$300,'Auction Log'!$F$3:$F$300,""),""))</f>
        <v/>
      </c>
      <c r="AD332" s="12">
        <f t="array" ref="AD332">IF($A332="","",ROUND($Y332*XLOOKUP($F332,Settings!$I$15:$I$20,Settings!$K$15:$K$20,0.4),0))</f>
        <v>0</v>
      </c>
      <c r="AE332" s="12">
        <f t="array" ref="AE332">IF($A332="","",ROUND($Y332*XLOOKUP($F332,Settings!$I$15:$I$20,Settings!$L$15:$L$20,0.8),0))</f>
        <v>1</v>
      </c>
      <c r="AF332" s="12">
        <f t="array" ref="AF332">IF($A332="","",ROUND($Y332*XLOOKUP($F332,Settings!$I$15:$I$20,Settings!$M$15:$M$20,1),0))</f>
        <v>1</v>
      </c>
      <c r="AG332" s="12">
        <f t="array" ref="AG332">IF($A332="","",ROUND($Y332*XLOOKUP($F332,Settings!$I$15:$I$20,Settings!$N$15:$N$20,1.1),0))</f>
        <v>1</v>
      </c>
      <c r="AH332" s="12">
        <f t="array" ref="AH332">IF($A332="","",ROUND($Y332*XLOOKUP($F332,Settings!$I$15:$I$20,Settings!$O$15:$O$20,1.1)*Settings!$J$7,0))</f>
        <v>1</v>
      </c>
      <c r="AI332" s="12">
        <f t="array" ref="AI332">IF($A332="","",IF($AA332="Sold","",MIN($AH332,IFERROR(XLOOKUP(Settings!$B$12,Managers!$B$4:$B$15,Managers!$H$4:$H$15),$AH332))))</f>
        <v>1</v>
      </c>
      <c r="AJ332" s="12" t="str">
        <f t="shared" si="3"/>
        <v>Recommended</v>
      </c>
      <c r="AK332" s="12">
        <f t="shared" si="4"/>
        <v>26</v>
      </c>
      <c r="AL332" s="12" t="str">
        <f t="shared" si="5"/>
        <v/>
      </c>
    </row>
    <row r="333" ht="15.75" customHeight="1">
      <c r="A333" s="10" t="s">
        <v>959</v>
      </c>
      <c r="B333" s="10" t="s">
        <v>960</v>
      </c>
      <c r="C333" s="10" t="s">
        <v>327</v>
      </c>
      <c r="D333" s="10" t="s">
        <v>118</v>
      </c>
      <c r="E333" s="10" t="s">
        <v>118</v>
      </c>
      <c r="F333" s="10" t="s">
        <v>117</v>
      </c>
      <c r="G333" s="10">
        <v>5.0</v>
      </c>
      <c r="H333" s="10">
        <v>7.0</v>
      </c>
      <c r="I333" s="10" t="s">
        <v>2140</v>
      </c>
      <c r="J333" s="10" t="s">
        <v>2136</v>
      </c>
      <c r="K333" s="10"/>
      <c r="L333" s="10">
        <v>76.25</v>
      </c>
      <c r="M333" s="10">
        <v>3.05</v>
      </c>
      <c r="N333" s="10"/>
      <c r="O333" s="10"/>
      <c r="P333" s="12">
        <f>IF($A333="","",IFERROR((IF($O333="",0,$O333)*Settings!$J$4+IF($L333="",0,$L333)*Settings!$J$5+IF($N333="",0,$N333)*Settings!$J$6)/(IF($O333="",0,Settings!$J$4)+IF($L333="",0,Settings!$J$5)+IF($N333="",0,Settings!$J$6)),0))</f>
        <v>76.25</v>
      </c>
      <c r="Q333" s="12">
        <f t="array" ref="Q333">IF($A333="","",XLOOKUP($E333,Settings!$A$19:$A$22,Settings!$G$19:$G$22,0))</f>
        <v>196.25</v>
      </c>
      <c r="R333" s="12">
        <f t="shared" si="1"/>
        <v>0</v>
      </c>
      <c r="S333" s="12">
        <f>IF($A333="","",IF($R333&lt;=0,1,1+$R333/SUMIF($R$4:$R$923,"&gt;0",$R$4:$R$923)*(Settings!$B$5*(Settings!$B$6-Settings!$B$7))))</f>
        <v>1</v>
      </c>
      <c r="T333" s="12">
        <f t="array" ref="T333">IF($A333="","",XLOOKUP($F333,Settings!$I$15:$I$20,Settings!$J$15:$J$20,1))</f>
        <v>0.75</v>
      </c>
      <c r="U333" s="12">
        <f>IF($A333="","",1+(($G333-5)/5)*Settings!$J$8)</f>
        <v>1</v>
      </c>
      <c r="V333" s="12">
        <f>IF($A333="","",1+(($H333-5)/5)*Settings!$J$9)</f>
        <v>1.06</v>
      </c>
      <c r="W333" s="12">
        <f t="array" ref="W333">IF($A333="","",XLOOKUP($J333,Lists!$C$3:$C$7,Lists!$D$3:$D$7,1))</f>
        <v>1</v>
      </c>
      <c r="X333" s="12">
        <f>IF($A333="","",IF($I333="Yes",Settings!$J$10,1))</f>
        <v>1</v>
      </c>
      <c r="Y333" s="12">
        <f t="shared" si="2"/>
        <v>1</v>
      </c>
      <c r="Z333" s="12">
        <f>IF($A333="","",IFERROR(ROUND(AVERAGEIFS('Historical Drafts'!$G$4:$G$300,'Historical Drafts'!$D$4:$D$300,$E333,'Historical Drafts'!$J$4:$J$300,"&gt;="&amp;$L333*0.85,'Historical Drafts'!$J$4:$J$300,"&lt;="&amp;$L333*1.15),0),$Y333))</f>
        <v>1</v>
      </c>
      <c r="AA333" s="12" t="str">
        <f>IF($A333="","",IF(COUNTIF('Auction Log'!$B$3:$B$300,$A333)&gt;0,"Sold","Available"))</f>
        <v>Available</v>
      </c>
      <c r="AB333" s="12" t="str">
        <f t="array" ref="AB333">IF($A333="","",IFERROR(XLOOKUP($A333,'Auction Log'!$B$3:$B$300,'Auction Log'!$G$3:$G$300,""),""))</f>
        <v/>
      </c>
      <c r="AC333" s="12" t="str">
        <f t="array" ref="AC333">IF($A333="","",IFERROR(XLOOKUP($A333,'Auction Log'!$B$3:$B$300,'Auction Log'!$F$3:$F$300,""),""))</f>
        <v/>
      </c>
      <c r="AD333" s="12">
        <f t="array" ref="AD333">IF($A333="","",ROUND($Y333*XLOOKUP($F333,Settings!$I$15:$I$20,Settings!$K$15:$K$20,0.4),0))</f>
        <v>0</v>
      </c>
      <c r="AE333" s="12">
        <f t="array" ref="AE333">IF($A333="","",ROUND($Y333*XLOOKUP($F333,Settings!$I$15:$I$20,Settings!$L$15:$L$20,0.8),0))</f>
        <v>1</v>
      </c>
      <c r="AF333" s="12">
        <f t="array" ref="AF333">IF($A333="","",ROUND($Y333*XLOOKUP($F333,Settings!$I$15:$I$20,Settings!$M$15:$M$20,1),0))</f>
        <v>1</v>
      </c>
      <c r="AG333" s="12">
        <f t="array" ref="AG333">IF($A333="","",ROUND($Y333*XLOOKUP($F333,Settings!$I$15:$I$20,Settings!$N$15:$N$20,1.1),0))</f>
        <v>1</v>
      </c>
      <c r="AH333" s="12">
        <f t="array" ref="AH333">IF($A333="","",ROUND($Y333*XLOOKUP($F333,Settings!$I$15:$I$20,Settings!$O$15:$O$20,1.1)*Settings!$J$7,0))</f>
        <v>1</v>
      </c>
      <c r="AI333" s="12">
        <f t="array" ref="AI333">IF($A333="","",IF($AA333="Sold","",MIN($AH333,IFERROR(XLOOKUP(Settings!$B$12,Managers!$B$4:$B$15,Managers!$H$4:$H$15),$AH333))))</f>
        <v>1</v>
      </c>
      <c r="AJ333" s="12" t="str">
        <f t="shared" si="3"/>
        <v>Recommended</v>
      </c>
      <c r="AK333" s="12">
        <f t="shared" si="4"/>
        <v>26</v>
      </c>
      <c r="AL333" s="12" t="str">
        <f t="shared" si="5"/>
        <v/>
      </c>
    </row>
    <row r="334" ht="15.75" customHeight="1">
      <c r="A334" s="10" t="s">
        <v>961</v>
      </c>
      <c r="B334" s="10" t="s">
        <v>962</v>
      </c>
      <c r="C334" s="10" t="s">
        <v>963</v>
      </c>
      <c r="D334" s="10" t="s">
        <v>123</v>
      </c>
      <c r="E334" s="10" t="s">
        <v>123</v>
      </c>
      <c r="F334" s="10" t="s">
        <v>117</v>
      </c>
      <c r="G334" s="10">
        <v>5.0</v>
      </c>
      <c r="H334" s="10">
        <v>7.0</v>
      </c>
      <c r="I334" s="10" t="s">
        <v>2140</v>
      </c>
      <c r="J334" s="10" t="s">
        <v>2136</v>
      </c>
      <c r="K334" s="10"/>
      <c r="L334" s="10">
        <v>76.0</v>
      </c>
      <c r="M334" s="10">
        <v>5.43</v>
      </c>
      <c r="N334" s="10"/>
      <c r="O334" s="10"/>
      <c r="P334" s="12">
        <f>IF($A334="","",IFERROR((IF($O334="",0,$O334)*Settings!$J$4+IF($L334="",0,$L334)*Settings!$J$5+IF($N334="",0,$N334)*Settings!$J$6)/(IF($O334="",0,Settings!$J$4)+IF($L334="",0,Settings!$J$5)+IF($N334="",0,Settings!$J$6)),0))</f>
        <v>76</v>
      </c>
      <c r="Q334" s="12">
        <f t="array" ref="Q334">IF($A334="","",XLOOKUP($E334,Settings!$A$19:$A$22,Settings!$G$19:$G$22,0))</f>
        <v>203</v>
      </c>
      <c r="R334" s="12">
        <f t="shared" si="1"/>
        <v>0</v>
      </c>
      <c r="S334" s="12">
        <f>IF($A334="","",IF($R334&lt;=0,1,1+$R334/SUMIF($R$4:$R$923,"&gt;0",$R$4:$R$923)*(Settings!$B$5*(Settings!$B$6-Settings!$B$7))))</f>
        <v>1</v>
      </c>
      <c r="T334" s="12">
        <f t="array" ref="T334">IF($A334="","",XLOOKUP($F334,Settings!$I$15:$I$20,Settings!$J$15:$J$20,1))</f>
        <v>0.75</v>
      </c>
      <c r="U334" s="12">
        <f>IF($A334="","",1+(($G334-5)/5)*Settings!$J$8)</f>
        <v>1</v>
      </c>
      <c r="V334" s="12">
        <f>IF($A334="","",1+(($H334-5)/5)*Settings!$J$9)</f>
        <v>1.06</v>
      </c>
      <c r="W334" s="12">
        <f t="array" ref="W334">IF($A334="","",XLOOKUP($J334,Lists!$C$3:$C$7,Lists!$D$3:$D$7,1))</f>
        <v>1</v>
      </c>
      <c r="X334" s="12">
        <f>IF($A334="","",IF($I334="Yes",Settings!$J$10,1))</f>
        <v>1</v>
      </c>
      <c r="Y334" s="12">
        <f t="shared" si="2"/>
        <v>1</v>
      </c>
      <c r="Z334" s="12">
        <f>IF($A334="","",IFERROR(ROUND(AVERAGEIFS('Historical Drafts'!$G$4:$G$300,'Historical Drafts'!$D$4:$D$300,$E334,'Historical Drafts'!$J$4:$J$300,"&gt;="&amp;$L334*0.85,'Historical Drafts'!$J$4:$J$300,"&lt;="&amp;$L334*1.15),0),$Y334))</f>
        <v>9</v>
      </c>
      <c r="AA334" s="12" t="str">
        <f>IF($A334="","",IF(COUNTIF('Auction Log'!$B$3:$B$300,$A334)&gt;0,"Sold","Available"))</f>
        <v>Available</v>
      </c>
      <c r="AB334" s="12" t="str">
        <f t="array" ref="AB334">IF($A334="","",IFERROR(XLOOKUP($A334,'Auction Log'!$B$3:$B$300,'Auction Log'!$G$3:$G$300,""),""))</f>
        <v/>
      </c>
      <c r="AC334" s="12" t="str">
        <f t="array" ref="AC334">IF($A334="","",IFERROR(XLOOKUP($A334,'Auction Log'!$B$3:$B$300,'Auction Log'!$F$3:$F$300,""),""))</f>
        <v/>
      </c>
      <c r="AD334" s="12">
        <f t="array" ref="AD334">IF($A334="","",ROUND($Y334*XLOOKUP($F334,Settings!$I$15:$I$20,Settings!$K$15:$K$20,0.4),0))</f>
        <v>0</v>
      </c>
      <c r="AE334" s="12">
        <f t="array" ref="AE334">IF($A334="","",ROUND($Y334*XLOOKUP($F334,Settings!$I$15:$I$20,Settings!$L$15:$L$20,0.8),0))</f>
        <v>1</v>
      </c>
      <c r="AF334" s="12">
        <f t="array" ref="AF334">IF($A334="","",ROUND($Y334*XLOOKUP($F334,Settings!$I$15:$I$20,Settings!$M$15:$M$20,1),0))</f>
        <v>1</v>
      </c>
      <c r="AG334" s="12">
        <f t="array" ref="AG334">IF($A334="","",ROUND($Y334*XLOOKUP($F334,Settings!$I$15:$I$20,Settings!$N$15:$N$20,1.1),0))</f>
        <v>1</v>
      </c>
      <c r="AH334" s="12">
        <f t="array" ref="AH334">IF($A334="","",ROUND($Y334*XLOOKUP($F334,Settings!$I$15:$I$20,Settings!$O$15:$O$20,1.1)*Settings!$J$7,0))</f>
        <v>1</v>
      </c>
      <c r="AI334" s="12">
        <f t="array" ref="AI334">IF($A334="","",IF($AA334="Sold","",MIN($AH334,IFERROR(XLOOKUP(Settings!$B$12,Managers!$B$4:$B$15,Managers!$H$4:$H$15),$AH334))))</f>
        <v>1</v>
      </c>
      <c r="AJ334" s="12" t="str">
        <f t="shared" si="3"/>
        <v>Budget Drainer</v>
      </c>
      <c r="AK334" s="12">
        <f t="shared" si="4"/>
        <v>34</v>
      </c>
      <c r="AL334" s="12" t="str">
        <f t="shared" si="5"/>
        <v/>
      </c>
    </row>
    <row r="335" ht="15.75" customHeight="1">
      <c r="A335" s="10" t="s">
        <v>964</v>
      </c>
      <c r="B335" s="10" t="s">
        <v>965</v>
      </c>
      <c r="C335" s="10" t="s">
        <v>257</v>
      </c>
      <c r="D335" s="10" t="s">
        <v>118</v>
      </c>
      <c r="E335" s="10" t="s">
        <v>118</v>
      </c>
      <c r="F335" s="10" t="s">
        <v>117</v>
      </c>
      <c r="G335" s="10">
        <v>5.0</v>
      </c>
      <c r="H335" s="10">
        <v>7.0</v>
      </c>
      <c r="I335" s="10" t="s">
        <v>2140</v>
      </c>
      <c r="J335" s="10" t="s">
        <v>2136</v>
      </c>
      <c r="K335" s="10"/>
      <c r="L335" s="10">
        <v>75.25</v>
      </c>
      <c r="M335" s="10">
        <v>7.53</v>
      </c>
      <c r="N335" s="10"/>
      <c r="O335" s="10"/>
      <c r="P335" s="12">
        <f>IF($A335="","",IFERROR((IF($O335="",0,$O335)*Settings!$J$4+IF($L335="",0,$L335)*Settings!$J$5+IF($N335="",0,$N335)*Settings!$J$6)/(IF($O335="",0,Settings!$J$4)+IF($L335="",0,Settings!$J$5)+IF($N335="",0,Settings!$J$6)),0))</f>
        <v>75.25</v>
      </c>
      <c r="Q335" s="12">
        <f t="array" ref="Q335">IF($A335="","",XLOOKUP($E335,Settings!$A$19:$A$22,Settings!$G$19:$G$22,0))</f>
        <v>196.25</v>
      </c>
      <c r="R335" s="12">
        <f t="shared" si="1"/>
        <v>0</v>
      </c>
      <c r="S335" s="12">
        <f>IF($A335="","",IF($R335&lt;=0,1,1+$R335/SUMIF($R$4:$R$923,"&gt;0",$R$4:$R$923)*(Settings!$B$5*(Settings!$B$6-Settings!$B$7))))</f>
        <v>1</v>
      </c>
      <c r="T335" s="12">
        <f t="array" ref="T335">IF($A335="","",XLOOKUP($F335,Settings!$I$15:$I$20,Settings!$J$15:$J$20,1))</f>
        <v>0.75</v>
      </c>
      <c r="U335" s="12">
        <f>IF($A335="","",1+(($G335-5)/5)*Settings!$J$8)</f>
        <v>1</v>
      </c>
      <c r="V335" s="12">
        <f>IF($A335="","",1+(($H335-5)/5)*Settings!$J$9)</f>
        <v>1.06</v>
      </c>
      <c r="W335" s="12">
        <f t="array" ref="W335">IF($A335="","",XLOOKUP($J335,Lists!$C$3:$C$7,Lists!$D$3:$D$7,1))</f>
        <v>1</v>
      </c>
      <c r="X335" s="12">
        <f>IF($A335="","",IF($I335="Yes",Settings!$J$10,1))</f>
        <v>1</v>
      </c>
      <c r="Y335" s="12">
        <f t="shared" si="2"/>
        <v>1</v>
      </c>
      <c r="Z335" s="12">
        <f>IF($A335="","",IFERROR(ROUND(AVERAGEIFS('Historical Drafts'!$G$4:$G$300,'Historical Drafts'!$D$4:$D$300,$E335,'Historical Drafts'!$J$4:$J$300,"&gt;="&amp;$L335*0.85,'Historical Drafts'!$J$4:$J$300,"&lt;="&amp;$L335*1.15),0),$Y335))</f>
        <v>1</v>
      </c>
      <c r="AA335" s="12" t="str">
        <f>IF($A335="","",IF(COUNTIF('Auction Log'!$B$3:$B$300,$A335)&gt;0,"Sold","Available"))</f>
        <v>Available</v>
      </c>
      <c r="AB335" s="12" t="str">
        <f t="array" ref="AB335">IF($A335="","",IFERROR(XLOOKUP($A335,'Auction Log'!$B$3:$B$300,'Auction Log'!$G$3:$G$300,""),""))</f>
        <v/>
      </c>
      <c r="AC335" s="12" t="str">
        <f t="array" ref="AC335">IF($A335="","",IFERROR(XLOOKUP($A335,'Auction Log'!$B$3:$B$300,'Auction Log'!$F$3:$F$300,""),""))</f>
        <v/>
      </c>
      <c r="AD335" s="12">
        <f t="array" ref="AD335">IF($A335="","",ROUND($Y335*XLOOKUP($F335,Settings!$I$15:$I$20,Settings!$K$15:$K$20,0.4),0))</f>
        <v>0</v>
      </c>
      <c r="AE335" s="12">
        <f t="array" ref="AE335">IF($A335="","",ROUND($Y335*XLOOKUP($F335,Settings!$I$15:$I$20,Settings!$L$15:$L$20,0.8),0))</f>
        <v>1</v>
      </c>
      <c r="AF335" s="12">
        <f t="array" ref="AF335">IF($A335="","",ROUND($Y335*XLOOKUP($F335,Settings!$I$15:$I$20,Settings!$M$15:$M$20,1),0))</f>
        <v>1</v>
      </c>
      <c r="AG335" s="12">
        <f t="array" ref="AG335">IF($A335="","",ROUND($Y335*XLOOKUP($F335,Settings!$I$15:$I$20,Settings!$N$15:$N$20,1.1),0))</f>
        <v>1</v>
      </c>
      <c r="AH335" s="12">
        <f t="array" ref="AH335">IF($A335="","",ROUND($Y335*XLOOKUP($F335,Settings!$I$15:$I$20,Settings!$O$15:$O$20,1.1)*Settings!$J$7,0))</f>
        <v>1</v>
      </c>
      <c r="AI335" s="12">
        <f t="array" ref="AI335">IF($A335="","",IF($AA335="Sold","",MIN($AH335,IFERROR(XLOOKUP(Settings!$B$12,Managers!$B$4:$B$15,Managers!$H$4:$H$15),$AH335))))</f>
        <v>1</v>
      </c>
      <c r="AJ335" s="12" t="str">
        <f t="shared" si="3"/>
        <v>Recommended</v>
      </c>
      <c r="AK335" s="12">
        <f t="shared" si="4"/>
        <v>26</v>
      </c>
      <c r="AL335" s="12" t="str">
        <f t="shared" si="5"/>
        <v/>
      </c>
    </row>
    <row r="336" ht="15.75" customHeight="1">
      <c r="A336" s="10" t="s">
        <v>966</v>
      </c>
      <c r="B336" s="10" t="s">
        <v>967</v>
      </c>
      <c r="C336" s="10" t="s">
        <v>285</v>
      </c>
      <c r="D336" s="10" t="s">
        <v>118</v>
      </c>
      <c r="E336" s="10" t="s">
        <v>118</v>
      </c>
      <c r="F336" s="10" t="s">
        <v>117</v>
      </c>
      <c r="G336" s="10">
        <v>5.0</v>
      </c>
      <c r="H336" s="10">
        <v>7.0</v>
      </c>
      <c r="I336" s="10" t="s">
        <v>2140</v>
      </c>
      <c r="J336" s="10" t="s">
        <v>2136</v>
      </c>
      <c r="K336" s="10"/>
      <c r="L336" s="10">
        <v>75.25</v>
      </c>
      <c r="M336" s="10">
        <v>4.18</v>
      </c>
      <c r="N336" s="10"/>
      <c r="O336" s="10"/>
      <c r="P336" s="12">
        <f>IF($A336="","",IFERROR((IF($O336="",0,$O336)*Settings!$J$4+IF($L336="",0,$L336)*Settings!$J$5+IF($N336="",0,$N336)*Settings!$J$6)/(IF($O336="",0,Settings!$J$4)+IF($L336="",0,Settings!$J$5)+IF($N336="",0,Settings!$J$6)),0))</f>
        <v>75.25</v>
      </c>
      <c r="Q336" s="12">
        <f t="array" ref="Q336">IF($A336="","",XLOOKUP($E336,Settings!$A$19:$A$22,Settings!$G$19:$G$22,0))</f>
        <v>196.25</v>
      </c>
      <c r="R336" s="12">
        <f t="shared" si="1"/>
        <v>0</v>
      </c>
      <c r="S336" s="12">
        <f>IF($A336="","",IF($R336&lt;=0,1,1+$R336/SUMIF($R$4:$R$923,"&gt;0",$R$4:$R$923)*(Settings!$B$5*(Settings!$B$6-Settings!$B$7))))</f>
        <v>1</v>
      </c>
      <c r="T336" s="12">
        <f t="array" ref="T336">IF($A336="","",XLOOKUP($F336,Settings!$I$15:$I$20,Settings!$J$15:$J$20,1))</f>
        <v>0.75</v>
      </c>
      <c r="U336" s="12">
        <f>IF($A336="","",1+(($G336-5)/5)*Settings!$J$8)</f>
        <v>1</v>
      </c>
      <c r="V336" s="12">
        <f>IF($A336="","",1+(($H336-5)/5)*Settings!$J$9)</f>
        <v>1.06</v>
      </c>
      <c r="W336" s="12">
        <f t="array" ref="W336">IF($A336="","",XLOOKUP($J336,Lists!$C$3:$C$7,Lists!$D$3:$D$7,1))</f>
        <v>1</v>
      </c>
      <c r="X336" s="12">
        <f>IF($A336="","",IF($I336="Yes",Settings!$J$10,1))</f>
        <v>1</v>
      </c>
      <c r="Y336" s="12">
        <f t="shared" si="2"/>
        <v>1</v>
      </c>
      <c r="Z336" s="12">
        <f>IF($A336="","",IFERROR(ROUND(AVERAGEIFS('Historical Drafts'!$G$4:$G$300,'Historical Drafts'!$D$4:$D$300,$E336,'Historical Drafts'!$J$4:$J$300,"&gt;="&amp;$L336*0.85,'Historical Drafts'!$J$4:$J$300,"&lt;="&amp;$L336*1.15),0),$Y336))</f>
        <v>1</v>
      </c>
      <c r="AA336" s="12" t="str">
        <f>IF($A336="","",IF(COUNTIF('Auction Log'!$B$3:$B$300,$A336)&gt;0,"Sold","Available"))</f>
        <v>Available</v>
      </c>
      <c r="AB336" s="12" t="str">
        <f t="array" ref="AB336">IF($A336="","",IFERROR(XLOOKUP($A336,'Auction Log'!$B$3:$B$300,'Auction Log'!$G$3:$G$300,""),""))</f>
        <v/>
      </c>
      <c r="AC336" s="12" t="str">
        <f t="array" ref="AC336">IF($A336="","",IFERROR(XLOOKUP($A336,'Auction Log'!$B$3:$B$300,'Auction Log'!$F$3:$F$300,""),""))</f>
        <v/>
      </c>
      <c r="AD336" s="12">
        <f t="array" ref="AD336">IF($A336="","",ROUND($Y336*XLOOKUP($F336,Settings!$I$15:$I$20,Settings!$K$15:$K$20,0.4),0))</f>
        <v>0</v>
      </c>
      <c r="AE336" s="12">
        <f t="array" ref="AE336">IF($A336="","",ROUND($Y336*XLOOKUP($F336,Settings!$I$15:$I$20,Settings!$L$15:$L$20,0.8),0))</f>
        <v>1</v>
      </c>
      <c r="AF336" s="12">
        <f t="array" ref="AF336">IF($A336="","",ROUND($Y336*XLOOKUP($F336,Settings!$I$15:$I$20,Settings!$M$15:$M$20,1),0))</f>
        <v>1</v>
      </c>
      <c r="AG336" s="12">
        <f t="array" ref="AG336">IF($A336="","",ROUND($Y336*XLOOKUP($F336,Settings!$I$15:$I$20,Settings!$N$15:$N$20,1.1),0))</f>
        <v>1</v>
      </c>
      <c r="AH336" s="12">
        <f t="array" ref="AH336">IF($A336="","",ROUND($Y336*XLOOKUP($F336,Settings!$I$15:$I$20,Settings!$O$15:$O$20,1.1)*Settings!$J$7,0))</f>
        <v>1</v>
      </c>
      <c r="AI336" s="12">
        <f t="array" ref="AI336">IF($A336="","",IF($AA336="Sold","",MIN($AH336,IFERROR(XLOOKUP(Settings!$B$12,Managers!$B$4:$B$15,Managers!$H$4:$H$15),$AH336))))</f>
        <v>1</v>
      </c>
      <c r="AJ336" s="12" t="str">
        <f t="shared" si="3"/>
        <v>Recommended</v>
      </c>
      <c r="AK336" s="12">
        <f t="shared" si="4"/>
        <v>26</v>
      </c>
      <c r="AL336" s="12" t="str">
        <f t="shared" si="5"/>
        <v/>
      </c>
    </row>
    <row r="337" ht="15.75" customHeight="1">
      <c r="A337" s="10" t="s">
        <v>968</v>
      </c>
      <c r="B337" s="10" t="s">
        <v>969</v>
      </c>
      <c r="C337" s="10" t="s">
        <v>177</v>
      </c>
      <c r="D337" s="10" t="s">
        <v>115</v>
      </c>
      <c r="E337" s="10" t="s">
        <v>115</v>
      </c>
      <c r="F337" s="10" t="s">
        <v>117</v>
      </c>
      <c r="G337" s="10">
        <v>5.0</v>
      </c>
      <c r="H337" s="10">
        <v>7.0</v>
      </c>
      <c r="I337" s="10" t="s">
        <v>2140</v>
      </c>
      <c r="J337" s="10" t="s">
        <v>2136</v>
      </c>
      <c r="K337" s="10"/>
      <c r="L337" s="10">
        <v>74.25</v>
      </c>
      <c r="M337" s="10">
        <v>7.42</v>
      </c>
      <c r="N337" s="10"/>
      <c r="O337" s="10"/>
      <c r="P337" s="12">
        <f>IF($A337="","",IFERROR((IF($O337="",0,$O337)*Settings!$J$4+IF($L337="",0,$L337)*Settings!$J$5+IF($N337="",0,$N337)*Settings!$J$6)/(IF($O337="",0,Settings!$J$4)+IF($L337="",0,Settings!$J$5)+IF($N337="",0,Settings!$J$6)),0))</f>
        <v>74.25</v>
      </c>
      <c r="Q337" s="12">
        <f t="array" ref="Q337">IF($A337="","",XLOOKUP($E337,Settings!$A$19:$A$22,Settings!$G$19:$G$22,0))</f>
        <v>249.25</v>
      </c>
      <c r="R337" s="12">
        <f t="shared" si="1"/>
        <v>0</v>
      </c>
      <c r="S337" s="12">
        <f>IF($A337="","",IF($R337&lt;=0,1,1+$R337/SUMIF($R$4:$R$923,"&gt;0",$R$4:$R$923)*(Settings!$B$5*(Settings!$B$6-Settings!$B$7))))</f>
        <v>1</v>
      </c>
      <c r="T337" s="12">
        <f t="array" ref="T337">IF($A337="","",XLOOKUP($F337,Settings!$I$15:$I$20,Settings!$J$15:$J$20,1))</f>
        <v>0.75</v>
      </c>
      <c r="U337" s="12">
        <f>IF($A337="","",1+(($G337-5)/5)*Settings!$J$8)</f>
        <v>1</v>
      </c>
      <c r="V337" s="12">
        <f>IF($A337="","",1+(($H337-5)/5)*Settings!$J$9)</f>
        <v>1.06</v>
      </c>
      <c r="W337" s="12">
        <f t="array" ref="W337">IF($A337="","",XLOOKUP($J337,Lists!$C$3:$C$7,Lists!$D$3:$D$7,1))</f>
        <v>1</v>
      </c>
      <c r="X337" s="12">
        <f>IF($A337="","",IF($I337="Yes",Settings!$J$10,1))</f>
        <v>1</v>
      </c>
      <c r="Y337" s="12">
        <f t="shared" si="2"/>
        <v>1</v>
      </c>
      <c r="Z337" s="12">
        <f>IF($A337="","",IFERROR(ROUND(AVERAGEIFS('Historical Drafts'!$G$4:$G$300,'Historical Drafts'!$D$4:$D$300,$E337,'Historical Drafts'!$J$4:$J$300,"&gt;="&amp;$L337*0.85,'Historical Drafts'!$J$4:$J$300,"&lt;="&amp;$L337*1.15),0),$Y337))</f>
        <v>1</v>
      </c>
      <c r="AA337" s="12" t="str">
        <f>IF($A337="","",IF(COUNTIF('Auction Log'!$B$3:$B$300,$A337)&gt;0,"Sold","Available"))</f>
        <v>Available</v>
      </c>
      <c r="AB337" s="12" t="str">
        <f t="array" ref="AB337">IF($A337="","",IFERROR(XLOOKUP($A337,'Auction Log'!$B$3:$B$300,'Auction Log'!$G$3:$G$300,""),""))</f>
        <v/>
      </c>
      <c r="AC337" s="12" t="str">
        <f t="array" ref="AC337">IF($A337="","",IFERROR(XLOOKUP($A337,'Auction Log'!$B$3:$B$300,'Auction Log'!$F$3:$F$300,""),""))</f>
        <v/>
      </c>
      <c r="AD337" s="12">
        <f t="array" ref="AD337">IF($A337="","",ROUND($Y337*XLOOKUP($F337,Settings!$I$15:$I$20,Settings!$K$15:$K$20,0.4),0))</f>
        <v>0</v>
      </c>
      <c r="AE337" s="12">
        <f t="array" ref="AE337">IF($A337="","",ROUND($Y337*XLOOKUP($F337,Settings!$I$15:$I$20,Settings!$L$15:$L$20,0.8),0))</f>
        <v>1</v>
      </c>
      <c r="AF337" s="12">
        <f t="array" ref="AF337">IF($A337="","",ROUND($Y337*XLOOKUP($F337,Settings!$I$15:$I$20,Settings!$M$15:$M$20,1),0))</f>
        <v>1</v>
      </c>
      <c r="AG337" s="12">
        <f t="array" ref="AG337">IF($A337="","",ROUND($Y337*XLOOKUP($F337,Settings!$I$15:$I$20,Settings!$N$15:$N$20,1.1),0))</f>
        <v>1</v>
      </c>
      <c r="AH337" s="12">
        <f t="array" ref="AH337">IF($A337="","",ROUND($Y337*XLOOKUP($F337,Settings!$I$15:$I$20,Settings!$O$15:$O$20,1.1)*Settings!$J$7,0))</f>
        <v>1</v>
      </c>
      <c r="AI337" s="12">
        <f t="array" ref="AI337">IF($A337="","",IF($AA337="Sold","",MIN($AH337,IFERROR(XLOOKUP(Settings!$B$12,Managers!$B$4:$B$15,Managers!$H$4:$H$15),$AH337))))</f>
        <v>1</v>
      </c>
      <c r="AJ337" s="12" t="str">
        <f t="shared" si="3"/>
        <v>Recommended</v>
      </c>
      <c r="AK337" s="12">
        <f t="shared" si="4"/>
        <v>26</v>
      </c>
      <c r="AL337" s="12" t="str">
        <f t="shared" si="5"/>
        <v/>
      </c>
    </row>
    <row r="338" ht="15.75" customHeight="1">
      <c r="A338" s="10" t="s">
        <v>970</v>
      </c>
      <c r="B338" s="10" t="s">
        <v>971</v>
      </c>
      <c r="C338" s="10" t="s">
        <v>236</v>
      </c>
      <c r="D338" s="10" t="s">
        <v>118</v>
      </c>
      <c r="E338" s="10" t="s">
        <v>118</v>
      </c>
      <c r="F338" s="10" t="s">
        <v>117</v>
      </c>
      <c r="G338" s="10">
        <v>5.0</v>
      </c>
      <c r="H338" s="10">
        <v>7.0</v>
      </c>
      <c r="I338" s="10" t="s">
        <v>2140</v>
      </c>
      <c r="J338" s="10" t="s">
        <v>2136</v>
      </c>
      <c r="K338" s="10"/>
      <c r="L338" s="10">
        <v>74.25</v>
      </c>
      <c r="M338" s="10">
        <v>5.3</v>
      </c>
      <c r="N338" s="10"/>
      <c r="O338" s="10"/>
      <c r="P338" s="12">
        <f>IF($A338="","",IFERROR((IF($O338="",0,$O338)*Settings!$J$4+IF($L338="",0,$L338)*Settings!$J$5+IF($N338="",0,$N338)*Settings!$J$6)/(IF($O338="",0,Settings!$J$4)+IF($L338="",0,Settings!$J$5)+IF($N338="",0,Settings!$J$6)),0))</f>
        <v>74.25</v>
      </c>
      <c r="Q338" s="12">
        <f t="array" ref="Q338">IF($A338="","",XLOOKUP($E338,Settings!$A$19:$A$22,Settings!$G$19:$G$22,0))</f>
        <v>196.25</v>
      </c>
      <c r="R338" s="12">
        <f t="shared" si="1"/>
        <v>0</v>
      </c>
      <c r="S338" s="12">
        <f>IF($A338="","",IF($R338&lt;=0,1,1+$R338/SUMIF($R$4:$R$923,"&gt;0",$R$4:$R$923)*(Settings!$B$5*(Settings!$B$6-Settings!$B$7))))</f>
        <v>1</v>
      </c>
      <c r="T338" s="12">
        <f t="array" ref="T338">IF($A338="","",XLOOKUP($F338,Settings!$I$15:$I$20,Settings!$J$15:$J$20,1))</f>
        <v>0.75</v>
      </c>
      <c r="U338" s="12">
        <f>IF($A338="","",1+(($G338-5)/5)*Settings!$J$8)</f>
        <v>1</v>
      </c>
      <c r="V338" s="12">
        <f>IF($A338="","",1+(($H338-5)/5)*Settings!$J$9)</f>
        <v>1.06</v>
      </c>
      <c r="W338" s="12">
        <f t="array" ref="W338">IF($A338="","",XLOOKUP($J338,Lists!$C$3:$C$7,Lists!$D$3:$D$7,1))</f>
        <v>1</v>
      </c>
      <c r="X338" s="12">
        <f>IF($A338="","",IF($I338="Yes",Settings!$J$10,1))</f>
        <v>1</v>
      </c>
      <c r="Y338" s="12">
        <f t="shared" si="2"/>
        <v>1</v>
      </c>
      <c r="Z338" s="12">
        <f>IF($A338="","",IFERROR(ROUND(AVERAGEIFS('Historical Drafts'!$G$4:$G$300,'Historical Drafts'!$D$4:$D$300,$E338,'Historical Drafts'!$J$4:$J$300,"&gt;="&amp;$L338*0.85,'Historical Drafts'!$J$4:$J$300,"&lt;="&amp;$L338*1.15),0),$Y338))</f>
        <v>1</v>
      </c>
      <c r="AA338" s="12" t="str">
        <f>IF($A338="","",IF(COUNTIF('Auction Log'!$B$3:$B$300,$A338)&gt;0,"Sold","Available"))</f>
        <v>Available</v>
      </c>
      <c r="AB338" s="12" t="str">
        <f t="array" ref="AB338">IF($A338="","",IFERROR(XLOOKUP($A338,'Auction Log'!$B$3:$B$300,'Auction Log'!$G$3:$G$300,""),""))</f>
        <v/>
      </c>
      <c r="AC338" s="12" t="str">
        <f t="array" ref="AC338">IF($A338="","",IFERROR(XLOOKUP($A338,'Auction Log'!$B$3:$B$300,'Auction Log'!$F$3:$F$300,""),""))</f>
        <v/>
      </c>
      <c r="AD338" s="12">
        <f t="array" ref="AD338">IF($A338="","",ROUND($Y338*XLOOKUP($F338,Settings!$I$15:$I$20,Settings!$K$15:$K$20,0.4),0))</f>
        <v>0</v>
      </c>
      <c r="AE338" s="12">
        <f t="array" ref="AE338">IF($A338="","",ROUND($Y338*XLOOKUP($F338,Settings!$I$15:$I$20,Settings!$L$15:$L$20,0.8),0))</f>
        <v>1</v>
      </c>
      <c r="AF338" s="12">
        <f t="array" ref="AF338">IF($A338="","",ROUND($Y338*XLOOKUP($F338,Settings!$I$15:$I$20,Settings!$M$15:$M$20,1),0))</f>
        <v>1</v>
      </c>
      <c r="AG338" s="12">
        <f t="array" ref="AG338">IF($A338="","",ROUND($Y338*XLOOKUP($F338,Settings!$I$15:$I$20,Settings!$N$15:$N$20,1.1),0))</f>
        <v>1</v>
      </c>
      <c r="AH338" s="12">
        <f t="array" ref="AH338">IF($A338="","",ROUND($Y338*XLOOKUP($F338,Settings!$I$15:$I$20,Settings!$O$15:$O$20,1.1)*Settings!$J$7,0))</f>
        <v>1</v>
      </c>
      <c r="AI338" s="12">
        <f t="array" ref="AI338">IF($A338="","",IF($AA338="Sold","",MIN($AH338,IFERROR(XLOOKUP(Settings!$B$12,Managers!$B$4:$B$15,Managers!$H$4:$H$15),$AH338))))</f>
        <v>1</v>
      </c>
      <c r="AJ338" s="12" t="str">
        <f t="shared" si="3"/>
        <v>Recommended</v>
      </c>
      <c r="AK338" s="12">
        <f t="shared" si="4"/>
        <v>26</v>
      </c>
      <c r="AL338" s="12" t="str">
        <f t="shared" si="5"/>
        <v/>
      </c>
    </row>
    <row r="339" ht="15.75" customHeight="1">
      <c r="A339" s="10" t="s">
        <v>972</v>
      </c>
      <c r="B339" s="10" t="s">
        <v>973</v>
      </c>
      <c r="C339" s="10" t="s">
        <v>285</v>
      </c>
      <c r="D339" s="10" t="s">
        <v>121</v>
      </c>
      <c r="E339" s="10" t="s">
        <v>121</v>
      </c>
      <c r="F339" s="10" t="s">
        <v>117</v>
      </c>
      <c r="G339" s="10">
        <v>5.0</v>
      </c>
      <c r="H339" s="10">
        <v>7.0</v>
      </c>
      <c r="I339" s="10" t="s">
        <v>2140</v>
      </c>
      <c r="J339" s="10" t="s">
        <v>2136</v>
      </c>
      <c r="K339" s="10"/>
      <c r="L339" s="10">
        <v>74.0</v>
      </c>
      <c r="M339" s="10">
        <v>4.11</v>
      </c>
      <c r="N339" s="10"/>
      <c r="O339" s="10"/>
      <c r="P339" s="12">
        <f>IF($A339="","",IFERROR((IF($O339="",0,$O339)*Settings!$J$4+IF($L339="",0,$L339)*Settings!$J$5+IF($N339="",0,$N339)*Settings!$J$6)/(IF($O339="",0,Settings!$J$4)+IF($L339="",0,Settings!$J$5)+IF($N339="",0,Settings!$J$6)),0))</f>
        <v>74</v>
      </c>
      <c r="Q339" s="12">
        <f t="array" ref="Q339">IF($A339="","",XLOOKUP($E339,Settings!$A$19:$A$22,Settings!$G$19:$G$22,0))</f>
        <v>206</v>
      </c>
      <c r="R339" s="12">
        <f t="shared" si="1"/>
        <v>0</v>
      </c>
      <c r="S339" s="12">
        <f>IF($A339="","",IF($R339&lt;=0,1,1+$R339/SUMIF($R$4:$R$923,"&gt;0",$R$4:$R$923)*(Settings!$B$5*(Settings!$B$6-Settings!$B$7))))</f>
        <v>1</v>
      </c>
      <c r="T339" s="12">
        <f t="array" ref="T339">IF($A339="","",XLOOKUP($F339,Settings!$I$15:$I$20,Settings!$J$15:$J$20,1))</f>
        <v>0.75</v>
      </c>
      <c r="U339" s="12">
        <f>IF($A339="","",1+(($G339-5)/5)*Settings!$J$8)</f>
        <v>1</v>
      </c>
      <c r="V339" s="12">
        <f>IF($A339="","",1+(($H339-5)/5)*Settings!$J$9)</f>
        <v>1.06</v>
      </c>
      <c r="W339" s="12">
        <f t="array" ref="W339">IF($A339="","",XLOOKUP($J339,Lists!$C$3:$C$7,Lists!$D$3:$D$7,1))</f>
        <v>1</v>
      </c>
      <c r="X339" s="12">
        <f>IF($A339="","",IF($I339="Yes",Settings!$J$10,1))</f>
        <v>1</v>
      </c>
      <c r="Y339" s="12">
        <f t="shared" si="2"/>
        <v>1</v>
      </c>
      <c r="Z339" s="12">
        <f>IF($A339="","",IFERROR(ROUND(AVERAGEIFS('Historical Drafts'!$G$4:$G$300,'Historical Drafts'!$D$4:$D$300,$E339,'Historical Drafts'!$J$4:$J$300,"&gt;="&amp;$L339*0.85,'Historical Drafts'!$J$4:$J$300,"&lt;="&amp;$L339*1.15),0),$Y339))</f>
        <v>1</v>
      </c>
      <c r="AA339" s="12" t="str">
        <f>IF($A339="","",IF(COUNTIF('Auction Log'!$B$3:$B$300,$A339)&gt;0,"Sold","Available"))</f>
        <v>Available</v>
      </c>
      <c r="AB339" s="12" t="str">
        <f t="array" ref="AB339">IF($A339="","",IFERROR(XLOOKUP($A339,'Auction Log'!$B$3:$B$300,'Auction Log'!$G$3:$G$300,""),""))</f>
        <v/>
      </c>
      <c r="AC339" s="12" t="str">
        <f t="array" ref="AC339">IF($A339="","",IFERROR(XLOOKUP($A339,'Auction Log'!$B$3:$B$300,'Auction Log'!$F$3:$F$300,""),""))</f>
        <v/>
      </c>
      <c r="AD339" s="12">
        <f t="array" ref="AD339">IF($A339="","",ROUND($Y339*XLOOKUP($F339,Settings!$I$15:$I$20,Settings!$K$15:$K$20,0.4),0))</f>
        <v>0</v>
      </c>
      <c r="AE339" s="12">
        <f t="array" ref="AE339">IF($A339="","",ROUND($Y339*XLOOKUP($F339,Settings!$I$15:$I$20,Settings!$L$15:$L$20,0.8),0))</f>
        <v>1</v>
      </c>
      <c r="AF339" s="12">
        <f t="array" ref="AF339">IF($A339="","",ROUND($Y339*XLOOKUP($F339,Settings!$I$15:$I$20,Settings!$M$15:$M$20,1),0))</f>
        <v>1</v>
      </c>
      <c r="AG339" s="12">
        <f t="array" ref="AG339">IF($A339="","",ROUND($Y339*XLOOKUP($F339,Settings!$I$15:$I$20,Settings!$N$15:$N$20,1.1),0))</f>
        <v>1</v>
      </c>
      <c r="AH339" s="12">
        <f t="array" ref="AH339">IF($A339="","",ROUND($Y339*XLOOKUP($F339,Settings!$I$15:$I$20,Settings!$O$15:$O$20,1.1)*Settings!$J$7,0))</f>
        <v>1</v>
      </c>
      <c r="AI339" s="12">
        <f t="array" ref="AI339">IF($A339="","",IF($AA339="Sold","",MIN($AH339,IFERROR(XLOOKUP(Settings!$B$12,Managers!$B$4:$B$15,Managers!$H$4:$H$15),$AH339))))</f>
        <v>1</v>
      </c>
      <c r="AJ339" s="12" t="str">
        <f t="shared" si="3"/>
        <v>Recommended</v>
      </c>
      <c r="AK339" s="12">
        <f t="shared" si="4"/>
        <v>26</v>
      </c>
      <c r="AL339" s="12" t="str">
        <f t="shared" si="5"/>
        <v/>
      </c>
    </row>
    <row r="340" ht="15.75" customHeight="1">
      <c r="A340" s="10" t="s">
        <v>974</v>
      </c>
      <c r="B340" s="10" t="s">
        <v>975</v>
      </c>
      <c r="C340" s="10" t="s">
        <v>314</v>
      </c>
      <c r="D340" s="10" t="s">
        <v>121</v>
      </c>
      <c r="E340" s="10" t="s">
        <v>121</v>
      </c>
      <c r="F340" s="10" t="s">
        <v>117</v>
      </c>
      <c r="G340" s="10">
        <v>5.0</v>
      </c>
      <c r="H340" s="10">
        <v>7.0</v>
      </c>
      <c r="I340" s="10" t="s">
        <v>2140</v>
      </c>
      <c r="J340" s="10" t="s">
        <v>2136</v>
      </c>
      <c r="K340" s="10"/>
      <c r="L340" s="10">
        <v>74.0</v>
      </c>
      <c r="M340" s="10">
        <v>4.11</v>
      </c>
      <c r="N340" s="10"/>
      <c r="O340" s="10"/>
      <c r="P340" s="12">
        <f>IF($A340="","",IFERROR((IF($O340="",0,$O340)*Settings!$J$4+IF($L340="",0,$L340)*Settings!$J$5+IF($N340="",0,$N340)*Settings!$J$6)/(IF($O340="",0,Settings!$J$4)+IF($L340="",0,Settings!$J$5)+IF($N340="",0,Settings!$J$6)),0))</f>
        <v>74</v>
      </c>
      <c r="Q340" s="12">
        <f t="array" ref="Q340">IF($A340="","",XLOOKUP($E340,Settings!$A$19:$A$22,Settings!$G$19:$G$22,0))</f>
        <v>206</v>
      </c>
      <c r="R340" s="12">
        <f t="shared" si="1"/>
        <v>0</v>
      </c>
      <c r="S340" s="12">
        <f>IF($A340="","",IF($R340&lt;=0,1,1+$R340/SUMIF($R$4:$R$923,"&gt;0",$R$4:$R$923)*(Settings!$B$5*(Settings!$B$6-Settings!$B$7))))</f>
        <v>1</v>
      </c>
      <c r="T340" s="12">
        <f t="array" ref="T340">IF($A340="","",XLOOKUP($F340,Settings!$I$15:$I$20,Settings!$J$15:$J$20,1))</f>
        <v>0.75</v>
      </c>
      <c r="U340" s="12">
        <f>IF($A340="","",1+(($G340-5)/5)*Settings!$J$8)</f>
        <v>1</v>
      </c>
      <c r="V340" s="12">
        <f>IF($A340="","",1+(($H340-5)/5)*Settings!$J$9)</f>
        <v>1.06</v>
      </c>
      <c r="W340" s="12">
        <f t="array" ref="W340">IF($A340="","",XLOOKUP($J340,Lists!$C$3:$C$7,Lists!$D$3:$D$7,1))</f>
        <v>1</v>
      </c>
      <c r="X340" s="12">
        <f>IF($A340="","",IF($I340="Yes",Settings!$J$10,1))</f>
        <v>1</v>
      </c>
      <c r="Y340" s="12">
        <f t="shared" si="2"/>
        <v>1</v>
      </c>
      <c r="Z340" s="12">
        <f>IF($A340="","",IFERROR(ROUND(AVERAGEIFS('Historical Drafts'!$G$4:$G$300,'Historical Drafts'!$D$4:$D$300,$E340,'Historical Drafts'!$J$4:$J$300,"&gt;="&amp;$L340*0.85,'Historical Drafts'!$J$4:$J$300,"&lt;="&amp;$L340*1.15),0),$Y340))</f>
        <v>1</v>
      </c>
      <c r="AA340" s="12" t="str">
        <f>IF($A340="","",IF(COUNTIF('Auction Log'!$B$3:$B$300,$A340)&gt;0,"Sold","Available"))</f>
        <v>Available</v>
      </c>
      <c r="AB340" s="12" t="str">
        <f t="array" ref="AB340">IF($A340="","",IFERROR(XLOOKUP($A340,'Auction Log'!$B$3:$B$300,'Auction Log'!$G$3:$G$300,""),""))</f>
        <v/>
      </c>
      <c r="AC340" s="12" t="str">
        <f t="array" ref="AC340">IF($A340="","",IFERROR(XLOOKUP($A340,'Auction Log'!$B$3:$B$300,'Auction Log'!$F$3:$F$300,""),""))</f>
        <v/>
      </c>
      <c r="AD340" s="12">
        <f t="array" ref="AD340">IF($A340="","",ROUND($Y340*XLOOKUP($F340,Settings!$I$15:$I$20,Settings!$K$15:$K$20,0.4),0))</f>
        <v>0</v>
      </c>
      <c r="AE340" s="12">
        <f t="array" ref="AE340">IF($A340="","",ROUND($Y340*XLOOKUP($F340,Settings!$I$15:$I$20,Settings!$L$15:$L$20,0.8),0))</f>
        <v>1</v>
      </c>
      <c r="AF340" s="12">
        <f t="array" ref="AF340">IF($A340="","",ROUND($Y340*XLOOKUP($F340,Settings!$I$15:$I$20,Settings!$M$15:$M$20,1),0))</f>
        <v>1</v>
      </c>
      <c r="AG340" s="12">
        <f t="array" ref="AG340">IF($A340="","",ROUND($Y340*XLOOKUP($F340,Settings!$I$15:$I$20,Settings!$N$15:$N$20,1.1),0))</f>
        <v>1</v>
      </c>
      <c r="AH340" s="12">
        <f t="array" ref="AH340">IF($A340="","",ROUND($Y340*XLOOKUP($F340,Settings!$I$15:$I$20,Settings!$O$15:$O$20,1.1)*Settings!$J$7,0))</f>
        <v>1</v>
      </c>
      <c r="AI340" s="12">
        <f t="array" ref="AI340">IF($A340="","",IF($AA340="Sold","",MIN($AH340,IFERROR(XLOOKUP(Settings!$B$12,Managers!$B$4:$B$15,Managers!$H$4:$H$15),$AH340))))</f>
        <v>1</v>
      </c>
      <c r="AJ340" s="12" t="str">
        <f t="shared" si="3"/>
        <v>Recommended</v>
      </c>
      <c r="AK340" s="12">
        <f t="shared" si="4"/>
        <v>26</v>
      </c>
      <c r="AL340" s="12" t="str">
        <f t="shared" si="5"/>
        <v/>
      </c>
    </row>
    <row r="341" ht="15.75" customHeight="1">
      <c r="A341" s="10" t="s">
        <v>976</v>
      </c>
      <c r="B341" s="10" t="s">
        <v>977</v>
      </c>
      <c r="C341" s="10" t="s">
        <v>387</v>
      </c>
      <c r="D341" s="10" t="s">
        <v>118</v>
      </c>
      <c r="E341" s="10" t="s">
        <v>118</v>
      </c>
      <c r="F341" s="10" t="s">
        <v>117</v>
      </c>
      <c r="G341" s="10">
        <v>5.0</v>
      </c>
      <c r="H341" s="10">
        <v>7.0</v>
      </c>
      <c r="I341" s="10" t="s">
        <v>2140</v>
      </c>
      <c r="J341" s="10" t="s">
        <v>2136</v>
      </c>
      <c r="K341" s="10"/>
      <c r="L341" s="10">
        <v>72.75</v>
      </c>
      <c r="M341" s="10">
        <v>3.31</v>
      </c>
      <c r="N341" s="10"/>
      <c r="O341" s="10"/>
      <c r="P341" s="12">
        <f>IF($A341="","",IFERROR((IF($O341="",0,$O341)*Settings!$J$4+IF($L341="",0,$L341)*Settings!$J$5+IF($N341="",0,$N341)*Settings!$J$6)/(IF($O341="",0,Settings!$J$4)+IF($L341="",0,Settings!$J$5)+IF($N341="",0,Settings!$J$6)),0))</f>
        <v>72.75</v>
      </c>
      <c r="Q341" s="12">
        <f t="array" ref="Q341">IF($A341="","",XLOOKUP($E341,Settings!$A$19:$A$22,Settings!$G$19:$G$22,0))</f>
        <v>196.25</v>
      </c>
      <c r="R341" s="12">
        <f t="shared" si="1"/>
        <v>0</v>
      </c>
      <c r="S341" s="12">
        <f>IF($A341="","",IF($R341&lt;=0,1,1+$R341/SUMIF($R$4:$R$923,"&gt;0",$R$4:$R$923)*(Settings!$B$5*(Settings!$B$6-Settings!$B$7))))</f>
        <v>1</v>
      </c>
      <c r="T341" s="12">
        <f t="array" ref="T341">IF($A341="","",XLOOKUP($F341,Settings!$I$15:$I$20,Settings!$J$15:$J$20,1))</f>
        <v>0.75</v>
      </c>
      <c r="U341" s="12">
        <f>IF($A341="","",1+(($G341-5)/5)*Settings!$J$8)</f>
        <v>1</v>
      </c>
      <c r="V341" s="12">
        <f>IF($A341="","",1+(($H341-5)/5)*Settings!$J$9)</f>
        <v>1.06</v>
      </c>
      <c r="W341" s="12">
        <f t="array" ref="W341">IF($A341="","",XLOOKUP($J341,Lists!$C$3:$C$7,Lists!$D$3:$D$7,1))</f>
        <v>1</v>
      </c>
      <c r="X341" s="12">
        <f>IF($A341="","",IF($I341="Yes",Settings!$J$10,1))</f>
        <v>1</v>
      </c>
      <c r="Y341" s="12">
        <f t="shared" si="2"/>
        <v>1</v>
      </c>
      <c r="Z341" s="12">
        <f>IF($A341="","",IFERROR(ROUND(AVERAGEIFS('Historical Drafts'!$G$4:$G$300,'Historical Drafts'!$D$4:$D$300,$E341,'Historical Drafts'!$J$4:$J$300,"&gt;="&amp;$L341*0.85,'Historical Drafts'!$J$4:$J$300,"&lt;="&amp;$L341*1.15),0),$Y341))</f>
        <v>1</v>
      </c>
      <c r="AA341" s="12" t="str">
        <f>IF($A341="","",IF(COUNTIF('Auction Log'!$B$3:$B$300,$A341)&gt;0,"Sold","Available"))</f>
        <v>Available</v>
      </c>
      <c r="AB341" s="12" t="str">
        <f t="array" ref="AB341">IF($A341="","",IFERROR(XLOOKUP($A341,'Auction Log'!$B$3:$B$300,'Auction Log'!$G$3:$G$300,""),""))</f>
        <v/>
      </c>
      <c r="AC341" s="12" t="str">
        <f t="array" ref="AC341">IF($A341="","",IFERROR(XLOOKUP($A341,'Auction Log'!$B$3:$B$300,'Auction Log'!$F$3:$F$300,""),""))</f>
        <v/>
      </c>
      <c r="AD341" s="12">
        <f t="array" ref="AD341">IF($A341="","",ROUND($Y341*XLOOKUP($F341,Settings!$I$15:$I$20,Settings!$K$15:$K$20,0.4),0))</f>
        <v>0</v>
      </c>
      <c r="AE341" s="12">
        <f t="array" ref="AE341">IF($A341="","",ROUND($Y341*XLOOKUP($F341,Settings!$I$15:$I$20,Settings!$L$15:$L$20,0.8),0))</f>
        <v>1</v>
      </c>
      <c r="AF341" s="12">
        <f t="array" ref="AF341">IF($A341="","",ROUND($Y341*XLOOKUP($F341,Settings!$I$15:$I$20,Settings!$M$15:$M$20,1),0))</f>
        <v>1</v>
      </c>
      <c r="AG341" s="12">
        <f t="array" ref="AG341">IF($A341="","",ROUND($Y341*XLOOKUP($F341,Settings!$I$15:$I$20,Settings!$N$15:$N$20,1.1),0))</f>
        <v>1</v>
      </c>
      <c r="AH341" s="12">
        <f t="array" ref="AH341">IF($A341="","",ROUND($Y341*XLOOKUP($F341,Settings!$I$15:$I$20,Settings!$O$15:$O$20,1.1)*Settings!$J$7,0))</f>
        <v>1</v>
      </c>
      <c r="AI341" s="12">
        <f t="array" ref="AI341">IF($A341="","",IF($AA341="Sold","",MIN($AH341,IFERROR(XLOOKUP(Settings!$B$12,Managers!$B$4:$B$15,Managers!$H$4:$H$15),$AH341))))</f>
        <v>1</v>
      </c>
      <c r="AJ341" s="12" t="str">
        <f t="shared" si="3"/>
        <v>Recommended</v>
      </c>
      <c r="AK341" s="12">
        <f t="shared" si="4"/>
        <v>26</v>
      </c>
      <c r="AL341" s="12" t="str">
        <f t="shared" si="5"/>
        <v/>
      </c>
    </row>
    <row r="342" ht="15.75" customHeight="1">
      <c r="A342" s="10" t="s">
        <v>978</v>
      </c>
      <c r="B342" s="10" t="s">
        <v>979</v>
      </c>
      <c r="C342" s="10" t="s">
        <v>566</v>
      </c>
      <c r="D342" s="10" t="s">
        <v>123</v>
      </c>
      <c r="E342" s="10" t="s">
        <v>123</v>
      </c>
      <c r="F342" s="10" t="s">
        <v>117</v>
      </c>
      <c r="G342" s="10">
        <v>5.0</v>
      </c>
      <c r="H342" s="10">
        <v>7.0</v>
      </c>
      <c r="I342" s="10" t="s">
        <v>2140</v>
      </c>
      <c r="J342" s="10" t="s">
        <v>2136</v>
      </c>
      <c r="K342" s="10"/>
      <c r="L342" s="10">
        <v>72.5</v>
      </c>
      <c r="M342" s="10">
        <v>2.59</v>
      </c>
      <c r="N342" s="10"/>
      <c r="O342" s="10"/>
      <c r="P342" s="12">
        <f>IF($A342="","",IFERROR((IF($O342="",0,$O342)*Settings!$J$4+IF($L342="",0,$L342)*Settings!$J$5+IF($N342="",0,$N342)*Settings!$J$6)/(IF($O342="",0,Settings!$J$4)+IF($L342="",0,Settings!$J$5)+IF($N342="",0,Settings!$J$6)),0))</f>
        <v>72.5</v>
      </c>
      <c r="Q342" s="12">
        <f t="array" ref="Q342">IF($A342="","",XLOOKUP($E342,Settings!$A$19:$A$22,Settings!$G$19:$G$22,0))</f>
        <v>203</v>
      </c>
      <c r="R342" s="12">
        <f t="shared" si="1"/>
        <v>0</v>
      </c>
      <c r="S342" s="12">
        <f>IF($A342="","",IF($R342&lt;=0,1,1+$R342/SUMIF($R$4:$R$923,"&gt;0",$R$4:$R$923)*(Settings!$B$5*(Settings!$B$6-Settings!$B$7))))</f>
        <v>1</v>
      </c>
      <c r="T342" s="12">
        <f t="array" ref="T342">IF($A342="","",XLOOKUP($F342,Settings!$I$15:$I$20,Settings!$J$15:$J$20,1))</f>
        <v>0.75</v>
      </c>
      <c r="U342" s="12">
        <f>IF($A342="","",1+(($G342-5)/5)*Settings!$J$8)</f>
        <v>1</v>
      </c>
      <c r="V342" s="12">
        <f>IF($A342="","",1+(($H342-5)/5)*Settings!$J$9)</f>
        <v>1.06</v>
      </c>
      <c r="W342" s="12">
        <f t="array" ref="W342">IF($A342="","",XLOOKUP($J342,Lists!$C$3:$C$7,Lists!$D$3:$D$7,1))</f>
        <v>1</v>
      </c>
      <c r="X342" s="12">
        <f>IF($A342="","",IF($I342="Yes",Settings!$J$10,1))</f>
        <v>1</v>
      </c>
      <c r="Y342" s="12">
        <f t="shared" si="2"/>
        <v>1</v>
      </c>
      <c r="Z342" s="12">
        <f>IF($A342="","",IFERROR(ROUND(AVERAGEIFS('Historical Drafts'!$G$4:$G$300,'Historical Drafts'!$D$4:$D$300,$E342,'Historical Drafts'!$J$4:$J$300,"&gt;="&amp;$L342*0.85,'Historical Drafts'!$J$4:$J$300,"&lt;="&amp;$L342*1.15),0),$Y342))</f>
        <v>29</v>
      </c>
      <c r="AA342" s="12" t="str">
        <f>IF($A342="","",IF(COUNTIF('Auction Log'!$B$3:$B$300,$A342)&gt;0,"Sold","Available"))</f>
        <v>Available</v>
      </c>
      <c r="AB342" s="12" t="str">
        <f t="array" ref="AB342">IF($A342="","",IFERROR(XLOOKUP($A342,'Auction Log'!$B$3:$B$300,'Auction Log'!$G$3:$G$300,""),""))</f>
        <v/>
      </c>
      <c r="AC342" s="12" t="str">
        <f t="array" ref="AC342">IF($A342="","",IFERROR(XLOOKUP($A342,'Auction Log'!$B$3:$B$300,'Auction Log'!$F$3:$F$300,""),""))</f>
        <v/>
      </c>
      <c r="AD342" s="12">
        <f t="array" ref="AD342">IF($A342="","",ROUND($Y342*XLOOKUP($F342,Settings!$I$15:$I$20,Settings!$K$15:$K$20,0.4),0))</f>
        <v>0</v>
      </c>
      <c r="AE342" s="12">
        <f t="array" ref="AE342">IF($A342="","",ROUND($Y342*XLOOKUP($F342,Settings!$I$15:$I$20,Settings!$L$15:$L$20,0.8),0))</f>
        <v>1</v>
      </c>
      <c r="AF342" s="12">
        <f t="array" ref="AF342">IF($A342="","",ROUND($Y342*XLOOKUP($F342,Settings!$I$15:$I$20,Settings!$M$15:$M$20,1),0))</f>
        <v>1</v>
      </c>
      <c r="AG342" s="12">
        <f t="array" ref="AG342">IF($A342="","",ROUND($Y342*XLOOKUP($F342,Settings!$I$15:$I$20,Settings!$N$15:$N$20,1.1),0))</f>
        <v>1</v>
      </c>
      <c r="AH342" s="12">
        <f t="array" ref="AH342">IF($A342="","",ROUND($Y342*XLOOKUP($F342,Settings!$I$15:$I$20,Settings!$O$15:$O$20,1.1)*Settings!$J$7,0))</f>
        <v>1</v>
      </c>
      <c r="AI342" s="12">
        <f t="array" ref="AI342">IF($A342="","",IF($AA342="Sold","",MIN($AH342,IFERROR(XLOOKUP(Settings!$B$12,Managers!$B$4:$B$15,Managers!$H$4:$H$15),$AH342))))</f>
        <v>1</v>
      </c>
      <c r="AJ342" s="12" t="str">
        <f t="shared" si="3"/>
        <v>Budget Drainer</v>
      </c>
      <c r="AK342" s="12">
        <f t="shared" si="4"/>
        <v>54</v>
      </c>
      <c r="AL342" s="12" t="str">
        <f t="shared" si="5"/>
        <v/>
      </c>
    </row>
    <row r="343" ht="15.75" customHeight="1">
      <c r="A343" s="10" t="s">
        <v>980</v>
      </c>
      <c r="B343" s="10" t="s">
        <v>981</v>
      </c>
      <c r="C343" s="10" t="s">
        <v>215</v>
      </c>
      <c r="D343" s="10" t="s">
        <v>121</v>
      </c>
      <c r="E343" s="10" t="s">
        <v>121</v>
      </c>
      <c r="F343" s="10" t="s">
        <v>117</v>
      </c>
      <c r="G343" s="10">
        <v>5.0</v>
      </c>
      <c r="H343" s="10">
        <v>7.0</v>
      </c>
      <c r="I343" s="10" t="s">
        <v>2140</v>
      </c>
      <c r="J343" s="10" t="s">
        <v>2136</v>
      </c>
      <c r="K343" s="10"/>
      <c r="L343" s="10">
        <v>72.5</v>
      </c>
      <c r="M343" s="10">
        <v>3.3</v>
      </c>
      <c r="N343" s="10"/>
      <c r="O343" s="10"/>
      <c r="P343" s="12">
        <f>IF($A343="","",IFERROR((IF($O343="",0,$O343)*Settings!$J$4+IF($L343="",0,$L343)*Settings!$J$5+IF($N343="",0,$N343)*Settings!$J$6)/(IF($O343="",0,Settings!$J$4)+IF($L343="",0,Settings!$J$5)+IF($N343="",0,Settings!$J$6)),0))</f>
        <v>72.5</v>
      </c>
      <c r="Q343" s="12">
        <f t="array" ref="Q343">IF($A343="","",XLOOKUP($E343,Settings!$A$19:$A$22,Settings!$G$19:$G$22,0))</f>
        <v>206</v>
      </c>
      <c r="R343" s="12">
        <f t="shared" si="1"/>
        <v>0</v>
      </c>
      <c r="S343" s="12">
        <f>IF($A343="","",IF($R343&lt;=0,1,1+$R343/SUMIF($R$4:$R$923,"&gt;0",$R$4:$R$923)*(Settings!$B$5*(Settings!$B$6-Settings!$B$7))))</f>
        <v>1</v>
      </c>
      <c r="T343" s="12">
        <f t="array" ref="T343">IF($A343="","",XLOOKUP($F343,Settings!$I$15:$I$20,Settings!$J$15:$J$20,1))</f>
        <v>0.75</v>
      </c>
      <c r="U343" s="12">
        <f>IF($A343="","",1+(($G343-5)/5)*Settings!$J$8)</f>
        <v>1</v>
      </c>
      <c r="V343" s="12">
        <f>IF($A343="","",1+(($H343-5)/5)*Settings!$J$9)</f>
        <v>1.06</v>
      </c>
      <c r="W343" s="12">
        <f t="array" ref="W343">IF($A343="","",XLOOKUP($J343,Lists!$C$3:$C$7,Lists!$D$3:$D$7,1))</f>
        <v>1</v>
      </c>
      <c r="X343" s="12">
        <f>IF($A343="","",IF($I343="Yes",Settings!$J$10,1))</f>
        <v>1</v>
      </c>
      <c r="Y343" s="12">
        <f t="shared" si="2"/>
        <v>1</v>
      </c>
      <c r="Z343" s="12">
        <f>IF($A343="","",IFERROR(ROUND(AVERAGEIFS('Historical Drafts'!$G$4:$G$300,'Historical Drafts'!$D$4:$D$300,$E343,'Historical Drafts'!$J$4:$J$300,"&gt;="&amp;$L343*0.85,'Historical Drafts'!$J$4:$J$300,"&lt;="&amp;$L343*1.15),0),$Y343))</f>
        <v>5</v>
      </c>
      <c r="AA343" s="12" t="str">
        <f>IF($A343="","",IF(COUNTIF('Auction Log'!$B$3:$B$300,$A343)&gt;0,"Sold","Available"))</f>
        <v>Available</v>
      </c>
      <c r="AB343" s="12" t="str">
        <f t="array" ref="AB343">IF($A343="","",IFERROR(XLOOKUP($A343,'Auction Log'!$B$3:$B$300,'Auction Log'!$G$3:$G$300,""),""))</f>
        <v/>
      </c>
      <c r="AC343" s="12" t="str">
        <f t="array" ref="AC343">IF($A343="","",IFERROR(XLOOKUP($A343,'Auction Log'!$B$3:$B$300,'Auction Log'!$F$3:$F$300,""),""))</f>
        <v/>
      </c>
      <c r="AD343" s="12">
        <f t="array" ref="AD343">IF($A343="","",ROUND($Y343*XLOOKUP($F343,Settings!$I$15:$I$20,Settings!$K$15:$K$20,0.4),0))</f>
        <v>0</v>
      </c>
      <c r="AE343" s="12">
        <f t="array" ref="AE343">IF($A343="","",ROUND($Y343*XLOOKUP($F343,Settings!$I$15:$I$20,Settings!$L$15:$L$20,0.8),0))</f>
        <v>1</v>
      </c>
      <c r="AF343" s="12">
        <f t="array" ref="AF343">IF($A343="","",ROUND($Y343*XLOOKUP($F343,Settings!$I$15:$I$20,Settings!$M$15:$M$20,1),0))</f>
        <v>1</v>
      </c>
      <c r="AG343" s="12">
        <f t="array" ref="AG343">IF($A343="","",ROUND($Y343*XLOOKUP($F343,Settings!$I$15:$I$20,Settings!$N$15:$N$20,1.1),0))</f>
        <v>1</v>
      </c>
      <c r="AH343" s="12">
        <f t="array" ref="AH343">IF($A343="","",ROUND($Y343*XLOOKUP($F343,Settings!$I$15:$I$20,Settings!$O$15:$O$20,1.1)*Settings!$J$7,0))</f>
        <v>1</v>
      </c>
      <c r="AI343" s="12">
        <f t="array" ref="AI343">IF($A343="","",IF($AA343="Sold","",MIN($AH343,IFERROR(XLOOKUP(Settings!$B$12,Managers!$B$4:$B$15,Managers!$H$4:$H$15),$AH343))))</f>
        <v>1</v>
      </c>
      <c r="AJ343" s="12" t="str">
        <f t="shared" si="3"/>
        <v>Budget Drainer</v>
      </c>
      <c r="AK343" s="12">
        <f t="shared" si="4"/>
        <v>30</v>
      </c>
      <c r="AL343" s="12" t="str">
        <f t="shared" si="5"/>
        <v/>
      </c>
    </row>
    <row r="344" ht="15.75" customHeight="1">
      <c r="A344" s="10" t="s">
        <v>982</v>
      </c>
      <c r="B344" s="10" t="s">
        <v>983</v>
      </c>
      <c r="C344" s="10" t="s">
        <v>566</v>
      </c>
      <c r="D344" s="10" t="s">
        <v>118</v>
      </c>
      <c r="E344" s="10" t="s">
        <v>118</v>
      </c>
      <c r="F344" s="10" t="s">
        <v>117</v>
      </c>
      <c r="G344" s="10">
        <v>5.0</v>
      </c>
      <c r="H344" s="10">
        <v>7.0</v>
      </c>
      <c r="I344" s="10" t="s">
        <v>2140</v>
      </c>
      <c r="J344" s="10" t="s">
        <v>2136</v>
      </c>
      <c r="K344" s="10"/>
      <c r="L344" s="10">
        <v>71.75</v>
      </c>
      <c r="M344" s="10">
        <v>3.59</v>
      </c>
      <c r="N344" s="10"/>
      <c r="O344" s="10"/>
      <c r="P344" s="12">
        <f>IF($A344="","",IFERROR((IF($O344="",0,$O344)*Settings!$J$4+IF($L344="",0,$L344)*Settings!$J$5+IF($N344="",0,$N344)*Settings!$J$6)/(IF($O344="",0,Settings!$J$4)+IF($L344="",0,Settings!$J$5)+IF($N344="",0,Settings!$J$6)),0))</f>
        <v>71.75</v>
      </c>
      <c r="Q344" s="12">
        <f t="array" ref="Q344">IF($A344="","",XLOOKUP($E344,Settings!$A$19:$A$22,Settings!$G$19:$G$22,0))</f>
        <v>196.25</v>
      </c>
      <c r="R344" s="12">
        <f t="shared" si="1"/>
        <v>0</v>
      </c>
      <c r="S344" s="12">
        <f>IF($A344="","",IF($R344&lt;=0,1,1+$R344/SUMIF($R$4:$R$923,"&gt;0",$R$4:$R$923)*(Settings!$B$5*(Settings!$B$6-Settings!$B$7))))</f>
        <v>1</v>
      </c>
      <c r="T344" s="12">
        <f t="array" ref="T344">IF($A344="","",XLOOKUP($F344,Settings!$I$15:$I$20,Settings!$J$15:$J$20,1))</f>
        <v>0.75</v>
      </c>
      <c r="U344" s="12">
        <f>IF($A344="","",1+(($G344-5)/5)*Settings!$J$8)</f>
        <v>1</v>
      </c>
      <c r="V344" s="12">
        <f>IF($A344="","",1+(($H344-5)/5)*Settings!$J$9)</f>
        <v>1.06</v>
      </c>
      <c r="W344" s="12">
        <f t="array" ref="W344">IF($A344="","",XLOOKUP($J344,Lists!$C$3:$C$7,Lists!$D$3:$D$7,1))</f>
        <v>1</v>
      </c>
      <c r="X344" s="12">
        <f>IF($A344="","",IF($I344="Yes",Settings!$J$10,1))</f>
        <v>1</v>
      </c>
      <c r="Y344" s="12">
        <f t="shared" si="2"/>
        <v>1</v>
      </c>
      <c r="Z344" s="12">
        <f>IF($A344="","",IFERROR(ROUND(AVERAGEIFS('Historical Drafts'!$G$4:$G$300,'Historical Drafts'!$D$4:$D$300,$E344,'Historical Drafts'!$J$4:$J$300,"&gt;="&amp;$L344*0.85,'Historical Drafts'!$J$4:$J$300,"&lt;="&amp;$L344*1.15),0),$Y344))</f>
        <v>1</v>
      </c>
      <c r="AA344" s="12" t="str">
        <f>IF($A344="","",IF(COUNTIF('Auction Log'!$B$3:$B$300,$A344)&gt;0,"Sold","Available"))</f>
        <v>Available</v>
      </c>
      <c r="AB344" s="12" t="str">
        <f t="array" ref="AB344">IF($A344="","",IFERROR(XLOOKUP($A344,'Auction Log'!$B$3:$B$300,'Auction Log'!$G$3:$G$300,""),""))</f>
        <v/>
      </c>
      <c r="AC344" s="12" t="str">
        <f t="array" ref="AC344">IF($A344="","",IFERROR(XLOOKUP($A344,'Auction Log'!$B$3:$B$300,'Auction Log'!$F$3:$F$300,""),""))</f>
        <v/>
      </c>
      <c r="AD344" s="12">
        <f t="array" ref="AD344">IF($A344="","",ROUND($Y344*XLOOKUP($F344,Settings!$I$15:$I$20,Settings!$K$15:$K$20,0.4),0))</f>
        <v>0</v>
      </c>
      <c r="AE344" s="12">
        <f t="array" ref="AE344">IF($A344="","",ROUND($Y344*XLOOKUP($F344,Settings!$I$15:$I$20,Settings!$L$15:$L$20,0.8),0))</f>
        <v>1</v>
      </c>
      <c r="AF344" s="12">
        <f t="array" ref="AF344">IF($A344="","",ROUND($Y344*XLOOKUP($F344,Settings!$I$15:$I$20,Settings!$M$15:$M$20,1),0))</f>
        <v>1</v>
      </c>
      <c r="AG344" s="12">
        <f t="array" ref="AG344">IF($A344="","",ROUND($Y344*XLOOKUP($F344,Settings!$I$15:$I$20,Settings!$N$15:$N$20,1.1),0))</f>
        <v>1</v>
      </c>
      <c r="AH344" s="12">
        <f t="array" ref="AH344">IF($A344="","",ROUND($Y344*XLOOKUP($F344,Settings!$I$15:$I$20,Settings!$O$15:$O$20,1.1)*Settings!$J$7,0))</f>
        <v>1</v>
      </c>
      <c r="AI344" s="12">
        <f t="array" ref="AI344">IF($A344="","",IF($AA344="Sold","",MIN($AH344,IFERROR(XLOOKUP(Settings!$B$12,Managers!$B$4:$B$15,Managers!$H$4:$H$15),$AH344))))</f>
        <v>1</v>
      </c>
      <c r="AJ344" s="12" t="str">
        <f t="shared" si="3"/>
        <v>Recommended</v>
      </c>
      <c r="AK344" s="12">
        <f t="shared" si="4"/>
        <v>26</v>
      </c>
      <c r="AL344" s="12" t="str">
        <f t="shared" si="5"/>
        <v/>
      </c>
    </row>
    <row r="345" ht="15.75" customHeight="1">
      <c r="A345" s="10" t="s">
        <v>984</v>
      </c>
      <c r="B345" s="10" t="s">
        <v>985</v>
      </c>
      <c r="C345" s="10" t="s">
        <v>185</v>
      </c>
      <c r="D345" s="10" t="s">
        <v>121</v>
      </c>
      <c r="E345" s="10" t="s">
        <v>121</v>
      </c>
      <c r="F345" s="10" t="s">
        <v>117</v>
      </c>
      <c r="G345" s="10">
        <v>5.0</v>
      </c>
      <c r="H345" s="10">
        <v>7.0</v>
      </c>
      <c r="I345" s="10" t="s">
        <v>2140</v>
      </c>
      <c r="J345" s="10" t="s">
        <v>2136</v>
      </c>
      <c r="K345" s="10"/>
      <c r="L345" s="10">
        <v>70.0</v>
      </c>
      <c r="M345" s="10">
        <v>3.18</v>
      </c>
      <c r="N345" s="10"/>
      <c r="O345" s="10"/>
      <c r="P345" s="12">
        <f>IF($A345="","",IFERROR((IF($O345="",0,$O345)*Settings!$J$4+IF($L345="",0,$L345)*Settings!$J$5+IF($N345="",0,$N345)*Settings!$J$6)/(IF($O345="",0,Settings!$J$4)+IF($L345="",0,Settings!$J$5)+IF($N345="",0,Settings!$J$6)),0))</f>
        <v>70</v>
      </c>
      <c r="Q345" s="12">
        <f t="array" ref="Q345">IF($A345="","",XLOOKUP($E345,Settings!$A$19:$A$22,Settings!$G$19:$G$22,0))</f>
        <v>206</v>
      </c>
      <c r="R345" s="12">
        <f t="shared" si="1"/>
        <v>0</v>
      </c>
      <c r="S345" s="12">
        <f>IF($A345="","",IF($R345&lt;=0,1,1+$R345/SUMIF($R$4:$R$923,"&gt;0",$R$4:$R$923)*(Settings!$B$5*(Settings!$B$6-Settings!$B$7))))</f>
        <v>1</v>
      </c>
      <c r="T345" s="12">
        <f t="array" ref="T345">IF($A345="","",XLOOKUP($F345,Settings!$I$15:$I$20,Settings!$J$15:$J$20,1))</f>
        <v>0.75</v>
      </c>
      <c r="U345" s="12">
        <f>IF($A345="","",1+(($G345-5)/5)*Settings!$J$8)</f>
        <v>1</v>
      </c>
      <c r="V345" s="12">
        <f>IF($A345="","",1+(($H345-5)/5)*Settings!$J$9)</f>
        <v>1.06</v>
      </c>
      <c r="W345" s="12">
        <f t="array" ref="W345">IF($A345="","",XLOOKUP($J345,Lists!$C$3:$C$7,Lists!$D$3:$D$7,1))</f>
        <v>1</v>
      </c>
      <c r="X345" s="12">
        <f>IF($A345="","",IF($I345="Yes",Settings!$J$10,1))</f>
        <v>1</v>
      </c>
      <c r="Y345" s="12">
        <f t="shared" si="2"/>
        <v>1</v>
      </c>
      <c r="Z345" s="12">
        <f>IF($A345="","",IFERROR(ROUND(AVERAGEIFS('Historical Drafts'!$G$4:$G$300,'Historical Drafts'!$D$4:$D$300,$E345,'Historical Drafts'!$J$4:$J$300,"&gt;="&amp;$L345*0.85,'Historical Drafts'!$J$4:$J$300,"&lt;="&amp;$L345*1.15),0),$Y345))</f>
        <v>5</v>
      </c>
      <c r="AA345" s="12" t="str">
        <f>IF($A345="","",IF(COUNTIF('Auction Log'!$B$3:$B$300,$A345)&gt;0,"Sold","Available"))</f>
        <v>Available</v>
      </c>
      <c r="AB345" s="12" t="str">
        <f t="array" ref="AB345">IF($A345="","",IFERROR(XLOOKUP($A345,'Auction Log'!$B$3:$B$300,'Auction Log'!$G$3:$G$300,""),""))</f>
        <v/>
      </c>
      <c r="AC345" s="12" t="str">
        <f t="array" ref="AC345">IF($A345="","",IFERROR(XLOOKUP($A345,'Auction Log'!$B$3:$B$300,'Auction Log'!$F$3:$F$300,""),""))</f>
        <v/>
      </c>
      <c r="AD345" s="12">
        <f t="array" ref="AD345">IF($A345="","",ROUND($Y345*XLOOKUP($F345,Settings!$I$15:$I$20,Settings!$K$15:$K$20,0.4),0))</f>
        <v>0</v>
      </c>
      <c r="AE345" s="12">
        <f t="array" ref="AE345">IF($A345="","",ROUND($Y345*XLOOKUP($F345,Settings!$I$15:$I$20,Settings!$L$15:$L$20,0.8),0))</f>
        <v>1</v>
      </c>
      <c r="AF345" s="12">
        <f t="array" ref="AF345">IF($A345="","",ROUND($Y345*XLOOKUP($F345,Settings!$I$15:$I$20,Settings!$M$15:$M$20,1),0))</f>
        <v>1</v>
      </c>
      <c r="AG345" s="12">
        <f t="array" ref="AG345">IF($A345="","",ROUND($Y345*XLOOKUP($F345,Settings!$I$15:$I$20,Settings!$N$15:$N$20,1.1),0))</f>
        <v>1</v>
      </c>
      <c r="AH345" s="12">
        <f t="array" ref="AH345">IF($A345="","",ROUND($Y345*XLOOKUP($F345,Settings!$I$15:$I$20,Settings!$O$15:$O$20,1.1)*Settings!$J$7,0))</f>
        <v>1</v>
      </c>
      <c r="AI345" s="12">
        <f t="array" ref="AI345">IF($A345="","",IF($AA345="Sold","",MIN($AH345,IFERROR(XLOOKUP(Settings!$B$12,Managers!$B$4:$B$15,Managers!$H$4:$H$15),$AH345))))</f>
        <v>1</v>
      </c>
      <c r="AJ345" s="12" t="str">
        <f t="shared" si="3"/>
        <v>Budget Drainer</v>
      </c>
      <c r="AK345" s="12">
        <f t="shared" si="4"/>
        <v>30</v>
      </c>
      <c r="AL345" s="12" t="str">
        <f t="shared" si="5"/>
        <v/>
      </c>
    </row>
    <row r="346" ht="15.75" customHeight="1">
      <c r="A346" s="10" t="s">
        <v>986</v>
      </c>
      <c r="B346" s="10" t="s">
        <v>987</v>
      </c>
      <c r="C346" s="10" t="s">
        <v>988</v>
      </c>
      <c r="D346" s="10" t="s">
        <v>118</v>
      </c>
      <c r="E346" s="10" t="s">
        <v>118</v>
      </c>
      <c r="F346" s="10" t="s">
        <v>117</v>
      </c>
      <c r="G346" s="10">
        <v>5.0</v>
      </c>
      <c r="H346" s="10">
        <v>7.0</v>
      </c>
      <c r="I346" s="10" t="s">
        <v>2140</v>
      </c>
      <c r="J346" s="10" t="s">
        <v>2136</v>
      </c>
      <c r="K346" s="10"/>
      <c r="L346" s="10">
        <v>69.75</v>
      </c>
      <c r="M346" s="10">
        <v>4.98</v>
      </c>
      <c r="N346" s="10"/>
      <c r="O346" s="10"/>
      <c r="P346" s="12">
        <f>IF($A346="","",IFERROR((IF($O346="",0,$O346)*Settings!$J$4+IF($L346="",0,$L346)*Settings!$J$5+IF($N346="",0,$N346)*Settings!$J$6)/(IF($O346="",0,Settings!$J$4)+IF($L346="",0,Settings!$J$5)+IF($N346="",0,Settings!$J$6)),0))</f>
        <v>69.75</v>
      </c>
      <c r="Q346" s="12">
        <f t="array" ref="Q346">IF($A346="","",XLOOKUP($E346,Settings!$A$19:$A$22,Settings!$G$19:$G$22,0))</f>
        <v>196.25</v>
      </c>
      <c r="R346" s="12">
        <f t="shared" si="1"/>
        <v>0</v>
      </c>
      <c r="S346" s="12">
        <f>IF($A346="","",IF($R346&lt;=0,1,1+$R346/SUMIF($R$4:$R$923,"&gt;0",$R$4:$R$923)*(Settings!$B$5*(Settings!$B$6-Settings!$B$7))))</f>
        <v>1</v>
      </c>
      <c r="T346" s="12">
        <f t="array" ref="T346">IF($A346="","",XLOOKUP($F346,Settings!$I$15:$I$20,Settings!$J$15:$J$20,1))</f>
        <v>0.75</v>
      </c>
      <c r="U346" s="12">
        <f>IF($A346="","",1+(($G346-5)/5)*Settings!$J$8)</f>
        <v>1</v>
      </c>
      <c r="V346" s="12">
        <f>IF($A346="","",1+(($H346-5)/5)*Settings!$J$9)</f>
        <v>1.06</v>
      </c>
      <c r="W346" s="12">
        <f t="array" ref="W346">IF($A346="","",XLOOKUP($J346,Lists!$C$3:$C$7,Lists!$D$3:$D$7,1))</f>
        <v>1</v>
      </c>
      <c r="X346" s="12">
        <f>IF($A346="","",IF($I346="Yes",Settings!$J$10,1))</f>
        <v>1</v>
      </c>
      <c r="Y346" s="12">
        <f t="shared" si="2"/>
        <v>1</v>
      </c>
      <c r="Z346" s="12">
        <f>IF($A346="","",IFERROR(ROUND(AVERAGEIFS('Historical Drafts'!$G$4:$G$300,'Historical Drafts'!$D$4:$D$300,$E346,'Historical Drafts'!$J$4:$J$300,"&gt;="&amp;$L346*0.85,'Historical Drafts'!$J$4:$J$300,"&lt;="&amp;$L346*1.15),0),$Y346))</f>
        <v>1</v>
      </c>
      <c r="AA346" s="12" t="str">
        <f>IF($A346="","",IF(COUNTIF('Auction Log'!$B$3:$B$300,$A346)&gt;0,"Sold","Available"))</f>
        <v>Available</v>
      </c>
      <c r="AB346" s="12" t="str">
        <f t="array" ref="AB346">IF($A346="","",IFERROR(XLOOKUP($A346,'Auction Log'!$B$3:$B$300,'Auction Log'!$G$3:$G$300,""),""))</f>
        <v/>
      </c>
      <c r="AC346" s="12" t="str">
        <f t="array" ref="AC346">IF($A346="","",IFERROR(XLOOKUP($A346,'Auction Log'!$B$3:$B$300,'Auction Log'!$F$3:$F$300,""),""))</f>
        <v/>
      </c>
      <c r="AD346" s="12">
        <f t="array" ref="AD346">IF($A346="","",ROUND($Y346*XLOOKUP($F346,Settings!$I$15:$I$20,Settings!$K$15:$K$20,0.4),0))</f>
        <v>0</v>
      </c>
      <c r="AE346" s="12">
        <f t="array" ref="AE346">IF($A346="","",ROUND($Y346*XLOOKUP($F346,Settings!$I$15:$I$20,Settings!$L$15:$L$20,0.8),0))</f>
        <v>1</v>
      </c>
      <c r="AF346" s="12">
        <f t="array" ref="AF346">IF($A346="","",ROUND($Y346*XLOOKUP($F346,Settings!$I$15:$I$20,Settings!$M$15:$M$20,1),0))</f>
        <v>1</v>
      </c>
      <c r="AG346" s="12">
        <f t="array" ref="AG346">IF($A346="","",ROUND($Y346*XLOOKUP($F346,Settings!$I$15:$I$20,Settings!$N$15:$N$20,1.1),0))</f>
        <v>1</v>
      </c>
      <c r="AH346" s="12">
        <f t="array" ref="AH346">IF($A346="","",ROUND($Y346*XLOOKUP($F346,Settings!$I$15:$I$20,Settings!$O$15:$O$20,1.1)*Settings!$J$7,0))</f>
        <v>1</v>
      </c>
      <c r="AI346" s="12">
        <f t="array" ref="AI346">IF($A346="","",IF($AA346="Sold","",MIN($AH346,IFERROR(XLOOKUP(Settings!$B$12,Managers!$B$4:$B$15,Managers!$H$4:$H$15),$AH346))))</f>
        <v>1</v>
      </c>
      <c r="AJ346" s="12" t="str">
        <f t="shared" si="3"/>
        <v>Recommended</v>
      </c>
      <c r="AK346" s="12">
        <f t="shared" si="4"/>
        <v>26</v>
      </c>
      <c r="AL346" s="12" t="str">
        <f t="shared" si="5"/>
        <v/>
      </c>
    </row>
    <row r="347" ht="15.75" customHeight="1">
      <c r="A347" s="10" t="s">
        <v>989</v>
      </c>
      <c r="B347" s="10" t="s">
        <v>990</v>
      </c>
      <c r="C347" s="10" t="s">
        <v>231</v>
      </c>
      <c r="D347" s="10" t="s">
        <v>118</v>
      </c>
      <c r="E347" s="10" t="s">
        <v>118</v>
      </c>
      <c r="F347" s="10" t="s">
        <v>117</v>
      </c>
      <c r="G347" s="10">
        <v>5.0</v>
      </c>
      <c r="H347" s="10">
        <v>7.0</v>
      </c>
      <c r="I347" s="10" t="s">
        <v>2140</v>
      </c>
      <c r="J347" s="10" t="s">
        <v>2136</v>
      </c>
      <c r="K347" s="10"/>
      <c r="L347" s="10">
        <v>69.75</v>
      </c>
      <c r="M347" s="10">
        <v>2.91</v>
      </c>
      <c r="N347" s="10"/>
      <c r="O347" s="10"/>
      <c r="P347" s="12">
        <f>IF($A347="","",IFERROR((IF($O347="",0,$O347)*Settings!$J$4+IF($L347="",0,$L347)*Settings!$J$5+IF($N347="",0,$N347)*Settings!$J$6)/(IF($O347="",0,Settings!$J$4)+IF($L347="",0,Settings!$J$5)+IF($N347="",0,Settings!$J$6)),0))</f>
        <v>69.75</v>
      </c>
      <c r="Q347" s="12">
        <f t="array" ref="Q347">IF($A347="","",XLOOKUP($E347,Settings!$A$19:$A$22,Settings!$G$19:$G$22,0))</f>
        <v>196.25</v>
      </c>
      <c r="R347" s="12">
        <f t="shared" si="1"/>
        <v>0</v>
      </c>
      <c r="S347" s="12">
        <f>IF($A347="","",IF($R347&lt;=0,1,1+$R347/SUMIF($R$4:$R$923,"&gt;0",$R$4:$R$923)*(Settings!$B$5*(Settings!$B$6-Settings!$B$7))))</f>
        <v>1</v>
      </c>
      <c r="T347" s="12">
        <f t="array" ref="T347">IF($A347="","",XLOOKUP($F347,Settings!$I$15:$I$20,Settings!$J$15:$J$20,1))</f>
        <v>0.75</v>
      </c>
      <c r="U347" s="12">
        <f>IF($A347="","",1+(($G347-5)/5)*Settings!$J$8)</f>
        <v>1</v>
      </c>
      <c r="V347" s="12">
        <f>IF($A347="","",1+(($H347-5)/5)*Settings!$J$9)</f>
        <v>1.06</v>
      </c>
      <c r="W347" s="12">
        <f t="array" ref="W347">IF($A347="","",XLOOKUP($J347,Lists!$C$3:$C$7,Lists!$D$3:$D$7,1))</f>
        <v>1</v>
      </c>
      <c r="X347" s="12">
        <f>IF($A347="","",IF($I347="Yes",Settings!$J$10,1))</f>
        <v>1</v>
      </c>
      <c r="Y347" s="12">
        <f t="shared" si="2"/>
        <v>1</v>
      </c>
      <c r="Z347" s="12">
        <f>IF($A347="","",IFERROR(ROUND(AVERAGEIFS('Historical Drafts'!$G$4:$G$300,'Historical Drafts'!$D$4:$D$300,$E347,'Historical Drafts'!$J$4:$J$300,"&gt;="&amp;$L347*0.85,'Historical Drafts'!$J$4:$J$300,"&lt;="&amp;$L347*1.15),0),$Y347))</f>
        <v>1</v>
      </c>
      <c r="AA347" s="12" t="str">
        <f>IF($A347="","",IF(COUNTIF('Auction Log'!$B$3:$B$300,$A347)&gt;0,"Sold","Available"))</f>
        <v>Available</v>
      </c>
      <c r="AB347" s="12" t="str">
        <f t="array" ref="AB347">IF($A347="","",IFERROR(XLOOKUP($A347,'Auction Log'!$B$3:$B$300,'Auction Log'!$G$3:$G$300,""),""))</f>
        <v/>
      </c>
      <c r="AC347" s="12" t="str">
        <f t="array" ref="AC347">IF($A347="","",IFERROR(XLOOKUP($A347,'Auction Log'!$B$3:$B$300,'Auction Log'!$F$3:$F$300,""),""))</f>
        <v/>
      </c>
      <c r="AD347" s="12">
        <f t="array" ref="AD347">IF($A347="","",ROUND($Y347*XLOOKUP($F347,Settings!$I$15:$I$20,Settings!$K$15:$K$20,0.4),0))</f>
        <v>0</v>
      </c>
      <c r="AE347" s="12">
        <f t="array" ref="AE347">IF($A347="","",ROUND($Y347*XLOOKUP($F347,Settings!$I$15:$I$20,Settings!$L$15:$L$20,0.8),0))</f>
        <v>1</v>
      </c>
      <c r="AF347" s="12">
        <f t="array" ref="AF347">IF($A347="","",ROUND($Y347*XLOOKUP($F347,Settings!$I$15:$I$20,Settings!$M$15:$M$20,1),0))</f>
        <v>1</v>
      </c>
      <c r="AG347" s="12">
        <f t="array" ref="AG347">IF($A347="","",ROUND($Y347*XLOOKUP($F347,Settings!$I$15:$I$20,Settings!$N$15:$N$20,1.1),0))</f>
        <v>1</v>
      </c>
      <c r="AH347" s="12">
        <f t="array" ref="AH347">IF($A347="","",ROUND($Y347*XLOOKUP($F347,Settings!$I$15:$I$20,Settings!$O$15:$O$20,1.1)*Settings!$J$7,0))</f>
        <v>1</v>
      </c>
      <c r="AI347" s="12">
        <f t="array" ref="AI347">IF($A347="","",IF($AA347="Sold","",MIN($AH347,IFERROR(XLOOKUP(Settings!$B$12,Managers!$B$4:$B$15,Managers!$H$4:$H$15),$AH347))))</f>
        <v>1</v>
      </c>
      <c r="AJ347" s="12" t="str">
        <f t="shared" si="3"/>
        <v>Recommended</v>
      </c>
      <c r="AK347" s="12">
        <f t="shared" si="4"/>
        <v>26</v>
      </c>
      <c r="AL347" s="12" t="str">
        <f t="shared" si="5"/>
        <v/>
      </c>
    </row>
    <row r="348" ht="15.75" customHeight="1">
      <c r="A348" s="10" t="s">
        <v>991</v>
      </c>
      <c r="B348" s="10" t="s">
        <v>992</v>
      </c>
      <c r="C348" s="10" t="s">
        <v>993</v>
      </c>
      <c r="D348" s="10" t="s">
        <v>123</v>
      </c>
      <c r="E348" s="10" t="s">
        <v>123</v>
      </c>
      <c r="F348" s="10" t="s">
        <v>117</v>
      </c>
      <c r="G348" s="10">
        <v>5.0</v>
      </c>
      <c r="H348" s="10">
        <v>7.0</v>
      </c>
      <c r="I348" s="10" t="s">
        <v>2140</v>
      </c>
      <c r="J348" s="10" t="s">
        <v>2136</v>
      </c>
      <c r="K348" s="10"/>
      <c r="L348" s="10">
        <v>68.5</v>
      </c>
      <c r="M348" s="10">
        <v>5.71</v>
      </c>
      <c r="N348" s="10"/>
      <c r="O348" s="10"/>
      <c r="P348" s="12">
        <f>IF($A348="","",IFERROR((IF($O348="",0,$O348)*Settings!$J$4+IF($L348="",0,$L348)*Settings!$J$5+IF($N348="",0,$N348)*Settings!$J$6)/(IF($O348="",0,Settings!$J$4)+IF($L348="",0,Settings!$J$5)+IF($N348="",0,Settings!$J$6)),0))</f>
        <v>68.5</v>
      </c>
      <c r="Q348" s="12">
        <f t="array" ref="Q348">IF($A348="","",XLOOKUP($E348,Settings!$A$19:$A$22,Settings!$G$19:$G$22,0))</f>
        <v>203</v>
      </c>
      <c r="R348" s="12">
        <f t="shared" si="1"/>
        <v>0</v>
      </c>
      <c r="S348" s="12">
        <f>IF($A348="","",IF($R348&lt;=0,1,1+$R348/SUMIF($R$4:$R$923,"&gt;0",$R$4:$R$923)*(Settings!$B$5*(Settings!$B$6-Settings!$B$7))))</f>
        <v>1</v>
      </c>
      <c r="T348" s="12">
        <f t="array" ref="T348">IF($A348="","",XLOOKUP($F348,Settings!$I$15:$I$20,Settings!$J$15:$J$20,1))</f>
        <v>0.75</v>
      </c>
      <c r="U348" s="12">
        <f>IF($A348="","",1+(($G348-5)/5)*Settings!$J$8)</f>
        <v>1</v>
      </c>
      <c r="V348" s="12">
        <f>IF($A348="","",1+(($H348-5)/5)*Settings!$J$9)</f>
        <v>1.06</v>
      </c>
      <c r="W348" s="12">
        <f t="array" ref="W348">IF($A348="","",XLOOKUP($J348,Lists!$C$3:$C$7,Lists!$D$3:$D$7,1))</f>
        <v>1</v>
      </c>
      <c r="X348" s="12">
        <f>IF($A348="","",IF($I348="Yes",Settings!$J$10,1))</f>
        <v>1</v>
      </c>
      <c r="Y348" s="12">
        <f t="shared" si="2"/>
        <v>1</v>
      </c>
      <c r="Z348" s="12">
        <f>IF($A348="","",IFERROR(ROUND(AVERAGEIFS('Historical Drafts'!$G$4:$G$300,'Historical Drafts'!$D$4:$D$300,$E348,'Historical Drafts'!$J$4:$J$300,"&gt;="&amp;$L348*0.85,'Historical Drafts'!$J$4:$J$300,"&lt;="&amp;$L348*1.15),0),$Y348))</f>
        <v>25</v>
      </c>
      <c r="AA348" s="12" t="str">
        <f>IF($A348="","",IF(COUNTIF('Auction Log'!$B$3:$B$300,$A348)&gt;0,"Sold","Available"))</f>
        <v>Available</v>
      </c>
      <c r="AB348" s="12" t="str">
        <f t="array" ref="AB348">IF($A348="","",IFERROR(XLOOKUP($A348,'Auction Log'!$B$3:$B$300,'Auction Log'!$G$3:$G$300,""),""))</f>
        <v/>
      </c>
      <c r="AC348" s="12" t="str">
        <f t="array" ref="AC348">IF($A348="","",IFERROR(XLOOKUP($A348,'Auction Log'!$B$3:$B$300,'Auction Log'!$F$3:$F$300,""),""))</f>
        <v/>
      </c>
      <c r="AD348" s="12">
        <f t="array" ref="AD348">IF($A348="","",ROUND($Y348*XLOOKUP($F348,Settings!$I$15:$I$20,Settings!$K$15:$K$20,0.4),0))</f>
        <v>0</v>
      </c>
      <c r="AE348" s="12">
        <f t="array" ref="AE348">IF($A348="","",ROUND($Y348*XLOOKUP($F348,Settings!$I$15:$I$20,Settings!$L$15:$L$20,0.8),0))</f>
        <v>1</v>
      </c>
      <c r="AF348" s="12">
        <f t="array" ref="AF348">IF($A348="","",ROUND($Y348*XLOOKUP($F348,Settings!$I$15:$I$20,Settings!$M$15:$M$20,1),0))</f>
        <v>1</v>
      </c>
      <c r="AG348" s="12">
        <f t="array" ref="AG348">IF($A348="","",ROUND($Y348*XLOOKUP($F348,Settings!$I$15:$I$20,Settings!$N$15:$N$20,1.1),0))</f>
        <v>1</v>
      </c>
      <c r="AH348" s="12">
        <f t="array" ref="AH348">IF($A348="","",ROUND($Y348*XLOOKUP($F348,Settings!$I$15:$I$20,Settings!$O$15:$O$20,1.1)*Settings!$J$7,0))</f>
        <v>1</v>
      </c>
      <c r="AI348" s="12">
        <f t="array" ref="AI348">IF($A348="","",IF($AA348="Sold","",MIN($AH348,IFERROR(XLOOKUP(Settings!$B$12,Managers!$B$4:$B$15,Managers!$H$4:$H$15),$AH348))))</f>
        <v>1</v>
      </c>
      <c r="AJ348" s="12" t="str">
        <f t="shared" si="3"/>
        <v>Budget Drainer</v>
      </c>
      <c r="AK348" s="12">
        <f t="shared" si="4"/>
        <v>50</v>
      </c>
      <c r="AL348" s="12" t="str">
        <f t="shared" si="5"/>
        <v/>
      </c>
    </row>
    <row r="349" ht="15.75" customHeight="1">
      <c r="A349" s="10" t="s">
        <v>994</v>
      </c>
      <c r="B349" s="10" t="s">
        <v>995</v>
      </c>
      <c r="C349" s="10" t="s">
        <v>453</v>
      </c>
      <c r="D349" s="10" t="s">
        <v>115</v>
      </c>
      <c r="E349" s="10" t="s">
        <v>115</v>
      </c>
      <c r="F349" s="10" t="s">
        <v>117</v>
      </c>
      <c r="G349" s="10">
        <v>5.0</v>
      </c>
      <c r="H349" s="10">
        <v>7.0</v>
      </c>
      <c r="I349" s="10" t="s">
        <v>2140</v>
      </c>
      <c r="J349" s="10" t="s">
        <v>2136</v>
      </c>
      <c r="K349" s="10"/>
      <c r="L349" s="10">
        <v>67.0</v>
      </c>
      <c r="M349" s="10">
        <v>4.19</v>
      </c>
      <c r="N349" s="10"/>
      <c r="O349" s="10"/>
      <c r="P349" s="12">
        <f>IF($A349="","",IFERROR((IF($O349="",0,$O349)*Settings!$J$4+IF($L349="",0,$L349)*Settings!$J$5+IF($N349="",0,$N349)*Settings!$J$6)/(IF($O349="",0,Settings!$J$4)+IF($L349="",0,Settings!$J$5)+IF($N349="",0,Settings!$J$6)),0))</f>
        <v>67</v>
      </c>
      <c r="Q349" s="12">
        <f t="array" ref="Q349">IF($A349="","",XLOOKUP($E349,Settings!$A$19:$A$22,Settings!$G$19:$G$22,0))</f>
        <v>249.25</v>
      </c>
      <c r="R349" s="12">
        <f t="shared" si="1"/>
        <v>0</v>
      </c>
      <c r="S349" s="12">
        <f>IF($A349="","",IF($R349&lt;=0,1,1+$R349/SUMIF($R$4:$R$923,"&gt;0",$R$4:$R$923)*(Settings!$B$5*(Settings!$B$6-Settings!$B$7))))</f>
        <v>1</v>
      </c>
      <c r="T349" s="12">
        <f t="array" ref="T349">IF($A349="","",XLOOKUP($F349,Settings!$I$15:$I$20,Settings!$J$15:$J$20,1))</f>
        <v>0.75</v>
      </c>
      <c r="U349" s="12">
        <f>IF($A349="","",1+(($G349-5)/5)*Settings!$J$8)</f>
        <v>1</v>
      </c>
      <c r="V349" s="12">
        <f>IF($A349="","",1+(($H349-5)/5)*Settings!$J$9)</f>
        <v>1.06</v>
      </c>
      <c r="W349" s="12">
        <f t="array" ref="W349">IF($A349="","",XLOOKUP($J349,Lists!$C$3:$C$7,Lists!$D$3:$D$7,1))</f>
        <v>1</v>
      </c>
      <c r="X349" s="12">
        <f>IF($A349="","",IF($I349="Yes",Settings!$J$10,1))</f>
        <v>1</v>
      </c>
      <c r="Y349" s="12">
        <f t="shared" si="2"/>
        <v>1</v>
      </c>
      <c r="Z349" s="12">
        <f>IF($A349="","",IFERROR(ROUND(AVERAGEIFS('Historical Drafts'!$G$4:$G$300,'Historical Drafts'!$D$4:$D$300,$E349,'Historical Drafts'!$J$4:$J$300,"&gt;="&amp;$L349*0.85,'Historical Drafts'!$J$4:$J$300,"&lt;="&amp;$L349*1.15),0),$Y349))</f>
        <v>1</v>
      </c>
      <c r="AA349" s="12" t="str">
        <f>IF($A349="","",IF(COUNTIF('Auction Log'!$B$3:$B$300,$A349)&gt;0,"Sold","Available"))</f>
        <v>Available</v>
      </c>
      <c r="AB349" s="12" t="str">
        <f t="array" ref="AB349">IF($A349="","",IFERROR(XLOOKUP($A349,'Auction Log'!$B$3:$B$300,'Auction Log'!$G$3:$G$300,""),""))</f>
        <v/>
      </c>
      <c r="AC349" s="12" t="str">
        <f t="array" ref="AC349">IF($A349="","",IFERROR(XLOOKUP($A349,'Auction Log'!$B$3:$B$300,'Auction Log'!$F$3:$F$300,""),""))</f>
        <v/>
      </c>
      <c r="AD349" s="12">
        <f t="array" ref="AD349">IF($A349="","",ROUND($Y349*XLOOKUP($F349,Settings!$I$15:$I$20,Settings!$K$15:$K$20,0.4),0))</f>
        <v>0</v>
      </c>
      <c r="AE349" s="12">
        <f t="array" ref="AE349">IF($A349="","",ROUND($Y349*XLOOKUP($F349,Settings!$I$15:$I$20,Settings!$L$15:$L$20,0.8),0))</f>
        <v>1</v>
      </c>
      <c r="AF349" s="12">
        <f t="array" ref="AF349">IF($A349="","",ROUND($Y349*XLOOKUP($F349,Settings!$I$15:$I$20,Settings!$M$15:$M$20,1),0))</f>
        <v>1</v>
      </c>
      <c r="AG349" s="12">
        <f t="array" ref="AG349">IF($A349="","",ROUND($Y349*XLOOKUP($F349,Settings!$I$15:$I$20,Settings!$N$15:$N$20,1.1),0))</f>
        <v>1</v>
      </c>
      <c r="AH349" s="12">
        <f t="array" ref="AH349">IF($A349="","",ROUND($Y349*XLOOKUP($F349,Settings!$I$15:$I$20,Settings!$O$15:$O$20,1.1)*Settings!$J$7,0))</f>
        <v>1</v>
      </c>
      <c r="AI349" s="12">
        <f t="array" ref="AI349">IF($A349="","",IF($AA349="Sold","",MIN($AH349,IFERROR(XLOOKUP(Settings!$B$12,Managers!$B$4:$B$15,Managers!$H$4:$H$15),$AH349))))</f>
        <v>1</v>
      </c>
      <c r="AJ349" s="12" t="str">
        <f t="shared" si="3"/>
        <v>Recommended</v>
      </c>
      <c r="AK349" s="12">
        <f t="shared" si="4"/>
        <v>26</v>
      </c>
      <c r="AL349" s="12" t="str">
        <f t="shared" si="5"/>
        <v/>
      </c>
    </row>
    <row r="350" ht="15.75" customHeight="1">
      <c r="A350" s="10" t="s">
        <v>996</v>
      </c>
      <c r="B350" s="10" t="s">
        <v>997</v>
      </c>
      <c r="C350" s="10" t="s">
        <v>191</v>
      </c>
      <c r="D350" s="10" t="s">
        <v>118</v>
      </c>
      <c r="E350" s="10" t="s">
        <v>118</v>
      </c>
      <c r="F350" s="10" t="s">
        <v>117</v>
      </c>
      <c r="G350" s="10">
        <v>5.0</v>
      </c>
      <c r="H350" s="10">
        <v>7.0</v>
      </c>
      <c r="I350" s="10" t="s">
        <v>2140</v>
      </c>
      <c r="J350" s="10" t="s">
        <v>2136</v>
      </c>
      <c r="K350" s="10"/>
      <c r="L350" s="10">
        <v>66.75</v>
      </c>
      <c r="M350" s="10">
        <v>3.34</v>
      </c>
      <c r="N350" s="10"/>
      <c r="O350" s="10"/>
      <c r="P350" s="12">
        <f>IF($A350="","",IFERROR((IF($O350="",0,$O350)*Settings!$J$4+IF($L350="",0,$L350)*Settings!$J$5+IF($N350="",0,$N350)*Settings!$J$6)/(IF($O350="",0,Settings!$J$4)+IF($L350="",0,Settings!$J$5)+IF($N350="",0,Settings!$J$6)),0))</f>
        <v>66.75</v>
      </c>
      <c r="Q350" s="12">
        <f t="array" ref="Q350">IF($A350="","",XLOOKUP($E350,Settings!$A$19:$A$22,Settings!$G$19:$G$22,0))</f>
        <v>196.25</v>
      </c>
      <c r="R350" s="12">
        <f t="shared" si="1"/>
        <v>0</v>
      </c>
      <c r="S350" s="12">
        <f>IF($A350="","",IF($R350&lt;=0,1,1+$R350/SUMIF($R$4:$R$923,"&gt;0",$R$4:$R$923)*(Settings!$B$5*(Settings!$B$6-Settings!$B$7))))</f>
        <v>1</v>
      </c>
      <c r="T350" s="12">
        <f t="array" ref="T350">IF($A350="","",XLOOKUP($F350,Settings!$I$15:$I$20,Settings!$J$15:$J$20,1))</f>
        <v>0.75</v>
      </c>
      <c r="U350" s="12">
        <f>IF($A350="","",1+(($G350-5)/5)*Settings!$J$8)</f>
        <v>1</v>
      </c>
      <c r="V350" s="12">
        <f>IF($A350="","",1+(($H350-5)/5)*Settings!$J$9)</f>
        <v>1.06</v>
      </c>
      <c r="W350" s="12">
        <f t="array" ref="W350">IF($A350="","",XLOOKUP($J350,Lists!$C$3:$C$7,Lists!$D$3:$D$7,1))</f>
        <v>1</v>
      </c>
      <c r="X350" s="12">
        <f>IF($A350="","",IF($I350="Yes",Settings!$J$10,1))</f>
        <v>1</v>
      </c>
      <c r="Y350" s="12">
        <f t="shared" si="2"/>
        <v>1</v>
      </c>
      <c r="Z350" s="12">
        <f>IF($A350="","",IFERROR(ROUND(AVERAGEIFS('Historical Drafts'!$G$4:$G$300,'Historical Drafts'!$D$4:$D$300,$E350,'Historical Drafts'!$J$4:$J$300,"&gt;="&amp;$L350*0.85,'Historical Drafts'!$J$4:$J$300,"&lt;="&amp;$L350*1.15),0),$Y350))</f>
        <v>1</v>
      </c>
      <c r="AA350" s="12" t="str">
        <f>IF($A350="","",IF(COUNTIF('Auction Log'!$B$3:$B$300,$A350)&gt;0,"Sold","Available"))</f>
        <v>Available</v>
      </c>
      <c r="AB350" s="12" t="str">
        <f t="array" ref="AB350">IF($A350="","",IFERROR(XLOOKUP($A350,'Auction Log'!$B$3:$B$300,'Auction Log'!$G$3:$G$300,""),""))</f>
        <v/>
      </c>
      <c r="AC350" s="12" t="str">
        <f t="array" ref="AC350">IF($A350="","",IFERROR(XLOOKUP($A350,'Auction Log'!$B$3:$B$300,'Auction Log'!$F$3:$F$300,""),""))</f>
        <v/>
      </c>
      <c r="AD350" s="12">
        <f t="array" ref="AD350">IF($A350="","",ROUND($Y350*XLOOKUP($F350,Settings!$I$15:$I$20,Settings!$K$15:$K$20,0.4),0))</f>
        <v>0</v>
      </c>
      <c r="AE350" s="12">
        <f t="array" ref="AE350">IF($A350="","",ROUND($Y350*XLOOKUP($F350,Settings!$I$15:$I$20,Settings!$L$15:$L$20,0.8),0))</f>
        <v>1</v>
      </c>
      <c r="AF350" s="12">
        <f t="array" ref="AF350">IF($A350="","",ROUND($Y350*XLOOKUP($F350,Settings!$I$15:$I$20,Settings!$M$15:$M$20,1),0))</f>
        <v>1</v>
      </c>
      <c r="AG350" s="12">
        <f t="array" ref="AG350">IF($A350="","",ROUND($Y350*XLOOKUP($F350,Settings!$I$15:$I$20,Settings!$N$15:$N$20,1.1),0))</f>
        <v>1</v>
      </c>
      <c r="AH350" s="12">
        <f t="array" ref="AH350">IF($A350="","",ROUND($Y350*XLOOKUP($F350,Settings!$I$15:$I$20,Settings!$O$15:$O$20,1.1)*Settings!$J$7,0))</f>
        <v>1</v>
      </c>
      <c r="AI350" s="12">
        <f t="array" ref="AI350">IF($A350="","",IF($AA350="Sold","",MIN($AH350,IFERROR(XLOOKUP(Settings!$B$12,Managers!$B$4:$B$15,Managers!$H$4:$H$15),$AH350))))</f>
        <v>1</v>
      </c>
      <c r="AJ350" s="12" t="str">
        <f t="shared" si="3"/>
        <v>Recommended</v>
      </c>
      <c r="AK350" s="12">
        <f t="shared" si="4"/>
        <v>26</v>
      </c>
      <c r="AL350" s="12" t="str">
        <f t="shared" si="5"/>
        <v/>
      </c>
    </row>
    <row r="351" ht="15.75" customHeight="1">
      <c r="A351" s="10" t="s">
        <v>998</v>
      </c>
      <c r="B351" s="10" t="s">
        <v>999</v>
      </c>
      <c r="C351" s="10" t="s">
        <v>566</v>
      </c>
      <c r="D351" s="10" t="s">
        <v>123</v>
      </c>
      <c r="E351" s="10" t="s">
        <v>123</v>
      </c>
      <c r="F351" s="10" t="s">
        <v>117</v>
      </c>
      <c r="G351" s="10">
        <v>5.0</v>
      </c>
      <c r="H351" s="10">
        <v>7.0</v>
      </c>
      <c r="I351" s="10" t="s">
        <v>2140</v>
      </c>
      <c r="J351" s="10" t="s">
        <v>2136</v>
      </c>
      <c r="K351" s="10"/>
      <c r="L351" s="10">
        <v>66.5</v>
      </c>
      <c r="M351" s="10">
        <v>2.77</v>
      </c>
      <c r="N351" s="10"/>
      <c r="O351" s="10"/>
      <c r="P351" s="12">
        <f>IF($A351="","",IFERROR((IF($O351="",0,$O351)*Settings!$J$4+IF($L351="",0,$L351)*Settings!$J$5+IF($N351="",0,$N351)*Settings!$J$6)/(IF($O351="",0,Settings!$J$4)+IF($L351="",0,Settings!$J$5)+IF($N351="",0,Settings!$J$6)),0))</f>
        <v>66.5</v>
      </c>
      <c r="Q351" s="12">
        <f t="array" ref="Q351">IF($A351="","",XLOOKUP($E351,Settings!$A$19:$A$22,Settings!$G$19:$G$22,0))</f>
        <v>203</v>
      </c>
      <c r="R351" s="12">
        <f t="shared" si="1"/>
        <v>0</v>
      </c>
      <c r="S351" s="12">
        <f>IF($A351="","",IF($R351&lt;=0,1,1+$R351/SUMIF($R$4:$R$923,"&gt;0",$R$4:$R$923)*(Settings!$B$5*(Settings!$B$6-Settings!$B$7))))</f>
        <v>1</v>
      </c>
      <c r="T351" s="12">
        <f t="array" ref="T351">IF($A351="","",XLOOKUP($F351,Settings!$I$15:$I$20,Settings!$J$15:$J$20,1))</f>
        <v>0.75</v>
      </c>
      <c r="U351" s="12">
        <f>IF($A351="","",1+(($G351-5)/5)*Settings!$J$8)</f>
        <v>1</v>
      </c>
      <c r="V351" s="12">
        <f>IF($A351="","",1+(($H351-5)/5)*Settings!$J$9)</f>
        <v>1.06</v>
      </c>
      <c r="W351" s="12">
        <f t="array" ref="W351">IF($A351="","",XLOOKUP($J351,Lists!$C$3:$C$7,Lists!$D$3:$D$7,1))</f>
        <v>1</v>
      </c>
      <c r="X351" s="12">
        <f>IF($A351="","",IF($I351="Yes",Settings!$J$10,1))</f>
        <v>1</v>
      </c>
      <c r="Y351" s="12">
        <f t="shared" si="2"/>
        <v>1</v>
      </c>
      <c r="Z351" s="12">
        <f>IF($A351="","",IFERROR(ROUND(AVERAGEIFS('Historical Drafts'!$G$4:$G$300,'Historical Drafts'!$D$4:$D$300,$E351,'Historical Drafts'!$J$4:$J$300,"&gt;="&amp;$L351*0.85,'Historical Drafts'!$J$4:$J$300,"&lt;="&amp;$L351*1.15),0),$Y351))</f>
        <v>25</v>
      </c>
      <c r="AA351" s="12" t="str">
        <f>IF($A351="","",IF(COUNTIF('Auction Log'!$B$3:$B$300,$A351)&gt;0,"Sold","Available"))</f>
        <v>Available</v>
      </c>
      <c r="AB351" s="12" t="str">
        <f t="array" ref="AB351">IF($A351="","",IFERROR(XLOOKUP($A351,'Auction Log'!$B$3:$B$300,'Auction Log'!$G$3:$G$300,""),""))</f>
        <v/>
      </c>
      <c r="AC351" s="12" t="str">
        <f t="array" ref="AC351">IF($A351="","",IFERROR(XLOOKUP($A351,'Auction Log'!$B$3:$B$300,'Auction Log'!$F$3:$F$300,""),""))</f>
        <v/>
      </c>
      <c r="AD351" s="12">
        <f t="array" ref="AD351">IF($A351="","",ROUND($Y351*XLOOKUP($F351,Settings!$I$15:$I$20,Settings!$K$15:$K$20,0.4),0))</f>
        <v>0</v>
      </c>
      <c r="AE351" s="12">
        <f t="array" ref="AE351">IF($A351="","",ROUND($Y351*XLOOKUP($F351,Settings!$I$15:$I$20,Settings!$L$15:$L$20,0.8),0))</f>
        <v>1</v>
      </c>
      <c r="AF351" s="12">
        <f t="array" ref="AF351">IF($A351="","",ROUND($Y351*XLOOKUP($F351,Settings!$I$15:$I$20,Settings!$M$15:$M$20,1),0))</f>
        <v>1</v>
      </c>
      <c r="AG351" s="12">
        <f t="array" ref="AG351">IF($A351="","",ROUND($Y351*XLOOKUP($F351,Settings!$I$15:$I$20,Settings!$N$15:$N$20,1.1),0))</f>
        <v>1</v>
      </c>
      <c r="AH351" s="12">
        <f t="array" ref="AH351">IF($A351="","",ROUND($Y351*XLOOKUP($F351,Settings!$I$15:$I$20,Settings!$O$15:$O$20,1.1)*Settings!$J$7,0))</f>
        <v>1</v>
      </c>
      <c r="AI351" s="12">
        <f t="array" ref="AI351">IF($A351="","",IF($AA351="Sold","",MIN($AH351,IFERROR(XLOOKUP(Settings!$B$12,Managers!$B$4:$B$15,Managers!$H$4:$H$15),$AH351))))</f>
        <v>1</v>
      </c>
      <c r="AJ351" s="12" t="str">
        <f t="shared" si="3"/>
        <v>Budget Drainer</v>
      </c>
      <c r="AK351" s="12">
        <f t="shared" si="4"/>
        <v>50</v>
      </c>
      <c r="AL351" s="12" t="str">
        <f t="shared" si="5"/>
        <v/>
      </c>
    </row>
    <row r="352" ht="15.75" customHeight="1">
      <c r="A352" s="10" t="s">
        <v>308</v>
      </c>
      <c r="B352" s="10" t="s">
        <v>309</v>
      </c>
      <c r="C352" s="10" t="s">
        <v>188</v>
      </c>
      <c r="D352" s="10" t="s">
        <v>123</v>
      </c>
      <c r="E352" s="10" t="s">
        <v>123</v>
      </c>
      <c r="F352" s="10" t="s">
        <v>117</v>
      </c>
      <c r="G352" s="10">
        <v>5.0</v>
      </c>
      <c r="H352" s="10">
        <v>7.0</v>
      </c>
      <c r="I352" s="10" t="s">
        <v>2140</v>
      </c>
      <c r="J352" s="10" t="s">
        <v>2136</v>
      </c>
      <c r="K352" s="10"/>
      <c r="L352" s="10">
        <v>65.0</v>
      </c>
      <c r="M352" s="10">
        <v>2.32</v>
      </c>
      <c r="N352" s="10"/>
      <c r="O352" s="10"/>
      <c r="P352" s="12">
        <f>IF($A352="","",IFERROR((IF($O352="",0,$O352)*Settings!$J$4+IF($L352="",0,$L352)*Settings!$J$5+IF($N352="",0,$N352)*Settings!$J$6)/(IF($O352="",0,Settings!$J$4)+IF($L352="",0,Settings!$J$5)+IF($N352="",0,Settings!$J$6)),0))</f>
        <v>65</v>
      </c>
      <c r="Q352" s="12">
        <f t="array" ref="Q352">IF($A352="","",XLOOKUP($E352,Settings!$A$19:$A$22,Settings!$G$19:$G$22,0))</f>
        <v>203</v>
      </c>
      <c r="R352" s="12">
        <f t="shared" si="1"/>
        <v>0</v>
      </c>
      <c r="S352" s="12">
        <f>IF($A352="","",IF($R352&lt;=0,1,1+$R352/SUMIF($R$4:$R$923,"&gt;0",$R$4:$R$923)*(Settings!$B$5*(Settings!$B$6-Settings!$B$7))))</f>
        <v>1</v>
      </c>
      <c r="T352" s="12">
        <f t="array" ref="T352">IF($A352="","",XLOOKUP($F352,Settings!$I$15:$I$20,Settings!$J$15:$J$20,1))</f>
        <v>0.75</v>
      </c>
      <c r="U352" s="12">
        <f>IF($A352="","",1+(($G352-5)/5)*Settings!$J$8)</f>
        <v>1</v>
      </c>
      <c r="V352" s="12">
        <f>IF($A352="","",1+(($H352-5)/5)*Settings!$J$9)</f>
        <v>1.06</v>
      </c>
      <c r="W352" s="12">
        <f t="array" ref="W352">IF($A352="","",XLOOKUP($J352,Lists!$C$3:$C$7,Lists!$D$3:$D$7,1))</f>
        <v>1</v>
      </c>
      <c r="X352" s="12">
        <f>IF($A352="","",IF($I352="Yes",Settings!$J$10,1))</f>
        <v>1</v>
      </c>
      <c r="Y352" s="12">
        <f t="shared" si="2"/>
        <v>1</v>
      </c>
      <c r="Z352" s="12">
        <f>IF($A352="","",IFERROR(ROUND(AVERAGEIFS('Historical Drafts'!$G$4:$G$300,'Historical Drafts'!$D$4:$D$300,$E352,'Historical Drafts'!$J$4:$J$300,"&gt;="&amp;$L352*0.85,'Historical Drafts'!$J$4:$J$300,"&lt;="&amp;$L352*1.15),0),$Y352))</f>
        <v>25</v>
      </c>
      <c r="AA352" s="12" t="str">
        <f>IF($A352="","",IF(COUNTIF('Auction Log'!$B$3:$B$300,$A352)&gt;0,"Sold","Available"))</f>
        <v>Available</v>
      </c>
      <c r="AB352" s="12" t="str">
        <f t="array" ref="AB352">IF($A352="","",IFERROR(XLOOKUP($A352,'Auction Log'!$B$3:$B$300,'Auction Log'!$G$3:$G$300,""),""))</f>
        <v/>
      </c>
      <c r="AC352" s="12" t="str">
        <f t="array" ref="AC352">IF($A352="","",IFERROR(XLOOKUP($A352,'Auction Log'!$B$3:$B$300,'Auction Log'!$F$3:$F$300,""),""))</f>
        <v/>
      </c>
      <c r="AD352" s="12">
        <f t="array" ref="AD352">IF($A352="","",ROUND($Y352*XLOOKUP($F352,Settings!$I$15:$I$20,Settings!$K$15:$K$20,0.4),0))</f>
        <v>0</v>
      </c>
      <c r="AE352" s="12">
        <f t="array" ref="AE352">IF($A352="","",ROUND($Y352*XLOOKUP($F352,Settings!$I$15:$I$20,Settings!$L$15:$L$20,0.8),0))</f>
        <v>1</v>
      </c>
      <c r="AF352" s="12">
        <f t="array" ref="AF352">IF($A352="","",ROUND($Y352*XLOOKUP($F352,Settings!$I$15:$I$20,Settings!$M$15:$M$20,1),0))</f>
        <v>1</v>
      </c>
      <c r="AG352" s="12">
        <f t="array" ref="AG352">IF($A352="","",ROUND($Y352*XLOOKUP($F352,Settings!$I$15:$I$20,Settings!$N$15:$N$20,1.1),0))</f>
        <v>1</v>
      </c>
      <c r="AH352" s="12">
        <f t="array" ref="AH352">IF($A352="","",ROUND($Y352*XLOOKUP($F352,Settings!$I$15:$I$20,Settings!$O$15:$O$20,1.1)*Settings!$J$7,0))</f>
        <v>1</v>
      </c>
      <c r="AI352" s="12">
        <f t="array" ref="AI352">IF($A352="","",IF($AA352="Sold","",MIN($AH352,IFERROR(XLOOKUP(Settings!$B$12,Managers!$B$4:$B$15,Managers!$H$4:$H$15),$AH352))))</f>
        <v>1</v>
      </c>
      <c r="AJ352" s="12" t="str">
        <f t="shared" si="3"/>
        <v>Budget Drainer</v>
      </c>
      <c r="AK352" s="12">
        <f t="shared" si="4"/>
        <v>50</v>
      </c>
      <c r="AL352" s="12" t="str">
        <f t="shared" si="5"/>
        <v/>
      </c>
    </row>
    <row r="353" ht="15.75" customHeight="1">
      <c r="A353" s="10" t="s">
        <v>194</v>
      </c>
      <c r="B353" s="10" t="s">
        <v>195</v>
      </c>
      <c r="C353" s="10" t="s">
        <v>196</v>
      </c>
      <c r="D353" s="10" t="s">
        <v>123</v>
      </c>
      <c r="E353" s="10" t="s">
        <v>123</v>
      </c>
      <c r="F353" s="10" t="s">
        <v>117</v>
      </c>
      <c r="G353" s="10">
        <v>5.0</v>
      </c>
      <c r="H353" s="10">
        <v>7.0</v>
      </c>
      <c r="I353" s="10" t="s">
        <v>2140</v>
      </c>
      <c r="J353" s="10" t="s">
        <v>2136</v>
      </c>
      <c r="K353" s="10"/>
      <c r="L353" s="10">
        <v>64.5</v>
      </c>
      <c r="M353" s="10">
        <v>4.61</v>
      </c>
      <c r="N353" s="10"/>
      <c r="O353" s="10"/>
      <c r="P353" s="12">
        <f>IF($A353="","",IFERROR((IF($O353="",0,$O353)*Settings!$J$4+IF($L353="",0,$L353)*Settings!$J$5+IF($N353="",0,$N353)*Settings!$J$6)/(IF($O353="",0,Settings!$J$4)+IF($L353="",0,Settings!$J$5)+IF($N353="",0,Settings!$J$6)),0))</f>
        <v>64.5</v>
      </c>
      <c r="Q353" s="12">
        <f t="array" ref="Q353">IF($A353="","",XLOOKUP($E353,Settings!$A$19:$A$22,Settings!$G$19:$G$22,0))</f>
        <v>203</v>
      </c>
      <c r="R353" s="12">
        <f t="shared" si="1"/>
        <v>0</v>
      </c>
      <c r="S353" s="12">
        <f>IF($A353="","",IF($R353&lt;=0,1,1+$R353/SUMIF($R$4:$R$923,"&gt;0",$R$4:$R$923)*(Settings!$B$5*(Settings!$B$6-Settings!$B$7))))</f>
        <v>1</v>
      </c>
      <c r="T353" s="12">
        <f t="array" ref="T353">IF($A353="","",XLOOKUP($F353,Settings!$I$15:$I$20,Settings!$J$15:$J$20,1))</f>
        <v>0.75</v>
      </c>
      <c r="U353" s="12">
        <f>IF($A353="","",1+(($G353-5)/5)*Settings!$J$8)</f>
        <v>1</v>
      </c>
      <c r="V353" s="12">
        <f>IF($A353="","",1+(($H353-5)/5)*Settings!$J$9)</f>
        <v>1.06</v>
      </c>
      <c r="W353" s="12">
        <f t="array" ref="W353">IF($A353="","",XLOOKUP($J353,Lists!$C$3:$C$7,Lists!$D$3:$D$7,1))</f>
        <v>1</v>
      </c>
      <c r="X353" s="12">
        <f>IF($A353="","",IF($I353="Yes",Settings!$J$10,1))</f>
        <v>1</v>
      </c>
      <c r="Y353" s="12">
        <f t="shared" si="2"/>
        <v>1</v>
      </c>
      <c r="Z353" s="12">
        <f>IF($A353="","",IFERROR(ROUND(AVERAGEIFS('Historical Drafts'!$G$4:$G$300,'Historical Drafts'!$D$4:$D$300,$E353,'Historical Drafts'!$J$4:$J$300,"&gt;="&amp;$L353*0.85,'Historical Drafts'!$J$4:$J$300,"&lt;="&amp;$L353*1.15),0),$Y353))</f>
        <v>25</v>
      </c>
      <c r="AA353" s="12" t="str">
        <f>IF($A353="","",IF(COUNTIF('Auction Log'!$B$3:$B$300,$A353)&gt;0,"Sold","Available"))</f>
        <v>Available</v>
      </c>
      <c r="AB353" s="12" t="str">
        <f t="array" ref="AB353">IF($A353="","",IFERROR(XLOOKUP($A353,'Auction Log'!$B$3:$B$300,'Auction Log'!$G$3:$G$300,""),""))</f>
        <v/>
      </c>
      <c r="AC353" s="12" t="str">
        <f t="array" ref="AC353">IF($A353="","",IFERROR(XLOOKUP($A353,'Auction Log'!$B$3:$B$300,'Auction Log'!$F$3:$F$300,""),""))</f>
        <v/>
      </c>
      <c r="AD353" s="12">
        <f t="array" ref="AD353">IF($A353="","",ROUND($Y353*XLOOKUP($F353,Settings!$I$15:$I$20,Settings!$K$15:$K$20,0.4),0))</f>
        <v>0</v>
      </c>
      <c r="AE353" s="12">
        <f t="array" ref="AE353">IF($A353="","",ROUND($Y353*XLOOKUP($F353,Settings!$I$15:$I$20,Settings!$L$15:$L$20,0.8),0))</f>
        <v>1</v>
      </c>
      <c r="AF353" s="12">
        <f t="array" ref="AF353">IF($A353="","",ROUND($Y353*XLOOKUP($F353,Settings!$I$15:$I$20,Settings!$M$15:$M$20,1),0))</f>
        <v>1</v>
      </c>
      <c r="AG353" s="12">
        <f t="array" ref="AG353">IF($A353="","",ROUND($Y353*XLOOKUP($F353,Settings!$I$15:$I$20,Settings!$N$15:$N$20,1.1),0))</f>
        <v>1</v>
      </c>
      <c r="AH353" s="12">
        <f t="array" ref="AH353">IF($A353="","",ROUND($Y353*XLOOKUP($F353,Settings!$I$15:$I$20,Settings!$O$15:$O$20,1.1)*Settings!$J$7,0))</f>
        <v>1</v>
      </c>
      <c r="AI353" s="12">
        <f t="array" ref="AI353">IF($A353="","",IF($AA353="Sold","",MIN($AH353,IFERROR(XLOOKUP(Settings!$B$12,Managers!$B$4:$B$15,Managers!$H$4:$H$15),$AH353))))</f>
        <v>1</v>
      </c>
      <c r="AJ353" s="12" t="str">
        <f t="shared" si="3"/>
        <v>Budget Drainer</v>
      </c>
      <c r="AK353" s="12">
        <f t="shared" si="4"/>
        <v>50</v>
      </c>
      <c r="AL353" s="12" t="str">
        <f t="shared" si="5"/>
        <v/>
      </c>
    </row>
    <row r="354" ht="15.75" customHeight="1">
      <c r="A354" s="10" t="s">
        <v>1000</v>
      </c>
      <c r="B354" s="10" t="s">
        <v>1001</v>
      </c>
      <c r="C354" s="10" t="s">
        <v>236</v>
      </c>
      <c r="D354" s="10" t="s">
        <v>118</v>
      </c>
      <c r="E354" s="10" t="s">
        <v>118</v>
      </c>
      <c r="F354" s="10" t="s">
        <v>117</v>
      </c>
      <c r="G354" s="10">
        <v>5.0</v>
      </c>
      <c r="H354" s="10">
        <v>7.0</v>
      </c>
      <c r="I354" s="10" t="s">
        <v>2140</v>
      </c>
      <c r="J354" s="10" t="s">
        <v>2136</v>
      </c>
      <c r="K354" s="10"/>
      <c r="L354" s="10">
        <v>64.0</v>
      </c>
      <c r="M354" s="10">
        <v>3.05</v>
      </c>
      <c r="N354" s="10"/>
      <c r="O354" s="10"/>
      <c r="P354" s="12">
        <f>IF($A354="","",IFERROR((IF($O354="",0,$O354)*Settings!$J$4+IF($L354="",0,$L354)*Settings!$J$5+IF($N354="",0,$N354)*Settings!$J$6)/(IF($O354="",0,Settings!$J$4)+IF($L354="",0,Settings!$J$5)+IF($N354="",0,Settings!$J$6)),0))</f>
        <v>64</v>
      </c>
      <c r="Q354" s="12">
        <f t="array" ref="Q354">IF($A354="","",XLOOKUP($E354,Settings!$A$19:$A$22,Settings!$G$19:$G$22,0))</f>
        <v>196.25</v>
      </c>
      <c r="R354" s="12">
        <f t="shared" si="1"/>
        <v>0</v>
      </c>
      <c r="S354" s="12">
        <f>IF($A354="","",IF($R354&lt;=0,1,1+$R354/SUMIF($R$4:$R$923,"&gt;0",$R$4:$R$923)*(Settings!$B$5*(Settings!$B$6-Settings!$B$7))))</f>
        <v>1</v>
      </c>
      <c r="T354" s="12">
        <f t="array" ref="T354">IF($A354="","",XLOOKUP($F354,Settings!$I$15:$I$20,Settings!$J$15:$J$20,1))</f>
        <v>0.75</v>
      </c>
      <c r="U354" s="12">
        <f>IF($A354="","",1+(($G354-5)/5)*Settings!$J$8)</f>
        <v>1</v>
      </c>
      <c r="V354" s="12">
        <f>IF($A354="","",1+(($H354-5)/5)*Settings!$J$9)</f>
        <v>1.06</v>
      </c>
      <c r="W354" s="12">
        <f t="array" ref="W354">IF($A354="","",XLOOKUP($J354,Lists!$C$3:$C$7,Lists!$D$3:$D$7,1))</f>
        <v>1</v>
      </c>
      <c r="X354" s="12">
        <f>IF($A354="","",IF($I354="Yes",Settings!$J$10,1))</f>
        <v>1</v>
      </c>
      <c r="Y354" s="12">
        <f t="shared" si="2"/>
        <v>1</v>
      </c>
      <c r="Z354" s="12">
        <f>IF($A354="","",IFERROR(ROUND(AVERAGEIFS('Historical Drafts'!$G$4:$G$300,'Historical Drafts'!$D$4:$D$300,$E354,'Historical Drafts'!$J$4:$J$300,"&gt;="&amp;$L354*0.85,'Historical Drafts'!$J$4:$J$300,"&lt;="&amp;$L354*1.15),0),$Y354))</f>
        <v>1</v>
      </c>
      <c r="AA354" s="12" t="str">
        <f>IF($A354="","",IF(COUNTIF('Auction Log'!$B$3:$B$300,$A354)&gt;0,"Sold","Available"))</f>
        <v>Available</v>
      </c>
      <c r="AB354" s="12" t="str">
        <f t="array" ref="AB354">IF($A354="","",IFERROR(XLOOKUP($A354,'Auction Log'!$B$3:$B$300,'Auction Log'!$G$3:$G$300,""),""))</f>
        <v/>
      </c>
      <c r="AC354" s="12" t="str">
        <f t="array" ref="AC354">IF($A354="","",IFERROR(XLOOKUP($A354,'Auction Log'!$B$3:$B$300,'Auction Log'!$F$3:$F$300,""),""))</f>
        <v/>
      </c>
      <c r="AD354" s="12">
        <f t="array" ref="AD354">IF($A354="","",ROUND($Y354*XLOOKUP($F354,Settings!$I$15:$I$20,Settings!$K$15:$K$20,0.4),0))</f>
        <v>0</v>
      </c>
      <c r="AE354" s="12">
        <f t="array" ref="AE354">IF($A354="","",ROUND($Y354*XLOOKUP($F354,Settings!$I$15:$I$20,Settings!$L$15:$L$20,0.8),0))</f>
        <v>1</v>
      </c>
      <c r="AF354" s="12">
        <f t="array" ref="AF354">IF($A354="","",ROUND($Y354*XLOOKUP($F354,Settings!$I$15:$I$20,Settings!$M$15:$M$20,1),0))</f>
        <v>1</v>
      </c>
      <c r="AG354" s="12">
        <f t="array" ref="AG354">IF($A354="","",ROUND($Y354*XLOOKUP($F354,Settings!$I$15:$I$20,Settings!$N$15:$N$20,1.1),0))</f>
        <v>1</v>
      </c>
      <c r="AH354" s="12">
        <f t="array" ref="AH354">IF($A354="","",ROUND($Y354*XLOOKUP($F354,Settings!$I$15:$I$20,Settings!$O$15:$O$20,1.1)*Settings!$J$7,0))</f>
        <v>1</v>
      </c>
      <c r="AI354" s="12">
        <f t="array" ref="AI354">IF($A354="","",IF($AA354="Sold","",MIN($AH354,IFERROR(XLOOKUP(Settings!$B$12,Managers!$B$4:$B$15,Managers!$H$4:$H$15),$AH354))))</f>
        <v>1</v>
      </c>
      <c r="AJ354" s="12" t="str">
        <f t="shared" si="3"/>
        <v>Recommended</v>
      </c>
      <c r="AK354" s="12">
        <f t="shared" si="4"/>
        <v>26</v>
      </c>
      <c r="AL354" s="12" t="str">
        <f t="shared" si="5"/>
        <v/>
      </c>
    </row>
    <row r="355" ht="15.75" customHeight="1">
      <c r="A355" s="10" t="s">
        <v>1002</v>
      </c>
      <c r="B355" s="10" t="s">
        <v>1003</v>
      </c>
      <c r="C355" s="10" t="s">
        <v>188</v>
      </c>
      <c r="D355" s="10" t="s">
        <v>118</v>
      </c>
      <c r="E355" s="10" t="s">
        <v>118</v>
      </c>
      <c r="F355" s="10" t="s">
        <v>117</v>
      </c>
      <c r="G355" s="10">
        <v>5.0</v>
      </c>
      <c r="H355" s="10">
        <v>7.0</v>
      </c>
      <c r="I355" s="10" t="s">
        <v>2140</v>
      </c>
      <c r="J355" s="10" t="s">
        <v>2136</v>
      </c>
      <c r="K355" s="10"/>
      <c r="L355" s="10">
        <v>63.0</v>
      </c>
      <c r="M355" s="10">
        <v>3.94</v>
      </c>
      <c r="N355" s="10"/>
      <c r="O355" s="10"/>
      <c r="P355" s="12">
        <f>IF($A355="","",IFERROR((IF($O355="",0,$O355)*Settings!$J$4+IF($L355="",0,$L355)*Settings!$J$5+IF($N355="",0,$N355)*Settings!$J$6)/(IF($O355="",0,Settings!$J$4)+IF($L355="",0,Settings!$J$5)+IF($N355="",0,Settings!$J$6)),0))</f>
        <v>63</v>
      </c>
      <c r="Q355" s="12">
        <f t="array" ref="Q355">IF($A355="","",XLOOKUP($E355,Settings!$A$19:$A$22,Settings!$G$19:$G$22,0))</f>
        <v>196.25</v>
      </c>
      <c r="R355" s="12">
        <f t="shared" si="1"/>
        <v>0</v>
      </c>
      <c r="S355" s="12">
        <f>IF($A355="","",IF($R355&lt;=0,1,1+$R355/SUMIF($R$4:$R$923,"&gt;0",$R$4:$R$923)*(Settings!$B$5*(Settings!$B$6-Settings!$B$7))))</f>
        <v>1</v>
      </c>
      <c r="T355" s="12">
        <f t="array" ref="T355">IF($A355="","",XLOOKUP($F355,Settings!$I$15:$I$20,Settings!$J$15:$J$20,1))</f>
        <v>0.75</v>
      </c>
      <c r="U355" s="12">
        <f>IF($A355="","",1+(($G355-5)/5)*Settings!$J$8)</f>
        <v>1</v>
      </c>
      <c r="V355" s="12">
        <f>IF($A355="","",1+(($H355-5)/5)*Settings!$J$9)</f>
        <v>1.06</v>
      </c>
      <c r="W355" s="12">
        <f t="array" ref="W355">IF($A355="","",XLOOKUP($J355,Lists!$C$3:$C$7,Lists!$D$3:$D$7,1))</f>
        <v>1</v>
      </c>
      <c r="X355" s="12">
        <f>IF($A355="","",IF($I355="Yes",Settings!$J$10,1))</f>
        <v>1</v>
      </c>
      <c r="Y355" s="12">
        <f t="shared" si="2"/>
        <v>1</v>
      </c>
      <c r="Z355" s="12">
        <f>IF($A355="","",IFERROR(ROUND(AVERAGEIFS('Historical Drafts'!$G$4:$G$300,'Historical Drafts'!$D$4:$D$300,$E355,'Historical Drafts'!$J$4:$J$300,"&gt;="&amp;$L355*0.85,'Historical Drafts'!$J$4:$J$300,"&lt;="&amp;$L355*1.15),0),$Y355))</f>
        <v>1</v>
      </c>
      <c r="AA355" s="12" t="str">
        <f>IF($A355="","",IF(COUNTIF('Auction Log'!$B$3:$B$300,$A355)&gt;0,"Sold","Available"))</f>
        <v>Available</v>
      </c>
      <c r="AB355" s="12" t="str">
        <f t="array" ref="AB355">IF($A355="","",IFERROR(XLOOKUP($A355,'Auction Log'!$B$3:$B$300,'Auction Log'!$G$3:$G$300,""),""))</f>
        <v/>
      </c>
      <c r="AC355" s="12" t="str">
        <f t="array" ref="AC355">IF($A355="","",IFERROR(XLOOKUP($A355,'Auction Log'!$B$3:$B$300,'Auction Log'!$F$3:$F$300,""),""))</f>
        <v/>
      </c>
      <c r="AD355" s="12">
        <f t="array" ref="AD355">IF($A355="","",ROUND($Y355*XLOOKUP($F355,Settings!$I$15:$I$20,Settings!$K$15:$K$20,0.4),0))</f>
        <v>0</v>
      </c>
      <c r="AE355" s="12">
        <f t="array" ref="AE355">IF($A355="","",ROUND($Y355*XLOOKUP($F355,Settings!$I$15:$I$20,Settings!$L$15:$L$20,0.8),0))</f>
        <v>1</v>
      </c>
      <c r="AF355" s="12">
        <f t="array" ref="AF355">IF($A355="","",ROUND($Y355*XLOOKUP($F355,Settings!$I$15:$I$20,Settings!$M$15:$M$20,1),0))</f>
        <v>1</v>
      </c>
      <c r="AG355" s="12">
        <f t="array" ref="AG355">IF($A355="","",ROUND($Y355*XLOOKUP($F355,Settings!$I$15:$I$20,Settings!$N$15:$N$20,1.1),0))</f>
        <v>1</v>
      </c>
      <c r="AH355" s="12">
        <f t="array" ref="AH355">IF($A355="","",ROUND($Y355*XLOOKUP($F355,Settings!$I$15:$I$20,Settings!$O$15:$O$20,1.1)*Settings!$J$7,0))</f>
        <v>1</v>
      </c>
      <c r="AI355" s="12">
        <f t="array" ref="AI355">IF($A355="","",IF($AA355="Sold","",MIN($AH355,IFERROR(XLOOKUP(Settings!$B$12,Managers!$B$4:$B$15,Managers!$H$4:$H$15),$AH355))))</f>
        <v>1</v>
      </c>
      <c r="AJ355" s="12" t="str">
        <f t="shared" si="3"/>
        <v>Recommended</v>
      </c>
      <c r="AK355" s="12">
        <f t="shared" si="4"/>
        <v>26</v>
      </c>
      <c r="AL355" s="12" t="str">
        <f t="shared" si="5"/>
        <v/>
      </c>
    </row>
    <row r="356" ht="15.75" customHeight="1">
      <c r="A356" s="10" t="s">
        <v>312</v>
      </c>
      <c r="B356" s="10" t="s">
        <v>313</v>
      </c>
      <c r="C356" s="10" t="s">
        <v>314</v>
      </c>
      <c r="D356" s="10" t="s">
        <v>121</v>
      </c>
      <c r="E356" s="10" t="s">
        <v>121</v>
      </c>
      <c r="F356" s="10" t="s">
        <v>117</v>
      </c>
      <c r="G356" s="10">
        <v>5.0</v>
      </c>
      <c r="H356" s="10">
        <v>7.0</v>
      </c>
      <c r="I356" s="10" t="s">
        <v>2140</v>
      </c>
      <c r="J356" s="10" t="s">
        <v>2136</v>
      </c>
      <c r="K356" s="10"/>
      <c r="L356" s="10">
        <v>62.5</v>
      </c>
      <c r="M356" s="10">
        <v>4.46</v>
      </c>
      <c r="N356" s="10"/>
      <c r="O356" s="10"/>
      <c r="P356" s="12">
        <f>IF($A356="","",IFERROR((IF($O356="",0,$O356)*Settings!$J$4+IF($L356="",0,$L356)*Settings!$J$5+IF($N356="",0,$N356)*Settings!$J$6)/(IF($O356="",0,Settings!$J$4)+IF($L356="",0,Settings!$J$5)+IF($N356="",0,Settings!$J$6)),0))</f>
        <v>62.5</v>
      </c>
      <c r="Q356" s="12">
        <f t="array" ref="Q356">IF($A356="","",XLOOKUP($E356,Settings!$A$19:$A$22,Settings!$G$19:$G$22,0))</f>
        <v>206</v>
      </c>
      <c r="R356" s="12">
        <f t="shared" si="1"/>
        <v>0</v>
      </c>
      <c r="S356" s="12">
        <f>IF($A356="","",IF($R356&lt;=0,1,1+$R356/SUMIF($R$4:$R$923,"&gt;0",$R$4:$R$923)*(Settings!$B$5*(Settings!$B$6-Settings!$B$7))))</f>
        <v>1</v>
      </c>
      <c r="T356" s="12">
        <f t="array" ref="T356">IF($A356="","",XLOOKUP($F356,Settings!$I$15:$I$20,Settings!$J$15:$J$20,1))</f>
        <v>0.75</v>
      </c>
      <c r="U356" s="12">
        <f>IF($A356="","",1+(($G356-5)/5)*Settings!$J$8)</f>
        <v>1</v>
      </c>
      <c r="V356" s="12">
        <f>IF($A356="","",1+(($H356-5)/5)*Settings!$J$9)</f>
        <v>1.06</v>
      </c>
      <c r="W356" s="12">
        <f t="array" ref="W356">IF($A356="","",XLOOKUP($J356,Lists!$C$3:$C$7,Lists!$D$3:$D$7,1))</f>
        <v>1</v>
      </c>
      <c r="X356" s="12">
        <f>IF($A356="","",IF($I356="Yes",Settings!$J$10,1))</f>
        <v>1</v>
      </c>
      <c r="Y356" s="12">
        <f t="shared" si="2"/>
        <v>1</v>
      </c>
      <c r="Z356" s="12">
        <f>IF($A356="","",IFERROR(ROUND(AVERAGEIFS('Historical Drafts'!$G$4:$G$300,'Historical Drafts'!$D$4:$D$300,$E356,'Historical Drafts'!$J$4:$J$300,"&gt;="&amp;$L356*0.85,'Historical Drafts'!$J$4:$J$300,"&lt;="&amp;$L356*1.15),0),$Y356))</f>
        <v>3</v>
      </c>
      <c r="AA356" s="12" t="str">
        <f>IF($A356="","",IF(COUNTIF('Auction Log'!$B$3:$B$300,$A356)&gt;0,"Sold","Available"))</f>
        <v>Available</v>
      </c>
      <c r="AB356" s="12" t="str">
        <f t="array" ref="AB356">IF($A356="","",IFERROR(XLOOKUP($A356,'Auction Log'!$B$3:$B$300,'Auction Log'!$G$3:$G$300,""),""))</f>
        <v/>
      </c>
      <c r="AC356" s="12" t="str">
        <f t="array" ref="AC356">IF($A356="","",IFERROR(XLOOKUP($A356,'Auction Log'!$B$3:$B$300,'Auction Log'!$F$3:$F$300,""),""))</f>
        <v/>
      </c>
      <c r="AD356" s="12">
        <f t="array" ref="AD356">IF($A356="","",ROUND($Y356*XLOOKUP($F356,Settings!$I$15:$I$20,Settings!$K$15:$K$20,0.4),0))</f>
        <v>0</v>
      </c>
      <c r="AE356" s="12">
        <f t="array" ref="AE356">IF($A356="","",ROUND($Y356*XLOOKUP($F356,Settings!$I$15:$I$20,Settings!$L$15:$L$20,0.8),0))</f>
        <v>1</v>
      </c>
      <c r="AF356" s="12">
        <f t="array" ref="AF356">IF($A356="","",ROUND($Y356*XLOOKUP($F356,Settings!$I$15:$I$20,Settings!$M$15:$M$20,1),0))</f>
        <v>1</v>
      </c>
      <c r="AG356" s="12">
        <f t="array" ref="AG356">IF($A356="","",ROUND($Y356*XLOOKUP($F356,Settings!$I$15:$I$20,Settings!$N$15:$N$20,1.1),0))</f>
        <v>1</v>
      </c>
      <c r="AH356" s="12">
        <f t="array" ref="AH356">IF($A356="","",ROUND($Y356*XLOOKUP($F356,Settings!$I$15:$I$20,Settings!$O$15:$O$20,1.1)*Settings!$J$7,0))</f>
        <v>1</v>
      </c>
      <c r="AI356" s="12">
        <f t="array" ref="AI356">IF($A356="","",IF($AA356="Sold","",MIN($AH356,IFERROR(XLOOKUP(Settings!$B$12,Managers!$B$4:$B$15,Managers!$H$4:$H$15),$AH356))))</f>
        <v>1</v>
      </c>
      <c r="AJ356" s="12" t="str">
        <f t="shared" si="3"/>
        <v>Budget Drainer</v>
      </c>
      <c r="AK356" s="12">
        <f t="shared" si="4"/>
        <v>28</v>
      </c>
      <c r="AL356" s="12" t="str">
        <f t="shared" si="5"/>
        <v/>
      </c>
    </row>
    <row r="357" ht="15.75" customHeight="1">
      <c r="A357" s="10" t="s">
        <v>437</v>
      </c>
      <c r="B357" s="10" t="s">
        <v>438</v>
      </c>
      <c r="C357" s="10" t="s">
        <v>188</v>
      </c>
      <c r="D357" s="10" t="s">
        <v>123</v>
      </c>
      <c r="E357" s="10" t="s">
        <v>123</v>
      </c>
      <c r="F357" s="10" t="s">
        <v>117</v>
      </c>
      <c r="G357" s="10">
        <v>5.0</v>
      </c>
      <c r="H357" s="10">
        <v>7.0</v>
      </c>
      <c r="I357" s="10" t="s">
        <v>2140</v>
      </c>
      <c r="J357" s="10" t="s">
        <v>2136</v>
      </c>
      <c r="K357" s="10"/>
      <c r="L357" s="10">
        <v>60.5</v>
      </c>
      <c r="M357" s="10">
        <v>3.78</v>
      </c>
      <c r="N357" s="10"/>
      <c r="O357" s="10"/>
      <c r="P357" s="12">
        <f>IF($A357="","",IFERROR((IF($O357="",0,$O357)*Settings!$J$4+IF($L357="",0,$L357)*Settings!$J$5+IF($N357="",0,$N357)*Settings!$J$6)/(IF($O357="",0,Settings!$J$4)+IF($L357="",0,Settings!$J$5)+IF($N357="",0,Settings!$J$6)),0))</f>
        <v>60.5</v>
      </c>
      <c r="Q357" s="12">
        <f t="array" ref="Q357">IF($A357="","",XLOOKUP($E357,Settings!$A$19:$A$22,Settings!$G$19:$G$22,0))</f>
        <v>203</v>
      </c>
      <c r="R357" s="12">
        <f t="shared" si="1"/>
        <v>0</v>
      </c>
      <c r="S357" s="12">
        <f>IF($A357="","",IF($R357&lt;=0,1,1+$R357/SUMIF($R$4:$R$923,"&gt;0",$R$4:$R$923)*(Settings!$B$5*(Settings!$B$6-Settings!$B$7))))</f>
        <v>1</v>
      </c>
      <c r="T357" s="12">
        <f t="array" ref="T357">IF($A357="","",XLOOKUP($F357,Settings!$I$15:$I$20,Settings!$J$15:$J$20,1))</f>
        <v>0.75</v>
      </c>
      <c r="U357" s="12">
        <f>IF($A357="","",1+(($G357-5)/5)*Settings!$J$8)</f>
        <v>1</v>
      </c>
      <c r="V357" s="12">
        <f>IF($A357="","",1+(($H357-5)/5)*Settings!$J$9)</f>
        <v>1.06</v>
      </c>
      <c r="W357" s="12">
        <f t="array" ref="W357">IF($A357="","",XLOOKUP($J357,Lists!$C$3:$C$7,Lists!$D$3:$D$7,1))</f>
        <v>1</v>
      </c>
      <c r="X357" s="12">
        <f>IF($A357="","",IF($I357="Yes",Settings!$J$10,1))</f>
        <v>1</v>
      </c>
      <c r="Y357" s="12">
        <f t="shared" si="2"/>
        <v>1</v>
      </c>
      <c r="Z357" s="12">
        <f>IF($A357="","",IFERROR(ROUND(AVERAGEIFS('Historical Drafts'!$G$4:$G$300,'Historical Drafts'!$D$4:$D$300,$E357,'Historical Drafts'!$J$4:$J$300,"&gt;="&amp;$L357*0.85,'Historical Drafts'!$J$4:$J$300,"&lt;="&amp;$L357*1.15),0),$Y357))</f>
        <v>25</v>
      </c>
      <c r="AA357" s="12" t="str">
        <f>IF($A357="","",IF(COUNTIF('Auction Log'!$B$3:$B$300,$A357)&gt;0,"Sold","Available"))</f>
        <v>Available</v>
      </c>
      <c r="AB357" s="12" t="str">
        <f t="array" ref="AB357">IF($A357="","",IFERROR(XLOOKUP($A357,'Auction Log'!$B$3:$B$300,'Auction Log'!$G$3:$G$300,""),""))</f>
        <v/>
      </c>
      <c r="AC357" s="12" t="str">
        <f t="array" ref="AC357">IF($A357="","",IFERROR(XLOOKUP($A357,'Auction Log'!$B$3:$B$300,'Auction Log'!$F$3:$F$300,""),""))</f>
        <v/>
      </c>
      <c r="AD357" s="12">
        <f t="array" ref="AD357">IF($A357="","",ROUND($Y357*XLOOKUP($F357,Settings!$I$15:$I$20,Settings!$K$15:$K$20,0.4),0))</f>
        <v>0</v>
      </c>
      <c r="AE357" s="12">
        <f t="array" ref="AE357">IF($A357="","",ROUND($Y357*XLOOKUP($F357,Settings!$I$15:$I$20,Settings!$L$15:$L$20,0.8),0))</f>
        <v>1</v>
      </c>
      <c r="AF357" s="12">
        <f t="array" ref="AF357">IF($A357="","",ROUND($Y357*XLOOKUP($F357,Settings!$I$15:$I$20,Settings!$M$15:$M$20,1),0))</f>
        <v>1</v>
      </c>
      <c r="AG357" s="12">
        <f t="array" ref="AG357">IF($A357="","",ROUND($Y357*XLOOKUP($F357,Settings!$I$15:$I$20,Settings!$N$15:$N$20,1.1),0))</f>
        <v>1</v>
      </c>
      <c r="AH357" s="12">
        <f t="array" ref="AH357">IF($A357="","",ROUND($Y357*XLOOKUP($F357,Settings!$I$15:$I$20,Settings!$O$15:$O$20,1.1)*Settings!$J$7,0))</f>
        <v>1</v>
      </c>
      <c r="AI357" s="12">
        <f t="array" ref="AI357">IF($A357="","",IF($AA357="Sold","",MIN($AH357,IFERROR(XLOOKUP(Settings!$B$12,Managers!$B$4:$B$15,Managers!$H$4:$H$15),$AH357))))</f>
        <v>1</v>
      </c>
      <c r="AJ357" s="12" t="str">
        <f t="shared" si="3"/>
        <v>Budget Drainer</v>
      </c>
      <c r="AK357" s="12">
        <f t="shared" si="4"/>
        <v>50</v>
      </c>
      <c r="AL357" s="12" t="str">
        <f t="shared" si="5"/>
        <v/>
      </c>
    </row>
    <row r="358" ht="15.75" customHeight="1">
      <c r="A358" s="10" t="s">
        <v>1004</v>
      </c>
      <c r="B358" s="10" t="s">
        <v>1005</v>
      </c>
      <c r="C358" s="10" t="s">
        <v>231</v>
      </c>
      <c r="D358" s="10" t="s">
        <v>121</v>
      </c>
      <c r="E358" s="10" t="s">
        <v>121</v>
      </c>
      <c r="F358" s="10" t="s">
        <v>117</v>
      </c>
      <c r="G358" s="10">
        <v>5.0</v>
      </c>
      <c r="H358" s="10">
        <v>7.0</v>
      </c>
      <c r="I358" s="10" t="s">
        <v>2140</v>
      </c>
      <c r="J358" s="10" t="s">
        <v>2136</v>
      </c>
      <c r="K358" s="10"/>
      <c r="L358" s="10">
        <v>60.5</v>
      </c>
      <c r="M358" s="10">
        <v>3.02</v>
      </c>
      <c r="N358" s="10"/>
      <c r="O358" s="10"/>
      <c r="P358" s="12">
        <f>IF($A358="","",IFERROR((IF($O358="",0,$O358)*Settings!$J$4+IF($L358="",0,$L358)*Settings!$J$5+IF($N358="",0,$N358)*Settings!$J$6)/(IF($O358="",0,Settings!$J$4)+IF($L358="",0,Settings!$J$5)+IF($N358="",0,Settings!$J$6)),0))</f>
        <v>60.5</v>
      </c>
      <c r="Q358" s="12">
        <f t="array" ref="Q358">IF($A358="","",XLOOKUP($E358,Settings!$A$19:$A$22,Settings!$G$19:$G$22,0))</f>
        <v>206</v>
      </c>
      <c r="R358" s="12">
        <f t="shared" si="1"/>
        <v>0</v>
      </c>
      <c r="S358" s="12">
        <f>IF($A358="","",IF($R358&lt;=0,1,1+$R358/SUMIF($R$4:$R$923,"&gt;0",$R$4:$R$923)*(Settings!$B$5*(Settings!$B$6-Settings!$B$7))))</f>
        <v>1</v>
      </c>
      <c r="T358" s="12">
        <f t="array" ref="T358">IF($A358="","",XLOOKUP($F358,Settings!$I$15:$I$20,Settings!$J$15:$J$20,1))</f>
        <v>0.75</v>
      </c>
      <c r="U358" s="12">
        <f>IF($A358="","",1+(($G358-5)/5)*Settings!$J$8)</f>
        <v>1</v>
      </c>
      <c r="V358" s="12">
        <f>IF($A358="","",1+(($H358-5)/5)*Settings!$J$9)</f>
        <v>1.06</v>
      </c>
      <c r="W358" s="12">
        <f t="array" ref="W358">IF($A358="","",XLOOKUP($J358,Lists!$C$3:$C$7,Lists!$D$3:$D$7,1))</f>
        <v>1</v>
      </c>
      <c r="X358" s="12">
        <f>IF($A358="","",IF($I358="Yes",Settings!$J$10,1))</f>
        <v>1</v>
      </c>
      <c r="Y358" s="12">
        <f t="shared" si="2"/>
        <v>1</v>
      </c>
      <c r="Z358" s="12">
        <f>IF($A358="","",IFERROR(ROUND(AVERAGEIFS('Historical Drafts'!$G$4:$G$300,'Historical Drafts'!$D$4:$D$300,$E358,'Historical Drafts'!$J$4:$J$300,"&gt;="&amp;$L358*0.85,'Historical Drafts'!$J$4:$J$300,"&lt;="&amp;$L358*1.15),0),$Y358))</f>
        <v>3</v>
      </c>
      <c r="AA358" s="12" t="str">
        <f>IF($A358="","",IF(COUNTIF('Auction Log'!$B$3:$B$300,$A358)&gt;0,"Sold","Available"))</f>
        <v>Available</v>
      </c>
      <c r="AB358" s="12" t="str">
        <f t="array" ref="AB358">IF($A358="","",IFERROR(XLOOKUP($A358,'Auction Log'!$B$3:$B$300,'Auction Log'!$G$3:$G$300,""),""))</f>
        <v/>
      </c>
      <c r="AC358" s="12" t="str">
        <f t="array" ref="AC358">IF($A358="","",IFERROR(XLOOKUP($A358,'Auction Log'!$B$3:$B$300,'Auction Log'!$F$3:$F$300,""),""))</f>
        <v/>
      </c>
      <c r="AD358" s="12">
        <f t="array" ref="AD358">IF($A358="","",ROUND($Y358*XLOOKUP($F358,Settings!$I$15:$I$20,Settings!$K$15:$K$20,0.4),0))</f>
        <v>0</v>
      </c>
      <c r="AE358" s="12">
        <f t="array" ref="AE358">IF($A358="","",ROUND($Y358*XLOOKUP($F358,Settings!$I$15:$I$20,Settings!$L$15:$L$20,0.8),0))</f>
        <v>1</v>
      </c>
      <c r="AF358" s="12">
        <f t="array" ref="AF358">IF($A358="","",ROUND($Y358*XLOOKUP($F358,Settings!$I$15:$I$20,Settings!$M$15:$M$20,1),0))</f>
        <v>1</v>
      </c>
      <c r="AG358" s="12">
        <f t="array" ref="AG358">IF($A358="","",ROUND($Y358*XLOOKUP($F358,Settings!$I$15:$I$20,Settings!$N$15:$N$20,1.1),0))</f>
        <v>1</v>
      </c>
      <c r="AH358" s="12">
        <f t="array" ref="AH358">IF($A358="","",ROUND($Y358*XLOOKUP($F358,Settings!$I$15:$I$20,Settings!$O$15:$O$20,1.1)*Settings!$J$7,0))</f>
        <v>1</v>
      </c>
      <c r="AI358" s="12">
        <f t="array" ref="AI358">IF($A358="","",IF($AA358="Sold","",MIN($AH358,IFERROR(XLOOKUP(Settings!$B$12,Managers!$B$4:$B$15,Managers!$H$4:$H$15),$AH358))))</f>
        <v>1</v>
      </c>
      <c r="AJ358" s="12" t="str">
        <f t="shared" si="3"/>
        <v>Budget Drainer</v>
      </c>
      <c r="AK358" s="12">
        <f t="shared" si="4"/>
        <v>28</v>
      </c>
      <c r="AL358" s="12" t="str">
        <f t="shared" si="5"/>
        <v/>
      </c>
    </row>
    <row r="359" ht="15.75" customHeight="1">
      <c r="A359" s="10" t="s">
        <v>1006</v>
      </c>
      <c r="B359" s="10" t="s">
        <v>1007</v>
      </c>
      <c r="C359" s="10" t="s">
        <v>305</v>
      </c>
      <c r="D359" s="10" t="s">
        <v>121</v>
      </c>
      <c r="E359" s="10" t="s">
        <v>121</v>
      </c>
      <c r="F359" s="10" t="s">
        <v>117</v>
      </c>
      <c r="G359" s="10">
        <v>5.0</v>
      </c>
      <c r="H359" s="10">
        <v>7.0</v>
      </c>
      <c r="I359" s="10" t="s">
        <v>2140</v>
      </c>
      <c r="J359" s="10" t="s">
        <v>2136</v>
      </c>
      <c r="K359" s="10"/>
      <c r="L359" s="10">
        <v>60.0</v>
      </c>
      <c r="M359" s="10">
        <v>2.5</v>
      </c>
      <c r="N359" s="10"/>
      <c r="O359" s="10"/>
      <c r="P359" s="12">
        <f>IF($A359="","",IFERROR((IF($O359="",0,$O359)*Settings!$J$4+IF($L359="",0,$L359)*Settings!$J$5+IF($N359="",0,$N359)*Settings!$J$6)/(IF($O359="",0,Settings!$J$4)+IF($L359="",0,Settings!$J$5)+IF($N359="",0,Settings!$J$6)),0))</f>
        <v>60</v>
      </c>
      <c r="Q359" s="12">
        <f t="array" ref="Q359">IF($A359="","",XLOOKUP($E359,Settings!$A$19:$A$22,Settings!$G$19:$G$22,0))</f>
        <v>206</v>
      </c>
      <c r="R359" s="12">
        <f t="shared" si="1"/>
        <v>0</v>
      </c>
      <c r="S359" s="12">
        <f>IF($A359="","",IF($R359&lt;=0,1,1+$R359/SUMIF($R$4:$R$923,"&gt;0",$R$4:$R$923)*(Settings!$B$5*(Settings!$B$6-Settings!$B$7))))</f>
        <v>1</v>
      </c>
      <c r="T359" s="12">
        <f t="array" ref="T359">IF($A359="","",XLOOKUP($F359,Settings!$I$15:$I$20,Settings!$J$15:$J$20,1))</f>
        <v>0.75</v>
      </c>
      <c r="U359" s="12">
        <f>IF($A359="","",1+(($G359-5)/5)*Settings!$J$8)</f>
        <v>1</v>
      </c>
      <c r="V359" s="12">
        <f>IF($A359="","",1+(($H359-5)/5)*Settings!$J$9)</f>
        <v>1.06</v>
      </c>
      <c r="W359" s="12">
        <f t="array" ref="W359">IF($A359="","",XLOOKUP($J359,Lists!$C$3:$C$7,Lists!$D$3:$D$7,1))</f>
        <v>1</v>
      </c>
      <c r="X359" s="12">
        <f>IF($A359="","",IF($I359="Yes",Settings!$J$10,1))</f>
        <v>1</v>
      </c>
      <c r="Y359" s="12">
        <f t="shared" si="2"/>
        <v>1</v>
      </c>
      <c r="Z359" s="12">
        <f>IF($A359="","",IFERROR(ROUND(AVERAGEIFS('Historical Drafts'!$G$4:$G$300,'Historical Drafts'!$D$4:$D$300,$E359,'Historical Drafts'!$J$4:$J$300,"&gt;="&amp;$L359*0.85,'Historical Drafts'!$J$4:$J$300,"&lt;="&amp;$L359*1.15),0),$Y359))</f>
        <v>2</v>
      </c>
      <c r="AA359" s="12" t="str">
        <f>IF($A359="","",IF(COUNTIF('Auction Log'!$B$3:$B$300,$A359)&gt;0,"Sold","Available"))</f>
        <v>Available</v>
      </c>
      <c r="AB359" s="12" t="str">
        <f t="array" ref="AB359">IF($A359="","",IFERROR(XLOOKUP($A359,'Auction Log'!$B$3:$B$300,'Auction Log'!$G$3:$G$300,""),""))</f>
        <v/>
      </c>
      <c r="AC359" s="12" t="str">
        <f t="array" ref="AC359">IF($A359="","",IFERROR(XLOOKUP($A359,'Auction Log'!$B$3:$B$300,'Auction Log'!$F$3:$F$300,""),""))</f>
        <v/>
      </c>
      <c r="AD359" s="12">
        <f t="array" ref="AD359">IF($A359="","",ROUND($Y359*XLOOKUP($F359,Settings!$I$15:$I$20,Settings!$K$15:$K$20,0.4),0))</f>
        <v>0</v>
      </c>
      <c r="AE359" s="12">
        <f t="array" ref="AE359">IF($A359="","",ROUND($Y359*XLOOKUP($F359,Settings!$I$15:$I$20,Settings!$L$15:$L$20,0.8),0))</f>
        <v>1</v>
      </c>
      <c r="AF359" s="12">
        <f t="array" ref="AF359">IF($A359="","",ROUND($Y359*XLOOKUP($F359,Settings!$I$15:$I$20,Settings!$M$15:$M$20,1),0))</f>
        <v>1</v>
      </c>
      <c r="AG359" s="12">
        <f t="array" ref="AG359">IF($A359="","",ROUND($Y359*XLOOKUP($F359,Settings!$I$15:$I$20,Settings!$N$15:$N$20,1.1),0))</f>
        <v>1</v>
      </c>
      <c r="AH359" s="12">
        <f t="array" ref="AH359">IF($A359="","",ROUND($Y359*XLOOKUP($F359,Settings!$I$15:$I$20,Settings!$O$15:$O$20,1.1)*Settings!$J$7,0))</f>
        <v>1</v>
      </c>
      <c r="AI359" s="12">
        <f t="array" ref="AI359">IF($A359="","",IF($AA359="Sold","",MIN($AH359,IFERROR(XLOOKUP(Settings!$B$12,Managers!$B$4:$B$15,Managers!$H$4:$H$15),$AH359))))</f>
        <v>1</v>
      </c>
      <c r="AJ359" s="12" t="str">
        <f t="shared" si="3"/>
        <v>Budget Drainer</v>
      </c>
      <c r="AK359" s="12">
        <f t="shared" si="4"/>
        <v>27</v>
      </c>
      <c r="AL359" s="12" t="str">
        <f t="shared" si="5"/>
        <v/>
      </c>
    </row>
    <row r="360" ht="15.75" customHeight="1">
      <c r="A360" s="10" t="s">
        <v>1008</v>
      </c>
      <c r="B360" s="10" t="s">
        <v>1009</v>
      </c>
      <c r="C360" s="10" t="s">
        <v>191</v>
      </c>
      <c r="D360" s="10" t="s">
        <v>123</v>
      </c>
      <c r="E360" s="10" t="s">
        <v>123</v>
      </c>
      <c r="F360" s="10" t="s">
        <v>117</v>
      </c>
      <c r="G360" s="10">
        <v>5.0</v>
      </c>
      <c r="H360" s="10">
        <v>7.0</v>
      </c>
      <c r="I360" s="10" t="s">
        <v>2140</v>
      </c>
      <c r="J360" s="10" t="s">
        <v>2136</v>
      </c>
      <c r="K360" s="10"/>
      <c r="L360" s="10">
        <v>60.0</v>
      </c>
      <c r="M360" s="10">
        <v>4.29</v>
      </c>
      <c r="N360" s="10"/>
      <c r="O360" s="10"/>
      <c r="P360" s="12">
        <f>IF($A360="","",IFERROR((IF($O360="",0,$O360)*Settings!$J$4+IF($L360="",0,$L360)*Settings!$J$5+IF($N360="",0,$N360)*Settings!$J$6)/(IF($O360="",0,Settings!$J$4)+IF($L360="",0,Settings!$J$5)+IF($N360="",0,Settings!$J$6)),0))</f>
        <v>60</v>
      </c>
      <c r="Q360" s="12">
        <f t="array" ref="Q360">IF($A360="","",XLOOKUP($E360,Settings!$A$19:$A$22,Settings!$G$19:$G$22,0))</f>
        <v>203</v>
      </c>
      <c r="R360" s="12">
        <f t="shared" si="1"/>
        <v>0</v>
      </c>
      <c r="S360" s="12">
        <f>IF($A360="","",IF($R360&lt;=0,1,1+$R360/SUMIF($R$4:$R$923,"&gt;0",$R$4:$R$923)*(Settings!$B$5*(Settings!$B$6-Settings!$B$7))))</f>
        <v>1</v>
      </c>
      <c r="T360" s="12">
        <f t="array" ref="T360">IF($A360="","",XLOOKUP($F360,Settings!$I$15:$I$20,Settings!$J$15:$J$20,1))</f>
        <v>0.75</v>
      </c>
      <c r="U360" s="12">
        <f>IF($A360="","",1+(($G360-5)/5)*Settings!$J$8)</f>
        <v>1</v>
      </c>
      <c r="V360" s="12">
        <f>IF($A360="","",1+(($H360-5)/5)*Settings!$J$9)</f>
        <v>1.06</v>
      </c>
      <c r="W360" s="12">
        <f t="array" ref="W360">IF($A360="","",XLOOKUP($J360,Lists!$C$3:$C$7,Lists!$D$3:$D$7,1))</f>
        <v>1</v>
      </c>
      <c r="X360" s="12">
        <f>IF($A360="","",IF($I360="Yes",Settings!$J$10,1))</f>
        <v>1</v>
      </c>
      <c r="Y360" s="12">
        <f t="shared" si="2"/>
        <v>1</v>
      </c>
      <c r="Z360" s="12">
        <f>IF($A360="","",IFERROR(ROUND(AVERAGEIFS('Historical Drafts'!$G$4:$G$300,'Historical Drafts'!$D$4:$D$300,$E360,'Historical Drafts'!$J$4:$J$300,"&gt;="&amp;$L360*0.85,'Historical Drafts'!$J$4:$J$300,"&lt;="&amp;$L360*1.15),0),$Y360))</f>
        <v>25</v>
      </c>
      <c r="AA360" s="12" t="str">
        <f>IF($A360="","",IF(COUNTIF('Auction Log'!$B$3:$B$300,$A360)&gt;0,"Sold","Available"))</f>
        <v>Available</v>
      </c>
      <c r="AB360" s="12" t="str">
        <f t="array" ref="AB360">IF($A360="","",IFERROR(XLOOKUP($A360,'Auction Log'!$B$3:$B$300,'Auction Log'!$G$3:$G$300,""),""))</f>
        <v/>
      </c>
      <c r="AC360" s="12" t="str">
        <f t="array" ref="AC360">IF($A360="","",IFERROR(XLOOKUP($A360,'Auction Log'!$B$3:$B$300,'Auction Log'!$F$3:$F$300,""),""))</f>
        <v/>
      </c>
      <c r="AD360" s="12">
        <f t="array" ref="AD360">IF($A360="","",ROUND($Y360*XLOOKUP($F360,Settings!$I$15:$I$20,Settings!$K$15:$K$20,0.4),0))</f>
        <v>0</v>
      </c>
      <c r="AE360" s="12">
        <f t="array" ref="AE360">IF($A360="","",ROUND($Y360*XLOOKUP($F360,Settings!$I$15:$I$20,Settings!$L$15:$L$20,0.8),0))</f>
        <v>1</v>
      </c>
      <c r="AF360" s="12">
        <f t="array" ref="AF360">IF($A360="","",ROUND($Y360*XLOOKUP($F360,Settings!$I$15:$I$20,Settings!$M$15:$M$20,1),0))</f>
        <v>1</v>
      </c>
      <c r="AG360" s="12">
        <f t="array" ref="AG360">IF($A360="","",ROUND($Y360*XLOOKUP($F360,Settings!$I$15:$I$20,Settings!$N$15:$N$20,1.1),0))</f>
        <v>1</v>
      </c>
      <c r="AH360" s="12">
        <f t="array" ref="AH360">IF($A360="","",ROUND($Y360*XLOOKUP($F360,Settings!$I$15:$I$20,Settings!$O$15:$O$20,1.1)*Settings!$J$7,0))</f>
        <v>1</v>
      </c>
      <c r="AI360" s="12">
        <f t="array" ref="AI360">IF($A360="","",IF($AA360="Sold","",MIN($AH360,IFERROR(XLOOKUP(Settings!$B$12,Managers!$B$4:$B$15,Managers!$H$4:$H$15),$AH360))))</f>
        <v>1</v>
      </c>
      <c r="AJ360" s="12" t="str">
        <f t="shared" si="3"/>
        <v>Budget Drainer</v>
      </c>
      <c r="AK360" s="12">
        <f t="shared" si="4"/>
        <v>50</v>
      </c>
      <c r="AL360" s="12" t="str">
        <f t="shared" si="5"/>
        <v/>
      </c>
    </row>
    <row r="361" ht="15.75" customHeight="1">
      <c r="A361" s="10" t="s">
        <v>1010</v>
      </c>
      <c r="B361" s="10" t="s">
        <v>1011</v>
      </c>
      <c r="C361" s="10" t="s">
        <v>180</v>
      </c>
      <c r="D361" s="10" t="s">
        <v>118</v>
      </c>
      <c r="E361" s="10" t="s">
        <v>118</v>
      </c>
      <c r="F361" s="10" t="s">
        <v>117</v>
      </c>
      <c r="G361" s="10">
        <v>5.0</v>
      </c>
      <c r="H361" s="10">
        <v>7.0</v>
      </c>
      <c r="I361" s="10" t="s">
        <v>2140</v>
      </c>
      <c r="J361" s="10" t="s">
        <v>2136</v>
      </c>
      <c r="K361" s="10"/>
      <c r="L361" s="10">
        <v>59.5</v>
      </c>
      <c r="M361" s="10">
        <v>3.31</v>
      </c>
      <c r="N361" s="10"/>
      <c r="O361" s="10"/>
      <c r="P361" s="12">
        <f>IF($A361="","",IFERROR((IF($O361="",0,$O361)*Settings!$J$4+IF($L361="",0,$L361)*Settings!$J$5+IF($N361="",0,$N361)*Settings!$J$6)/(IF($O361="",0,Settings!$J$4)+IF($L361="",0,Settings!$J$5)+IF($N361="",0,Settings!$J$6)),0))</f>
        <v>59.5</v>
      </c>
      <c r="Q361" s="12">
        <f t="array" ref="Q361">IF($A361="","",XLOOKUP($E361,Settings!$A$19:$A$22,Settings!$G$19:$G$22,0))</f>
        <v>196.25</v>
      </c>
      <c r="R361" s="12">
        <f t="shared" si="1"/>
        <v>0</v>
      </c>
      <c r="S361" s="12">
        <f>IF($A361="","",IF($R361&lt;=0,1,1+$R361/SUMIF($R$4:$R$923,"&gt;0",$R$4:$R$923)*(Settings!$B$5*(Settings!$B$6-Settings!$B$7))))</f>
        <v>1</v>
      </c>
      <c r="T361" s="12">
        <f t="array" ref="T361">IF($A361="","",XLOOKUP($F361,Settings!$I$15:$I$20,Settings!$J$15:$J$20,1))</f>
        <v>0.75</v>
      </c>
      <c r="U361" s="12">
        <f>IF($A361="","",1+(($G361-5)/5)*Settings!$J$8)</f>
        <v>1</v>
      </c>
      <c r="V361" s="12">
        <f>IF($A361="","",1+(($H361-5)/5)*Settings!$J$9)</f>
        <v>1.06</v>
      </c>
      <c r="W361" s="12">
        <f t="array" ref="W361">IF($A361="","",XLOOKUP($J361,Lists!$C$3:$C$7,Lists!$D$3:$D$7,1))</f>
        <v>1</v>
      </c>
      <c r="X361" s="12">
        <f>IF($A361="","",IF($I361="Yes",Settings!$J$10,1))</f>
        <v>1</v>
      </c>
      <c r="Y361" s="12">
        <f t="shared" si="2"/>
        <v>1</v>
      </c>
      <c r="Z361" s="12">
        <f>IF($A361="","",IFERROR(ROUND(AVERAGEIFS('Historical Drafts'!$G$4:$G$300,'Historical Drafts'!$D$4:$D$300,$E361,'Historical Drafts'!$J$4:$J$300,"&gt;="&amp;$L361*0.85,'Historical Drafts'!$J$4:$J$300,"&lt;="&amp;$L361*1.15),0),$Y361))</f>
        <v>1</v>
      </c>
      <c r="AA361" s="12" t="str">
        <f>IF($A361="","",IF(COUNTIF('Auction Log'!$B$3:$B$300,$A361)&gt;0,"Sold","Available"))</f>
        <v>Available</v>
      </c>
      <c r="AB361" s="12" t="str">
        <f t="array" ref="AB361">IF($A361="","",IFERROR(XLOOKUP($A361,'Auction Log'!$B$3:$B$300,'Auction Log'!$G$3:$G$300,""),""))</f>
        <v/>
      </c>
      <c r="AC361" s="12" t="str">
        <f t="array" ref="AC361">IF($A361="","",IFERROR(XLOOKUP($A361,'Auction Log'!$B$3:$B$300,'Auction Log'!$F$3:$F$300,""),""))</f>
        <v/>
      </c>
      <c r="AD361" s="12">
        <f t="array" ref="AD361">IF($A361="","",ROUND($Y361*XLOOKUP($F361,Settings!$I$15:$I$20,Settings!$K$15:$K$20,0.4),0))</f>
        <v>0</v>
      </c>
      <c r="AE361" s="12">
        <f t="array" ref="AE361">IF($A361="","",ROUND($Y361*XLOOKUP($F361,Settings!$I$15:$I$20,Settings!$L$15:$L$20,0.8),0))</f>
        <v>1</v>
      </c>
      <c r="AF361" s="12">
        <f t="array" ref="AF361">IF($A361="","",ROUND($Y361*XLOOKUP($F361,Settings!$I$15:$I$20,Settings!$M$15:$M$20,1),0))</f>
        <v>1</v>
      </c>
      <c r="AG361" s="12">
        <f t="array" ref="AG361">IF($A361="","",ROUND($Y361*XLOOKUP($F361,Settings!$I$15:$I$20,Settings!$N$15:$N$20,1.1),0))</f>
        <v>1</v>
      </c>
      <c r="AH361" s="12">
        <f t="array" ref="AH361">IF($A361="","",ROUND($Y361*XLOOKUP($F361,Settings!$I$15:$I$20,Settings!$O$15:$O$20,1.1)*Settings!$J$7,0))</f>
        <v>1</v>
      </c>
      <c r="AI361" s="12">
        <f t="array" ref="AI361">IF($A361="","",IF($AA361="Sold","",MIN($AH361,IFERROR(XLOOKUP(Settings!$B$12,Managers!$B$4:$B$15,Managers!$H$4:$H$15),$AH361))))</f>
        <v>1</v>
      </c>
      <c r="AJ361" s="12" t="str">
        <f t="shared" si="3"/>
        <v>Recommended</v>
      </c>
      <c r="AK361" s="12">
        <f t="shared" si="4"/>
        <v>26</v>
      </c>
      <c r="AL361" s="12" t="str">
        <f t="shared" si="5"/>
        <v/>
      </c>
    </row>
    <row r="362" ht="15.75" customHeight="1">
      <c r="A362" s="10" t="s">
        <v>1012</v>
      </c>
      <c r="B362" s="10" t="s">
        <v>1013</v>
      </c>
      <c r="C362" s="10" t="s">
        <v>257</v>
      </c>
      <c r="D362" s="10" t="s">
        <v>121</v>
      </c>
      <c r="E362" s="10" t="s">
        <v>121</v>
      </c>
      <c r="F362" s="10" t="s">
        <v>117</v>
      </c>
      <c r="G362" s="10">
        <v>5.0</v>
      </c>
      <c r="H362" s="10">
        <v>7.0</v>
      </c>
      <c r="I362" s="10" t="s">
        <v>2140</v>
      </c>
      <c r="J362" s="10" t="s">
        <v>2136</v>
      </c>
      <c r="K362" s="10"/>
      <c r="L362" s="10">
        <v>59.5</v>
      </c>
      <c r="M362" s="10">
        <v>3.72</v>
      </c>
      <c r="N362" s="10"/>
      <c r="O362" s="10"/>
      <c r="P362" s="12">
        <f>IF($A362="","",IFERROR((IF($O362="",0,$O362)*Settings!$J$4+IF($L362="",0,$L362)*Settings!$J$5+IF($N362="",0,$N362)*Settings!$J$6)/(IF($O362="",0,Settings!$J$4)+IF($L362="",0,Settings!$J$5)+IF($N362="",0,Settings!$J$6)),0))</f>
        <v>59.5</v>
      </c>
      <c r="Q362" s="12">
        <f t="array" ref="Q362">IF($A362="","",XLOOKUP($E362,Settings!$A$19:$A$22,Settings!$G$19:$G$22,0))</f>
        <v>206</v>
      </c>
      <c r="R362" s="12">
        <f t="shared" si="1"/>
        <v>0</v>
      </c>
      <c r="S362" s="12">
        <f>IF($A362="","",IF($R362&lt;=0,1,1+$R362/SUMIF($R$4:$R$923,"&gt;0",$R$4:$R$923)*(Settings!$B$5*(Settings!$B$6-Settings!$B$7))))</f>
        <v>1</v>
      </c>
      <c r="T362" s="12">
        <f t="array" ref="T362">IF($A362="","",XLOOKUP($F362,Settings!$I$15:$I$20,Settings!$J$15:$J$20,1))</f>
        <v>0.75</v>
      </c>
      <c r="U362" s="12">
        <f>IF($A362="","",1+(($G362-5)/5)*Settings!$J$8)</f>
        <v>1</v>
      </c>
      <c r="V362" s="12">
        <f>IF($A362="","",1+(($H362-5)/5)*Settings!$J$9)</f>
        <v>1.06</v>
      </c>
      <c r="W362" s="12">
        <f t="array" ref="W362">IF($A362="","",XLOOKUP($J362,Lists!$C$3:$C$7,Lists!$D$3:$D$7,1))</f>
        <v>1</v>
      </c>
      <c r="X362" s="12">
        <f>IF($A362="","",IF($I362="Yes",Settings!$J$10,1))</f>
        <v>1</v>
      </c>
      <c r="Y362" s="12">
        <f t="shared" si="2"/>
        <v>1</v>
      </c>
      <c r="Z362" s="12">
        <f>IF($A362="","",IFERROR(ROUND(AVERAGEIFS('Historical Drafts'!$G$4:$G$300,'Historical Drafts'!$D$4:$D$300,$E362,'Historical Drafts'!$J$4:$J$300,"&gt;="&amp;$L362*0.85,'Historical Drafts'!$J$4:$J$300,"&lt;="&amp;$L362*1.15),0),$Y362))</f>
        <v>2</v>
      </c>
      <c r="AA362" s="12" t="str">
        <f>IF($A362="","",IF(COUNTIF('Auction Log'!$B$3:$B$300,$A362)&gt;0,"Sold","Available"))</f>
        <v>Available</v>
      </c>
      <c r="AB362" s="12" t="str">
        <f t="array" ref="AB362">IF($A362="","",IFERROR(XLOOKUP($A362,'Auction Log'!$B$3:$B$300,'Auction Log'!$G$3:$G$300,""),""))</f>
        <v/>
      </c>
      <c r="AC362" s="12" t="str">
        <f t="array" ref="AC362">IF($A362="","",IFERROR(XLOOKUP($A362,'Auction Log'!$B$3:$B$300,'Auction Log'!$F$3:$F$300,""),""))</f>
        <v/>
      </c>
      <c r="AD362" s="12">
        <f t="array" ref="AD362">IF($A362="","",ROUND($Y362*XLOOKUP($F362,Settings!$I$15:$I$20,Settings!$K$15:$K$20,0.4),0))</f>
        <v>0</v>
      </c>
      <c r="AE362" s="12">
        <f t="array" ref="AE362">IF($A362="","",ROUND($Y362*XLOOKUP($F362,Settings!$I$15:$I$20,Settings!$L$15:$L$20,0.8),0))</f>
        <v>1</v>
      </c>
      <c r="AF362" s="12">
        <f t="array" ref="AF362">IF($A362="","",ROUND($Y362*XLOOKUP($F362,Settings!$I$15:$I$20,Settings!$M$15:$M$20,1),0))</f>
        <v>1</v>
      </c>
      <c r="AG362" s="12">
        <f t="array" ref="AG362">IF($A362="","",ROUND($Y362*XLOOKUP($F362,Settings!$I$15:$I$20,Settings!$N$15:$N$20,1.1),0))</f>
        <v>1</v>
      </c>
      <c r="AH362" s="12">
        <f t="array" ref="AH362">IF($A362="","",ROUND($Y362*XLOOKUP($F362,Settings!$I$15:$I$20,Settings!$O$15:$O$20,1.1)*Settings!$J$7,0))</f>
        <v>1</v>
      </c>
      <c r="AI362" s="12">
        <f t="array" ref="AI362">IF($A362="","",IF($AA362="Sold","",MIN($AH362,IFERROR(XLOOKUP(Settings!$B$12,Managers!$B$4:$B$15,Managers!$H$4:$H$15),$AH362))))</f>
        <v>1</v>
      </c>
      <c r="AJ362" s="12" t="str">
        <f t="shared" si="3"/>
        <v>Budget Drainer</v>
      </c>
      <c r="AK362" s="12">
        <f t="shared" si="4"/>
        <v>27</v>
      </c>
      <c r="AL362" s="12" t="str">
        <f t="shared" si="5"/>
        <v/>
      </c>
    </row>
    <row r="363" ht="15.75" customHeight="1">
      <c r="A363" s="10" t="s">
        <v>1014</v>
      </c>
      <c r="B363" s="10" t="s">
        <v>1015</v>
      </c>
      <c r="C363" s="10" t="s">
        <v>566</v>
      </c>
      <c r="D363" s="10" t="s">
        <v>121</v>
      </c>
      <c r="E363" s="10" t="s">
        <v>121</v>
      </c>
      <c r="F363" s="10" t="s">
        <v>117</v>
      </c>
      <c r="G363" s="10">
        <v>5.0</v>
      </c>
      <c r="H363" s="10">
        <v>7.0</v>
      </c>
      <c r="I363" s="10" t="s">
        <v>2140</v>
      </c>
      <c r="J363" s="10" t="s">
        <v>2136</v>
      </c>
      <c r="K363" s="10"/>
      <c r="L363" s="10">
        <v>59.0</v>
      </c>
      <c r="M363" s="10">
        <v>1.79</v>
      </c>
      <c r="N363" s="10"/>
      <c r="O363" s="10"/>
      <c r="P363" s="12">
        <f>IF($A363="","",IFERROR((IF($O363="",0,$O363)*Settings!$J$4+IF($L363="",0,$L363)*Settings!$J$5+IF($N363="",0,$N363)*Settings!$J$6)/(IF($O363="",0,Settings!$J$4)+IF($L363="",0,Settings!$J$5)+IF($N363="",0,Settings!$J$6)),0))</f>
        <v>59</v>
      </c>
      <c r="Q363" s="12">
        <f t="array" ref="Q363">IF($A363="","",XLOOKUP($E363,Settings!$A$19:$A$22,Settings!$G$19:$G$22,0))</f>
        <v>206</v>
      </c>
      <c r="R363" s="12">
        <f t="shared" si="1"/>
        <v>0</v>
      </c>
      <c r="S363" s="12">
        <f>IF($A363="","",IF($R363&lt;=0,1,1+$R363/SUMIF($R$4:$R$923,"&gt;0",$R$4:$R$923)*(Settings!$B$5*(Settings!$B$6-Settings!$B$7))))</f>
        <v>1</v>
      </c>
      <c r="T363" s="12">
        <f t="array" ref="T363">IF($A363="","",XLOOKUP($F363,Settings!$I$15:$I$20,Settings!$J$15:$J$20,1))</f>
        <v>0.75</v>
      </c>
      <c r="U363" s="12">
        <f>IF($A363="","",1+(($G363-5)/5)*Settings!$J$8)</f>
        <v>1</v>
      </c>
      <c r="V363" s="12">
        <f>IF($A363="","",1+(($H363-5)/5)*Settings!$J$9)</f>
        <v>1.06</v>
      </c>
      <c r="W363" s="12">
        <f t="array" ref="W363">IF($A363="","",XLOOKUP($J363,Lists!$C$3:$C$7,Lists!$D$3:$D$7,1))</f>
        <v>1</v>
      </c>
      <c r="X363" s="12">
        <f>IF($A363="","",IF($I363="Yes",Settings!$J$10,1))</f>
        <v>1</v>
      </c>
      <c r="Y363" s="12">
        <f t="shared" si="2"/>
        <v>1</v>
      </c>
      <c r="Z363" s="12">
        <f>IF($A363="","",IFERROR(ROUND(AVERAGEIFS('Historical Drafts'!$G$4:$G$300,'Historical Drafts'!$D$4:$D$300,$E363,'Historical Drafts'!$J$4:$J$300,"&gt;="&amp;$L363*0.85,'Historical Drafts'!$J$4:$J$300,"&lt;="&amp;$L363*1.15),0),$Y363))</f>
        <v>2</v>
      </c>
      <c r="AA363" s="12" t="str">
        <f>IF($A363="","",IF(COUNTIF('Auction Log'!$B$3:$B$300,$A363)&gt;0,"Sold","Available"))</f>
        <v>Available</v>
      </c>
      <c r="AB363" s="12" t="str">
        <f t="array" ref="AB363">IF($A363="","",IFERROR(XLOOKUP($A363,'Auction Log'!$B$3:$B$300,'Auction Log'!$G$3:$G$300,""),""))</f>
        <v/>
      </c>
      <c r="AC363" s="12" t="str">
        <f t="array" ref="AC363">IF($A363="","",IFERROR(XLOOKUP($A363,'Auction Log'!$B$3:$B$300,'Auction Log'!$F$3:$F$300,""),""))</f>
        <v/>
      </c>
      <c r="AD363" s="12">
        <f t="array" ref="AD363">IF($A363="","",ROUND($Y363*XLOOKUP($F363,Settings!$I$15:$I$20,Settings!$K$15:$K$20,0.4),0))</f>
        <v>0</v>
      </c>
      <c r="AE363" s="12">
        <f t="array" ref="AE363">IF($A363="","",ROUND($Y363*XLOOKUP($F363,Settings!$I$15:$I$20,Settings!$L$15:$L$20,0.8),0))</f>
        <v>1</v>
      </c>
      <c r="AF363" s="12">
        <f t="array" ref="AF363">IF($A363="","",ROUND($Y363*XLOOKUP($F363,Settings!$I$15:$I$20,Settings!$M$15:$M$20,1),0))</f>
        <v>1</v>
      </c>
      <c r="AG363" s="12">
        <f t="array" ref="AG363">IF($A363="","",ROUND($Y363*XLOOKUP($F363,Settings!$I$15:$I$20,Settings!$N$15:$N$20,1.1),0))</f>
        <v>1</v>
      </c>
      <c r="AH363" s="12">
        <f t="array" ref="AH363">IF($A363="","",ROUND($Y363*XLOOKUP($F363,Settings!$I$15:$I$20,Settings!$O$15:$O$20,1.1)*Settings!$J$7,0))</f>
        <v>1</v>
      </c>
      <c r="AI363" s="12">
        <f t="array" ref="AI363">IF($A363="","",IF($AA363="Sold","",MIN($AH363,IFERROR(XLOOKUP(Settings!$B$12,Managers!$B$4:$B$15,Managers!$H$4:$H$15),$AH363))))</f>
        <v>1</v>
      </c>
      <c r="AJ363" s="12" t="str">
        <f t="shared" si="3"/>
        <v>Budget Drainer</v>
      </c>
      <c r="AK363" s="12">
        <f t="shared" si="4"/>
        <v>27</v>
      </c>
      <c r="AL363" s="12" t="str">
        <f t="shared" si="5"/>
        <v/>
      </c>
    </row>
    <row r="364" ht="15.75" customHeight="1">
      <c r="A364" s="10" t="s">
        <v>431</v>
      </c>
      <c r="B364" s="10" t="s">
        <v>432</v>
      </c>
      <c r="C364" s="10" t="s">
        <v>257</v>
      </c>
      <c r="D364" s="10" t="s">
        <v>121</v>
      </c>
      <c r="E364" s="10" t="s">
        <v>121</v>
      </c>
      <c r="F364" s="10" t="s">
        <v>117</v>
      </c>
      <c r="G364" s="10">
        <v>5.0</v>
      </c>
      <c r="H364" s="10">
        <v>7.0</v>
      </c>
      <c r="I364" s="10" t="s">
        <v>2140</v>
      </c>
      <c r="J364" s="10" t="s">
        <v>2136</v>
      </c>
      <c r="K364" s="10"/>
      <c r="L364" s="10">
        <v>58.0</v>
      </c>
      <c r="M364" s="10">
        <v>2.9</v>
      </c>
      <c r="N364" s="10"/>
      <c r="O364" s="10"/>
      <c r="P364" s="12">
        <f>IF($A364="","",IFERROR((IF($O364="",0,$O364)*Settings!$J$4+IF($L364="",0,$L364)*Settings!$J$5+IF($N364="",0,$N364)*Settings!$J$6)/(IF($O364="",0,Settings!$J$4)+IF($L364="",0,Settings!$J$5)+IF($N364="",0,Settings!$J$6)),0))</f>
        <v>58</v>
      </c>
      <c r="Q364" s="12">
        <f t="array" ref="Q364">IF($A364="","",XLOOKUP($E364,Settings!$A$19:$A$22,Settings!$G$19:$G$22,0))</f>
        <v>206</v>
      </c>
      <c r="R364" s="12">
        <f t="shared" si="1"/>
        <v>0</v>
      </c>
      <c r="S364" s="12">
        <f>IF($A364="","",IF($R364&lt;=0,1,1+$R364/SUMIF($R$4:$R$923,"&gt;0",$R$4:$R$923)*(Settings!$B$5*(Settings!$B$6-Settings!$B$7))))</f>
        <v>1</v>
      </c>
      <c r="T364" s="12">
        <f t="array" ref="T364">IF($A364="","",XLOOKUP($F364,Settings!$I$15:$I$20,Settings!$J$15:$J$20,1))</f>
        <v>0.75</v>
      </c>
      <c r="U364" s="12">
        <f>IF($A364="","",1+(($G364-5)/5)*Settings!$J$8)</f>
        <v>1</v>
      </c>
      <c r="V364" s="12">
        <f>IF($A364="","",1+(($H364-5)/5)*Settings!$J$9)</f>
        <v>1.06</v>
      </c>
      <c r="W364" s="12">
        <f t="array" ref="W364">IF($A364="","",XLOOKUP($J364,Lists!$C$3:$C$7,Lists!$D$3:$D$7,1))</f>
        <v>1</v>
      </c>
      <c r="X364" s="12">
        <f>IF($A364="","",IF($I364="Yes",Settings!$J$10,1))</f>
        <v>1</v>
      </c>
      <c r="Y364" s="12">
        <f t="shared" si="2"/>
        <v>1</v>
      </c>
      <c r="Z364" s="12">
        <f>IF($A364="","",IFERROR(ROUND(AVERAGEIFS('Historical Drafts'!$G$4:$G$300,'Historical Drafts'!$D$4:$D$300,$E364,'Historical Drafts'!$J$4:$J$300,"&gt;="&amp;$L364*0.85,'Historical Drafts'!$J$4:$J$300,"&lt;="&amp;$L364*1.15),0),$Y364))</f>
        <v>2</v>
      </c>
      <c r="AA364" s="12" t="str">
        <f>IF($A364="","",IF(COUNTIF('Auction Log'!$B$3:$B$300,$A364)&gt;0,"Sold","Available"))</f>
        <v>Available</v>
      </c>
      <c r="AB364" s="12" t="str">
        <f t="array" ref="AB364">IF($A364="","",IFERROR(XLOOKUP($A364,'Auction Log'!$B$3:$B$300,'Auction Log'!$G$3:$G$300,""),""))</f>
        <v/>
      </c>
      <c r="AC364" s="12" t="str">
        <f t="array" ref="AC364">IF($A364="","",IFERROR(XLOOKUP($A364,'Auction Log'!$B$3:$B$300,'Auction Log'!$F$3:$F$300,""),""))</f>
        <v/>
      </c>
      <c r="AD364" s="12">
        <f t="array" ref="AD364">IF($A364="","",ROUND($Y364*XLOOKUP($F364,Settings!$I$15:$I$20,Settings!$K$15:$K$20,0.4),0))</f>
        <v>0</v>
      </c>
      <c r="AE364" s="12">
        <f t="array" ref="AE364">IF($A364="","",ROUND($Y364*XLOOKUP($F364,Settings!$I$15:$I$20,Settings!$L$15:$L$20,0.8),0))</f>
        <v>1</v>
      </c>
      <c r="AF364" s="12">
        <f t="array" ref="AF364">IF($A364="","",ROUND($Y364*XLOOKUP($F364,Settings!$I$15:$I$20,Settings!$M$15:$M$20,1),0))</f>
        <v>1</v>
      </c>
      <c r="AG364" s="12">
        <f t="array" ref="AG364">IF($A364="","",ROUND($Y364*XLOOKUP($F364,Settings!$I$15:$I$20,Settings!$N$15:$N$20,1.1),0))</f>
        <v>1</v>
      </c>
      <c r="AH364" s="12">
        <f t="array" ref="AH364">IF($A364="","",ROUND($Y364*XLOOKUP($F364,Settings!$I$15:$I$20,Settings!$O$15:$O$20,1.1)*Settings!$J$7,0))</f>
        <v>1</v>
      </c>
      <c r="AI364" s="12">
        <f t="array" ref="AI364">IF($A364="","",IF($AA364="Sold","",MIN($AH364,IFERROR(XLOOKUP(Settings!$B$12,Managers!$B$4:$B$15,Managers!$H$4:$H$15),$AH364))))</f>
        <v>1</v>
      </c>
      <c r="AJ364" s="12" t="str">
        <f t="shared" si="3"/>
        <v>Budget Drainer</v>
      </c>
      <c r="AK364" s="12">
        <f t="shared" si="4"/>
        <v>27</v>
      </c>
      <c r="AL364" s="12" t="str">
        <f t="shared" si="5"/>
        <v/>
      </c>
    </row>
    <row r="365" ht="15.75" customHeight="1">
      <c r="A365" s="10" t="s">
        <v>1016</v>
      </c>
      <c r="B365" s="10" t="s">
        <v>1017</v>
      </c>
      <c r="C365" s="10" t="s">
        <v>236</v>
      </c>
      <c r="D365" s="10" t="s">
        <v>123</v>
      </c>
      <c r="E365" s="10" t="s">
        <v>123</v>
      </c>
      <c r="F365" s="10" t="s">
        <v>117</v>
      </c>
      <c r="G365" s="10">
        <v>5.0</v>
      </c>
      <c r="H365" s="10">
        <v>7.0</v>
      </c>
      <c r="I365" s="10" t="s">
        <v>2140</v>
      </c>
      <c r="J365" s="10" t="s">
        <v>2136</v>
      </c>
      <c r="K365" s="10"/>
      <c r="L365" s="10">
        <v>58.0</v>
      </c>
      <c r="M365" s="10">
        <v>4.14</v>
      </c>
      <c r="N365" s="10"/>
      <c r="O365" s="10"/>
      <c r="P365" s="12">
        <f>IF($A365="","",IFERROR((IF($O365="",0,$O365)*Settings!$J$4+IF($L365="",0,$L365)*Settings!$J$5+IF($N365="",0,$N365)*Settings!$J$6)/(IF($O365="",0,Settings!$J$4)+IF($L365="",0,Settings!$J$5)+IF($N365="",0,Settings!$J$6)),0))</f>
        <v>58</v>
      </c>
      <c r="Q365" s="12">
        <f t="array" ref="Q365">IF($A365="","",XLOOKUP($E365,Settings!$A$19:$A$22,Settings!$G$19:$G$22,0))</f>
        <v>203</v>
      </c>
      <c r="R365" s="12">
        <f t="shared" si="1"/>
        <v>0</v>
      </c>
      <c r="S365" s="12">
        <f>IF($A365="","",IF($R365&lt;=0,1,1+$R365/SUMIF($R$4:$R$923,"&gt;0",$R$4:$R$923)*(Settings!$B$5*(Settings!$B$6-Settings!$B$7))))</f>
        <v>1</v>
      </c>
      <c r="T365" s="12">
        <f t="array" ref="T365">IF($A365="","",XLOOKUP($F365,Settings!$I$15:$I$20,Settings!$J$15:$J$20,1))</f>
        <v>0.75</v>
      </c>
      <c r="U365" s="12">
        <f>IF($A365="","",1+(($G365-5)/5)*Settings!$J$8)</f>
        <v>1</v>
      </c>
      <c r="V365" s="12">
        <f>IF($A365="","",1+(($H365-5)/5)*Settings!$J$9)</f>
        <v>1.06</v>
      </c>
      <c r="W365" s="12">
        <f t="array" ref="W365">IF($A365="","",XLOOKUP($J365,Lists!$C$3:$C$7,Lists!$D$3:$D$7,1))</f>
        <v>1</v>
      </c>
      <c r="X365" s="12">
        <f>IF($A365="","",IF($I365="Yes",Settings!$J$10,1))</f>
        <v>1</v>
      </c>
      <c r="Y365" s="12">
        <f t="shared" si="2"/>
        <v>1</v>
      </c>
      <c r="Z365" s="12">
        <f>IF($A365="","",IFERROR(ROUND(AVERAGEIFS('Historical Drafts'!$G$4:$G$300,'Historical Drafts'!$D$4:$D$300,$E365,'Historical Drafts'!$J$4:$J$300,"&gt;="&amp;$L365*0.85,'Historical Drafts'!$J$4:$J$300,"&lt;="&amp;$L365*1.15),0),$Y365))</f>
        <v>25</v>
      </c>
      <c r="AA365" s="12" t="str">
        <f>IF($A365="","",IF(COUNTIF('Auction Log'!$B$3:$B$300,$A365)&gt;0,"Sold","Available"))</f>
        <v>Available</v>
      </c>
      <c r="AB365" s="12" t="str">
        <f t="array" ref="AB365">IF($A365="","",IFERROR(XLOOKUP($A365,'Auction Log'!$B$3:$B$300,'Auction Log'!$G$3:$G$300,""),""))</f>
        <v/>
      </c>
      <c r="AC365" s="12" t="str">
        <f t="array" ref="AC365">IF($A365="","",IFERROR(XLOOKUP($A365,'Auction Log'!$B$3:$B$300,'Auction Log'!$F$3:$F$300,""),""))</f>
        <v/>
      </c>
      <c r="AD365" s="12">
        <f t="array" ref="AD365">IF($A365="","",ROUND($Y365*XLOOKUP($F365,Settings!$I$15:$I$20,Settings!$K$15:$K$20,0.4),0))</f>
        <v>0</v>
      </c>
      <c r="AE365" s="12">
        <f t="array" ref="AE365">IF($A365="","",ROUND($Y365*XLOOKUP($F365,Settings!$I$15:$I$20,Settings!$L$15:$L$20,0.8),0))</f>
        <v>1</v>
      </c>
      <c r="AF365" s="12">
        <f t="array" ref="AF365">IF($A365="","",ROUND($Y365*XLOOKUP($F365,Settings!$I$15:$I$20,Settings!$M$15:$M$20,1),0))</f>
        <v>1</v>
      </c>
      <c r="AG365" s="12">
        <f t="array" ref="AG365">IF($A365="","",ROUND($Y365*XLOOKUP($F365,Settings!$I$15:$I$20,Settings!$N$15:$N$20,1.1),0))</f>
        <v>1</v>
      </c>
      <c r="AH365" s="12">
        <f t="array" ref="AH365">IF($A365="","",ROUND($Y365*XLOOKUP($F365,Settings!$I$15:$I$20,Settings!$O$15:$O$20,1.1)*Settings!$J$7,0))</f>
        <v>1</v>
      </c>
      <c r="AI365" s="12">
        <f t="array" ref="AI365">IF($A365="","",IF($AA365="Sold","",MIN($AH365,IFERROR(XLOOKUP(Settings!$B$12,Managers!$B$4:$B$15,Managers!$H$4:$H$15),$AH365))))</f>
        <v>1</v>
      </c>
      <c r="AJ365" s="12" t="str">
        <f t="shared" si="3"/>
        <v>Budget Drainer</v>
      </c>
      <c r="AK365" s="12">
        <f t="shared" si="4"/>
        <v>50</v>
      </c>
      <c r="AL365" s="12" t="str">
        <f t="shared" si="5"/>
        <v/>
      </c>
    </row>
    <row r="366" ht="15.75" customHeight="1">
      <c r="A366" s="10" t="s">
        <v>1018</v>
      </c>
      <c r="B366" s="10" t="s">
        <v>1019</v>
      </c>
      <c r="C366" s="10" t="s">
        <v>387</v>
      </c>
      <c r="D366" s="10" t="s">
        <v>115</v>
      </c>
      <c r="E366" s="10" t="s">
        <v>115</v>
      </c>
      <c r="F366" s="10" t="s">
        <v>117</v>
      </c>
      <c r="G366" s="10">
        <v>5.0</v>
      </c>
      <c r="H366" s="10">
        <v>7.0</v>
      </c>
      <c r="I366" s="10" t="s">
        <v>2140</v>
      </c>
      <c r="J366" s="10" t="s">
        <v>2136</v>
      </c>
      <c r="K366" s="10"/>
      <c r="L366" s="10">
        <v>58.0</v>
      </c>
      <c r="M366" s="10">
        <v>4.83</v>
      </c>
      <c r="N366" s="10"/>
      <c r="O366" s="10"/>
      <c r="P366" s="12">
        <f>IF($A366="","",IFERROR((IF($O366="",0,$O366)*Settings!$J$4+IF($L366="",0,$L366)*Settings!$J$5+IF($N366="",0,$N366)*Settings!$J$6)/(IF($O366="",0,Settings!$J$4)+IF($L366="",0,Settings!$J$5)+IF($N366="",0,Settings!$J$6)),0))</f>
        <v>58</v>
      </c>
      <c r="Q366" s="12">
        <f t="array" ref="Q366">IF($A366="","",XLOOKUP($E366,Settings!$A$19:$A$22,Settings!$G$19:$G$22,0))</f>
        <v>249.25</v>
      </c>
      <c r="R366" s="12">
        <f t="shared" si="1"/>
        <v>0</v>
      </c>
      <c r="S366" s="12">
        <f>IF($A366="","",IF($R366&lt;=0,1,1+$R366/SUMIF($R$4:$R$923,"&gt;0",$R$4:$R$923)*(Settings!$B$5*(Settings!$B$6-Settings!$B$7))))</f>
        <v>1</v>
      </c>
      <c r="T366" s="12">
        <f t="array" ref="T366">IF($A366="","",XLOOKUP($F366,Settings!$I$15:$I$20,Settings!$J$15:$J$20,1))</f>
        <v>0.75</v>
      </c>
      <c r="U366" s="12">
        <f>IF($A366="","",1+(($G366-5)/5)*Settings!$J$8)</f>
        <v>1</v>
      </c>
      <c r="V366" s="12">
        <f>IF($A366="","",1+(($H366-5)/5)*Settings!$J$9)</f>
        <v>1.06</v>
      </c>
      <c r="W366" s="12">
        <f t="array" ref="W366">IF($A366="","",XLOOKUP($J366,Lists!$C$3:$C$7,Lists!$D$3:$D$7,1))</f>
        <v>1</v>
      </c>
      <c r="X366" s="12">
        <f>IF($A366="","",IF($I366="Yes",Settings!$J$10,1))</f>
        <v>1</v>
      </c>
      <c r="Y366" s="12">
        <f t="shared" si="2"/>
        <v>1</v>
      </c>
      <c r="Z366" s="12">
        <f>IF($A366="","",IFERROR(ROUND(AVERAGEIFS('Historical Drafts'!$G$4:$G$300,'Historical Drafts'!$D$4:$D$300,$E366,'Historical Drafts'!$J$4:$J$300,"&gt;="&amp;$L366*0.85,'Historical Drafts'!$J$4:$J$300,"&lt;="&amp;$L366*1.15),0),$Y366))</f>
        <v>1</v>
      </c>
      <c r="AA366" s="12" t="str">
        <f>IF($A366="","",IF(COUNTIF('Auction Log'!$B$3:$B$300,$A366)&gt;0,"Sold","Available"))</f>
        <v>Available</v>
      </c>
      <c r="AB366" s="12" t="str">
        <f t="array" ref="AB366">IF($A366="","",IFERROR(XLOOKUP($A366,'Auction Log'!$B$3:$B$300,'Auction Log'!$G$3:$G$300,""),""))</f>
        <v/>
      </c>
      <c r="AC366" s="12" t="str">
        <f t="array" ref="AC366">IF($A366="","",IFERROR(XLOOKUP($A366,'Auction Log'!$B$3:$B$300,'Auction Log'!$F$3:$F$300,""),""))</f>
        <v/>
      </c>
      <c r="AD366" s="12">
        <f t="array" ref="AD366">IF($A366="","",ROUND($Y366*XLOOKUP($F366,Settings!$I$15:$I$20,Settings!$K$15:$K$20,0.4),0))</f>
        <v>0</v>
      </c>
      <c r="AE366" s="12">
        <f t="array" ref="AE366">IF($A366="","",ROUND($Y366*XLOOKUP($F366,Settings!$I$15:$I$20,Settings!$L$15:$L$20,0.8),0))</f>
        <v>1</v>
      </c>
      <c r="AF366" s="12">
        <f t="array" ref="AF366">IF($A366="","",ROUND($Y366*XLOOKUP($F366,Settings!$I$15:$I$20,Settings!$M$15:$M$20,1),0))</f>
        <v>1</v>
      </c>
      <c r="AG366" s="12">
        <f t="array" ref="AG366">IF($A366="","",ROUND($Y366*XLOOKUP($F366,Settings!$I$15:$I$20,Settings!$N$15:$N$20,1.1),0))</f>
        <v>1</v>
      </c>
      <c r="AH366" s="12">
        <f t="array" ref="AH366">IF($A366="","",ROUND($Y366*XLOOKUP($F366,Settings!$I$15:$I$20,Settings!$O$15:$O$20,1.1)*Settings!$J$7,0))</f>
        <v>1</v>
      </c>
      <c r="AI366" s="12">
        <f t="array" ref="AI366">IF($A366="","",IF($AA366="Sold","",MIN($AH366,IFERROR(XLOOKUP(Settings!$B$12,Managers!$B$4:$B$15,Managers!$H$4:$H$15),$AH366))))</f>
        <v>1</v>
      </c>
      <c r="AJ366" s="12" t="str">
        <f t="shared" si="3"/>
        <v>Recommended</v>
      </c>
      <c r="AK366" s="12">
        <f t="shared" si="4"/>
        <v>26</v>
      </c>
      <c r="AL366" s="12" t="str">
        <f t="shared" si="5"/>
        <v/>
      </c>
    </row>
    <row r="367" ht="15.75" customHeight="1">
      <c r="A367" s="10" t="s">
        <v>1020</v>
      </c>
      <c r="B367" s="10" t="s">
        <v>1021</v>
      </c>
      <c r="C367" s="10" t="s">
        <v>314</v>
      </c>
      <c r="D367" s="10" t="s">
        <v>123</v>
      </c>
      <c r="E367" s="10" t="s">
        <v>123</v>
      </c>
      <c r="F367" s="10" t="s">
        <v>117</v>
      </c>
      <c r="G367" s="10">
        <v>5.0</v>
      </c>
      <c r="H367" s="10">
        <v>7.0</v>
      </c>
      <c r="I367" s="10" t="s">
        <v>2140</v>
      </c>
      <c r="J367" s="10" t="s">
        <v>2136</v>
      </c>
      <c r="K367" s="10"/>
      <c r="L367" s="10">
        <v>56.0</v>
      </c>
      <c r="M367" s="10">
        <v>2.8</v>
      </c>
      <c r="N367" s="10"/>
      <c r="O367" s="10"/>
      <c r="P367" s="12">
        <f>IF($A367="","",IFERROR((IF($O367="",0,$O367)*Settings!$J$4+IF($L367="",0,$L367)*Settings!$J$5+IF($N367="",0,$N367)*Settings!$J$6)/(IF($O367="",0,Settings!$J$4)+IF($L367="",0,Settings!$J$5)+IF($N367="",0,Settings!$J$6)),0))</f>
        <v>56</v>
      </c>
      <c r="Q367" s="12">
        <f t="array" ref="Q367">IF($A367="","",XLOOKUP($E367,Settings!$A$19:$A$22,Settings!$G$19:$G$22,0))</f>
        <v>203</v>
      </c>
      <c r="R367" s="12">
        <f t="shared" si="1"/>
        <v>0</v>
      </c>
      <c r="S367" s="12">
        <f>IF($A367="","",IF($R367&lt;=0,1,1+$R367/SUMIF($R$4:$R$923,"&gt;0",$R$4:$R$923)*(Settings!$B$5*(Settings!$B$6-Settings!$B$7))))</f>
        <v>1</v>
      </c>
      <c r="T367" s="12">
        <f t="array" ref="T367">IF($A367="","",XLOOKUP($F367,Settings!$I$15:$I$20,Settings!$J$15:$J$20,1))</f>
        <v>0.75</v>
      </c>
      <c r="U367" s="12">
        <f>IF($A367="","",1+(($G367-5)/5)*Settings!$J$8)</f>
        <v>1</v>
      </c>
      <c r="V367" s="12">
        <f>IF($A367="","",1+(($H367-5)/5)*Settings!$J$9)</f>
        <v>1.06</v>
      </c>
      <c r="W367" s="12">
        <f t="array" ref="W367">IF($A367="","",XLOOKUP($J367,Lists!$C$3:$C$7,Lists!$D$3:$D$7,1))</f>
        <v>1</v>
      </c>
      <c r="X367" s="12">
        <f>IF($A367="","",IF($I367="Yes",Settings!$J$10,1))</f>
        <v>1</v>
      </c>
      <c r="Y367" s="12">
        <f t="shared" si="2"/>
        <v>1</v>
      </c>
      <c r="Z367" s="12">
        <f>IF($A367="","",IFERROR(ROUND(AVERAGEIFS('Historical Drafts'!$G$4:$G$300,'Historical Drafts'!$D$4:$D$300,$E367,'Historical Drafts'!$J$4:$J$300,"&gt;="&amp;$L367*0.85,'Historical Drafts'!$J$4:$J$300,"&lt;="&amp;$L367*1.15),0),$Y367))</f>
        <v>3</v>
      </c>
      <c r="AA367" s="12" t="str">
        <f>IF($A367="","",IF(COUNTIF('Auction Log'!$B$3:$B$300,$A367)&gt;0,"Sold","Available"))</f>
        <v>Available</v>
      </c>
      <c r="AB367" s="12" t="str">
        <f t="array" ref="AB367">IF($A367="","",IFERROR(XLOOKUP($A367,'Auction Log'!$B$3:$B$300,'Auction Log'!$G$3:$G$300,""),""))</f>
        <v/>
      </c>
      <c r="AC367" s="12" t="str">
        <f t="array" ref="AC367">IF($A367="","",IFERROR(XLOOKUP($A367,'Auction Log'!$B$3:$B$300,'Auction Log'!$F$3:$F$300,""),""))</f>
        <v/>
      </c>
      <c r="AD367" s="12">
        <f t="array" ref="AD367">IF($A367="","",ROUND($Y367*XLOOKUP($F367,Settings!$I$15:$I$20,Settings!$K$15:$K$20,0.4),0))</f>
        <v>0</v>
      </c>
      <c r="AE367" s="12">
        <f t="array" ref="AE367">IF($A367="","",ROUND($Y367*XLOOKUP($F367,Settings!$I$15:$I$20,Settings!$L$15:$L$20,0.8),0))</f>
        <v>1</v>
      </c>
      <c r="AF367" s="12">
        <f t="array" ref="AF367">IF($A367="","",ROUND($Y367*XLOOKUP($F367,Settings!$I$15:$I$20,Settings!$M$15:$M$20,1),0))</f>
        <v>1</v>
      </c>
      <c r="AG367" s="12">
        <f t="array" ref="AG367">IF($A367="","",ROUND($Y367*XLOOKUP($F367,Settings!$I$15:$I$20,Settings!$N$15:$N$20,1.1),0))</f>
        <v>1</v>
      </c>
      <c r="AH367" s="12">
        <f t="array" ref="AH367">IF($A367="","",ROUND($Y367*XLOOKUP($F367,Settings!$I$15:$I$20,Settings!$O$15:$O$20,1.1)*Settings!$J$7,0))</f>
        <v>1</v>
      </c>
      <c r="AI367" s="12">
        <f t="array" ref="AI367">IF($A367="","",IF($AA367="Sold","",MIN($AH367,IFERROR(XLOOKUP(Settings!$B$12,Managers!$B$4:$B$15,Managers!$H$4:$H$15),$AH367))))</f>
        <v>1</v>
      </c>
      <c r="AJ367" s="12" t="str">
        <f t="shared" si="3"/>
        <v>Budget Drainer</v>
      </c>
      <c r="AK367" s="12">
        <f t="shared" si="4"/>
        <v>28</v>
      </c>
      <c r="AL367" s="12" t="str">
        <f t="shared" si="5"/>
        <v/>
      </c>
    </row>
    <row r="368" ht="15.75" customHeight="1">
      <c r="A368" s="10" t="s">
        <v>1022</v>
      </c>
      <c r="B368" s="10" t="s">
        <v>1023</v>
      </c>
      <c r="C368" s="10" t="s">
        <v>305</v>
      </c>
      <c r="D368" s="10" t="s">
        <v>118</v>
      </c>
      <c r="E368" s="10" t="s">
        <v>118</v>
      </c>
      <c r="F368" s="10" t="s">
        <v>117</v>
      </c>
      <c r="G368" s="10">
        <v>5.0</v>
      </c>
      <c r="H368" s="10">
        <v>7.0</v>
      </c>
      <c r="I368" s="10" t="s">
        <v>2140</v>
      </c>
      <c r="J368" s="10" t="s">
        <v>2136</v>
      </c>
      <c r="K368" s="10"/>
      <c r="L368" s="10">
        <v>54.5</v>
      </c>
      <c r="M368" s="10">
        <v>3.63</v>
      </c>
      <c r="N368" s="10"/>
      <c r="O368" s="10"/>
      <c r="P368" s="12">
        <f>IF($A368="","",IFERROR((IF($O368="",0,$O368)*Settings!$J$4+IF($L368="",0,$L368)*Settings!$J$5+IF($N368="",0,$N368)*Settings!$J$6)/(IF($O368="",0,Settings!$J$4)+IF($L368="",0,Settings!$J$5)+IF($N368="",0,Settings!$J$6)),0))</f>
        <v>54.5</v>
      </c>
      <c r="Q368" s="12">
        <f t="array" ref="Q368">IF($A368="","",XLOOKUP($E368,Settings!$A$19:$A$22,Settings!$G$19:$G$22,0))</f>
        <v>196.25</v>
      </c>
      <c r="R368" s="12">
        <f t="shared" si="1"/>
        <v>0</v>
      </c>
      <c r="S368" s="12">
        <f>IF($A368="","",IF($R368&lt;=0,1,1+$R368/SUMIF($R$4:$R$923,"&gt;0",$R$4:$R$923)*(Settings!$B$5*(Settings!$B$6-Settings!$B$7))))</f>
        <v>1</v>
      </c>
      <c r="T368" s="12">
        <f t="array" ref="T368">IF($A368="","",XLOOKUP($F368,Settings!$I$15:$I$20,Settings!$J$15:$J$20,1))</f>
        <v>0.75</v>
      </c>
      <c r="U368" s="12">
        <f>IF($A368="","",1+(($G368-5)/5)*Settings!$J$8)</f>
        <v>1</v>
      </c>
      <c r="V368" s="12">
        <f>IF($A368="","",1+(($H368-5)/5)*Settings!$J$9)</f>
        <v>1.06</v>
      </c>
      <c r="W368" s="12">
        <f t="array" ref="W368">IF($A368="","",XLOOKUP($J368,Lists!$C$3:$C$7,Lists!$D$3:$D$7,1))</f>
        <v>1</v>
      </c>
      <c r="X368" s="12">
        <f>IF($A368="","",IF($I368="Yes",Settings!$J$10,1))</f>
        <v>1</v>
      </c>
      <c r="Y368" s="12">
        <f t="shared" si="2"/>
        <v>1</v>
      </c>
      <c r="Z368" s="12">
        <f>IF($A368="","",IFERROR(ROUND(AVERAGEIFS('Historical Drafts'!$G$4:$G$300,'Historical Drafts'!$D$4:$D$300,$E368,'Historical Drafts'!$J$4:$J$300,"&gt;="&amp;$L368*0.85,'Historical Drafts'!$J$4:$J$300,"&lt;="&amp;$L368*1.15),0),$Y368))</f>
        <v>1</v>
      </c>
      <c r="AA368" s="12" t="str">
        <f>IF($A368="","",IF(COUNTIF('Auction Log'!$B$3:$B$300,$A368)&gt;0,"Sold","Available"))</f>
        <v>Available</v>
      </c>
      <c r="AB368" s="12" t="str">
        <f t="array" ref="AB368">IF($A368="","",IFERROR(XLOOKUP($A368,'Auction Log'!$B$3:$B$300,'Auction Log'!$G$3:$G$300,""),""))</f>
        <v/>
      </c>
      <c r="AC368" s="12" t="str">
        <f t="array" ref="AC368">IF($A368="","",IFERROR(XLOOKUP($A368,'Auction Log'!$B$3:$B$300,'Auction Log'!$F$3:$F$300,""),""))</f>
        <v/>
      </c>
      <c r="AD368" s="12">
        <f t="array" ref="AD368">IF($A368="","",ROUND($Y368*XLOOKUP($F368,Settings!$I$15:$I$20,Settings!$K$15:$K$20,0.4),0))</f>
        <v>0</v>
      </c>
      <c r="AE368" s="12">
        <f t="array" ref="AE368">IF($A368="","",ROUND($Y368*XLOOKUP($F368,Settings!$I$15:$I$20,Settings!$L$15:$L$20,0.8),0))</f>
        <v>1</v>
      </c>
      <c r="AF368" s="12">
        <f t="array" ref="AF368">IF($A368="","",ROUND($Y368*XLOOKUP($F368,Settings!$I$15:$I$20,Settings!$M$15:$M$20,1),0))</f>
        <v>1</v>
      </c>
      <c r="AG368" s="12">
        <f t="array" ref="AG368">IF($A368="","",ROUND($Y368*XLOOKUP($F368,Settings!$I$15:$I$20,Settings!$N$15:$N$20,1.1),0))</f>
        <v>1</v>
      </c>
      <c r="AH368" s="12">
        <f t="array" ref="AH368">IF($A368="","",ROUND($Y368*XLOOKUP($F368,Settings!$I$15:$I$20,Settings!$O$15:$O$20,1.1)*Settings!$J$7,0))</f>
        <v>1</v>
      </c>
      <c r="AI368" s="12">
        <f t="array" ref="AI368">IF($A368="","",IF($AA368="Sold","",MIN($AH368,IFERROR(XLOOKUP(Settings!$B$12,Managers!$B$4:$B$15,Managers!$H$4:$H$15),$AH368))))</f>
        <v>1</v>
      </c>
      <c r="AJ368" s="12" t="str">
        <f t="shared" si="3"/>
        <v>Recommended</v>
      </c>
      <c r="AK368" s="12">
        <f t="shared" si="4"/>
        <v>26</v>
      </c>
      <c r="AL368" s="12" t="str">
        <f t="shared" si="5"/>
        <v/>
      </c>
    </row>
    <row r="369" ht="15.75" customHeight="1">
      <c r="A369" s="10" t="s">
        <v>1024</v>
      </c>
      <c r="B369" s="10" t="s">
        <v>1025</v>
      </c>
      <c r="C369" s="10" t="s">
        <v>188</v>
      </c>
      <c r="D369" s="10" t="s">
        <v>118</v>
      </c>
      <c r="E369" s="10" t="s">
        <v>118</v>
      </c>
      <c r="F369" s="10" t="s">
        <v>117</v>
      </c>
      <c r="G369" s="10">
        <v>5.0</v>
      </c>
      <c r="H369" s="10">
        <v>7.0</v>
      </c>
      <c r="I369" s="10" t="s">
        <v>2140</v>
      </c>
      <c r="J369" s="10" t="s">
        <v>2136</v>
      </c>
      <c r="K369" s="10"/>
      <c r="L369" s="10">
        <v>54.0</v>
      </c>
      <c r="M369" s="10">
        <v>3.18</v>
      </c>
      <c r="N369" s="10"/>
      <c r="O369" s="10"/>
      <c r="P369" s="12">
        <f>IF($A369="","",IFERROR((IF($O369="",0,$O369)*Settings!$J$4+IF($L369="",0,$L369)*Settings!$J$5+IF($N369="",0,$N369)*Settings!$J$6)/(IF($O369="",0,Settings!$J$4)+IF($L369="",0,Settings!$J$5)+IF($N369="",0,Settings!$J$6)),0))</f>
        <v>54</v>
      </c>
      <c r="Q369" s="12">
        <f t="array" ref="Q369">IF($A369="","",XLOOKUP($E369,Settings!$A$19:$A$22,Settings!$G$19:$G$22,0))</f>
        <v>196.25</v>
      </c>
      <c r="R369" s="12">
        <f t="shared" si="1"/>
        <v>0</v>
      </c>
      <c r="S369" s="12">
        <f>IF($A369="","",IF($R369&lt;=0,1,1+$R369/SUMIF($R$4:$R$923,"&gt;0",$R$4:$R$923)*(Settings!$B$5*(Settings!$B$6-Settings!$B$7))))</f>
        <v>1</v>
      </c>
      <c r="T369" s="12">
        <f t="array" ref="T369">IF($A369="","",XLOOKUP($F369,Settings!$I$15:$I$20,Settings!$J$15:$J$20,1))</f>
        <v>0.75</v>
      </c>
      <c r="U369" s="12">
        <f>IF($A369="","",1+(($G369-5)/5)*Settings!$J$8)</f>
        <v>1</v>
      </c>
      <c r="V369" s="12">
        <f>IF($A369="","",1+(($H369-5)/5)*Settings!$J$9)</f>
        <v>1.06</v>
      </c>
      <c r="W369" s="12">
        <f t="array" ref="W369">IF($A369="","",XLOOKUP($J369,Lists!$C$3:$C$7,Lists!$D$3:$D$7,1))</f>
        <v>1</v>
      </c>
      <c r="X369" s="12">
        <f>IF($A369="","",IF($I369="Yes",Settings!$J$10,1))</f>
        <v>1</v>
      </c>
      <c r="Y369" s="12">
        <f t="shared" si="2"/>
        <v>1</v>
      </c>
      <c r="Z369" s="12">
        <f>IF($A369="","",IFERROR(ROUND(AVERAGEIFS('Historical Drafts'!$G$4:$G$300,'Historical Drafts'!$D$4:$D$300,$E369,'Historical Drafts'!$J$4:$J$300,"&gt;="&amp;$L369*0.85,'Historical Drafts'!$J$4:$J$300,"&lt;="&amp;$L369*1.15),0),$Y369))</f>
        <v>1</v>
      </c>
      <c r="AA369" s="12" t="str">
        <f>IF($A369="","",IF(COUNTIF('Auction Log'!$B$3:$B$300,$A369)&gt;0,"Sold","Available"))</f>
        <v>Available</v>
      </c>
      <c r="AB369" s="12" t="str">
        <f t="array" ref="AB369">IF($A369="","",IFERROR(XLOOKUP($A369,'Auction Log'!$B$3:$B$300,'Auction Log'!$G$3:$G$300,""),""))</f>
        <v/>
      </c>
      <c r="AC369" s="12" t="str">
        <f t="array" ref="AC369">IF($A369="","",IFERROR(XLOOKUP($A369,'Auction Log'!$B$3:$B$300,'Auction Log'!$F$3:$F$300,""),""))</f>
        <v/>
      </c>
      <c r="AD369" s="12">
        <f t="array" ref="AD369">IF($A369="","",ROUND($Y369*XLOOKUP($F369,Settings!$I$15:$I$20,Settings!$K$15:$K$20,0.4),0))</f>
        <v>0</v>
      </c>
      <c r="AE369" s="12">
        <f t="array" ref="AE369">IF($A369="","",ROUND($Y369*XLOOKUP($F369,Settings!$I$15:$I$20,Settings!$L$15:$L$20,0.8),0))</f>
        <v>1</v>
      </c>
      <c r="AF369" s="12">
        <f t="array" ref="AF369">IF($A369="","",ROUND($Y369*XLOOKUP($F369,Settings!$I$15:$I$20,Settings!$M$15:$M$20,1),0))</f>
        <v>1</v>
      </c>
      <c r="AG369" s="12">
        <f t="array" ref="AG369">IF($A369="","",ROUND($Y369*XLOOKUP($F369,Settings!$I$15:$I$20,Settings!$N$15:$N$20,1.1),0))</f>
        <v>1</v>
      </c>
      <c r="AH369" s="12">
        <f t="array" ref="AH369">IF($A369="","",ROUND($Y369*XLOOKUP($F369,Settings!$I$15:$I$20,Settings!$O$15:$O$20,1.1)*Settings!$J$7,0))</f>
        <v>1</v>
      </c>
      <c r="AI369" s="12">
        <f t="array" ref="AI369">IF($A369="","",IF($AA369="Sold","",MIN($AH369,IFERROR(XLOOKUP(Settings!$B$12,Managers!$B$4:$B$15,Managers!$H$4:$H$15),$AH369))))</f>
        <v>1</v>
      </c>
      <c r="AJ369" s="12" t="str">
        <f t="shared" si="3"/>
        <v>Recommended</v>
      </c>
      <c r="AK369" s="12">
        <f t="shared" si="4"/>
        <v>26</v>
      </c>
      <c r="AL369" s="12" t="str">
        <f t="shared" si="5"/>
        <v/>
      </c>
    </row>
    <row r="370" ht="15.75" customHeight="1">
      <c r="A370" s="10" t="s">
        <v>1026</v>
      </c>
      <c r="B370" s="10" t="s">
        <v>1027</v>
      </c>
      <c r="C370" s="10" t="s">
        <v>221</v>
      </c>
      <c r="D370" s="10" t="s">
        <v>121</v>
      </c>
      <c r="E370" s="10" t="s">
        <v>121</v>
      </c>
      <c r="F370" s="10" t="s">
        <v>117</v>
      </c>
      <c r="G370" s="10">
        <v>5.0</v>
      </c>
      <c r="H370" s="10">
        <v>7.0</v>
      </c>
      <c r="I370" s="10" t="s">
        <v>2140</v>
      </c>
      <c r="J370" s="10" t="s">
        <v>2136</v>
      </c>
      <c r="K370" s="10"/>
      <c r="L370" s="10">
        <v>53.0</v>
      </c>
      <c r="M370" s="10">
        <v>2.52</v>
      </c>
      <c r="N370" s="10"/>
      <c r="O370" s="10"/>
      <c r="P370" s="12">
        <f>IF($A370="","",IFERROR((IF($O370="",0,$O370)*Settings!$J$4+IF($L370="",0,$L370)*Settings!$J$5+IF($N370="",0,$N370)*Settings!$J$6)/(IF($O370="",0,Settings!$J$4)+IF($L370="",0,Settings!$J$5)+IF($N370="",0,Settings!$J$6)),0))</f>
        <v>53</v>
      </c>
      <c r="Q370" s="12">
        <f t="array" ref="Q370">IF($A370="","",XLOOKUP($E370,Settings!$A$19:$A$22,Settings!$G$19:$G$22,0))</f>
        <v>206</v>
      </c>
      <c r="R370" s="12">
        <f t="shared" si="1"/>
        <v>0</v>
      </c>
      <c r="S370" s="12">
        <f>IF($A370="","",IF($R370&lt;=0,1,1+$R370/SUMIF($R$4:$R$923,"&gt;0",$R$4:$R$923)*(Settings!$B$5*(Settings!$B$6-Settings!$B$7))))</f>
        <v>1</v>
      </c>
      <c r="T370" s="12">
        <f t="array" ref="T370">IF($A370="","",XLOOKUP($F370,Settings!$I$15:$I$20,Settings!$J$15:$J$20,1))</f>
        <v>0.75</v>
      </c>
      <c r="U370" s="12">
        <f>IF($A370="","",1+(($G370-5)/5)*Settings!$J$8)</f>
        <v>1</v>
      </c>
      <c r="V370" s="12">
        <f>IF($A370="","",1+(($H370-5)/5)*Settings!$J$9)</f>
        <v>1.06</v>
      </c>
      <c r="W370" s="12">
        <f t="array" ref="W370">IF($A370="","",XLOOKUP($J370,Lists!$C$3:$C$7,Lists!$D$3:$D$7,1))</f>
        <v>1</v>
      </c>
      <c r="X370" s="12">
        <f>IF($A370="","",IF($I370="Yes",Settings!$J$10,1))</f>
        <v>1</v>
      </c>
      <c r="Y370" s="12">
        <f t="shared" si="2"/>
        <v>1</v>
      </c>
      <c r="Z370" s="12">
        <f>IF($A370="","",IFERROR(ROUND(AVERAGEIFS('Historical Drafts'!$G$4:$G$300,'Historical Drafts'!$D$4:$D$300,$E370,'Historical Drafts'!$J$4:$J$300,"&gt;="&amp;$L370*0.85,'Historical Drafts'!$J$4:$J$300,"&lt;="&amp;$L370*1.15),0),$Y370))</f>
        <v>1</v>
      </c>
      <c r="AA370" s="12" t="str">
        <f>IF($A370="","",IF(COUNTIF('Auction Log'!$B$3:$B$300,$A370)&gt;0,"Sold","Available"))</f>
        <v>Available</v>
      </c>
      <c r="AB370" s="12" t="str">
        <f t="array" ref="AB370">IF($A370="","",IFERROR(XLOOKUP($A370,'Auction Log'!$B$3:$B$300,'Auction Log'!$G$3:$G$300,""),""))</f>
        <v/>
      </c>
      <c r="AC370" s="12" t="str">
        <f t="array" ref="AC370">IF($A370="","",IFERROR(XLOOKUP($A370,'Auction Log'!$B$3:$B$300,'Auction Log'!$F$3:$F$300,""),""))</f>
        <v/>
      </c>
      <c r="AD370" s="12">
        <f t="array" ref="AD370">IF($A370="","",ROUND($Y370*XLOOKUP($F370,Settings!$I$15:$I$20,Settings!$K$15:$K$20,0.4),0))</f>
        <v>0</v>
      </c>
      <c r="AE370" s="12">
        <f t="array" ref="AE370">IF($A370="","",ROUND($Y370*XLOOKUP($F370,Settings!$I$15:$I$20,Settings!$L$15:$L$20,0.8),0))</f>
        <v>1</v>
      </c>
      <c r="AF370" s="12">
        <f t="array" ref="AF370">IF($A370="","",ROUND($Y370*XLOOKUP($F370,Settings!$I$15:$I$20,Settings!$M$15:$M$20,1),0))</f>
        <v>1</v>
      </c>
      <c r="AG370" s="12">
        <f t="array" ref="AG370">IF($A370="","",ROUND($Y370*XLOOKUP($F370,Settings!$I$15:$I$20,Settings!$N$15:$N$20,1.1),0))</f>
        <v>1</v>
      </c>
      <c r="AH370" s="12">
        <f t="array" ref="AH370">IF($A370="","",ROUND($Y370*XLOOKUP($F370,Settings!$I$15:$I$20,Settings!$O$15:$O$20,1.1)*Settings!$J$7,0))</f>
        <v>1</v>
      </c>
      <c r="AI370" s="12">
        <f t="array" ref="AI370">IF($A370="","",IF($AA370="Sold","",MIN($AH370,IFERROR(XLOOKUP(Settings!$B$12,Managers!$B$4:$B$15,Managers!$H$4:$H$15),$AH370))))</f>
        <v>1</v>
      </c>
      <c r="AJ370" s="12" t="str">
        <f t="shared" si="3"/>
        <v>Recommended</v>
      </c>
      <c r="AK370" s="12">
        <f t="shared" si="4"/>
        <v>26</v>
      </c>
      <c r="AL370" s="12" t="str">
        <f t="shared" si="5"/>
        <v/>
      </c>
    </row>
    <row r="371" ht="15.75" customHeight="1">
      <c r="A371" s="10" t="s">
        <v>1028</v>
      </c>
      <c r="B371" s="10" t="s">
        <v>1029</v>
      </c>
      <c r="C371" s="10" t="s">
        <v>221</v>
      </c>
      <c r="D371" s="10" t="s">
        <v>123</v>
      </c>
      <c r="E371" s="10" t="s">
        <v>123</v>
      </c>
      <c r="F371" s="10" t="s">
        <v>117</v>
      </c>
      <c r="G371" s="10">
        <v>5.0</v>
      </c>
      <c r="H371" s="10">
        <v>7.0</v>
      </c>
      <c r="I371" s="10" t="s">
        <v>2140</v>
      </c>
      <c r="J371" s="10" t="s">
        <v>2136</v>
      </c>
      <c r="K371" s="10"/>
      <c r="L371" s="10">
        <v>51.5</v>
      </c>
      <c r="M371" s="10">
        <v>4.29</v>
      </c>
      <c r="N371" s="10"/>
      <c r="O371" s="10"/>
      <c r="P371" s="12">
        <f>IF($A371="","",IFERROR((IF($O371="",0,$O371)*Settings!$J$4+IF($L371="",0,$L371)*Settings!$J$5+IF($N371="",0,$N371)*Settings!$J$6)/(IF($O371="",0,Settings!$J$4)+IF($L371="",0,Settings!$J$5)+IF($N371="",0,Settings!$J$6)),0))</f>
        <v>51.5</v>
      </c>
      <c r="Q371" s="12">
        <f t="array" ref="Q371">IF($A371="","",XLOOKUP($E371,Settings!$A$19:$A$22,Settings!$G$19:$G$22,0))</f>
        <v>203</v>
      </c>
      <c r="R371" s="12">
        <f t="shared" si="1"/>
        <v>0</v>
      </c>
      <c r="S371" s="12">
        <f>IF($A371="","",IF($R371&lt;=0,1,1+$R371/SUMIF($R$4:$R$923,"&gt;0",$R$4:$R$923)*(Settings!$B$5*(Settings!$B$6-Settings!$B$7))))</f>
        <v>1</v>
      </c>
      <c r="T371" s="12">
        <f t="array" ref="T371">IF($A371="","",XLOOKUP($F371,Settings!$I$15:$I$20,Settings!$J$15:$J$20,1))</f>
        <v>0.75</v>
      </c>
      <c r="U371" s="12">
        <f>IF($A371="","",1+(($G371-5)/5)*Settings!$J$8)</f>
        <v>1</v>
      </c>
      <c r="V371" s="12">
        <f>IF($A371="","",1+(($H371-5)/5)*Settings!$J$9)</f>
        <v>1.06</v>
      </c>
      <c r="W371" s="12">
        <f t="array" ref="W371">IF($A371="","",XLOOKUP($J371,Lists!$C$3:$C$7,Lists!$D$3:$D$7,1))</f>
        <v>1</v>
      </c>
      <c r="X371" s="12">
        <f>IF($A371="","",IF($I371="Yes",Settings!$J$10,1))</f>
        <v>1</v>
      </c>
      <c r="Y371" s="12">
        <f t="shared" si="2"/>
        <v>1</v>
      </c>
      <c r="Z371" s="12">
        <f>IF($A371="","",IFERROR(ROUND(AVERAGEIFS('Historical Drafts'!$G$4:$G$300,'Historical Drafts'!$D$4:$D$300,$E371,'Historical Drafts'!$J$4:$J$300,"&gt;="&amp;$L371*0.85,'Historical Drafts'!$J$4:$J$300,"&lt;="&amp;$L371*1.15),0),$Y371))</f>
        <v>1</v>
      </c>
      <c r="AA371" s="12" t="str">
        <f>IF($A371="","",IF(COUNTIF('Auction Log'!$B$3:$B$300,$A371)&gt;0,"Sold","Available"))</f>
        <v>Available</v>
      </c>
      <c r="AB371" s="12" t="str">
        <f t="array" ref="AB371">IF($A371="","",IFERROR(XLOOKUP($A371,'Auction Log'!$B$3:$B$300,'Auction Log'!$G$3:$G$300,""),""))</f>
        <v/>
      </c>
      <c r="AC371" s="12" t="str">
        <f t="array" ref="AC371">IF($A371="","",IFERROR(XLOOKUP($A371,'Auction Log'!$B$3:$B$300,'Auction Log'!$F$3:$F$300,""),""))</f>
        <v/>
      </c>
      <c r="AD371" s="12">
        <f t="array" ref="AD371">IF($A371="","",ROUND($Y371*XLOOKUP($F371,Settings!$I$15:$I$20,Settings!$K$15:$K$20,0.4),0))</f>
        <v>0</v>
      </c>
      <c r="AE371" s="12">
        <f t="array" ref="AE371">IF($A371="","",ROUND($Y371*XLOOKUP($F371,Settings!$I$15:$I$20,Settings!$L$15:$L$20,0.8),0))</f>
        <v>1</v>
      </c>
      <c r="AF371" s="12">
        <f t="array" ref="AF371">IF($A371="","",ROUND($Y371*XLOOKUP($F371,Settings!$I$15:$I$20,Settings!$M$15:$M$20,1),0))</f>
        <v>1</v>
      </c>
      <c r="AG371" s="12">
        <f t="array" ref="AG371">IF($A371="","",ROUND($Y371*XLOOKUP($F371,Settings!$I$15:$I$20,Settings!$N$15:$N$20,1.1),0))</f>
        <v>1</v>
      </c>
      <c r="AH371" s="12">
        <f t="array" ref="AH371">IF($A371="","",ROUND($Y371*XLOOKUP($F371,Settings!$I$15:$I$20,Settings!$O$15:$O$20,1.1)*Settings!$J$7,0))</f>
        <v>1</v>
      </c>
      <c r="AI371" s="12">
        <f t="array" ref="AI371">IF($A371="","",IF($AA371="Sold","",MIN($AH371,IFERROR(XLOOKUP(Settings!$B$12,Managers!$B$4:$B$15,Managers!$H$4:$H$15),$AH371))))</f>
        <v>1</v>
      </c>
      <c r="AJ371" s="12" t="str">
        <f t="shared" si="3"/>
        <v>Recommended</v>
      </c>
      <c r="AK371" s="12">
        <f t="shared" si="4"/>
        <v>26</v>
      </c>
      <c r="AL371" s="12" t="str">
        <f t="shared" si="5"/>
        <v/>
      </c>
    </row>
    <row r="372" ht="15.75" customHeight="1">
      <c r="A372" s="10" t="s">
        <v>454</v>
      </c>
      <c r="B372" s="10" t="s">
        <v>455</v>
      </c>
      <c r="C372" s="10" t="s">
        <v>453</v>
      </c>
      <c r="D372" s="10" t="s">
        <v>121</v>
      </c>
      <c r="E372" s="10" t="s">
        <v>121</v>
      </c>
      <c r="F372" s="10" t="s">
        <v>117</v>
      </c>
      <c r="G372" s="10">
        <v>5.0</v>
      </c>
      <c r="H372" s="10">
        <v>7.0</v>
      </c>
      <c r="I372" s="10" t="s">
        <v>2140</v>
      </c>
      <c r="J372" s="10" t="s">
        <v>2136</v>
      </c>
      <c r="K372" s="10"/>
      <c r="L372" s="10">
        <v>51.0</v>
      </c>
      <c r="M372" s="10">
        <v>2.68</v>
      </c>
      <c r="N372" s="10"/>
      <c r="O372" s="10"/>
      <c r="P372" s="12">
        <f>IF($A372="","",IFERROR((IF($O372="",0,$O372)*Settings!$J$4+IF($L372="",0,$L372)*Settings!$J$5+IF($N372="",0,$N372)*Settings!$J$6)/(IF($O372="",0,Settings!$J$4)+IF($L372="",0,Settings!$J$5)+IF($N372="",0,Settings!$J$6)),0))</f>
        <v>51</v>
      </c>
      <c r="Q372" s="12">
        <f t="array" ref="Q372">IF($A372="","",XLOOKUP($E372,Settings!$A$19:$A$22,Settings!$G$19:$G$22,0))</f>
        <v>206</v>
      </c>
      <c r="R372" s="12">
        <f t="shared" si="1"/>
        <v>0</v>
      </c>
      <c r="S372" s="12">
        <f>IF($A372="","",IF($R372&lt;=0,1,1+$R372/SUMIF($R$4:$R$923,"&gt;0",$R$4:$R$923)*(Settings!$B$5*(Settings!$B$6-Settings!$B$7))))</f>
        <v>1</v>
      </c>
      <c r="T372" s="12">
        <f t="array" ref="T372">IF($A372="","",XLOOKUP($F372,Settings!$I$15:$I$20,Settings!$J$15:$J$20,1))</f>
        <v>0.75</v>
      </c>
      <c r="U372" s="12">
        <f>IF($A372="","",1+(($G372-5)/5)*Settings!$J$8)</f>
        <v>1</v>
      </c>
      <c r="V372" s="12">
        <f>IF($A372="","",1+(($H372-5)/5)*Settings!$J$9)</f>
        <v>1.06</v>
      </c>
      <c r="W372" s="12">
        <f t="array" ref="W372">IF($A372="","",XLOOKUP($J372,Lists!$C$3:$C$7,Lists!$D$3:$D$7,1))</f>
        <v>1</v>
      </c>
      <c r="X372" s="12">
        <f>IF($A372="","",IF($I372="Yes",Settings!$J$10,1))</f>
        <v>1</v>
      </c>
      <c r="Y372" s="12">
        <f t="shared" si="2"/>
        <v>1</v>
      </c>
      <c r="Z372" s="12">
        <f>IF($A372="","",IFERROR(ROUND(AVERAGEIFS('Historical Drafts'!$G$4:$G$300,'Historical Drafts'!$D$4:$D$300,$E372,'Historical Drafts'!$J$4:$J$300,"&gt;="&amp;$L372*0.85,'Historical Drafts'!$J$4:$J$300,"&lt;="&amp;$L372*1.15),0),$Y372))</f>
        <v>1</v>
      </c>
      <c r="AA372" s="12" t="str">
        <f>IF($A372="","",IF(COUNTIF('Auction Log'!$B$3:$B$300,$A372)&gt;0,"Sold","Available"))</f>
        <v>Available</v>
      </c>
      <c r="AB372" s="12" t="str">
        <f t="array" ref="AB372">IF($A372="","",IFERROR(XLOOKUP($A372,'Auction Log'!$B$3:$B$300,'Auction Log'!$G$3:$G$300,""),""))</f>
        <v/>
      </c>
      <c r="AC372" s="12" t="str">
        <f t="array" ref="AC372">IF($A372="","",IFERROR(XLOOKUP($A372,'Auction Log'!$B$3:$B$300,'Auction Log'!$F$3:$F$300,""),""))</f>
        <v/>
      </c>
      <c r="AD372" s="12">
        <f t="array" ref="AD372">IF($A372="","",ROUND($Y372*XLOOKUP($F372,Settings!$I$15:$I$20,Settings!$K$15:$K$20,0.4),0))</f>
        <v>0</v>
      </c>
      <c r="AE372" s="12">
        <f t="array" ref="AE372">IF($A372="","",ROUND($Y372*XLOOKUP($F372,Settings!$I$15:$I$20,Settings!$L$15:$L$20,0.8),0))</f>
        <v>1</v>
      </c>
      <c r="AF372" s="12">
        <f t="array" ref="AF372">IF($A372="","",ROUND($Y372*XLOOKUP($F372,Settings!$I$15:$I$20,Settings!$M$15:$M$20,1),0))</f>
        <v>1</v>
      </c>
      <c r="AG372" s="12">
        <f t="array" ref="AG372">IF($A372="","",ROUND($Y372*XLOOKUP($F372,Settings!$I$15:$I$20,Settings!$N$15:$N$20,1.1),0))</f>
        <v>1</v>
      </c>
      <c r="AH372" s="12">
        <f t="array" ref="AH372">IF($A372="","",ROUND($Y372*XLOOKUP($F372,Settings!$I$15:$I$20,Settings!$O$15:$O$20,1.1)*Settings!$J$7,0))</f>
        <v>1</v>
      </c>
      <c r="AI372" s="12">
        <f t="array" ref="AI372">IF($A372="","",IF($AA372="Sold","",MIN($AH372,IFERROR(XLOOKUP(Settings!$B$12,Managers!$B$4:$B$15,Managers!$H$4:$H$15),$AH372))))</f>
        <v>1</v>
      </c>
      <c r="AJ372" s="12" t="str">
        <f t="shared" si="3"/>
        <v>Recommended</v>
      </c>
      <c r="AK372" s="12">
        <f t="shared" si="4"/>
        <v>26</v>
      </c>
      <c r="AL372" s="12" t="str">
        <f t="shared" si="5"/>
        <v/>
      </c>
    </row>
    <row r="373" ht="15.75" customHeight="1">
      <c r="A373" s="10" t="s">
        <v>1030</v>
      </c>
      <c r="B373" s="10" t="s">
        <v>1031</v>
      </c>
      <c r="C373" s="10" t="s">
        <v>199</v>
      </c>
      <c r="D373" s="10" t="s">
        <v>658</v>
      </c>
      <c r="E373" s="10" t="s">
        <v>658</v>
      </c>
      <c r="F373" s="10" t="s">
        <v>117</v>
      </c>
      <c r="G373" s="10">
        <v>5.0</v>
      </c>
      <c r="H373" s="10">
        <v>7.0</v>
      </c>
      <c r="I373" s="10" t="s">
        <v>2140</v>
      </c>
      <c r="J373" s="10" t="s">
        <v>2136</v>
      </c>
      <c r="K373" s="10"/>
      <c r="L373" s="10">
        <v>50.5</v>
      </c>
      <c r="M373" s="10">
        <v>3.88</v>
      </c>
      <c r="N373" s="10"/>
      <c r="O373" s="10"/>
      <c r="P373" s="12">
        <f>IF($A373="","",IFERROR((IF($O373="",0,$O373)*Settings!$J$4+IF($L373="",0,$L373)*Settings!$J$5+IF($N373="",0,$N373)*Settings!$J$6)/(IF($O373="",0,Settings!$J$4)+IF($L373="",0,Settings!$J$5)+IF($N373="",0,Settings!$J$6)),0))</f>
        <v>50.5</v>
      </c>
      <c r="Q373" s="12">
        <f t="array" ref="Q373">IF($A373="","",XLOOKUP($E373,Settings!$A$19:$A$22,Settings!$G$19:$G$22,0))</f>
        <v>0</v>
      </c>
      <c r="R373" s="12">
        <f t="shared" si="1"/>
        <v>50.5</v>
      </c>
      <c r="S373" s="12">
        <f>IF($A373="","",IF($R373&lt;=0,1,1+$R373/SUMIF($R$4:$R$923,"&gt;0",$R$4:$R$923)*(Settings!$B$5*(Settings!$B$6-Settings!$B$7))))</f>
        <v>7.235261402</v>
      </c>
      <c r="T373" s="12">
        <f t="array" ref="T373">IF($A373="","",XLOOKUP($F373,Settings!$I$15:$I$20,Settings!$J$15:$J$20,1))</f>
        <v>0.75</v>
      </c>
      <c r="U373" s="12">
        <f>IF($A373="","",1+(($G373-5)/5)*Settings!$J$8)</f>
        <v>1</v>
      </c>
      <c r="V373" s="12">
        <f>IF($A373="","",1+(($H373-5)/5)*Settings!$J$9)</f>
        <v>1.06</v>
      </c>
      <c r="W373" s="12">
        <f t="array" ref="W373">IF($A373="","",XLOOKUP($J373,Lists!$C$3:$C$7,Lists!$D$3:$D$7,1))</f>
        <v>1</v>
      </c>
      <c r="X373" s="12">
        <f>IF($A373="","",IF($I373="Yes",Settings!$J$10,1))</f>
        <v>1</v>
      </c>
      <c r="Y373" s="12">
        <f t="shared" si="2"/>
        <v>6</v>
      </c>
      <c r="Z373" s="12">
        <f>IF($A373="","",IFERROR(ROUND(AVERAGEIFS('Historical Drafts'!$G$4:$G$300,'Historical Drafts'!$D$4:$D$300,$E373,'Historical Drafts'!$J$4:$J$300,"&gt;="&amp;$L373*0.85,'Historical Drafts'!$J$4:$J$300,"&lt;="&amp;$L373*1.15),0),$Y373))</f>
        <v>6</v>
      </c>
      <c r="AA373" s="12" t="str">
        <f>IF($A373="","",IF(COUNTIF('Auction Log'!$B$3:$B$300,$A373)&gt;0,"Sold","Available"))</f>
        <v>Available</v>
      </c>
      <c r="AB373" s="12" t="str">
        <f t="array" ref="AB373">IF($A373="","",IFERROR(XLOOKUP($A373,'Auction Log'!$B$3:$B$300,'Auction Log'!$G$3:$G$300,""),""))</f>
        <v/>
      </c>
      <c r="AC373" s="12" t="str">
        <f t="array" ref="AC373">IF($A373="","",IFERROR(XLOOKUP($A373,'Auction Log'!$B$3:$B$300,'Auction Log'!$F$3:$F$300,""),""))</f>
        <v/>
      </c>
      <c r="AD373" s="12">
        <f t="array" ref="AD373">IF($A373="","",ROUND($Y373*XLOOKUP($F373,Settings!$I$15:$I$20,Settings!$K$15:$K$20,0.4),0))</f>
        <v>1</v>
      </c>
      <c r="AE373" s="12">
        <f t="array" ref="AE373">IF($A373="","",ROUND($Y373*XLOOKUP($F373,Settings!$I$15:$I$20,Settings!$L$15:$L$20,0.8),0))</f>
        <v>3</v>
      </c>
      <c r="AF373" s="12">
        <f t="array" ref="AF373">IF($A373="","",ROUND($Y373*XLOOKUP($F373,Settings!$I$15:$I$20,Settings!$M$15:$M$20,1),0))</f>
        <v>5</v>
      </c>
      <c r="AG373" s="12">
        <f t="array" ref="AG373">IF($A373="","",ROUND($Y373*XLOOKUP($F373,Settings!$I$15:$I$20,Settings!$N$15:$N$20,1.1),0))</f>
        <v>5</v>
      </c>
      <c r="AH373" s="12">
        <f t="array" ref="AH373">IF($A373="","",ROUND($Y373*XLOOKUP($F373,Settings!$I$15:$I$20,Settings!$O$15:$O$20,1.1)*Settings!$J$7,0))</f>
        <v>6</v>
      </c>
      <c r="AI373" s="12">
        <f t="array" ref="AI373">IF($A373="","",IF($AA373="Sold","",MIN($AH373,IFERROR(XLOOKUP(Settings!$B$12,Managers!$B$4:$B$15,Managers!$H$4:$H$15),$AH373))))</f>
        <v>6</v>
      </c>
      <c r="AJ373" s="12" t="str">
        <f t="shared" si="3"/>
        <v>Recommended</v>
      </c>
      <c r="AK373" s="12">
        <f t="shared" si="4"/>
        <v>31</v>
      </c>
      <c r="AL373" s="12" t="str">
        <f t="shared" si="5"/>
        <v/>
      </c>
    </row>
    <row r="374" ht="15.75" customHeight="1">
      <c r="A374" s="10" t="s">
        <v>1032</v>
      </c>
      <c r="B374" s="10" t="s">
        <v>1033</v>
      </c>
      <c r="C374" s="10" t="s">
        <v>243</v>
      </c>
      <c r="D374" s="10" t="s">
        <v>118</v>
      </c>
      <c r="E374" s="10" t="s">
        <v>118</v>
      </c>
      <c r="F374" s="10" t="s">
        <v>117</v>
      </c>
      <c r="G374" s="10">
        <v>5.0</v>
      </c>
      <c r="H374" s="10">
        <v>7.0</v>
      </c>
      <c r="I374" s="10" t="s">
        <v>2140</v>
      </c>
      <c r="J374" s="10" t="s">
        <v>2136</v>
      </c>
      <c r="K374" s="10"/>
      <c r="L374" s="10">
        <v>50.5</v>
      </c>
      <c r="M374" s="10">
        <v>2.52</v>
      </c>
      <c r="N374" s="10"/>
      <c r="O374" s="10"/>
      <c r="P374" s="12">
        <f>IF($A374="","",IFERROR((IF($O374="",0,$O374)*Settings!$J$4+IF($L374="",0,$L374)*Settings!$J$5+IF($N374="",0,$N374)*Settings!$J$6)/(IF($O374="",0,Settings!$J$4)+IF($L374="",0,Settings!$J$5)+IF($N374="",0,Settings!$J$6)),0))</f>
        <v>50.5</v>
      </c>
      <c r="Q374" s="12">
        <f t="array" ref="Q374">IF($A374="","",XLOOKUP($E374,Settings!$A$19:$A$22,Settings!$G$19:$G$22,0))</f>
        <v>196.25</v>
      </c>
      <c r="R374" s="12">
        <f t="shared" si="1"/>
        <v>0</v>
      </c>
      <c r="S374" s="12">
        <f>IF($A374="","",IF($R374&lt;=0,1,1+$R374/SUMIF($R$4:$R$923,"&gt;0",$R$4:$R$923)*(Settings!$B$5*(Settings!$B$6-Settings!$B$7))))</f>
        <v>1</v>
      </c>
      <c r="T374" s="12">
        <f t="array" ref="T374">IF($A374="","",XLOOKUP($F374,Settings!$I$15:$I$20,Settings!$J$15:$J$20,1))</f>
        <v>0.75</v>
      </c>
      <c r="U374" s="12">
        <f>IF($A374="","",1+(($G374-5)/5)*Settings!$J$8)</f>
        <v>1</v>
      </c>
      <c r="V374" s="12">
        <f>IF($A374="","",1+(($H374-5)/5)*Settings!$J$9)</f>
        <v>1.06</v>
      </c>
      <c r="W374" s="12">
        <f t="array" ref="W374">IF($A374="","",XLOOKUP($J374,Lists!$C$3:$C$7,Lists!$D$3:$D$7,1))</f>
        <v>1</v>
      </c>
      <c r="X374" s="12">
        <f>IF($A374="","",IF($I374="Yes",Settings!$J$10,1))</f>
        <v>1</v>
      </c>
      <c r="Y374" s="12">
        <f t="shared" si="2"/>
        <v>1</v>
      </c>
      <c r="Z374" s="12">
        <f>IF($A374="","",IFERROR(ROUND(AVERAGEIFS('Historical Drafts'!$G$4:$G$300,'Historical Drafts'!$D$4:$D$300,$E374,'Historical Drafts'!$J$4:$J$300,"&gt;="&amp;$L374*0.85,'Historical Drafts'!$J$4:$J$300,"&lt;="&amp;$L374*1.15),0),$Y374))</f>
        <v>1</v>
      </c>
      <c r="AA374" s="12" t="str">
        <f>IF($A374="","",IF(COUNTIF('Auction Log'!$B$3:$B$300,$A374)&gt;0,"Sold","Available"))</f>
        <v>Available</v>
      </c>
      <c r="AB374" s="12" t="str">
        <f t="array" ref="AB374">IF($A374="","",IFERROR(XLOOKUP($A374,'Auction Log'!$B$3:$B$300,'Auction Log'!$G$3:$G$300,""),""))</f>
        <v/>
      </c>
      <c r="AC374" s="12" t="str">
        <f t="array" ref="AC374">IF($A374="","",IFERROR(XLOOKUP($A374,'Auction Log'!$B$3:$B$300,'Auction Log'!$F$3:$F$300,""),""))</f>
        <v/>
      </c>
      <c r="AD374" s="12">
        <f t="array" ref="AD374">IF($A374="","",ROUND($Y374*XLOOKUP($F374,Settings!$I$15:$I$20,Settings!$K$15:$K$20,0.4),0))</f>
        <v>0</v>
      </c>
      <c r="AE374" s="12">
        <f t="array" ref="AE374">IF($A374="","",ROUND($Y374*XLOOKUP($F374,Settings!$I$15:$I$20,Settings!$L$15:$L$20,0.8),0))</f>
        <v>1</v>
      </c>
      <c r="AF374" s="12">
        <f t="array" ref="AF374">IF($A374="","",ROUND($Y374*XLOOKUP($F374,Settings!$I$15:$I$20,Settings!$M$15:$M$20,1),0))</f>
        <v>1</v>
      </c>
      <c r="AG374" s="12">
        <f t="array" ref="AG374">IF($A374="","",ROUND($Y374*XLOOKUP($F374,Settings!$I$15:$I$20,Settings!$N$15:$N$20,1.1),0))</f>
        <v>1</v>
      </c>
      <c r="AH374" s="12">
        <f t="array" ref="AH374">IF($A374="","",ROUND($Y374*XLOOKUP($F374,Settings!$I$15:$I$20,Settings!$O$15:$O$20,1.1)*Settings!$J$7,0))</f>
        <v>1</v>
      </c>
      <c r="AI374" s="12">
        <f t="array" ref="AI374">IF($A374="","",IF($AA374="Sold","",MIN($AH374,IFERROR(XLOOKUP(Settings!$B$12,Managers!$B$4:$B$15,Managers!$H$4:$H$15),$AH374))))</f>
        <v>1</v>
      </c>
      <c r="AJ374" s="12" t="str">
        <f t="shared" si="3"/>
        <v>Recommended</v>
      </c>
      <c r="AK374" s="12">
        <f t="shared" si="4"/>
        <v>26</v>
      </c>
      <c r="AL374" s="12" t="str">
        <f t="shared" si="5"/>
        <v/>
      </c>
    </row>
    <row r="375" ht="15.75" customHeight="1">
      <c r="A375" s="10" t="s">
        <v>1034</v>
      </c>
      <c r="B375" s="10" t="s">
        <v>1035</v>
      </c>
      <c r="C375" s="10" t="s">
        <v>453</v>
      </c>
      <c r="D375" s="10" t="s">
        <v>123</v>
      </c>
      <c r="E375" s="10" t="s">
        <v>123</v>
      </c>
      <c r="F375" s="10" t="s">
        <v>117</v>
      </c>
      <c r="G375" s="10">
        <v>5.0</v>
      </c>
      <c r="H375" s="10">
        <v>7.0</v>
      </c>
      <c r="I375" s="10" t="s">
        <v>2140</v>
      </c>
      <c r="J375" s="10" t="s">
        <v>2136</v>
      </c>
      <c r="K375" s="10"/>
      <c r="L375" s="10">
        <v>50.0</v>
      </c>
      <c r="M375" s="10">
        <v>2.17</v>
      </c>
      <c r="N375" s="10"/>
      <c r="O375" s="10"/>
      <c r="P375" s="12">
        <f>IF($A375="","",IFERROR((IF($O375="",0,$O375)*Settings!$J$4+IF($L375="",0,$L375)*Settings!$J$5+IF($N375="",0,$N375)*Settings!$J$6)/(IF($O375="",0,Settings!$J$4)+IF($L375="",0,Settings!$J$5)+IF($N375="",0,Settings!$J$6)),0))</f>
        <v>50</v>
      </c>
      <c r="Q375" s="12">
        <f t="array" ref="Q375">IF($A375="","",XLOOKUP($E375,Settings!$A$19:$A$22,Settings!$G$19:$G$22,0))</f>
        <v>203</v>
      </c>
      <c r="R375" s="12">
        <f t="shared" si="1"/>
        <v>0</v>
      </c>
      <c r="S375" s="12">
        <f>IF($A375="","",IF($R375&lt;=0,1,1+$R375/SUMIF($R$4:$R$923,"&gt;0",$R$4:$R$923)*(Settings!$B$5*(Settings!$B$6-Settings!$B$7))))</f>
        <v>1</v>
      </c>
      <c r="T375" s="12">
        <f t="array" ref="T375">IF($A375="","",XLOOKUP($F375,Settings!$I$15:$I$20,Settings!$J$15:$J$20,1))</f>
        <v>0.75</v>
      </c>
      <c r="U375" s="12">
        <f>IF($A375="","",1+(($G375-5)/5)*Settings!$J$8)</f>
        <v>1</v>
      </c>
      <c r="V375" s="12">
        <f>IF($A375="","",1+(($H375-5)/5)*Settings!$J$9)</f>
        <v>1.06</v>
      </c>
      <c r="W375" s="12">
        <f t="array" ref="W375">IF($A375="","",XLOOKUP($J375,Lists!$C$3:$C$7,Lists!$D$3:$D$7,1))</f>
        <v>1</v>
      </c>
      <c r="X375" s="12">
        <f>IF($A375="","",IF($I375="Yes",Settings!$J$10,1))</f>
        <v>1</v>
      </c>
      <c r="Y375" s="12">
        <f t="shared" si="2"/>
        <v>1</v>
      </c>
      <c r="Z375" s="12">
        <f>IF($A375="","",IFERROR(ROUND(AVERAGEIFS('Historical Drafts'!$G$4:$G$300,'Historical Drafts'!$D$4:$D$300,$E375,'Historical Drafts'!$J$4:$J$300,"&gt;="&amp;$L375*0.85,'Historical Drafts'!$J$4:$J$300,"&lt;="&amp;$L375*1.15),0),$Y375))</f>
        <v>1</v>
      </c>
      <c r="AA375" s="12" t="str">
        <f>IF($A375="","",IF(COUNTIF('Auction Log'!$B$3:$B$300,$A375)&gt;0,"Sold","Available"))</f>
        <v>Available</v>
      </c>
      <c r="AB375" s="12" t="str">
        <f t="array" ref="AB375">IF($A375="","",IFERROR(XLOOKUP($A375,'Auction Log'!$B$3:$B$300,'Auction Log'!$G$3:$G$300,""),""))</f>
        <v/>
      </c>
      <c r="AC375" s="12" t="str">
        <f t="array" ref="AC375">IF($A375="","",IFERROR(XLOOKUP($A375,'Auction Log'!$B$3:$B$300,'Auction Log'!$F$3:$F$300,""),""))</f>
        <v/>
      </c>
      <c r="AD375" s="12">
        <f t="array" ref="AD375">IF($A375="","",ROUND($Y375*XLOOKUP($F375,Settings!$I$15:$I$20,Settings!$K$15:$K$20,0.4),0))</f>
        <v>0</v>
      </c>
      <c r="AE375" s="12">
        <f t="array" ref="AE375">IF($A375="","",ROUND($Y375*XLOOKUP($F375,Settings!$I$15:$I$20,Settings!$L$15:$L$20,0.8),0))</f>
        <v>1</v>
      </c>
      <c r="AF375" s="12">
        <f t="array" ref="AF375">IF($A375="","",ROUND($Y375*XLOOKUP($F375,Settings!$I$15:$I$20,Settings!$M$15:$M$20,1),0))</f>
        <v>1</v>
      </c>
      <c r="AG375" s="12">
        <f t="array" ref="AG375">IF($A375="","",ROUND($Y375*XLOOKUP($F375,Settings!$I$15:$I$20,Settings!$N$15:$N$20,1.1),0))</f>
        <v>1</v>
      </c>
      <c r="AH375" s="12">
        <f t="array" ref="AH375">IF($A375="","",ROUND($Y375*XLOOKUP($F375,Settings!$I$15:$I$20,Settings!$O$15:$O$20,1.1)*Settings!$J$7,0))</f>
        <v>1</v>
      </c>
      <c r="AI375" s="12">
        <f t="array" ref="AI375">IF($A375="","",IF($AA375="Sold","",MIN($AH375,IFERROR(XLOOKUP(Settings!$B$12,Managers!$B$4:$B$15,Managers!$H$4:$H$15),$AH375))))</f>
        <v>1</v>
      </c>
      <c r="AJ375" s="12" t="str">
        <f t="shared" si="3"/>
        <v>Recommended</v>
      </c>
      <c r="AK375" s="12">
        <f t="shared" si="4"/>
        <v>26</v>
      </c>
      <c r="AL375" s="12" t="str">
        <f t="shared" si="5"/>
        <v/>
      </c>
    </row>
    <row r="376" ht="15.75" customHeight="1">
      <c r="A376" s="10" t="s">
        <v>1036</v>
      </c>
      <c r="B376" s="10" t="s">
        <v>1037</v>
      </c>
      <c r="C376" s="10" t="s">
        <v>387</v>
      </c>
      <c r="D376" s="10" t="s">
        <v>118</v>
      </c>
      <c r="E376" s="10" t="s">
        <v>118</v>
      </c>
      <c r="F376" s="10" t="s">
        <v>117</v>
      </c>
      <c r="G376" s="10">
        <v>5.0</v>
      </c>
      <c r="H376" s="10">
        <v>7.0</v>
      </c>
      <c r="I376" s="10" t="s">
        <v>2140</v>
      </c>
      <c r="J376" s="10" t="s">
        <v>2136</v>
      </c>
      <c r="K376" s="10"/>
      <c r="L376" s="10">
        <v>48.5</v>
      </c>
      <c r="M376" s="10">
        <v>6.06</v>
      </c>
      <c r="N376" s="10"/>
      <c r="O376" s="10"/>
      <c r="P376" s="12">
        <f>IF($A376="","",IFERROR((IF($O376="",0,$O376)*Settings!$J$4+IF($L376="",0,$L376)*Settings!$J$5+IF($N376="",0,$N376)*Settings!$J$6)/(IF($O376="",0,Settings!$J$4)+IF($L376="",0,Settings!$J$5)+IF($N376="",0,Settings!$J$6)),0))</f>
        <v>48.5</v>
      </c>
      <c r="Q376" s="12">
        <f t="array" ref="Q376">IF($A376="","",XLOOKUP($E376,Settings!$A$19:$A$22,Settings!$G$19:$G$22,0))</f>
        <v>196.25</v>
      </c>
      <c r="R376" s="12">
        <f t="shared" si="1"/>
        <v>0</v>
      </c>
      <c r="S376" s="12">
        <f>IF($A376="","",IF($R376&lt;=0,1,1+$R376/SUMIF($R$4:$R$923,"&gt;0",$R$4:$R$923)*(Settings!$B$5*(Settings!$B$6-Settings!$B$7))))</f>
        <v>1</v>
      </c>
      <c r="T376" s="12">
        <f t="array" ref="T376">IF($A376="","",XLOOKUP($F376,Settings!$I$15:$I$20,Settings!$J$15:$J$20,1))</f>
        <v>0.75</v>
      </c>
      <c r="U376" s="12">
        <f>IF($A376="","",1+(($G376-5)/5)*Settings!$J$8)</f>
        <v>1</v>
      </c>
      <c r="V376" s="12">
        <f>IF($A376="","",1+(($H376-5)/5)*Settings!$J$9)</f>
        <v>1.06</v>
      </c>
      <c r="W376" s="12">
        <f t="array" ref="W376">IF($A376="","",XLOOKUP($J376,Lists!$C$3:$C$7,Lists!$D$3:$D$7,1))</f>
        <v>1</v>
      </c>
      <c r="X376" s="12">
        <f>IF($A376="","",IF($I376="Yes",Settings!$J$10,1))</f>
        <v>1</v>
      </c>
      <c r="Y376" s="12">
        <f t="shared" si="2"/>
        <v>1</v>
      </c>
      <c r="Z376" s="12">
        <f>IF($A376="","",IFERROR(ROUND(AVERAGEIFS('Historical Drafts'!$G$4:$G$300,'Historical Drafts'!$D$4:$D$300,$E376,'Historical Drafts'!$J$4:$J$300,"&gt;="&amp;$L376*0.85,'Historical Drafts'!$J$4:$J$300,"&lt;="&amp;$L376*1.15),0),$Y376))</f>
        <v>1</v>
      </c>
      <c r="AA376" s="12" t="str">
        <f>IF($A376="","",IF(COUNTIF('Auction Log'!$B$3:$B$300,$A376)&gt;0,"Sold","Available"))</f>
        <v>Available</v>
      </c>
      <c r="AB376" s="12" t="str">
        <f t="array" ref="AB376">IF($A376="","",IFERROR(XLOOKUP($A376,'Auction Log'!$B$3:$B$300,'Auction Log'!$G$3:$G$300,""),""))</f>
        <v/>
      </c>
      <c r="AC376" s="12" t="str">
        <f t="array" ref="AC376">IF($A376="","",IFERROR(XLOOKUP($A376,'Auction Log'!$B$3:$B$300,'Auction Log'!$F$3:$F$300,""),""))</f>
        <v/>
      </c>
      <c r="AD376" s="12">
        <f t="array" ref="AD376">IF($A376="","",ROUND($Y376*XLOOKUP($F376,Settings!$I$15:$I$20,Settings!$K$15:$K$20,0.4),0))</f>
        <v>0</v>
      </c>
      <c r="AE376" s="12">
        <f t="array" ref="AE376">IF($A376="","",ROUND($Y376*XLOOKUP($F376,Settings!$I$15:$I$20,Settings!$L$15:$L$20,0.8),0))</f>
        <v>1</v>
      </c>
      <c r="AF376" s="12">
        <f t="array" ref="AF376">IF($A376="","",ROUND($Y376*XLOOKUP($F376,Settings!$I$15:$I$20,Settings!$M$15:$M$20,1),0))</f>
        <v>1</v>
      </c>
      <c r="AG376" s="12">
        <f t="array" ref="AG376">IF($A376="","",ROUND($Y376*XLOOKUP($F376,Settings!$I$15:$I$20,Settings!$N$15:$N$20,1.1),0))</f>
        <v>1</v>
      </c>
      <c r="AH376" s="12">
        <f t="array" ref="AH376">IF($A376="","",ROUND($Y376*XLOOKUP($F376,Settings!$I$15:$I$20,Settings!$O$15:$O$20,1.1)*Settings!$J$7,0))</f>
        <v>1</v>
      </c>
      <c r="AI376" s="12">
        <f t="array" ref="AI376">IF($A376="","",IF($AA376="Sold","",MIN($AH376,IFERROR(XLOOKUP(Settings!$B$12,Managers!$B$4:$B$15,Managers!$H$4:$H$15),$AH376))))</f>
        <v>1</v>
      </c>
      <c r="AJ376" s="12" t="str">
        <f t="shared" si="3"/>
        <v>Recommended</v>
      </c>
      <c r="AK376" s="12">
        <f t="shared" si="4"/>
        <v>26</v>
      </c>
      <c r="AL376" s="12" t="str">
        <f t="shared" si="5"/>
        <v/>
      </c>
    </row>
    <row r="377" ht="15.75" customHeight="1">
      <c r="A377" s="10" t="s">
        <v>1038</v>
      </c>
      <c r="B377" s="10" t="s">
        <v>1039</v>
      </c>
      <c r="C377" s="10" t="s">
        <v>236</v>
      </c>
      <c r="D377" s="10" t="s">
        <v>121</v>
      </c>
      <c r="E377" s="10" t="s">
        <v>121</v>
      </c>
      <c r="F377" s="10" t="s">
        <v>117</v>
      </c>
      <c r="G377" s="10">
        <v>5.0</v>
      </c>
      <c r="H377" s="10">
        <v>7.0</v>
      </c>
      <c r="I377" s="10" t="s">
        <v>2140</v>
      </c>
      <c r="J377" s="10" t="s">
        <v>2136</v>
      </c>
      <c r="K377" s="10"/>
      <c r="L377" s="10">
        <v>48.0</v>
      </c>
      <c r="M377" s="10">
        <v>2.18</v>
      </c>
      <c r="N377" s="10"/>
      <c r="O377" s="10"/>
      <c r="P377" s="12">
        <f>IF($A377="","",IFERROR((IF($O377="",0,$O377)*Settings!$J$4+IF($L377="",0,$L377)*Settings!$J$5+IF($N377="",0,$N377)*Settings!$J$6)/(IF($O377="",0,Settings!$J$4)+IF($L377="",0,Settings!$J$5)+IF($N377="",0,Settings!$J$6)),0))</f>
        <v>48</v>
      </c>
      <c r="Q377" s="12">
        <f t="array" ref="Q377">IF($A377="","",XLOOKUP($E377,Settings!$A$19:$A$22,Settings!$G$19:$G$22,0))</f>
        <v>206</v>
      </c>
      <c r="R377" s="12">
        <f t="shared" si="1"/>
        <v>0</v>
      </c>
      <c r="S377" s="12">
        <f>IF($A377="","",IF($R377&lt;=0,1,1+$R377/SUMIF($R$4:$R$923,"&gt;0",$R$4:$R$923)*(Settings!$B$5*(Settings!$B$6-Settings!$B$7))))</f>
        <v>1</v>
      </c>
      <c r="T377" s="12">
        <f t="array" ref="T377">IF($A377="","",XLOOKUP($F377,Settings!$I$15:$I$20,Settings!$J$15:$J$20,1))</f>
        <v>0.75</v>
      </c>
      <c r="U377" s="12">
        <f>IF($A377="","",1+(($G377-5)/5)*Settings!$J$8)</f>
        <v>1</v>
      </c>
      <c r="V377" s="12">
        <f>IF($A377="","",1+(($H377-5)/5)*Settings!$J$9)</f>
        <v>1.06</v>
      </c>
      <c r="W377" s="12">
        <f t="array" ref="W377">IF($A377="","",XLOOKUP($J377,Lists!$C$3:$C$7,Lists!$D$3:$D$7,1))</f>
        <v>1</v>
      </c>
      <c r="X377" s="12">
        <f>IF($A377="","",IF($I377="Yes",Settings!$J$10,1))</f>
        <v>1</v>
      </c>
      <c r="Y377" s="12">
        <f t="shared" si="2"/>
        <v>1</v>
      </c>
      <c r="Z377" s="12">
        <f>IF($A377="","",IFERROR(ROUND(AVERAGEIFS('Historical Drafts'!$G$4:$G$300,'Historical Drafts'!$D$4:$D$300,$E377,'Historical Drafts'!$J$4:$J$300,"&gt;="&amp;$L377*0.85,'Historical Drafts'!$J$4:$J$300,"&lt;="&amp;$L377*1.15),0),$Y377))</f>
        <v>1</v>
      </c>
      <c r="AA377" s="12" t="str">
        <f>IF($A377="","",IF(COUNTIF('Auction Log'!$B$3:$B$300,$A377)&gt;0,"Sold","Available"))</f>
        <v>Available</v>
      </c>
      <c r="AB377" s="12" t="str">
        <f t="array" ref="AB377">IF($A377="","",IFERROR(XLOOKUP($A377,'Auction Log'!$B$3:$B$300,'Auction Log'!$G$3:$G$300,""),""))</f>
        <v/>
      </c>
      <c r="AC377" s="12" t="str">
        <f t="array" ref="AC377">IF($A377="","",IFERROR(XLOOKUP($A377,'Auction Log'!$B$3:$B$300,'Auction Log'!$F$3:$F$300,""),""))</f>
        <v/>
      </c>
      <c r="AD377" s="12">
        <f t="array" ref="AD377">IF($A377="","",ROUND($Y377*XLOOKUP($F377,Settings!$I$15:$I$20,Settings!$K$15:$K$20,0.4),0))</f>
        <v>0</v>
      </c>
      <c r="AE377" s="12">
        <f t="array" ref="AE377">IF($A377="","",ROUND($Y377*XLOOKUP($F377,Settings!$I$15:$I$20,Settings!$L$15:$L$20,0.8),0))</f>
        <v>1</v>
      </c>
      <c r="AF377" s="12">
        <f t="array" ref="AF377">IF($A377="","",ROUND($Y377*XLOOKUP($F377,Settings!$I$15:$I$20,Settings!$M$15:$M$20,1),0))</f>
        <v>1</v>
      </c>
      <c r="AG377" s="12">
        <f t="array" ref="AG377">IF($A377="","",ROUND($Y377*XLOOKUP($F377,Settings!$I$15:$I$20,Settings!$N$15:$N$20,1.1),0))</f>
        <v>1</v>
      </c>
      <c r="AH377" s="12">
        <f t="array" ref="AH377">IF($A377="","",ROUND($Y377*XLOOKUP($F377,Settings!$I$15:$I$20,Settings!$O$15:$O$20,1.1)*Settings!$J$7,0))</f>
        <v>1</v>
      </c>
      <c r="AI377" s="12">
        <f t="array" ref="AI377">IF($A377="","",IF($AA377="Sold","",MIN($AH377,IFERROR(XLOOKUP(Settings!$B$12,Managers!$B$4:$B$15,Managers!$H$4:$H$15),$AH377))))</f>
        <v>1</v>
      </c>
      <c r="AJ377" s="12" t="str">
        <f t="shared" si="3"/>
        <v>Recommended</v>
      </c>
      <c r="AK377" s="12">
        <f t="shared" si="4"/>
        <v>26</v>
      </c>
      <c r="AL377" s="12" t="str">
        <f t="shared" si="5"/>
        <v/>
      </c>
    </row>
    <row r="378" ht="15.75" customHeight="1">
      <c r="A378" s="10" t="s">
        <v>1040</v>
      </c>
      <c r="B378" s="10" t="s">
        <v>1041</v>
      </c>
      <c r="C378" s="10" t="s">
        <v>177</v>
      </c>
      <c r="D378" s="10" t="s">
        <v>118</v>
      </c>
      <c r="E378" s="10" t="s">
        <v>118</v>
      </c>
      <c r="F378" s="10" t="s">
        <v>117</v>
      </c>
      <c r="G378" s="10">
        <v>5.0</v>
      </c>
      <c r="H378" s="10">
        <v>7.0</v>
      </c>
      <c r="I378" s="10" t="s">
        <v>2140</v>
      </c>
      <c r="J378" s="10" t="s">
        <v>2136</v>
      </c>
      <c r="K378" s="10"/>
      <c r="L378" s="10">
        <v>47.25</v>
      </c>
      <c r="M378" s="10">
        <v>2.25</v>
      </c>
      <c r="N378" s="10"/>
      <c r="O378" s="10"/>
      <c r="P378" s="12">
        <f>IF($A378="","",IFERROR((IF($O378="",0,$O378)*Settings!$J$4+IF($L378="",0,$L378)*Settings!$J$5+IF($N378="",0,$N378)*Settings!$J$6)/(IF($O378="",0,Settings!$J$4)+IF($L378="",0,Settings!$J$5)+IF($N378="",0,Settings!$J$6)),0))</f>
        <v>47.25</v>
      </c>
      <c r="Q378" s="12">
        <f t="array" ref="Q378">IF($A378="","",XLOOKUP($E378,Settings!$A$19:$A$22,Settings!$G$19:$G$22,0))</f>
        <v>196.25</v>
      </c>
      <c r="R378" s="12">
        <f t="shared" si="1"/>
        <v>0</v>
      </c>
      <c r="S378" s="12">
        <f>IF($A378="","",IF($R378&lt;=0,1,1+$R378/SUMIF($R$4:$R$923,"&gt;0",$R$4:$R$923)*(Settings!$B$5*(Settings!$B$6-Settings!$B$7))))</f>
        <v>1</v>
      </c>
      <c r="T378" s="12">
        <f t="array" ref="T378">IF($A378="","",XLOOKUP($F378,Settings!$I$15:$I$20,Settings!$J$15:$J$20,1))</f>
        <v>0.75</v>
      </c>
      <c r="U378" s="12">
        <f>IF($A378="","",1+(($G378-5)/5)*Settings!$J$8)</f>
        <v>1</v>
      </c>
      <c r="V378" s="12">
        <f>IF($A378="","",1+(($H378-5)/5)*Settings!$J$9)</f>
        <v>1.06</v>
      </c>
      <c r="W378" s="12">
        <f t="array" ref="W378">IF($A378="","",XLOOKUP($J378,Lists!$C$3:$C$7,Lists!$D$3:$D$7,1))</f>
        <v>1</v>
      </c>
      <c r="X378" s="12">
        <f>IF($A378="","",IF($I378="Yes",Settings!$J$10,1))</f>
        <v>1</v>
      </c>
      <c r="Y378" s="12">
        <f t="shared" si="2"/>
        <v>1</v>
      </c>
      <c r="Z378" s="12">
        <f>IF($A378="","",IFERROR(ROUND(AVERAGEIFS('Historical Drafts'!$G$4:$G$300,'Historical Drafts'!$D$4:$D$300,$E378,'Historical Drafts'!$J$4:$J$300,"&gt;="&amp;$L378*0.85,'Historical Drafts'!$J$4:$J$300,"&lt;="&amp;$L378*1.15),0),$Y378))</f>
        <v>1</v>
      </c>
      <c r="AA378" s="12" t="str">
        <f>IF($A378="","",IF(COUNTIF('Auction Log'!$B$3:$B$300,$A378)&gt;0,"Sold","Available"))</f>
        <v>Available</v>
      </c>
      <c r="AB378" s="12" t="str">
        <f t="array" ref="AB378">IF($A378="","",IFERROR(XLOOKUP($A378,'Auction Log'!$B$3:$B$300,'Auction Log'!$G$3:$G$300,""),""))</f>
        <v/>
      </c>
      <c r="AC378" s="12" t="str">
        <f t="array" ref="AC378">IF($A378="","",IFERROR(XLOOKUP($A378,'Auction Log'!$B$3:$B$300,'Auction Log'!$F$3:$F$300,""),""))</f>
        <v/>
      </c>
      <c r="AD378" s="12">
        <f t="array" ref="AD378">IF($A378="","",ROUND($Y378*XLOOKUP($F378,Settings!$I$15:$I$20,Settings!$K$15:$K$20,0.4),0))</f>
        <v>0</v>
      </c>
      <c r="AE378" s="12">
        <f t="array" ref="AE378">IF($A378="","",ROUND($Y378*XLOOKUP($F378,Settings!$I$15:$I$20,Settings!$L$15:$L$20,0.8),0))</f>
        <v>1</v>
      </c>
      <c r="AF378" s="12">
        <f t="array" ref="AF378">IF($A378="","",ROUND($Y378*XLOOKUP($F378,Settings!$I$15:$I$20,Settings!$M$15:$M$20,1),0))</f>
        <v>1</v>
      </c>
      <c r="AG378" s="12">
        <f t="array" ref="AG378">IF($A378="","",ROUND($Y378*XLOOKUP($F378,Settings!$I$15:$I$20,Settings!$N$15:$N$20,1.1),0))</f>
        <v>1</v>
      </c>
      <c r="AH378" s="12">
        <f t="array" ref="AH378">IF($A378="","",ROUND($Y378*XLOOKUP($F378,Settings!$I$15:$I$20,Settings!$O$15:$O$20,1.1)*Settings!$J$7,0))</f>
        <v>1</v>
      </c>
      <c r="AI378" s="12">
        <f t="array" ref="AI378">IF($A378="","",IF($AA378="Sold","",MIN($AH378,IFERROR(XLOOKUP(Settings!$B$12,Managers!$B$4:$B$15,Managers!$H$4:$H$15),$AH378))))</f>
        <v>1</v>
      </c>
      <c r="AJ378" s="12" t="str">
        <f t="shared" si="3"/>
        <v>Recommended</v>
      </c>
      <c r="AK378" s="12">
        <f t="shared" si="4"/>
        <v>26</v>
      </c>
      <c r="AL378" s="12" t="str">
        <f t="shared" si="5"/>
        <v/>
      </c>
    </row>
    <row r="379" ht="15.75" customHeight="1">
      <c r="A379" s="10" t="s">
        <v>1042</v>
      </c>
      <c r="B379" s="10" t="s">
        <v>1043</v>
      </c>
      <c r="C379" s="10" t="s">
        <v>215</v>
      </c>
      <c r="D379" s="10" t="s">
        <v>118</v>
      </c>
      <c r="E379" s="10" t="s">
        <v>118</v>
      </c>
      <c r="F379" s="10" t="s">
        <v>117</v>
      </c>
      <c r="G379" s="10">
        <v>5.0</v>
      </c>
      <c r="H379" s="10">
        <v>7.0</v>
      </c>
      <c r="I379" s="10" t="s">
        <v>2140</v>
      </c>
      <c r="J379" s="10" t="s">
        <v>2136</v>
      </c>
      <c r="K379" s="10"/>
      <c r="L379" s="10">
        <v>46.5</v>
      </c>
      <c r="M379" s="10">
        <v>3.58</v>
      </c>
      <c r="N379" s="10"/>
      <c r="O379" s="10"/>
      <c r="P379" s="12">
        <f>IF($A379="","",IFERROR((IF($O379="",0,$O379)*Settings!$J$4+IF($L379="",0,$L379)*Settings!$J$5+IF($N379="",0,$N379)*Settings!$J$6)/(IF($O379="",0,Settings!$J$4)+IF($L379="",0,Settings!$J$5)+IF($N379="",0,Settings!$J$6)),0))</f>
        <v>46.5</v>
      </c>
      <c r="Q379" s="12">
        <f t="array" ref="Q379">IF($A379="","",XLOOKUP($E379,Settings!$A$19:$A$22,Settings!$G$19:$G$22,0))</f>
        <v>196.25</v>
      </c>
      <c r="R379" s="12">
        <f t="shared" si="1"/>
        <v>0</v>
      </c>
      <c r="S379" s="12">
        <f>IF($A379="","",IF($R379&lt;=0,1,1+$R379/SUMIF($R$4:$R$923,"&gt;0",$R$4:$R$923)*(Settings!$B$5*(Settings!$B$6-Settings!$B$7))))</f>
        <v>1</v>
      </c>
      <c r="T379" s="12">
        <f t="array" ref="T379">IF($A379="","",XLOOKUP($F379,Settings!$I$15:$I$20,Settings!$J$15:$J$20,1))</f>
        <v>0.75</v>
      </c>
      <c r="U379" s="12">
        <f>IF($A379="","",1+(($G379-5)/5)*Settings!$J$8)</f>
        <v>1</v>
      </c>
      <c r="V379" s="12">
        <f>IF($A379="","",1+(($H379-5)/5)*Settings!$J$9)</f>
        <v>1.06</v>
      </c>
      <c r="W379" s="12">
        <f t="array" ref="W379">IF($A379="","",XLOOKUP($J379,Lists!$C$3:$C$7,Lists!$D$3:$D$7,1))</f>
        <v>1</v>
      </c>
      <c r="X379" s="12">
        <f>IF($A379="","",IF($I379="Yes",Settings!$J$10,1))</f>
        <v>1</v>
      </c>
      <c r="Y379" s="12">
        <f t="shared" si="2"/>
        <v>1</v>
      </c>
      <c r="Z379" s="12">
        <f>IF($A379="","",IFERROR(ROUND(AVERAGEIFS('Historical Drafts'!$G$4:$G$300,'Historical Drafts'!$D$4:$D$300,$E379,'Historical Drafts'!$J$4:$J$300,"&gt;="&amp;$L379*0.85,'Historical Drafts'!$J$4:$J$300,"&lt;="&amp;$L379*1.15),0),$Y379))</f>
        <v>1</v>
      </c>
      <c r="AA379" s="12" t="str">
        <f>IF($A379="","",IF(COUNTIF('Auction Log'!$B$3:$B$300,$A379)&gt;0,"Sold","Available"))</f>
        <v>Available</v>
      </c>
      <c r="AB379" s="12" t="str">
        <f t="array" ref="AB379">IF($A379="","",IFERROR(XLOOKUP($A379,'Auction Log'!$B$3:$B$300,'Auction Log'!$G$3:$G$300,""),""))</f>
        <v/>
      </c>
      <c r="AC379" s="12" t="str">
        <f t="array" ref="AC379">IF($A379="","",IFERROR(XLOOKUP($A379,'Auction Log'!$B$3:$B$300,'Auction Log'!$F$3:$F$300,""),""))</f>
        <v/>
      </c>
      <c r="AD379" s="12">
        <f t="array" ref="AD379">IF($A379="","",ROUND($Y379*XLOOKUP($F379,Settings!$I$15:$I$20,Settings!$K$15:$K$20,0.4),0))</f>
        <v>0</v>
      </c>
      <c r="AE379" s="12">
        <f t="array" ref="AE379">IF($A379="","",ROUND($Y379*XLOOKUP($F379,Settings!$I$15:$I$20,Settings!$L$15:$L$20,0.8),0))</f>
        <v>1</v>
      </c>
      <c r="AF379" s="12">
        <f t="array" ref="AF379">IF($A379="","",ROUND($Y379*XLOOKUP($F379,Settings!$I$15:$I$20,Settings!$M$15:$M$20,1),0))</f>
        <v>1</v>
      </c>
      <c r="AG379" s="12">
        <f t="array" ref="AG379">IF($A379="","",ROUND($Y379*XLOOKUP($F379,Settings!$I$15:$I$20,Settings!$N$15:$N$20,1.1),0))</f>
        <v>1</v>
      </c>
      <c r="AH379" s="12">
        <f t="array" ref="AH379">IF($A379="","",ROUND($Y379*XLOOKUP($F379,Settings!$I$15:$I$20,Settings!$O$15:$O$20,1.1)*Settings!$J$7,0))</f>
        <v>1</v>
      </c>
      <c r="AI379" s="12">
        <f t="array" ref="AI379">IF($A379="","",IF($AA379="Sold","",MIN($AH379,IFERROR(XLOOKUP(Settings!$B$12,Managers!$B$4:$B$15,Managers!$H$4:$H$15),$AH379))))</f>
        <v>1</v>
      </c>
      <c r="AJ379" s="12" t="str">
        <f t="shared" si="3"/>
        <v>Recommended</v>
      </c>
      <c r="AK379" s="12">
        <f t="shared" si="4"/>
        <v>26</v>
      </c>
      <c r="AL379" s="12" t="str">
        <f t="shared" si="5"/>
        <v/>
      </c>
    </row>
    <row r="380" ht="15.75" customHeight="1">
      <c r="A380" s="10" t="s">
        <v>1044</v>
      </c>
      <c r="B380" s="10" t="s">
        <v>1045</v>
      </c>
      <c r="C380" s="10" t="s">
        <v>185</v>
      </c>
      <c r="D380" s="10" t="s">
        <v>118</v>
      </c>
      <c r="E380" s="10" t="s">
        <v>118</v>
      </c>
      <c r="F380" s="10" t="s">
        <v>117</v>
      </c>
      <c r="G380" s="10">
        <v>5.0</v>
      </c>
      <c r="H380" s="10">
        <v>7.0</v>
      </c>
      <c r="I380" s="10" t="s">
        <v>2140</v>
      </c>
      <c r="J380" s="10" t="s">
        <v>2136</v>
      </c>
      <c r="K380" s="10"/>
      <c r="L380" s="10">
        <v>44.5</v>
      </c>
      <c r="M380" s="10">
        <v>2.62</v>
      </c>
      <c r="N380" s="10"/>
      <c r="O380" s="10"/>
      <c r="P380" s="12">
        <f>IF($A380="","",IFERROR((IF($O380="",0,$O380)*Settings!$J$4+IF($L380="",0,$L380)*Settings!$J$5+IF($N380="",0,$N380)*Settings!$J$6)/(IF($O380="",0,Settings!$J$4)+IF($L380="",0,Settings!$J$5)+IF($N380="",0,Settings!$J$6)),0))</f>
        <v>44.5</v>
      </c>
      <c r="Q380" s="12">
        <f t="array" ref="Q380">IF($A380="","",XLOOKUP($E380,Settings!$A$19:$A$22,Settings!$G$19:$G$22,0))</f>
        <v>196.25</v>
      </c>
      <c r="R380" s="12">
        <f t="shared" si="1"/>
        <v>0</v>
      </c>
      <c r="S380" s="12">
        <f>IF($A380="","",IF($R380&lt;=0,1,1+$R380/SUMIF($R$4:$R$923,"&gt;0",$R$4:$R$923)*(Settings!$B$5*(Settings!$B$6-Settings!$B$7))))</f>
        <v>1</v>
      </c>
      <c r="T380" s="12">
        <f t="array" ref="T380">IF($A380="","",XLOOKUP($F380,Settings!$I$15:$I$20,Settings!$J$15:$J$20,1))</f>
        <v>0.75</v>
      </c>
      <c r="U380" s="12">
        <f>IF($A380="","",1+(($G380-5)/5)*Settings!$J$8)</f>
        <v>1</v>
      </c>
      <c r="V380" s="12">
        <f>IF($A380="","",1+(($H380-5)/5)*Settings!$J$9)</f>
        <v>1.06</v>
      </c>
      <c r="W380" s="12">
        <f t="array" ref="W380">IF($A380="","",XLOOKUP($J380,Lists!$C$3:$C$7,Lists!$D$3:$D$7,1))</f>
        <v>1</v>
      </c>
      <c r="X380" s="12">
        <f>IF($A380="","",IF($I380="Yes",Settings!$J$10,1))</f>
        <v>1</v>
      </c>
      <c r="Y380" s="12">
        <f t="shared" si="2"/>
        <v>1</v>
      </c>
      <c r="Z380" s="12">
        <f>IF($A380="","",IFERROR(ROUND(AVERAGEIFS('Historical Drafts'!$G$4:$G$300,'Historical Drafts'!$D$4:$D$300,$E380,'Historical Drafts'!$J$4:$J$300,"&gt;="&amp;$L380*0.85,'Historical Drafts'!$J$4:$J$300,"&lt;="&amp;$L380*1.15),0),$Y380))</f>
        <v>1</v>
      </c>
      <c r="AA380" s="12" t="str">
        <f>IF($A380="","",IF(COUNTIF('Auction Log'!$B$3:$B$300,$A380)&gt;0,"Sold","Available"))</f>
        <v>Available</v>
      </c>
      <c r="AB380" s="12" t="str">
        <f t="array" ref="AB380">IF($A380="","",IFERROR(XLOOKUP($A380,'Auction Log'!$B$3:$B$300,'Auction Log'!$G$3:$G$300,""),""))</f>
        <v/>
      </c>
      <c r="AC380" s="12" t="str">
        <f t="array" ref="AC380">IF($A380="","",IFERROR(XLOOKUP($A380,'Auction Log'!$B$3:$B$300,'Auction Log'!$F$3:$F$300,""),""))</f>
        <v/>
      </c>
      <c r="AD380" s="12">
        <f t="array" ref="AD380">IF($A380="","",ROUND($Y380*XLOOKUP($F380,Settings!$I$15:$I$20,Settings!$K$15:$K$20,0.4),0))</f>
        <v>0</v>
      </c>
      <c r="AE380" s="12">
        <f t="array" ref="AE380">IF($A380="","",ROUND($Y380*XLOOKUP($F380,Settings!$I$15:$I$20,Settings!$L$15:$L$20,0.8),0))</f>
        <v>1</v>
      </c>
      <c r="AF380" s="12">
        <f t="array" ref="AF380">IF($A380="","",ROUND($Y380*XLOOKUP($F380,Settings!$I$15:$I$20,Settings!$M$15:$M$20,1),0))</f>
        <v>1</v>
      </c>
      <c r="AG380" s="12">
        <f t="array" ref="AG380">IF($A380="","",ROUND($Y380*XLOOKUP($F380,Settings!$I$15:$I$20,Settings!$N$15:$N$20,1.1),0))</f>
        <v>1</v>
      </c>
      <c r="AH380" s="12">
        <f t="array" ref="AH380">IF($A380="","",ROUND($Y380*XLOOKUP($F380,Settings!$I$15:$I$20,Settings!$O$15:$O$20,1.1)*Settings!$J$7,0))</f>
        <v>1</v>
      </c>
      <c r="AI380" s="12">
        <f t="array" ref="AI380">IF($A380="","",IF($AA380="Sold","",MIN($AH380,IFERROR(XLOOKUP(Settings!$B$12,Managers!$B$4:$B$15,Managers!$H$4:$H$15),$AH380))))</f>
        <v>1</v>
      </c>
      <c r="AJ380" s="12" t="str">
        <f t="shared" si="3"/>
        <v>Recommended</v>
      </c>
      <c r="AK380" s="12">
        <f t="shared" si="4"/>
        <v>26</v>
      </c>
      <c r="AL380" s="12" t="str">
        <f t="shared" si="5"/>
        <v/>
      </c>
    </row>
    <row r="381" ht="15.75" customHeight="1">
      <c r="A381" s="10" t="s">
        <v>1046</v>
      </c>
      <c r="B381" s="10" t="s">
        <v>1047</v>
      </c>
      <c r="C381" s="10" t="s">
        <v>226</v>
      </c>
      <c r="D381" s="10" t="s">
        <v>115</v>
      </c>
      <c r="E381" s="10" t="s">
        <v>115</v>
      </c>
      <c r="F381" s="10" t="s">
        <v>117</v>
      </c>
      <c r="G381" s="10">
        <v>5.0</v>
      </c>
      <c r="H381" s="10">
        <v>7.0</v>
      </c>
      <c r="I381" s="10" t="s">
        <v>2140</v>
      </c>
      <c r="J381" s="10" t="s">
        <v>2136</v>
      </c>
      <c r="K381" s="10"/>
      <c r="L381" s="10">
        <v>44.5</v>
      </c>
      <c r="M381" s="10">
        <v>3.71</v>
      </c>
      <c r="N381" s="10"/>
      <c r="O381" s="10"/>
      <c r="P381" s="12">
        <f>IF($A381="","",IFERROR((IF($O381="",0,$O381)*Settings!$J$4+IF($L381="",0,$L381)*Settings!$J$5+IF($N381="",0,$N381)*Settings!$J$6)/(IF($O381="",0,Settings!$J$4)+IF($L381="",0,Settings!$J$5)+IF($N381="",0,Settings!$J$6)),0))</f>
        <v>44.5</v>
      </c>
      <c r="Q381" s="12">
        <f t="array" ref="Q381">IF($A381="","",XLOOKUP($E381,Settings!$A$19:$A$22,Settings!$G$19:$G$22,0))</f>
        <v>249.25</v>
      </c>
      <c r="R381" s="12">
        <f t="shared" si="1"/>
        <v>0</v>
      </c>
      <c r="S381" s="12">
        <f>IF($A381="","",IF($R381&lt;=0,1,1+$R381/SUMIF($R$4:$R$923,"&gt;0",$R$4:$R$923)*(Settings!$B$5*(Settings!$B$6-Settings!$B$7))))</f>
        <v>1</v>
      </c>
      <c r="T381" s="12">
        <f t="array" ref="T381">IF($A381="","",XLOOKUP($F381,Settings!$I$15:$I$20,Settings!$J$15:$J$20,1))</f>
        <v>0.75</v>
      </c>
      <c r="U381" s="12">
        <f>IF($A381="","",1+(($G381-5)/5)*Settings!$J$8)</f>
        <v>1</v>
      </c>
      <c r="V381" s="12">
        <f>IF($A381="","",1+(($H381-5)/5)*Settings!$J$9)</f>
        <v>1.06</v>
      </c>
      <c r="W381" s="12">
        <f t="array" ref="W381">IF($A381="","",XLOOKUP($J381,Lists!$C$3:$C$7,Lists!$D$3:$D$7,1))</f>
        <v>1</v>
      </c>
      <c r="X381" s="12">
        <f>IF($A381="","",IF($I381="Yes",Settings!$J$10,1))</f>
        <v>1</v>
      </c>
      <c r="Y381" s="12">
        <f t="shared" si="2"/>
        <v>1</v>
      </c>
      <c r="Z381" s="12">
        <f>IF($A381="","",IFERROR(ROUND(AVERAGEIFS('Historical Drafts'!$G$4:$G$300,'Historical Drafts'!$D$4:$D$300,$E381,'Historical Drafts'!$J$4:$J$300,"&gt;="&amp;$L381*0.85,'Historical Drafts'!$J$4:$J$300,"&lt;="&amp;$L381*1.15),0),$Y381))</f>
        <v>1</v>
      </c>
      <c r="AA381" s="12" t="str">
        <f>IF($A381="","",IF(COUNTIF('Auction Log'!$B$3:$B$300,$A381)&gt;0,"Sold","Available"))</f>
        <v>Available</v>
      </c>
      <c r="AB381" s="12" t="str">
        <f t="array" ref="AB381">IF($A381="","",IFERROR(XLOOKUP($A381,'Auction Log'!$B$3:$B$300,'Auction Log'!$G$3:$G$300,""),""))</f>
        <v/>
      </c>
      <c r="AC381" s="12" t="str">
        <f t="array" ref="AC381">IF($A381="","",IFERROR(XLOOKUP($A381,'Auction Log'!$B$3:$B$300,'Auction Log'!$F$3:$F$300,""),""))</f>
        <v/>
      </c>
      <c r="AD381" s="12">
        <f t="array" ref="AD381">IF($A381="","",ROUND($Y381*XLOOKUP($F381,Settings!$I$15:$I$20,Settings!$K$15:$K$20,0.4),0))</f>
        <v>0</v>
      </c>
      <c r="AE381" s="12">
        <f t="array" ref="AE381">IF($A381="","",ROUND($Y381*XLOOKUP($F381,Settings!$I$15:$I$20,Settings!$L$15:$L$20,0.8),0))</f>
        <v>1</v>
      </c>
      <c r="AF381" s="12">
        <f t="array" ref="AF381">IF($A381="","",ROUND($Y381*XLOOKUP($F381,Settings!$I$15:$I$20,Settings!$M$15:$M$20,1),0))</f>
        <v>1</v>
      </c>
      <c r="AG381" s="12">
        <f t="array" ref="AG381">IF($A381="","",ROUND($Y381*XLOOKUP($F381,Settings!$I$15:$I$20,Settings!$N$15:$N$20,1.1),0))</f>
        <v>1</v>
      </c>
      <c r="AH381" s="12">
        <f t="array" ref="AH381">IF($A381="","",ROUND($Y381*XLOOKUP($F381,Settings!$I$15:$I$20,Settings!$O$15:$O$20,1.1)*Settings!$J$7,0))</f>
        <v>1</v>
      </c>
      <c r="AI381" s="12">
        <f t="array" ref="AI381">IF($A381="","",IF($AA381="Sold","",MIN($AH381,IFERROR(XLOOKUP(Settings!$B$12,Managers!$B$4:$B$15,Managers!$H$4:$H$15),$AH381))))</f>
        <v>1</v>
      </c>
      <c r="AJ381" s="12" t="str">
        <f t="shared" si="3"/>
        <v>Recommended</v>
      </c>
      <c r="AK381" s="12">
        <f t="shared" si="4"/>
        <v>26</v>
      </c>
      <c r="AL381" s="12" t="str">
        <f t="shared" si="5"/>
        <v/>
      </c>
    </row>
    <row r="382" ht="15.75" customHeight="1">
      <c r="A382" s="10" t="s">
        <v>1048</v>
      </c>
      <c r="B382" s="10" t="s">
        <v>1049</v>
      </c>
      <c r="C382" s="10" t="s">
        <v>387</v>
      </c>
      <c r="D382" s="10" t="s">
        <v>118</v>
      </c>
      <c r="E382" s="10" t="s">
        <v>118</v>
      </c>
      <c r="F382" s="10" t="s">
        <v>117</v>
      </c>
      <c r="G382" s="10">
        <v>5.0</v>
      </c>
      <c r="H382" s="10">
        <v>7.0</v>
      </c>
      <c r="I382" s="10" t="s">
        <v>2140</v>
      </c>
      <c r="J382" s="10" t="s">
        <v>2136</v>
      </c>
      <c r="K382" s="10"/>
      <c r="L382" s="10">
        <v>44.0</v>
      </c>
      <c r="M382" s="10">
        <v>2.32</v>
      </c>
      <c r="N382" s="10"/>
      <c r="O382" s="10"/>
      <c r="P382" s="12">
        <f>IF($A382="","",IFERROR((IF($O382="",0,$O382)*Settings!$J$4+IF($L382="",0,$L382)*Settings!$J$5+IF($N382="",0,$N382)*Settings!$J$6)/(IF($O382="",0,Settings!$J$4)+IF($L382="",0,Settings!$J$5)+IF($N382="",0,Settings!$J$6)),0))</f>
        <v>44</v>
      </c>
      <c r="Q382" s="12">
        <f t="array" ref="Q382">IF($A382="","",XLOOKUP($E382,Settings!$A$19:$A$22,Settings!$G$19:$G$22,0))</f>
        <v>196.25</v>
      </c>
      <c r="R382" s="12">
        <f t="shared" si="1"/>
        <v>0</v>
      </c>
      <c r="S382" s="12">
        <f>IF($A382="","",IF($R382&lt;=0,1,1+$R382/SUMIF($R$4:$R$923,"&gt;0",$R$4:$R$923)*(Settings!$B$5*(Settings!$B$6-Settings!$B$7))))</f>
        <v>1</v>
      </c>
      <c r="T382" s="12">
        <f t="array" ref="T382">IF($A382="","",XLOOKUP($F382,Settings!$I$15:$I$20,Settings!$J$15:$J$20,1))</f>
        <v>0.75</v>
      </c>
      <c r="U382" s="12">
        <f>IF($A382="","",1+(($G382-5)/5)*Settings!$J$8)</f>
        <v>1</v>
      </c>
      <c r="V382" s="12">
        <f>IF($A382="","",1+(($H382-5)/5)*Settings!$J$9)</f>
        <v>1.06</v>
      </c>
      <c r="W382" s="12">
        <f t="array" ref="W382">IF($A382="","",XLOOKUP($J382,Lists!$C$3:$C$7,Lists!$D$3:$D$7,1))</f>
        <v>1</v>
      </c>
      <c r="X382" s="12">
        <f>IF($A382="","",IF($I382="Yes",Settings!$J$10,1))</f>
        <v>1</v>
      </c>
      <c r="Y382" s="12">
        <f t="shared" si="2"/>
        <v>1</v>
      </c>
      <c r="Z382" s="12">
        <f>IF($A382="","",IFERROR(ROUND(AVERAGEIFS('Historical Drafts'!$G$4:$G$300,'Historical Drafts'!$D$4:$D$300,$E382,'Historical Drafts'!$J$4:$J$300,"&gt;="&amp;$L382*0.85,'Historical Drafts'!$J$4:$J$300,"&lt;="&amp;$L382*1.15),0),$Y382))</f>
        <v>1</v>
      </c>
      <c r="AA382" s="12" t="str">
        <f>IF($A382="","",IF(COUNTIF('Auction Log'!$B$3:$B$300,$A382)&gt;0,"Sold","Available"))</f>
        <v>Available</v>
      </c>
      <c r="AB382" s="12" t="str">
        <f t="array" ref="AB382">IF($A382="","",IFERROR(XLOOKUP($A382,'Auction Log'!$B$3:$B$300,'Auction Log'!$G$3:$G$300,""),""))</f>
        <v/>
      </c>
      <c r="AC382" s="12" t="str">
        <f t="array" ref="AC382">IF($A382="","",IFERROR(XLOOKUP($A382,'Auction Log'!$B$3:$B$300,'Auction Log'!$F$3:$F$300,""),""))</f>
        <v/>
      </c>
      <c r="AD382" s="12">
        <f t="array" ref="AD382">IF($A382="","",ROUND($Y382*XLOOKUP($F382,Settings!$I$15:$I$20,Settings!$K$15:$K$20,0.4),0))</f>
        <v>0</v>
      </c>
      <c r="AE382" s="12">
        <f t="array" ref="AE382">IF($A382="","",ROUND($Y382*XLOOKUP($F382,Settings!$I$15:$I$20,Settings!$L$15:$L$20,0.8),0))</f>
        <v>1</v>
      </c>
      <c r="AF382" s="12">
        <f t="array" ref="AF382">IF($A382="","",ROUND($Y382*XLOOKUP($F382,Settings!$I$15:$I$20,Settings!$M$15:$M$20,1),0))</f>
        <v>1</v>
      </c>
      <c r="AG382" s="12">
        <f t="array" ref="AG382">IF($A382="","",ROUND($Y382*XLOOKUP($F382,Settings!$I$15:$I$20,Settings!$N$15:$N$20,1.1),0))</f>
        <v>1</v>
      </c>
      <c r="AH382" s="12">
        <f t="array" ref="AH382">IF($A382="","",ROUND($Y382*XLOOKUP($F382,Settings!$I$15:$I$20,Settings!$O$15:$O$20,1.1)*Settings!$J$7,0))</f>
        <v>1</v>
      </c>
      <c r="AI382" s="12">
        <f t="array" ref="AI382">IF($A382="","",IF($AA382="Sold","",MIN($AH382,IFERROR(XLOOKUP(Settings!$B$12,Managers!$B$4:$B$15,Managers!$H$4:$H$15),$AH382))))</f>
        <v>1</v>
      </c>
      <c r="AJ382" s="12" t="str">
        <f t="shared" si="3"/>
        <v>Recommended</v>
      </c>
      <c r="AK382" s="12">
        <f t="shared" si="4"/>
        <v>26</v>
      </c>
      <c r="AL382" s="12" t="str">
        <f t="shared" si="5"/>
        <v/>
      </c>
    </row>
    <row r="383" ht="15.75" customHeight="1">
      <c r="A383" s="10" t="s">
        <v>1050</v>
      </c>
      <c r="B383" s="10" t="s">
        <v>1051</v>
      </c>
      <c r="C383" s="10" t="s">
        <v>177</v>
      </c>
      <c r="D383" s="10" t="s">
        <v>123</v>
      </c>
      <c r="E383" s="10" t="s">
        <v>123</v>
      </c>
      <c r="F383" s="10" t="s">
        <v>117</v>
      </c>
      <c r="G383" s="10">
        <v>5.0</v>
      </c>
      <c r="H383" s="10">
        <v>7.0</v>
      </c>
      <c r="I383" s="10" t="s">
        <v>2140</v>
      </c>
      <c r="J383" s="10" t="s">
        <v>2136</v>
      </c>
      <c r="K383" s="10"/>
      <c r="L383" s="10">
        <v>43.0</v>
      </c>
      <c r="M383" s="10">
        <v>1.65</v>
      </c>
      <c r="N383" s="10"/>
      <c r="O383" s="10"/>
      <c r="P383" s="12">
        <f>IF($A383="","",IFERROR((IF($O383="",0,$O383)*Settings!$J$4+IF($L383="",0,$L383)*Settings!$J$5+IF($N383="",0,$N383)*Settings!$J$6)/(IF($O383="",0,Settings!$J$4)+IF($L383="",0,Settings!$J$5)+IF($N383="",0,Settings!$J$6)),0))</f>
        <v>43</v>
      </c>
      <c r="Q383" s="12">
        <f t="array" ref="Q383">IF($A383="","",XLOOKUP($E383,Settings!$A$19:$A$22,Settings!$G$19:$G$22,0))</f>
        <v>203</v>
      </c>
      <c r="R383" s="12">
        <f t="shared" si="1"/>
        <v>0</v>
      </c>
      <c r="S383" s="12">
        <f>IF($A383="","",IF($R383&lt;=0,1,1+$R383/SUMIF($R$4:$R$923,"&gt;0",$R$4:$R$923)*(Settings!$B$5*(Settings!$B$6-Settings!$B$7))))</f>
        <v>1</v>
      </c>
      <c r="T383" s="12">
        <f t="array" ref="T383">IF($A383="","",XLOOKUP($F383,Settings!$I$15:$I$20,Settings!$J$15:$J$20,1))</f>
        <v>0.75</v>
      </c>
      <c r="U383" s="12">
        <f>IF($A383="","",1+(($G383-5)/5)*Settings!$J$8)</f>
        <v>1</v>
      </c>
      <c r="V383" s="12">
        <f>IF($A383="","",1+(($H383-5)/5)*Settings!$J$9)</f>
        <v>1.06</v>
      </c>
      <c r="W383" s="12">
        <f t="array" ref="W383">IF($A383="","",XLOOKUP($J383,Lists!$C$3:$C$7,Lists!$D$3:$D$7,1))</f>
        <v>1</v>
      </c>
      <c r="X383" s="12">
        <f>IF($A383="","",IF($I383="Yes",Settings!$J$10,1))</f>
        <v>1</v>
      </c>
      <c r="Y383" s="12">
        <f t="shared" si="2"/>
        <v>1</v>
      </c>
      <c r="Z383" s="12">
        <f>IF($A383="","",IFERROR(ROUND(AVERAGEIFS('Historical Drafts'!$G$4:$G$300,'Historical Drafts'!$D$4:$D$300,$E383,'Historical Drafts'!$J$4:$J$300,"&gt;="&amp;$L383*0.85,'Historical Drafts'!$J$4:$J$300,"&lt;="&amp;$L383*1.15),0),$Y383))</f>
        <v>15</v>
      </c>
      <c r="AA383" s="12" t="str">
        <f>IF($A383="","",IF(COUNTIF('Auction Log'!$B$3:$B$300,$A383)&gt;0,"Sold","Available"))</f>
        <v>Available</v>
      </c>
      <c r="AB383" s="12" t="str">
        <f t="array" ref="AB383">IF($A383="","",IFERROR(XLOOKUP($A383,'Auction Log'!$B$3:$B$300,'Auction Log'!$G$3:$G$300,""),""))</f>
        <v/>
      </c>
      <c r="AC383" s="12" t="str">
        <f t="array" ref="AC383">IF($A383="","",IFERROR(XLOOKUP($A383,'Auction Log'!$B$3:$B$300,'Auction Log'!$F$3:$F$300,""),""))</f>
        <v/>
      </c>
      <c r="AD383" s="12">
        <f t="array" ref="AD383">IF($A383="","",ROUND($Y383*XLOOKUP($F383,Settings!$I$15:$I$20,Settings!$K$15:$K$20,0.4),0))</f>
        <v>0</v>
      </c>
      <c r="AE383" s="12">
        <f t="array" ref="AE383">IF($A383="","",ROUND($Y383*XLOOKUP($F383,Settings!$I$15:$I$20,Settings!$L$15:$L$20,0.8),0))</f>
        <v>1</v>
      </c>
      <c r="AF383" s="12">
        <f t="array" ref="AF383">IF($A383="","",ROUND($Y383*XLOOKUP($F383,Settings!$I$15:$I$20,Settings!$M$15:$M$20,1),0))</f>
        <v>1</v>
      </c>
      <c r="AG383" s="12">
        <f t="array" ref="AG383">IF($A383="","",ROUND($Y383*XLOOKUP($F383,Settings!$I$15:$I$20,Settings!$N$15:$N$20,1.1),0))</f>
        <v>1</v>
      </c>
      <c r="AH383" s="12">
        <f t="array" ref="AH383">IF($A383="","",ROUND($Y383*XLOOKUP($F383,Settings!$I$15:$I$20,Settings!$O$15:$O$20,1.1)*Settings!$J$7,0))</f>
        <v>1</v>
      </c>
      <c r="AI383" s="12">
        <f t="array" ref="AI383">IF($A383="","",IF($AA383="Sold","",MIN($AH383,IFERROR(XLOOKUP(Settings!$B$12,Managers!$B$4:$B$15,Managers!$H$4:$H$15),$AH383))))</f>
        <v>1</v>
      </c>
      <c r="AJ383" s="12" t="str">
        <f t="shared" si="3"/>
        <v>Budget Drainer</v>
      </c>
      <c r="AK383" s="12">
        <f t="shared" si="4"/>
        <v>40</v>
      </c>
      <c r="AL383" s="12" t="str">
        <f t="shared" si="5"/>
        <v/>
      </c>
    </row>
    <row r="384" ht="15.75" customHeight="1">
      <c r="A384" s="10" t="s">
        <v>1052</v>
      </c>
      <c r="B384" s="10" t="s">
        <v>1053</v>
      </c>
      <c r="C384" s="10" t="s">
        <v>215</v>
      </c>
      <c r="D384" s="10" t="s">
        <v>118</v>
      </c>
      <c r="E384" s="10" t="s">
        <v>118</v>
      </c>
      <c r="F384" s="10" t="s">
        <v>117</v>
      </c>
      <c r="G384" s="10">
        <v>5.0</v>
      </c>
      <c r="H384" s="10">
        <v>7.0</v>
      </c>
      <c r="I384" s="10" t="s">
        <v>2140</v>
      </c>
      <c r="J384" s="10" t="s">
        <v>2136</v>
      </c>
      <c r="K384" s="10"/>
      <c r="L384" s="10">
        <v>43.0</v>
      </c>
      <c r="M384" s="10">
        <v>1.87</v>
      </c>
      <c r="N384" s="10"/>
      <c r="O384" s="10"/>
      <c r="P384" s="12">
        <f>IF($A384="","",IFERROR((IF($O384="",0,$O384)*Settings!$J$4+IF($L384="",0,$L384)*Settings!$J$5+IF($N384="",0,$N384)*Settings!$J$6)/(IF($O384="",0,Settings!$J$4)+IF($L384="",0,Settings!$J$5)+IF($N384="",0,Settings!$J$6)),0))</f>
        <v>43</v>
      </c>
      <c r="Q384" s="12">
        <f t="array" ref="Q384">IF($A384="","",XLOOKUP($E384,Settings!$A$19:$A$22,Settings!$G$19:$G$22,0))</f>
        <v>196.25</v>
      </c>
      <c r="R384" s="12">
        <f t="shared" si="1"/>
        <v>0</v>
      </c>
      <c r="S384" s="12">
        <f>IF($A384="","",IF($R384&lt;=0,1,1+$R384/SUMIF($R$4:$R$923,"&gt;0",$R$4:$R$923)*(Settings!$B$5*(Settings!$B$6-Settings!$B$7))))</f>
        <v>1</v>
      </c>
      <c r="T384" s="12">
        <f t="array" ref="T384">IF($A384="","",XLOOKUP($F384,Settings!$I$15:$I$20,Settings!$J$15:$J$20,1))</f>
        <v>0.75</v>
      </c>
      <c r="U384" s="12">
        <f>IF($A384="","",1+(($G384-5)/5)*Settings!$J$8)</f>
        <v>1</v>
      </c>
      <c r="V384" s="12">
        <f>IF($A384="","",1+(($H384-5)/5)*Settings!$J$9)</f>
        <v>1.06</v>
      </c>
      <c r="W384" s="12">
        <f t="array" ref="W384">IF($A384="","",XLOOKUP($J384,Lists!$C$3:$C$7,Lists!$D$3:$D$7,1))</f>
        <v>1</v>
      </c>
      <c r="X384" s="12">
        <f>IF($A384="","",IF($I384="Yes",Settings!$J$10,1))</f>
        <v>1</v>
      </c>
      <c r="Y384" s="12">
        <f t="shared" si="2"/>
        <v>1</v>
      </c>
      <c r="Z384" s="12">
        <f>IF($A384="","",IFERROR(ROUND(AVERAGEIFS('Historical Drafts'!$G$4:$G$300,'Historical Drafts'!$D$4:$D$300,$E384,'Historical Drafts'!$J$4:$J$300,"&gt;="&amp;$L384*0.85,'Historical Drafts'!$J$4:$J$300,"&lt;="&amp;$L384*1.15),0),$Y384))</f>
        <v>1</v>
      </c>
      <c r="AA384" s="12" t="str">
        <f>IF($A384="","",IF(COUNTIF('Auction Log'!$B$3:$B$300,$A384)&gt;0,"Sold","Available"))</f>
        <v>Available</v>
      </c>
      <c r="AB384" s="12" t="str">
        <f t="array" ref="AB384">IF($A384="","",IFERROR(XLOOKUP($A384,'Auction Log'!$B$3:$B$300,'Auction Log'!$G$3:$G$300,""),""))</f>
        <v/>
      </c>
      <c r="AC384" s="12" t="str">
        <f t="array" ref="AC384">IF($A384="","",IFERROR(XLOOKUP($A384,'Auction Log'!$B$3:$B$300,'Auction Log'!$F$3:$F$300,""),""))</f>
        <v/>
      </c>
      <c r="AD384" s="12">
        <f t="array" ref="AD384">IF($A384="","",ROUND($Y384*XLOOKUP($F384,Settings!$I$15:$I$20,Settings!$K$15:$K$20,0.4),0))</f>
        <v>0</v>
      </c>
      <c r="AE384" s="12">
        <f t="array" ref="AE384">IF($A384="","",ROUND($Y384*XLOOKUP($F384,Settings!$I$15:$I$20,Settings!$L$15:$L$20,0.8),0))</f>
        <v>1</v>
      </c>
      <c r="AF384" s="12">
        <f t="array" ref="AF384">IF($A384="","",ROUND($Y384*XLOOKUP($F384,Settings!$I$15:$I$20,Settings!$M$15:$M$20,1),0))</f>
        <v>1</v>
      </c>
      <c r="AG384" s="12">
        <f t="array" ref="AG384">IF($A384="","",ROUND($Y384*XLOOKUP($F384,Settings!$I$15:$I$20,Settings!$N$15:$N$20,1.1),0))</f>
        <v>1</v>
      </c>
      <c r="AH384" s="12">
        <f t="array" ref="AH384">IF($A384="","",ROUND($Y384*XLOOKUP($F384,Settings!$I$15:$I$20,Settings!$O$15:$O$20,1.1)*Settings!$J$7,0))</f>
        <v>1</v>
      </c>
      <c r="AI384" s="12">
        <f t="array" ref="AI384">IF($A384="","",IF($AA384="Sold","",MIN($AH384,IFERROR(XLOOKUP(Settings!$B$12,Managers!$B$4:$B$15,Managers!$H$4:$H$15),$AH384))))</f>
        <v>1</v>
      </c>
      <c r="AJ384" s="12" t="str">
        <f t="shared" si="3"/>
        <v>Recommended</v>
      </c>
      <c r="AK384" s="12">
        <f t="shared" si="4"/>
        <v>26</v>
      </c>
      <c r="AL384" s="12" t="str">
        <f t="shared" si="5"/>
        <v/>
      </c>
    </row>
    <row r="385" ht="15.75" customHeight="1">
      <c r="A385" s="10" t="s">
        <v>1054</v>
      </c>
      <c r="B385" s="10" t="s">
        <v>1055</v>
      </c>
      <c r="C385" s="10" t="s">
        <v>387</v>
      </c>
      <c r="D385" s="10" t="s">
        <v>118</v>
      </c>
      <c r="E385" s="10" t="s">
        <v>118</v>
      </c>
      <c r="F385" s="10" t="s">
        <v>117</v>
      </c>
      <c r="G385" s="10">
        <v>5.0</v>
      </c>
      <c r="H385" s="10">
        <v>7.0</v>
      </c>
      <c r="I385" s="10" t="s">
        <v>2140</v>
      </c>
      <c r="J385" s="10" t="s">
        <v>2136</v>
      </c>
      <c r="K385" s="10"/>
      <c r="L385" s="10">
        <v>41.75</v>
      </c>
      <c r="M385" s="10">
        <v>2.98</v>
      </c>
      <c r="N385" s="10"/>
      <c r="O385" s="10"/>
      <c r="P385" s="12">
        <f>IF($A385="","",IFERROR((IF($O385="",0,$O385)*Settings!$J$4+IF($L385="",0,$L385)*Settings!$J$5+IF($N385="",0,$N385)*Settings!$J$6)/(IF($O385="",0,Settings!$J$4)+IF($L385="",0,Settings!$J$5)+IF($N385="",0,Settings!$J$6)),0))</f>
        <v>41.75</v>
      </c>
      <c r="Q385" s="12">
        <f t="array" ref="Q385">IF($A385="","",XLOOKUP($E385,Settings!$A$19:$A$22,Settings!$G$19:$G$22,0))</f>
        <v>196.25</v>
      </c>
      <c r="R385" s="12">
        <f t="shared" si="1"/>
        <v>0</v>
      </c>
      <c r="S385" s="12">
        <f>IF($A385="","",IF($R385&lt;=0,1,1+$R385/SUMIF($R$4:$R$923,"&gt;0",$R$4:$R$923)*(Settings!$B$5*(Settings!$B$6-Settings!$B$7))))</f>
        <v>1</v>
      </c>
      <c r="T385" s="12">
        <f t="array" ref="T385">IF($A385="","",XLOOKUP($F385,Settings!$I$15:$I$20,Settings!$J$15:$J$20,1))</f>
        <v>0.75</v>
      </c>
      <c r="U385" s="12">
        <f>IF($A385="","",1+(($G385-5)/5)*Settings!$J$8)</f>
        <v>1</v>
      </c>
      <c r="V385" s="12">
        <f>IF($A385="","",1+(($H385-5)/5)*Settings!$J$9)</f>
        <v>1.06</v>
      </c>
      <c r="W385" s="12">
        <f t="array" ref="W385">IF($A385="","",XLOOKUP($J385,Lists!$C$3:$C$7,Lists!$D$3:$D$7,1))</f>
        <v>1</v>
      </c>
      <c r="X385" s="12">
        <f>IF($A385="","",IF($I385="Yes",Settings!$J$10,1))</f>
        <v>1</v>
      </c>
      <c r="Y385" s="12">
        <f t="shared" si="2"/>
        <v>1</v>
      </c>
      <c r="Z385" s="12">
        <f>IF($A385="","",IFERROR(ROUND(AVERAGEIFS('Historical Drafts'!$G$4:$G$300,'Historical Drafts'!$D$4:$D$300,$E385,'Historical Drafts'!$J$4:$J$300,"&gt;="&amp;$L385*0.85,'Historical Drafts'!$J$4:$J$300,"&lt;="&amp;$L385*1.15),0),$Y385))</f>
        <v>1</v>
      </c>
      <c r="AA385" s="12" t="str">
        <f>IF($A385="","",IF(COUNTIF('Auction Log'!$B$3:$B$300,$A385)&gt;0,"Sold","Available"))</f>
        <v>Available</v>
      </c>
      <c r="AB385" s="12" t="str">
        <f t="array" ref="AB385">IF($A385="","",IFERROR(XLOOKUP($A385,'Auction Log'!$B$3:$B$300,'Auction Log'!$G$3:$G$300,""),""))</f>
        <v/>
      </c>
      <c r="AC385" s="12" t="str">
        <f t="array" ref="AC385">IF($A385="","",IFERROR(XLOOKUP($A385,'Auction Log'!$B$3:$B$300,'Auction Log'!$F$3:$F$300,""),""))</f>
        <v/>
      </c>
      <c r="AD385" s="12">
        <f t="array" ref="AD385">IF($A385="","",ROUND($Y385*XLOOKUP($F385,Settings!$I$15:$I$20,Settings!$K$15:$K$20,0.4),0))</f>
        <v>0</v>
      </c>
      <c r="AE385" s="12">
        <f t="array" ref="AE385">IF($A385="","",ROUND($Y385*XLOOKUP($F385,Settings!$I$15:$I$20,Settings!$L$15:$L$20,0.8),0))</f>
        <v>1</v>
      </c>
      <c r="AF385" s="12">
        <f t="array" ref="AF385">IF($A385="","",ROUND($Y385*XLOOKUP($F385,Settings!$I$15:$I$20,Settings!$M$15:$M$20,1),0))</f>
        <v>1</v>
      </c>
      <c r="AG385" s="12">
        <f t="array" ref="AG385">IF($A385="","",ROUND($Y385*XLOOKUP($F385,Settings!$I$15:$I$20,Settings!$N$15:$N$20,1.1),0))</f>
        <v>1</v>
      </c>
      <c r="AH385" s="12">
        <f t="array" ref="AH385">IF($A385="","",ROUND($Y385*XLOOKUP($F385,Settings!$I$15:$I$20,Settings!$O$15:$O$20,1.1)*Settings!$J$7,0))</f>
        <v>1</v>
      </c>
      <c r="AI385" s="12">
        <f t="array" ref="AI385">IF($A385="","",IF($AA385="Sold","",MIN($AH385,IFERROR(XLOOKUP(Settings!$B$12,Managers!$B$4:$B$15,Managers!$H$4:$H$15),$AH385))))</f>
        <v>1</v>
      </c>
      <c r="AJ385" s="12" t="str">
        <f t="shared" si="3"/>
        <v>Recommended</v>
      </c>
      <c r="AK385" s="12">
        <f t="shared" si="4"/>
        <v>26</v>
      </c>
      <c r="AL385" s="12" t="str">
        <f t="shared" si="5"/>
        <v/>
      </c>
    </row>
    <row r="386" ht="15.75" customHeight="1">
      <c r="A386" s="10" t="s">
        <v>1056</v>
      </c>
      <c r="B386" s="10" t="s">
        <v>1057</v>
      </c>
      <c r="C386" s="10" t="s">
        <v>215</v>
      </c>
      <c r="D386" s="10" t="s">
        <v>118</v>
      </c>
      <c r="E386" s="10" t="s">
        <v>118</v>
      </c>
      <c r="F386" s="10" t="s">
        <v>117</v>
      </c>
      <c r="G386" s="10">
        <v>5.0</v>
      </c>
      <c r="H386" s="10">
        <v>7.0</v>
      </c>
      <c r="I386" s="10" t="s">
        <v>2140</v>
      </c>
      <c r="J386" s="10" t="s">
        <v>2136</v>
      </c>
      <c r="K386" s="10"/>
      <c r="L386" s="10">
        <v>38.5</v>
      </c>
      <c r="M386" s="10">
        <v>1.83</v>
      </c>
      <c r="N386" s="10"/>
      <c r="O386" s="10"/>
      <c r="P386" s="12">
        <f>IF($A386="","",IFERROR((IF($O386="",0,$O386)*Settings!$J$4+IF($L386="",0,$L386)*Settings!$J$5+IF($N386="",0,$N386)*Settings!$J$6)/(IF($O386="",0,Settings!$J$4)+IF($L386="",0,Settings!$J$5)+IF($N386="",0,Settings!$J$6)),0))</f>
        <v>38.5</v>
      </c>
      <c r="Q386" s="12">
        <f t="array" ref="Q386">IF($A386="","",XLOOKUP($E386,Settings!$A$19:$A$22,Settings!$G$19:$G$22,0))</f>
        <v>196.25</v>
      </c>
      <c r="R386" s="12">
        <f t="shared" si="1"/>
        <v>0</v>
      </c>
      <c r="S386" s="12">
        <f>IF($A386="","",IF($R386&lt;=0,1,1+$R386/SUMIF($R$4:$R$923,"&gt;0",$R$4:$R$923)*(Settings!$B$5*(Settings!$B$6-Settings!$B$7))))</f>
        <v>1</v>
      </c>
      <c r="T386" s="12">
        <f t="array" ref="T386">IF($A386="","",XLOOKUP($F386,Settings!$I$15:$I$20,Settings!$J$15:$J$20,1))</f>
        <v>0.75</v>
      </c>
      <c r="U386" s="12">
        <f>IF($A386="","",1+(($G386-5)/5)*Settings!$J$8)</f>
        <v>1</v>
      </c>
      <c r="V386" s="12">
        <f>IF($A386="","",1+(($H386-5)/5)*Settings!$J$9)</f>
        <v>1.06</v>
      </c>
      <c r="W386" s="12">
        <f t="array" ref="W386">IF($A386="","",XLOOKUP($J386,Lists!$C$3:$C$7,Lists!$D$3:$D$7,1))</f>
        <v>1</v>
      </c>
      <c r="X386" s="12">
        <f>IF($A386="","",IF($I386="Yes",Settings!$J$10,1))</f>
        <v>1</v>
      </c>
      <c r="Y386" s="12">
        <f t="shared" si="2"/>
        <v>1</v>
      </c>
      <c r="Z386" s="12">
        <f>IF($A386="","",IFERROR(ROUND(AVERAGEIFS('Historical Drafts'!$G$4:$G$300,'Historical Drafts'!$D$4:$D$300,$E386,'Historical Drafts'!$J$4:$J$300,"&gt;="&amp;$L386*0.85,'Historical Drafts'!$J$4:$J$300,"&lt;="&amp;$L386*1.15),0),$Y386))</f>
        <v>1</v>
      </c>
      <c r="AA386" s="12" t="str">
        <f>IF($A386="","",IF(COUNTIF('Auction Log'!$B$3:$B$300,$A386)&gt;0,"Sold","Available"))</f>
        <v>Available</v>
      </c>
      <c r="AB386" s="12" t="str">
        <f t="array" ref="AB386">IF($A386="","",IFERROR(XLOOKUP($A386,'Auction Log'!$B$3:$B$300,'Auction Log'!$G$3:$G$300,""),""))</f>
        <v/>
      </c>
      <c r="AC386" s="12" t="str">
        <f t="array" ref="AC386">IF($A386="","",IFERROR(XLOOKUP($A386,'Auction Log'!$B$3:$B$300,'Auction Log'!$F$3:$F$300,""),""))</f>
        <v/>
      </c>
      <c r="AD386" s="12">
        <f t="array" ref="AD386">IF($A386="","",ROUND($Y386*XLOOKUP($F386,Settings!$I$15:$I$20,Settings!$K$15:$K$20,0.4),0))</f>
        <v>0</v>
      </c>
      <c r="AE386" s="12">
        <f t="array" ref="AE386">IF($A386="","",ROUND($Y386*XLOOKUP($F386,Settings!$I$15:$I$20,Settings!$L$15:$L$20,0.8),0))</f>
        <v>1</v>
      </c>
      <c r="AF386" s="12">
        <f t="array" ref="AF386">IF($A386="","",ROUND($Y386*XLOOKUP($F386,Settings!$I$15:$I$20,Settings!$M$15:$M$20,1),0))</f>
        <v>1</v>
      </c>
      <c r="AG386" s="12">
        <f t="array" ref="AG386">IF($A386="","",ROUND($Y386*XLOOKUP($F386,Settings!$I$15:$I$20,Settings!$N$15:$N$20,1.1),0))</f>
        <v>1</v>
      </c>
      <c r="AH386" s="12">
        <f t="array" ref="AH386">IF($A386="","",ROUND($Y386*XLOOKUP($F386,Settings!$I$15:$I$20,Settings!$O$15:$O$20,1.1)*Settings!$J$7,0))</f>
        <v>1</v>
      </c>
      <c r="AI386" s="12">
        <f t="array" ref="AI386">IF($A386="","",IF($AA386="Sold","",MIN($AH386,IFERROR(XLOOKUP(Settings!$B$12,Managers!$B$4:$B$15,Managers!$H$4:$H$15),$AH386))))</f>
        <v>1</v>
      </c>
      <c r="AJ386" s="12" t="str">
        <f t="shared" si="3"/>
        <v>Recommended</v>
      </c>
      <c r="AK386" s="12">
        <f t="shared" si="4"/>
        <v>26</v>
      </c>
      <c r="AL386" s="12" t="str">
        <f t="shared" si="5"/>
        <v/>
      </c>
    </row>
    <row r="387" ht="15.75" customHeight="1">
      <c r="A387" s="10" t="s">
        <v>1058</v>
      </c>
      <c r="B387" s="10" t="s">
        <v>1059</v>
      </c>
      <c r="C387" s="10" t="s">
        <v>1060</v>
      </c>
      <c r="D387" s="10" t="s">
        <v>123</v>
      </c>
      <c r="E387" s="10" t="s">
        <v>123</v>
      </c>
      <c r="F387" s="10" t="s">
        <v>117</v>
      </c>
      <c r="G387" s="10">
        <v>5.0</v>
      </c>
      <c r="H387" s="10">
        <v>7.0</v>
      </c>
      <c r="I387" s="10" t="s">
        <v>2140</v>
      </c>
      <c r="J387" s="10" t="s">
        <v>2136</v>
      </c>
      <c r="K387" s="10"/>
      <c r="L387" s="10">
        <v>38.0</v>
      </c>
      <c r="M387" s="10">
        <v>3.17</v>
      </c>
      <c r="N387" s="10"/>
      <c r="O387" s="10"/>
      <c r="P387" s="12">
        <f>IF($A387="","",IFERROR((IF($O387="",0,$O387)*Settings!$J$4+IF($L387="",0,$L387)*Settings!$J$5+IF($N387="",0,$N387)*Settings!$J$6)/(IF($O387="",0,Settings!$J$4)+IF($L387="",0,Settings!$J$5)+IF($N387="",0,Settings!$J$6)),0))</f>
        <v>38</v>
      </c>
      <c r="Q387" s="12">
        <f t="array" ref="Q387">IF($A387="","",XLOOKUP($E387,Settings!$A$19:$A$22,Settings!$G$19:$G$22,0))</f>
        <v>203</v>
      </c>
      <c r="R387" s="12">
        <f t="shared" si="1"/>
        <v>0</v>
      </c>
      <c r="S387" s="12">
        <f>IF($A387="","",IF($R387&lt;=0,1,1+$R387/SUMIF($R$4:$R$923,"&gt;0",$R$4:$R$923)*(Settings!$B$5*(Settings!$B$6-Settings!$B$7))))</f>
        <v>1</v>
      </c>
      <c r="T387" s="12">
        <f t="array" ref="T387">IF($A387="","",XLOOKUP($F387,Settings!$I$15:$I$20,Settings!$J$15:$J$20,1))</f>
        <v>0.75</v>
      </c>
      <c r="U387" s="12">
        <f>IF($A387="","",1+(($G387-5)/5)*Settings!$J$8)</f>
        <v>1</v>
      </c>
      <c r="V387" s="12">
        <f>IF($A387="","",1+(($H387-5)/5)*Settings!$J$9)</f>
        <v>1.06</v>
      </c>
      <c r="W387" s="12">
        <f t="array" ref="W387">IF($A387="","",XLOOKUP($J387,Lists!$C$3:$C$7,Lists!$D$3:$D$7,1))</f>
        <v>1</v>
      </c>
      <c r="X387" s="12">
        <f>IF($A387="","",IF($I387="Yes",Settings!$J$10,1))</f>
        <v>1</v>
      </c>
      <c r="Y387" s="12">
        <f t="shared" si="2"/>
        <v>1</v>
      </c>
      <c r="Z387" s="12">
        <f>IF($A387="","",IFERROR(ROUND(AVERAGEIFS('Historical Drafts'!$G$4:$G$300,'Historical Drafts'!$D$4:$D$300,$E387,'Historical Drafts'!$J$4:$J$300,"&gt;="&amp;$L387*0.85,'Historical Drafts'!$J$4:$J$300,"&lt;="&amp;$L387*1.15),0),$Y387))</f>
        <v>8</v>
      </c>
      <c r="AA387" s="12" t="str">
        <f>IF($A387="","",IF(COUNTIF('Auction Log'!$B$3:$B$300,$A387)&gt;0,"Sold","Available"))</f>
        <v>Available</v>
      </c>
      <c r="AB387" s="12" t="str">
        <f t="array" ref="AB387">IF($A387="","",IFERROR(XLOOKUP($A387,'Auction Log'!$B$3:$B$300,'Auction Log'!$G$3:$G$300,""),""))</f>
        <v/>
      </c>
      <c r="AC387" s="12" t="str">
        <f t="array" ref="AC387">IF($A387="","",IFERROR(XLOOKUP($A387,'Auction Log'!$B$3:$B$300,'Auction Log'!$F$3:$F$300,""),""))</f>
        <v/>
      </c>
      <c r="AD387" s="12">
        <f t="array" ref="AD387">IF($A387="","",ROUND($Y387*XLOOKUP($F387,Settings!$I$15:$I$20,Settings!$K$15:$K$20,0.4),0))</f>
        <v>0</v>
      </c>
      <c r="AE387" s="12">
        <f t="array" ref="AE387">IF($A387="","",ROUND($Y387*XLOOKUP($F387,Settings!$I$15:$I$20,Settings!$L$15:$L$20,0.8),0))</f>
        <v>1</v>
      </c>
      <c r="AF387" s="12">
        <f t="array" ref="AF387">IF($A387="","",ROUND($Y387*XLOOKUP($F387,Settings!$I$15:$I$20,Settings!$M$15:$M$20,1),0))</f>
        <v>1</v>
      </c>
      <c r="AG387" s="12">
        <f t="array" ref="AG387">IF($A387="","",ROUND($Y387*XLOOKUP($F387,Settings!$I$15:$I$20,Settings!$N$15:$N$20,1.1),0))</f>
        <v>1</v>
      </c>
      <c r="AH387" s="12">
        <f t="array" ref="AH387">IF($A387="","",ROUND($Y387*XLOOKUP($F387,Settings!$I$15:$I$20,Settings!$O$15:$O$20,1.1)*Settings!$J$7,0))</f>
        <v>1</v>
      </c>
      <c r="AI387" s="12">
        <f t="array" ref="AI387">IF($A387="","",IF($AA387="Sold","",MIN($AH387,IFERROR(XLOOKUP(Settings!$B$12,Managers!$B$4:$B$15,Managers!$H$4:$H$15),$AH387))))</f>
        <v>1</v>
      </c>
      <c r="AJ387" s="12" t="str">
        <f t="shared" si="3"/>
        <v>Budget Drainer</v>
      </c>
      <c r="AK387" s="12">
        <f t="shared" si="4"/>
        <v>33</v>
      </c>
      <c r="AL387" s="12" t="str">
        <f t="shared" si="5"/>
        <v/>
      </c>
    </row>
    <row r="388" ht="15.75" customHeight="1">
      <c r="A388" s="10" t="s">
        <v>1061</v>
      </c>
      <c r="B388" s="10" t="s">
        <v>1062</v>
      </c>
      <c r="C388" s="10" t="s">
        <v>221</v>
      </c>
      <c r="D388" s="10" t="s">
        <v>118</v>
      </c>
      <c r="E388" s="10" t="s">
        <v>118</v>
      </c>
      <c r="F388" s="10" t="s">
        <v>117</v>
      </c>
      <c r="G388" s="10">
        <v>5.0</v>
      </c>
      <c r="H388" s="10">
        <v>7.0</v>
      </c>
      <c r="I388" s="10" t="s">
        <v>2140</v>
      </c>
      <c r="J388" s="10" t="s">
        <v>2136</v>
      </c>
      <c r="K388" s="10"/>
      <c r="L388" s="10">
        <v>37.75</v>
      </c>
      <c r="M388" s="10">
        <v>3.77</v>
      </c>
      <c r="N388" s="10"/>
      <c r="O388" s="10"/>
      <c r="P388" s="12">
        <f>IF($A388="","",IFERROR((IF($O388="",0,$O388)*Settings!$J$4+IF($L388="",0,$L388)*Settings!$J$5+IF($N388="",0,$N388)*Settings!$J$6)/(IF($O388="",0,Settings!$J$4)+IF($L388="",0,Settings!$J$5)+IF($N388="",0,Settings!$J$6)),0))</f>
        <v>37.75</v>
      </c>
      <c r="Q388" s="12">
        <f t="array" ref="Q388">IF($A388="","",XLOOKUP($E388,Settings!$A$19:$A$22,Settings!$G$19:$G$22,0))</f>
        <v>196.25</v>
      </c>
      <c r="R388" s="12">
        <f t="shared" si="1"/>
        <v>0</v>
      </c>
      <c r="S388" s="12">
        <f>IF($A388="","",IF($R388&lt;=0,1,1+$R388/SUMIF($R$4:$R$923,"&gt;0",$R$4:$R$923)*(Settings!$B$5*(Settings!$B$6-Settings!$B$7))))</f>
        <v>1</v>
      </c>
      <c r="T388" s="12">
        <f t="array" ref="T388">IF($A388="","",XLOOKUP($F388,Settings!$I$15:$I$20,Settings!$J$15:$J$20,1))</f>
        <v>0.75</v>
      </c>
      <c r="U388" s="12">
        <f>IF($A388="","",1+(($G388-5)/5)*Settings!$J$8)</f>
        <v>1</v>
      </c>
      <c r="V388" s="12">
        <f>IF($A388="","",1+(($H388-5)/5)*Settings!$J$9)</f>
        <v>1.06</v>
      </c>
      <c r="W388" s="12">
        <f t="array" ref="W388">IF($A388="","",XLOOKUP($J388,Lists!$C$3:$C$7,Lists!$D$3:$D$7,1))</f>
        <v>1</v>
      </c>
      <c r="X388" s="12">
        <f>IF($A388="","",IF($I388="Yes",Settings!$J$10,1))</f>
        <v>1</v>
      </c>
      <c r="Y388" s="12">
        <f t="shared" si="2"/>
        <v>1</v>
      </c>
      <c r="Z388" s="12">
        <f>IF($A388="","",IFERROR(ROUND(AVERAGEIFS('Historical Drafts'!$G$4:$G$300,'Historical Drafts'!$D$4:$D$300,$E388,'Historical Drafts'!$J$4:$J$300,"&gt;="&amp;$L388*0.85,'Historical Drafts'!$J$4:$J$300,"&lt;="&amp;$L388*1.15),0),$Y388))</f>
        <v>1</v>
      </c>
      <c r="AA388" s="12" t="str">
        <f>IF($A388="","",IF(COUNTIF('Auction Log'!$B$3:$B$300,$A388)&gt;0,"Sold","Available"))</f>
        <v>Available</v>
      </c>
      <c r="AB388" s="12" t="str">
        <f t="array" ref="AB388">IF($A388="","",IFERROR(XLOOKUP($A388,'Auction Log'!$B$3:$B$300,'Auction Log'!$G$3:$G$300,""),""))</f>
        <v/>
      </c>
      <c r="AC388" s="12" t="str">
        <f t="array" ref="AC388">IF($A388="","",IFERROR(XLOOKUP($A388,'Auction Log'!$B$3:$B$300,'Auction Log'!$F$3:$F$300,""),""))</f>
        <v/>
      </c>
      <c r="AD388" s="12">
        <f t="array" ref="AD388">IF($A388="","",ROUND($Y388*XLOOKUP($F388,Settings!$I$15:$I$20,Settings!$K$15:$K$20,0.4),0))</f>
        <v>0</v>
      </c>
      <c r="AE388" s="12">
        <f t="array" ref="AE388">IF($A388="","",ROUND($Y388*XLOOKUP($F388,Settings!$I$15:$I$20,Settings!$L$15:$L$20,0.8),0))</f>
        <v>1</v>
      </c>
      <c r="AF388" s="12">
        <f t="array" ref="AF388">IF($A388="","",ROUND($Y388*XLOOKUP($F388,Settings!$I$15:$I$20,Settings!$M$15:$M$20,1),0))</f>
        <v>1</v>
      </c>
      <c r="AG388" s="12">
        <f t="array" ref="AG388">IF($A388="","",ROUND($Y388*XLOOKUP($F388,Settings!$I$15:$I$20,Settings!$N$15:$N$20,1.1),0))</f>
        <v>1</v>
      </c>
      <c r="AH388" s="12">
        <f t="array" ref="AH388">IF($A388="","",ROUND($Y388*XLOOKUP($F388,Settings!$I$15:$I$20,Settings!$O$15:$O$20,1.1)*Settings!$J$7,0))</f>
        <v>1</v>
      </c>
      <c r="AI388" s="12">
        <f t="array" ref="AI388">IF($A388="","",IF($AA388="Sold","",MIN($AH388,IFERROR(XLOOKUP(Settings!$B$12,Managers!$B$4:$B$15,Managers!$H$4:$H$15),$AH388))))</f>
        <v>1</v>
      </c>
      <c r="AJ388" s="12" t="str">
        <f t="shared" si="3"/>
        <v>Recommended</v>
      </c>
      <c r="AK388" s="12">
        <f t="shared" si="4"/>
        <v>26</v>
      </c>
      <c r="AL388" s="12" t="str">
        <f t="shared" si="5"/>
        <v/>
      </c>
    </row>
    <row r="389" ht="15.75" customHeight="1">
      <c r="A389" s="10" t="s">
        <v>270</v>
      </c>
      <c r="B389" s="10" t="s">
        <v>271</v>
      </c>
      <c r="C389" s="10" t="s">
        <v>272</v>
      </c>
      <c r="D389" s="10" t="s">
        <v>123</v>
      </c>
      <c r="E389" s="10" t="s">
        <v>123</v>
      </c>
      <c r="F389" s="10" t="s">
        <v>117</v>
      </c>
      <c r="G389" s="10">
        <v>5.0</v>
      </c>
      <c r="H389" s="10">
        <v>7.0</v>
      </c>
      <c r="I389" s="10" t="s">
        <v>2140</v>
      </c>
      <c r="J389" s="10" t="s">
        <v>2136</v>
      </c>
      <c r="K389" s="10"/>
      <c r="L389" s="10">
        <v>37.5</v>
      </c>
      <c r="M389" s="10">
        <v>1.97</v>
      </c>
      <c r="N389" s="10"/>
      <c r="O389" s="10"/>
      <c r="P389" s="12">
        <f>IF($A389="","",IFERROR((IF($O389="",0,$O389)*Settings!$J$4+IF($L389="",0,$L389)*Settings!$J$5+IF($N389="",0,$N389)*Settings!$J$6)/(IF($O389="",0,Settings!$J$4)+IF($L389="",0,Settings!$J$5)+IF($N389="",0,Settings!$J$6)),0))</f>
        <v>37.5</v>
      </c>
      <c r="Q389" s="12">
        <f t="array" ref="Q389">IF($A389="","",XLOOKUP($E389,Settings!$A$19:$A$22,Settings!$G$19:$G$22,0))</f>
        <v>203</v>
      </c>
      <c r="R389" s="12">
        <f t="shared" si="1"/>
        <v>0</v>
      </c>
      <c r="S389" s="12">
        <f>IF($A389="","",IF($R389&lt;=0,1,1+$R389/SUMIF($R$4:$R$923,"&gt;0",$R$4:$R$923)*(Settings!$B$5*(Settings!$B$6-Settings!$B$7))))</f>
        <v>1</v>
      </c>
      <c r="T389" s="12">
        <f t="array" ref="T389">IF($A389="","",XLOOKUP($F389,Settings!$I$15:$I$20,Settings!$J$15:$J$20,1))</f>
        <v>0.75</v>
      </c>
      <c r="U389" s="12">
        <f>IF($A389="","",1+(($G389-5)/5)*Settings!$J$8)</f>
        <v>1</v>
      </c>
      <c r="V389" s="12">
        <f>IF($A389="","",1+(($H389-5)/5)*Settings!$J$9)</f>
        <v>1.06</v>
      </c>
      <c r="W389" s="12">
        <f t="array" ref="W389">IF($A389="","",XLOOKUP($J389,Lists!$C$3:$C$7,Lists!$D$3:$D$7,1))</f>
        <v>1</v>
      </c>
      <c r="X389" s="12">
        <f>IF($A389="","",IF($I389="Yes",Settings!$J$10,1))</f>
        <v>1</v>
      </c>
      <c r="Y389" s="12">
        <f t="shared" si="2"/>
        <v>1</v>
      </c>
      <c r="Z389" s="12">
        <f>IF($A389="","",IFERROR(ROUND(AVERAGEIFS('Historical Drafts'!$G$4:$G$300,'Historical Drafts'!$D$4:$D$300,$E389,'Historical Drafts'!$J$4:$J$300,"&gt;="&amp;$L389*0.85,'Historical Drafts'!$J$4:$J$300,"&lt;="&amp;$L389*1.15),0),$Y389))</f>
        <v>8</v>
      </c>
      <c r="AA389" s="12" t="str">
        <f>IF($A389="","",IF(COUNTIF('Auction Log'!$B$3:$B$300,$A389)&gt;0,"Sold","Available"))</f>
        <v>Available</v>
      </c>
      <c r="AB389" s="12" t="str">
        <f t="array" ref="AB389">IF($A389="","",IFERROR(XLOOKUP($A389,'Auction Log'!$B$3:$B$300,'Auction Log'!$G$3:$G$300,""),""))</f>
        <v/>
      </c>
      <c r="AC389" s="12" t="str">
        <f t="array" ref="AC389">IF($A389="","",IFERROR(XLOOKUP($A389,'Auction Log'!$B$3:$B$300,'Auction Log'!$F$3:$F$300,""),""))</f>
        <v/>
      </c>
      <c r="AD389" s="12">
        <f t="array" ref="AD389">IF($A389="","",ROUND($Y389*XLOOKUP($F389,Settings!$I$15:$I$20,Settings!$K$15:$K$20,0.4),0))</f>
        <v>0</v>
      </c>
      <c r="AE389" s="12">
        <f t="array" ref="AE389">IF($A389="","",ROUND($Y389*XLOOKUP($F389,Settings!$I$15:$I$20,Settings!$L$15:$L$20,0.8),0))</f>
        <v>1</v>
      </c>
      <c r="AF389" s="12">
        <f t="array" ref="AF389">IF($A389="","",ROUND($Y389*XLOOKUP($F389,Settings!$I$15:$I$20,Settings!$M$15:$M$20,1),0))</f>
        <v>1</v>
      </c>
      <c r="AG389" s="12">
        <f t="array" ref="AG389">IF($A389="","",ROUND($Y389*XLOOKUP($F389,Settings!$I$15:$I$20,Settings!$N$15:$N$20,1.1),0))</f>
        <v>1</v>
      </c>
      <c r="AH389" s="12">
        <f t="array" ref="AH389">IF($A389="","",ROUND($Y389*XLOOKUP($F389,Settings!$I$15:$I$20,Settings!$O$15:$O$20,1.1)*Settings!$J$7,0))</f>
        <v>1</v>
      </c>
      <c r="AI389" s="12">
        <f t="array" ref="AI389">IF($A389="","",IF($AA389="Sold","",MIN($AH389,IFERROR(XLOOKUP(Settings!$B$12,Managers!$B$4:$B$15,Managers!$H$4:$H$15),$AH389))))</f>
        <v>1</v>
      </c>
      <c r="AJ389" s="12" t="str">
        <f t="shared" si="3"/>
        <v>Budget Drainer</v>
      </c>
      <c r="AK389" s="12">
        <f t="shared" si="4"/>
        <v>33</v>
      </c>
      <c r="AL389" s="12" t="str">
        <f t="shared" si="5"/>
        <v/>
      </c>
    </row>
    <row r="390" ht="15.75" customHeight="1">
      <c r="A390" s="10" t="s">
        <v>1063</v>
      </c>
      <c r="B390" s="10" t="s">
        <v>1064</v>
      </c>
      <c r="C390" s="10" t="s">
        <v>453</v>
      </c>
      <c r="D390" s="10" t="s">
        <v>118</v>
      </c>
      <c r="E390" s="10" t="s">
        <v>118</v>
      </c>
      <c r="F390" s="10" t="s">
        <v>117</v>
      </c>
      <c r="G390" s="10">
        <v>5.0</v>
      </c>
      <c r="H390" s="10">
        <v>7.0</v>
      </c>
      <c r="I390" s="10" t="s">
        <v>2140</v>
      </c>
      <c r="J390" s="10" t="s">
        <v>2136</v>
      </c>
      <c r="K390" s="10"/>
      <c r="L390" s="10">
        <v>35.0</v>
      </c>
      <c r="M390" s="10">
        <v>2.92</v>
      </c>
      <c r="N390" s="10"/>
      <c r="O390" s="10"/>
      <c r="P390" s="12">
        <f>IF($A390="","",IFERROR((IF($O390="",0,$O390)*Settings!$J$4+IF($L390="",0,$L390)*Settings!$J$5+IF($N390="",0,$N390)*Settings!$J$6)/(IF($O390="",0,Settings!$J$4)+IF($L390="",0,Settings!$J$5)+IF($N390="",0,Settings!$J$6)),0))</f>
        <v>35</v>
      </c>
      <c r="Q390" s="12">
        <f t="array" ref="Q390">IF($A390="","",XLOOKUP($E390,Settings!$A$19:$A$22,Settings!$G$19:$G$22,0))</f>
        <v>196.25</v>
      </c>
      <c r="R390" s="12">
        <f t="shared" si="1"/>
        <v>0</v>
      </c>
      <c r="S390" s="12">
        <f>IF($A390="","",IF($R390&lt;=0,1,1+$R390/SUMIF($R$4:$R$923,"&gt;0",$R$4:$R$923)*(Settings!$B$5*(Settings!$B$6-Settings!$B$7))))</f>
        <v>1</v>
      </c>
      <c r="T390" s="12">
        <f t="array" ref="T390">IF($A390="","",XLOOKUP($F390,Settings!$I$15:$I$20,Settings!$J$15:$J$20,1))</f>
        <v>0.75</v>
      </c>
      <c r="U390" s="12">
        <f>IF($A390="","",1+(($G390-5)/5)*Settings!$J$8)</f>
        <v>1</v>
      </c>
      <c r="V390" s="12">
        <f>IF($A390="","",1+(($H390-5)/5)*Settings!$J$9)</f>
        <v>1.06</v>
      </c>
      <c r="W390" s="12">
        <f t="array" ref="W390">IF($A390="","",XLOOKUP($J390,Lists!$C$3:$C$7,Lists!$D$3:$D$7,1))</f>
        <v>1</v>
      </c>
      <c r="X390" s="12">
        <f>IF($A390="","",IF($I390="Yes",Settings!$J$10,1))</f>
        <v>1</v>
      </c>
      <c r="Y390" s="12">
        <f t="shared" si="2"/>
        <v>1</v>
      </c>
      <c r="Z390" s="12">
        <f>IF($A390="","",IFERROR(ROUND(AVERAGEIFS('Historical Drafts'!$G$4:$G$300,'Historical Drafts'!$D$4:$D$300,$E390,'Historical Drafts'!$J$4:$J$300,"&gt;="&amp;$L390*0.85,'Historical Drafts'!$J$4:$J$300,"&lt;="&amp;$L390*1.15),0),$Y390))</f>
        <v>1</v>
      </c>
      <c r="AA390" s="12" t="str">
        <f>IF($A390="","",IF(COUNTIF('Auction Log'!$B$3:$B$300,$A390)&gt;0,"Sold","Available"))</f>
        <v>Available</v>
      </c>
      <c r="AB390" s="12" t="str">
        <f t="array" ref="AB390">IF($A390="","",IFERROR(XLOOKUP($A390,'Auction Log'!$B$3:$B$300,'Auction Log'!$G$3:$G$300,""),""))</f>
        <v/>
      </c>
      <c r="AC390" s="12" t="str">
        <f t="array" ref="AC390">IF($A390="","",IFERROR(XLOOKUP($A390,'Auction Log'!$B$3:$B$300,'Auction Log'!$F$3:$F$300,""),""))</f>
        <v/>
      </c>
      <c r="AD390" s="12">
        <f t="array" ref="AD390">IF($A390="","",ROUND($Y390*XLOOKUP($F390,Settings!$I$15:$I$20,Settings!$K$15:$K$20,0.4),0))</f>
        <v>0</v>
      </c>
      <c r="AE390" s="12">
        <f t="array" ref="AE390">IF($A390="","",ROUND($Y390*XLOOKUP($F390,Settings!$I$15:$I$20,Settings!$L$15:$L$20,0.8),0))</f>
        <v>1</v>
      </c>
      <c r="AF390" s="12">
        <f t="array" ref="AF390">IF($A390="","",ROUND($Y390*XLOOKUP($F390,Settings!$I$15:$I$20,Settings!$M$15:$M$20,1),0))</f>
        <v>1</v>
      </c>
      <c r="AG390" s="12">
        <f t="array" ref="AG390">IF($A390="","",ROUND($Y390*XLOOKUP($F390,Settings!$I$15:$I$20,Settings!$N$15:$N$20,1.1),0))</f>
        <v>1</v>
      </c>
      <c r="AH390" s="12">
        <f t="array" ref="AH390">IF($A390="","",ROUND($Y390*XLOOKUP($F390,Settings!$I$15:$I$20,Settings!$O$15:$O$20,1.1)*Settings!$J$7,0))</f>
        <v>1</v>
      </c>
      <c r="AI390" s="12">
        <f t="array" ref="AI390">IF($A390="","",IF($AA390="Sold","",MIN($AH390,IFERROR(XLOOKUP(Settings!$B$12,Managers!$B$4:$B$15,Managers!$H$4:$H$15),$AH390))))</f>
        <v>1</v>
      </c>
      <c r="AJ390" s="12" t="str">
        <f t="shared" si="3"/>
        <v>Recommended</v>
      </c>
      <c r="AK390" s="12">
        <f t="shared" si="4"/>
        <v>26</v>
      </c>
      <c r="AL390" s="12" t="str">
        <f t="shared" si="5"/>
        <v/>
      </c>
    </row>
    <row r="391" ht="15.75" customHeight="1">
      <c r="A391" s="10" t="s">
        <v>1065</v>
      </c>
      <c r="B391" s="10" t="s">
        <v>1066</v>
      </c>
      <c r="C391" s="10" t="s">
        <v>257</v>
      </c>
      <c r="D391" s="10" t="s">
        <v>121</v>
      </c>
      <c r="E391" s="10" t="s">
        <v>121</v>
      </c>
      <c r="F391" s="10" t="s">
        <v>117</v>
      </c>
      <c r="G391" s="10">
        <v>5.0</v>
      </c>
      <c r="H391" s="10">
        <v>7.0</v>
      </c>
      <c r="I391" s="10" t="s">
        <v>2140</v>
      </c>
      <c r="J391" s="10" t="s">
        <v>2136</v>
      </c>
      <c r="K391" s="10"/>
      <c r="L391" s="10">
        <v>34.5</v>
      </c>
      <c r="M391" s="10">
        <v>2.65</v>
      </c>
      <c r="N391" s="10"/>
      <c r="O391" s="10"/>
      <c r="P391" s="12">
        <f>IF($A391="","",IFERROR((IF($O391="",0,$O391)*Settings!$J$4+IF($L391="",0,$L391)*Settings!$J$5+IF($N391="",0,$N391)*Settings!$J$6)/(IF($O391="",0,Settings!$J$4)+IF($L391="",0,Settings!$J$5)+IF($N391="",0,Settings!$J$6)),0))</f>
        <v>34.5</v>
      </c>
      <c r="Q391" s="12">
        <f t="array" ref="Q391">IF($A391="","",XLOOKUP($E391,Settings!$A$19:$A$22,Settings!$G$19:$G$22,0))</f>
        <v>206</v>
      </c>
      <c r="R391" s="12">
        <f t="shared" si="1"/>
        <v>0</v>
      </c>
      <c r="S391" s="12">
        <f>IF($A391="","",IF($R391&lt;=0,1,1+$R391/SUMIF($R$4:$R$923,"&gt;0",$R$4:$R$923)*(Settings!$B$5*(Settings!$B$6-Settings!$B$7))))</f>
        <v>1</v>
      </c>
      <c r="T391" s="12">
        <f t="array" ref="T391">IF($A391="","",XLOOKUP($F391,Settings!$I$15:$I$20,Settings!$J$15:$J$20,1))</f>
        <v>0.75</v>
      </c>
      <c r="U391" s="12">
        <f>IF($A391="","",1+(($G391-5)/5)*Settings!$J$8)</f>
        <v>1</v>
      </c>
      <c r="V391" s="12">
        <f>IF($A391="","",1+(($H391-5)/5)*Settings!$J$9)</f>
        <v>1.06</v>
      </c>
      <c r="W391" s="12">
        <f t="array" ref="W391">IF($A391="","",XLOOKUP($J391,Lists!$C$3:$C$7,Lists!$D$3:$D$7,1))</f>
        <v>1</v>
      </c>
      <c r="X391" s="12">
        <f>IF($A391="","",IF($I391="Yes",Settings!$J$10,1))</f>
        <v>1</v>
      </c>
      <c r="Y391" s="12">
        <f t="shared" si="2"/>
        <v>1</v>
      </c>
      <c r="Z391" s="12">
        <f>IF($A391="","",IFERROR(ROUND(AVERAGEIFS('Historical Drafts'!$G$4:$G$300,'Historical Drafts'!$D$4:$D$300,$E391,'Historical Drafts'!$J$4:$J$300,"&gt;="&amp;$L391*0.85,'Historical Drafts'!$J$4:$J$300,"&lt;="&amp;$L391*1.15),0),$Y391))</f>
        <v>1</v>
      </c>
      <c r="AA391" s="12" t="str">
        <f>IF($A391="","",IF(COUNTIF('Auction Log'!$B$3:$B$300,$A391)&gt;0,"Sold","Available"))</f>
        <v>Available</v>
      </c>
      <c r="AB391" s="12" t="str">
        <f t="array" ref="AB391">IF($A391="","",IFERROR(XLOOKUP($A391,'Auction Log'!$B$3:$B$300,'Auction Log'!$G$3:$G$300,""),""))</f>
        <v/>
      </c>
      <c r="AC391" s="12" t="str">
        <f t="array" ref="AC391">IF($A391="","",IFERROR(XLOOKUP($A391,'Auction Log'!$B$3:$B$300,'Auction Log'!$F$3:$F$300,""),""))</f>
        <v/>
      </c>
      <c r="AD391" s="12">
        <f t="array" ref="AD391">IF($A391="","",ROUND($Y391*XLOOKUP($F391,Settings!$I$15:$I$20,Settings!$K$15:$K$20,0.4),0))</f>
        <v>0</v>
      </c>
      <c r="AE391" s="12">
        <f t="array" ref="AE391">IF($A391="","",ROUND($Y391*XLOOKUP($F391,Settings!$I$15:$I$20,Settings!$L$15:$L$20,0.8),0))</f>
        <v>1</v>
      </c>
      <c r="AF391" s="12">
        <f t="array" ref="AF391">IF($A391="","",ROUND($Y391*XLOOKUP($F391,Settings!$I$15:$I$20,Settings!$M$15:$M$20,1),0))</f>
        <v>1</v>
      </c>
      <c r="AG391" s="12">
        <f t="array" ref="AG391">IF($A391="","",ROUND($Y391*XLOOKUP($F391,Settings!$I$15:$I$20,Settings!$N$15:$N$20,1.1),0))</f>
        <v>1</v>
      </c>
      <c r="AH391" s="12">
        <f t="array" ref="AH391">IF($A391="","",ROUND($Y391*XLOOKUP($F391,Settings!$I$15:$I$20,Settings!$O$15:$O$20,1.1)*Settings!$J$7,0))</f>
        <v>1</v>
      </c>
      <c r="AI391" s="12">
        <f t="array" ref="AI391">IF($A391="","",IF($AA391="Sold","",MIN($AH391,IFERROR(XLOOKUP(Settings!$B$12,Managers!$B$4:$B$15,Managers!$H$4:$H$15),$AH391))))</f>
        <v>1</v>
      </c>
      <c r="AJ391" s="12" t="str">
        <f t="shared" si="3"/>
        <v>Recommended</v>
      </c>
      <c r="AK391" s="12">
        <f t="shared" si="4"/>
        <v>26</v>
      </c>
      <c r="AL391" s="12" t="str">
        <f t="shared" si="5"/>
        <v/>
      </c>
    </row>
    <row r="392" ht="15.75" customHeight="1">
      <c r="A392" s="10" t="s">
        <v>1067</v>
      </c>
      <c r="B392" s="10" t="s">
        <v>1068</v>
      </c>
      <c r="C392" s="10" t="s">
        <v>243</v>
      </c>
      <c r="D392" s="10" t="s">
        <v>115</v>
      </c>
      <c r="E392" s="10" t="s">
        <v>115</v>
      </c>
      <c r="F392" s="10" t="s">
        <v>117</v>
      </c>
      <c r="G392" s="10">
        <v>5.0</v>
      </c>
      <c r="H392" s="10">
        <v>7.0</v>
      </c>
      <c r="I392" s="10" t="s">
        <v>2140</v>
      </c>
      <c r="J392" s="10" t="s">
        <v>2136</v>
      </c>
      <c r="K392" s="10"/>
      <c r="L392" s="10">
        <v>34.5</v>
      </c>
      <c r="M392" s="10">
        <v>4.93</v>
      </c>
      <c r="N392" s="10"/>
      <c r="O392" s="10"/>
      <c r="P392" s="12">
        <f>IF($A392="","",IFERROR((IF($O392="",0,$O392)*Settings!$J$4+IF($L392="",0,$L392)*Settings!$J$5+IF($N392="",0,$N392)*Settings!$J$6)/(IF($O392="",0,Settings!$J$4)+IF($L392="",0,Settings!$J$5)+IF($N392="",0,Settings!$J$6)),0))</f>
        <v>34.5</v>
      </c>
      <c r="Q392" s="12">
        <f t="array" ref="Q392">IF($A392="","",XLOOKUP($E392,Settings!$A$19:$A$22,Settings!$G$19:$G$22,0))</f>
        <v>249.25</v>
      </c>
      <c r="R392" s="12">
        <f t="shared" si="1"/>
        <v>0</v>
      </c>
      <c r="S392" s="12">
        <f>IF($A392="","",IF($R392&lt;=0,1,1+$R392/SUMIF($R$4:$R$923,"&gt;0",$R$4:$R$923)*(Settings!$B$5*(Settings!$B$6-Settings!$B$7))))</f>
        <v>1</v>
      </c>
      <c r="T392" s="12">
        <f t="array" ref="T392">IF($A392="","",XLOOKUP($F392,Settings!$I$15:$I$20,Settings!$J$15:$J$20,1))</f>
        <v>0.75</v>
      </c>
      <c r="U392" s="12">
        <f>IF($A392="","",1+(($G392-5)/5)*Settings!$J$8)</f>
        <v>1</v>
      </c>
      <c r="V392" s="12">
        <f>IF($A392="","",1+(($H392-5)/5)*Settings!$J$9)</f>
        <v>1.06</v>
      </c>
      <c r="W392" s="12">
        <f t="array" ref="W392">IF($A392="","",XLOOKUP($J392,Lists!$C$3:$C$7,Lists!$D$3:$D$7,1))</f>
        <v>1</v>
      </c>
      <c r="X392" s="12">
        <f>IF($A392="","",IF($I392="Yes",Settings!$J$10,1))</f>
        <v>1</v>
      </c>
      <c r="Y392" s="12">
        <f t="shared" si="2"/>
        <v>1</v>
      </c>
      <c r="Z392" s="12">
        <f>IF($A392="","",IFERROR(ROUND(AVERAGEIFS('Historical Drafts'!$G$4:$G$300,'Historical Drafts'!$D$4:$D$300,$E392,'Historical Drafts'!$J$4:$J$300,"&gt;="&amp;$L392*0.85,'Historical Drafts'!$J$4:$J$300,"&lt;="&amp;$L392*1.15),0),$Y392))</f>
        <v>1</v>
      </c>
      <c r="AA392" s="12" t="str">
        <f>IF($A392="","",IF(COUNTIF('Auction Log'!$B$3:$B$300,$A392)&gt;0,"Sold","Available"))</f>
        <v>Available</v>
      </c>
      <c r="AB392" s="12" t="str">
        <f t="array" ref="AB392">IF($A392="","",IFERROR(XLOOKUP($A392,'Auction Log'!$B$3:$B$300,'Auction Log'!$G$3:$G$300,""),""))</f>
        <v/>
      </c>
      <c r="AC392" s="12" t="str">
        <f t="array" ref="AC392">IF($A392="","",IFERROR(XLOOKUP($A392,'Auction Log'!$B$3:$B$300,'Auction Log'!$F$3:$F$300,""),""))</f>
        <v/>
      </c>
      <c r="AD392" s="12">
        <f t="array" ref="AD392">IF($A392="","",ROUND($Y392*XLOOKUP($F392,Settings!$I$15:$I$20,Settings!$K$15:$K$20,0.4),0))</f>
        <v>0</v>
      </c>
      <c r="AE392" s="12">
        <f t="array" ref="AE392">IF($A392="","",ROUND($Y392*XLOOKUP($F392,Settings!$I$15:$I$20,Settings!$L$15:$L$20,0.8),0))</f>
        <v>1</v>
      </c>
      <c r="AF392" s="12">
        <f t="array" ref="AF392">IF($A392="","",ROUND($Y392*XLOOKUP($F392,Settings!$I$15:$I$20,Settings!$M$15:$M$20,1),0))</f>
        <v>1</v>
      </c>
      <c r="AG392" s="12">
        <f t="array" ref="AG392">IF($A392="","",ROUND($Y392*XLOOKUP($F392,Settings!$I$15:$I$20,Settings!$N$15:$N$20,1.1),0))</f>
        <v>1</v>
      </c>
      <c r="AH392" s="12">
        <f t="array" ref="AH392">IF($A392="","",ROUND($Y392*XLOOKUP($F392,Settings!$I$15:$I$20,Settings!$O$15:$O$20,1.1)*Settings!$J$7,0))</f>
        <v>1</v>
      </c>
      <c r="AI392" s="12">
        <f t="array" ref="AI392">IF($A392="","",IF($AA392="Sold","",MIN($AH392,IFERROR(XLOOKUP(Settings!$B$12,Managers!$B$4:$B$15,Managers!$H$4:$H$15),$AH392))))</f>
        <v>1</v>
      </c>
      <c r="AJ392" s="12" t="str">
        <f t="shared" si="3"/>
        <v>Recommended</v>
      </c>
      <c r="AK392" s="12">
        <f t="shared" si="4"/>
        <v>26</v>
      </c>
      <c r="AL392" s="12" t="str">
        <f t="shared" si="5"/>
        <v/>
      </c>
    </row>
    <row r="393" ht="15.75" customHeight="1">
      <c r="A393" s="10" t="s">
        <v>1069</v>
      </c>
      <c r="B393" s="10" t="s">
        <v>1070</v>
      </c>
      <c r="C393" s="10" t="s">
        <v>221</v>
      </c>
      <c r="D393" s="10" t="s">
        <v>118</v>
      </c>
      <c r="E393" s="10" t="s">
        <v>118</v>
      </c>
      <c r="F393" s="10" t="s">
        <v>117</v>
      </c>
      <c r="G393" s="10">
        <v>5.0</v>
      </c>
      <c r="H393" s="10">
        <v>7.0</v>
      </c>
      <c r="I393" s="10" t="s">
        <v>2140</v>
      </c>
      <c r="J393" s="10" t="s">
        <v>2136</v>
      </c>
      <c r="K393" s="10"/>
      <c r="L393" s="10">
        <v>34.5</v>
      </c>
      <c r="M393" s="10">
        <v>3.83</v>
      </c>
      <c r="N393" s="10"/>
      <c r="O393" s="10"/>
      <c r="P393" s="12">
        <f>IF($A393="","",IFERROR((IF($O393="",0,$O393)*Settings!$J$4+IF($L393="",0,$L393)*Settings!$J$5+IF($N393="",0,$N393)*Settings!$J$6)/(IF($O393="",0,Settings!$J$4)+IF($L393="",0,Settings!$J$5)+IF($N393="",0,Settings!$J$6)),0))</f>
        <v>34.5</v>
      </c>
      <c r="Q393" s="12">
        <f t="array" ref="Q393">IF($A393="","",XLOOKUP($E393,Settings!$A$19:$A$22,Settings!$G$19:$G$22,0))</f>
        <v>196.25</v>
      </c>
      <c r="R393" s="12">
        <f t="shared" si="1"/>
        <v>0</v>
      </c>
      <c r="S393" s="12">
        <f>IF($A393="","",IF($R393&lt;=0,1,1+$R393/SUMIF($R$4:$R$923,"&gt;0",$R$4:$R$923)*(Settings!$B$5*(Settings!$B$6-Settings!$B$7))))</f>
        <v>1</v>
      </c>
      <c r="T393" s="12">
        <f t="array" ref="T393">IF($A393="","",XLOOKUP($F393,Settings!$I$15:$I$20,Settings!$J$15:$J$20,1))</f>
        <v>0.75</v>
      </c>
      <c r="U393" s="12">
        <f>IF($A393="","",1+(($G393-5)/5)*Settings!$J$8)</f>
        <v>1</v>
      </c>
      <c r="V393" s="12">
        <f>IF($A393="","",1+(($H393-5)/5)*Settings!$J$9)</f>
        <v>1.06</v>
      </c>
      <c r="W393" s="12">
        <f t="array" ref="W393">IF($A393="","",XLOOKUP($J393,Lists!$C$3:$C$7,Lists!$D$3:$D$7,1))</f>
        <v>1</v>
      </c>
      <c r="X393" s="12">
        <f>IF($A393="","",IF($I393="Yes",Settings!$J$10,1))</f>
        <v>1</v>
      </c>
      <c r="Y393" s="12">
        <f t="shared" si="2"/>
        <v>1</v>
      </c>
      <c r="Z393" s="12">
        <f>IF($A393="","",IFERROR(ROUND(AVERAGEIFS('Historical Drafts'!$G$4:$G$300,'Historical Drafts'!$D$4:$D$300,$E393,'Historical Drafts'!$J$4:$J$300,"&gt;="&amp;$L393*0.85,'Historical Drafts'!$J$4:$J$300,"&lt;="&amp;$L393*1.15),0),$Y393))</f>
        <v>1</v>
      </c>
      <c r="AA393" s="12" t="str">
        <f>IF($A393="","",IF(COUNTIF('Auction Log'!$B$3:$B$300,$A393)&gt;0,"Sold","Available"))</f>
        <v>Available</v>
      </c>
      <c r="AB393" s="12" t="str">
        <f t="array" ref="AB393">IF($A393="","",IFERROR(XLOOKUP($A393,'Auction Log'!$B$3:$B$300,'Auction Log'!$G$3:$G$300,""),""))</f>
        <v/>
      </c>
      <c r="AC393" s="12" t="str">
        <f t="array" ref="AC393">IF($A393="","",IFERROR(XLOOKUP($A393,'Auction Log'!$B$3:$B$300,'Auction Log'!$F$3:$F$300,""),""))</f>
        <v/>
      </c>
      <c r="AD393" s="12">
        <f t="array" ref="AD393">IF($A393="","",ROUND($Y393*XLOOKUP($F393,Settings!$I$15:$I$20,Settings!$K$15:$K$20,0.4),0))</f>
        <v>0</v>
      </c>
      <c r="AE393" s="12">
        <f t="array" ref="AE393">IF($A393="","",ROUND($Y393*XLOOKUP($F393,Settings!$I$15:$I$20,Settings!$L$15:$L$20,0.8),0))</f>
        <v>1</v>
      </c>
      <c r="AF393" s="12">
        <f t="array" ref="AF393">IF($A393="","",ROUND($Y393*XLOOKUP($F393,Settings!$I$15:$I$20,Settings!$M$15:$M$20,1),0))</f>
        <v>1</v>
      </c>
      <c r="AG393" s="12">
        <f t="array" ref="AG393">IF($A393="","",ROUND($Y393*XLOOKUP($F393,Settings!$I$15:$I$20,Settings!$N$15:$N$20,1.1),0))</f>
        <v>1</v>
      </c>
      <c r="AH393" s="12">
        <f t="array" ref="AH393">IF($A393="","",ROUND($Y393*XLOOKUP($F393,Settings!$I$15:$I$20,Settings!$O$15:$O$20,1.1)*Settings!$J$7,0))</f>
        <v>1</v>
      </c>
      <c r="AI393" s="12">
        <f t="array" ref="AI393">IF($A393="","",IF($AA393="Sold","",MIN($AH393,IFERROR(XLOOKUP(Settings!$B$12,Managers!$B$4:$B$15,Managers!$H$4:$H$15),$AH393))))</f>
        <v>1</v>
      </c>
      <c r="AJ393" s="12" t="str">
        <f t="shared" si="3"/>
        <v>Recommended</v>
      </c>
      <c r="AK393" s="12">
        <f t="shared" si="4"/>
        <v>26</v>
      </c>
      <c r="AL393" s="12" t="str">
        <f t="shared" si="5"/>
        <v/>
      </c>
    </row>
    <row r="394" ht="15.75" customHeight="1">
      <c r="A394" s="10" t="s">
        <v>1071</v>
      </c>
      <c r="B394" s="10" t="s">
        <v>1072</v>
      </c>
      <c r="C394" s="10" t="s">
        <v>314</v>
      </c>
      <c r="D394" s="10" t="s">
        <v>123</v>
      </c>
      <c r="E394" s="10" t="s">
        <v>123</v>
      </c>
      <c r="F394" s="10" t="s">
        <v>117</v>
      </c>
      <c r="G394" s="10">
        <v>5.0</v>
      </c>
      <c r="H394" s="10">
        <v>7.0</v>
      </c>
      <c r="I394" s="10" t="s">
        <v>2140</v>
      </c>
      <c r="J394" s="10" t="s">
        <v>2136</v>
      </c>
      <c r="K394" s="10"/>
      <c r="L394" s="10">
        <v>34.0</v>
      </c>
      <c r="M394" s="10">
        <v>4.25</v>
      </c>
      <c r="N394" s="10"/>
      <c r="O394" s="10"/>
      <c r="P394" s="12">
        <f>IF($A394="","",IFERROR((IF($O394="",0,$O394)*Settings!$J$4+IF($L394="",0,$L394)*Settings!$J$5+IF($N394="",0,$N394)*Settings!$J$6)/(IF($O394="",0,Settings!$J$4)+IF($L394="",0,Settings!$J$5)+IF($N394="",0,Settings!$J$6)),0))</f>
        <v>34</v>
      </c>
      <c r="Q394" s="12">
        <f t="array" ref="Q394">IF($A394="","",XLOOKUP($E394,Settings!$A$19:$A$22,Settings!$G$19:$G$22,0))</f>
        <v>203</v>
      </c>
      <c r="R394" s="12">
        <f t="shared" si="1"/>
        <v>0</v>
      </c>
      <c r="S394" s="12">
        <f>IF($A394="","",IF($R394&lt;=0,1,1+$R394/SUMIF($R$4:$R$923,"&gt;0",$R$4:$R$923)*(Settings!$B$5*(Settings!$B$6-Settings!$B$7))))</f>
        <v>1</v>
      </c>
      <c r="T394" s="12">
        <f t="array" ref="T394">IF($A394="","",XLOOKUP($F394,Settings!$I$15:$I$20,Settings!$J$15:$J$20,1))</f>
        <v>0.75</v>
      </c>
      <c r="U394" s="12">
        <f>IF($A394="","",1+(($G394-5)/5)*Settings!$J$8)</f>
        <v>1</v>
      </c>
      <c r="V394" s="12">
        <f>IF($A394="","",1+(($H394-5)/5)*Settings!$J$9)</f>
        <v>1.06</v>
      </c>
      <c r="W394" s="12">
        <f t="array" ref="W394">IF($A394="","",XLOOKUP($J394,Lists!$C$3:$C$7,Lists!$D$3:$D$7,1))</f>
        <v>1</v>
      </c>
      <c r="X394" s="12">
        <f>IF($A394="","",IF($I394="Yes",Settings!$J$10,1))</f>
        <v>1</v>
      </c>
      <c r="Y394" s="12">
        <f t="shared" si="2"/>
        <v>1</v>
      </c>
      <c r="Z394" s="12">
        <f>IF($A394="","",IFERROR(ROUND(AVERAGEIFS('Historical Drafts'!$G$4:$G$300,'Historical Drafts'!$D$4:$D$300,$E394,'Historical Drafts'!$J$4:$J$300,"&gt;="&amp;$L394*0.85,'Historical Drafts'!$J$4:$J$300,"&lt;="&amp;$L394*1.15),0),$Y394))</f>
        <v>8</v>
      </c>
      <c r="AA394" s="12" t="str">
        <f>IF($A394="","",IF(COUNTIF('Auction Log'!$B$3:$B$300,$A394)&gt;0,"Sold","Available"))</f>
        <v>Available</v>
      </c>
      <c r="AB394" s="12" t="str">
        <f t="array" ref="AB394">IF($A394="","",IFERROR(XLOOKUP($A394,'Auction Log'!$B$3:$B$300,'Auction Log'!$G$3:$G$300,""),""))</f>
        <v/>
      </c>
      <c r="AC394" s="12" t="str">
        <f t="array" ref="AC394">IF($A394="","",IFERROR(XLOOKUP($A394,'Auction Log'!$B$3:$B$300,'Auction Log'!$F$3:$F$300,""),""))</f>
        <v/>
      </c>
      <c r="AD394" s="12">
        <f t="array" ref="AD394">IF($A394="","",ROUND($Y394*XLOOKUP($F394,Settings!$I$15:$I$20,Settings!$K$15:$K$20,0.4),0))</f>
        <v>0</v>
      </c>
      <c r="AE394" s="12">
        <f t="array" ref="AE394">IF($A394="","",ROUND($Y394*XLOOKUP($F394,Settings!$I$15:$I$20,Settings!$L$15:$L$20,0.8),0))</f>
        <v>1</v>
      </c>
      <c r="AF394" s="12">
        <f t="array" ref="AF394">IF($A394="","",ROUND($Y394*XLOOKUP($F394,Settings!$I$15:$I$20,Settings!$M$15:$M$20,1),0))</f>
        <v>1</v>
      </c>
      <c r="AG394" s="12">
        <f t="array" ref="AG394">IF($A394="","",ROUND($Y394*XLOOKUP($F394,Settings!$I$15:$I$20,Settings!$N$15:$N$20,1.1),0))</f>
        <v>1</v>
      </c>
      <c r="AH394" s="12">
        <f t="array" ref="AH394">IF($A394="","",ROUND($Y394*XLOOKUP($F394,Settings!$I$15:$I$20,Settings!$O$15:$O$20,1.1)*Settings!$J$7,0))</f>
        <v>1</v>
      </c>
      <c r="AI394" s="12">
        <f t="array" ref="AI394">IF($A394="","",IF($AA394="Sold","",MIN($AH394,IFERROR(XLOOKUP(Settings!$B$12,Managers!$B$4:$B$15,Managers!$H$4:$H$15),$AH394))))</f>
        <v>1</v>
      </c>
      <c r="AJ394" s="12" t="str">
        <f t="shared" si="3"/>
        <v>Budget Drainer</v>
      </c>
      <c r="AK394" s="12">
        <f t="shared" si="4"/>
        <v>33</v>
      </c>
      <c r="AL394" s="12" t="str">
        <f t="shared" si="5"/>
        <v/>
      </c>
    </row>
    <row r="395" ht="15.75" customHeight="1">
      <c r="A395" s="10" t="s">
        <v>419</v>
      </c>
      <c r="B395" s="10" t="s">
        <v>1073</v>
      </c>
      <c r="C395" s="10" t="s">
        <v>215</v>
      </c>
      <c r="D395" s="10" t="s">
        <v>123</v>
      </c>
      <c r="E395" s="10" t="s">
        <v>123</v>
      </c>
      <c r="F395" s="10" t="s">
        <v>117</v>
      </c>
      <c r="G395" s="10">
        <v>5.0</v>
      </c>
      <c r="H395" s="10">
        <v>7.0</v>
      </c>
      <c r="I395" s="10" t="s">
        <v>2140</v>
      </c>
      <c r="J395" s="10" t="s">
        <v>2136</v>
      </c>
      <c r="K395" s="10"/>
      <c r="L395" s="10">
        <v>34.0</v>
      </c>
      <c r="M395" s="10">
        <v>4.25</v>
      </c>
      <c r="N395" s="10"/>
      <c r="O395" s="10"/>
      <c r="P395" s="12">
        <f>IF($A395="","",IFERROR((IF($O395="",0,$O395)*Settings!$J$4+IF($L395="",0,$L395)*Settings!$J$5+IF($N395="",0,$N395)*Settings!$J$6)/(IF($O395="",0,Settings!$J$4)+IF($L395="",0,Settings!$J$5)+IF($N395="",0,Settings!$J$6)),0))</f>
        <v>34</v>
      </c>
      <c r="Q395" s="12">
        <f t="array" ref="Q395">IF($A395="","",XLOOKUP($E395,Settings!$A$19:$A$22,Settings!$G$19:$G$22,0))</f>
        <v>203</v>
      </c>
      <c r="R395" s="12">
        <f t="shared" si="1"/>
        <v>0</v>
      </c>
      <c r="S395" s="12">
        <f>IF($A395="","",IF($R395&lt;=0,1,1+$R395/SUMIF($R$4:$R$923,"&gt;0",$R$4:$R$923)*(Settings!$B$5*(Settings!$B$6-Settings!$B$7))))</f>
        <v>1</v>
      </c>
      <c r="T395" s="12">
        <f t="array" ref="T395">IF($A395="","",XLOOKUP($F395,Settings!$I$15:$I$20,Settings!$J$15:$J$20,1))</f>
        <v>0.75</v>
      </c>
      <c r="U395" s="12">
        <f>IF($A395="","",1+(($G395-5)/5)*Settings!$J$8)</f>
        <v>1</v>
      </c>
      <c r="V395" s="12">
        <f>IF($A395="","",1+(($H395-5)/5)*Settings!$J$9)</f>
        <v>1.06</v>
      </c>
      <c r="W395" s="12">
        <f t="array" ref="W395">IF($A395="","",XLOOKUP($J395,Lists!$C$3:$C$7,Lists!$D$3:$D$7,1))</f>
        <v>1</v>
      </c>
      <c r="X395" s="12">
        <f>IF($A395="","",IF($I395="Yes",Settings!$J$10,1))</f>
        <v>1</v>
      </c>
      <c r="Y395" s="12">
        <f t="shared" si="2"/>
        <v>1</v>
      </c>
      <c r="Z395" s="12">
        <f>IF($A395="","",IFERROR(ROUND(AVERAGEIFS('Historical Drafts'!$G$4:$G$300,'Historical Drafts'!$D$4:$D$300,$E395,'Historical Drafts'!$J$4:$J$300,"&gt;="&amp;$L395*0.85,'Historical Drafts'!$J$4:$J$300,"&lt;="&amp;$L395*1.15),0),$Y395))</f>
        <v>8</v>
      </c>
      <c r="AA395" s="12" t="str">
        <f>IF($A395="","",IF(COUNTIF('Auction Log'!$B$3:$B$300,$A395)&gt;0,"Sold","Available"))</f>
        <v>Available</v>
      </c>
      <c r="AB395" s="12" t="str">
        <f t="array" ref="AB395">IF($A395="","",IFERROR(XLOOKUP($A395,'Auction Log'!$B$3:$B$300,'Auction Log'!$G$3:$G$300,""),""))</f>
        <v/>
      </c>
      <c r="AC395" s="12" t="str">
        <f t="array" ref="AC395">IF($A395="","",IFERROR(XLOOKUP($A395,'Auction Log'!$B$3:$B$300,'Auction Log'!$F$3:$F$300,""),""))</f>
        <v/>
      </c>
      <c r="AD395" s="12">
        <f t="array" ref="AD395">IF($A395="","",ROUND($Y395*XLOOKUP($F395,Settings!$I$15:$I$20,Settings!$K$15:$K$20,0.4),0))</f>
        <v>0</v>
      </c>
      <c r="AE395" s="12">
        <f t="array" ref="AE395">IF($A395="","",ROUND($Y395*XLOOKUP($F395,Settings!$I$15:$I$20,Settings!$L$15:$L$20,0.8),0))</f>
        <v>1</v>
      </c>
      <c r="AF395" s="12">
        <f t="array" ref="AF395">IF($A395="","",ROUND($Y395*XLOOKUP($F395,Settings!$I$15:$I$20,Settings!$M$15:$M$20,1),0))</f>
        <v>1</v>
      </c>
      <c r="AG395" s="12">
        <f t="array" ref="AG395">IF($A395="","",ROUND($Y395*XLOOKUP($F395,Settings!$I$15:$I$20,Settings!$N$15:$N$20,1.1),0))</f>
        <v>1</v>
      </c>
      <c r="AH395" s="12">
        <f t="array" ref="AH395">IF($A395="","",ROUND($Y395*XLOOKUP($F395,Settings!$I$15:$I$20,Settings!$O$15:$O$20,1.1)*Settings!$J$7,0))</f>
        <v>1</v>
      </c>
      <c r="AI395" s="12">
        <f t="array" ref="AI395">IF($A395="","",IF($AA395="Sold","",MIN($AH395,IFERROR(XLOOKUP(Settings!$B$12,Managers!$B$4:$B$15,Managers!$H$4:$H$15),$AH395))))</f>
        <v>1</v>
      </c>
      <c r="AJ395" s="12" t="str">
        <f t="shared" si="3"/>
        <v>Budget Drainer</v>
      </c>
      <c r="AK395" s="12">
        <f t="shared" si="4"/>
        <v>33</v>
      </c>
      <c r="AL395" s="12" t="str">
        <f t="shared" si="5"/>
        <v/>
      </c>
    </row>
    <row r="396" ht="15.75" customHeight="1">
      <c r="A396" s="10" t="s">
        <v>1074</v>
      </c>
      <c r="B396" s="10" t="s">
        <v>1075</v>
      </c>
      <c r="C396" s="10" t="s">
        <v>199</v>
      </c>
      <c r="D396" s="10" t="s">
        <v>115</v>
      </c>
      <c r="E396" s="10" t="s">
        <v>115</v>
      </c>
      <c r="F396" s="10" t="s">
        <v>117</v>
      </c>
      <c r="G396" s="10">
        <v>5.0</v>
      </c>
      <c r="H396" s="10">
        <v>7.0</v>
      </c>
      <c r="I396" s="10" t="s">
        <v>2140</v>
      </c>
      <c r="J396" s="10" t="s">
        <v>2136</v>
      </c>
      <c r="K396" s="10"/>
      <c r="L396" s="10">
        <v>33.5</v>
      </c>
      <c r="M396" s="10">
        <v>4.79</v>
      </c>
      <c r="N396" s="10"/>
      <c r="O396" s="10"/>
      <c r="P396" s="12">
        <f>IF($A396="","",IFERROR((IF($O396="",0,$O396)*Settings!$J$4+IF($L396="",0,$L396)*Settings!$J$5+IF($N396="",0,$N396)*Settings!$J$6)/(IF($O396="",0,Settings!$J$4)+IF($L396="",0,Settings!$J$5)+IF($N396="",0,Settings!$J$6)),0))</f>
        <v>33.5</v>
      </c>
      <c r="Q396" s="12">
        <f t="array" ref="Q396">IF($A396="","",XLOOKUP($E396,Settings!$A$19:$A$22,Settings!$G$19:$G$22,0))</f>
        <v>249.25</v>
      </c>
      <c r="R396" s="12">
        <f t="shared" si="1"/>
        <v>0</v>
      </c>
      <c r="S396" s="12">
        <f>IF($A396="","",IF($R396&lt;=0,1,1+$R396/SUMIF($R$4:$R$923,"&gt;0",$R$4:$R$923)*(Settings!$B$5*(Settings!$B$6-Settings!$B$7))))</f>
        <v>1</v>
      </c>
      <c r="T396" s="12">
        <f t="array" ref="T396">IF($A396="","",XLOOKUP($F396,Settings!$I$15:$I$20,Settings!$J$15:$J$20,1))</f>
        <v>0.75</v>
      </c>
      <c r="U396" s="12">
        <f>IF($A396="","",1+(($G396-5)/5)*Settings!$J$8)</f>
        <v>1</v>
      </c>
      <c r="V396" s="12">
        <f>IF($A396="","",1+(($H396-5)/5)*Settings!$J$9)</f>
        <v>1.06</v>
      </c>
      <c r="W396" s="12">
        <f t="array" ref="W396">IF($A396="","",XLOOKUP($J396,Lists!$C$3:$C$7,Lists!$D$3:$D$7,1))</f>
        <v>1</v>
      </c>
      <c r="X396" s="12">
        <f>IF($A396="","",IF($I396="Yes",Settings!$J$10,1))</f>
        <v>1</v>
      </c>
      <c r="Y396" s="12">
        <f t="shared" si="2"/>
        <v>1</v>
      </c>
      <c r="Z396" s="12">
        <f>IF($A396="","",IFERROR(ROUND(AVERAGEIFS('Historical Drafts'!$G$4:$G$300,'Historical Drafts'!$D$4:$D$300,$E396,'Historical Drafts'!$J$4:$J$300,"&gt;="&amp;$L396*0.85,'Historical Drafts'!$J$4:$J$300,"&lt;="&amp;$L396*1.15),0),$Y396))</f>
        <v>1</v>
      </c>
      <c r="AA396" s="12" t="str">
        <f>IF($A396="","",IF(COUNTIF('Auction Log'!$B$3:$B$300,$A396)&gt;0,"Sold","Available"))</f>
        <v>Available</v>
      </c>
      <c r="AB396" s="12" t="str">
        <f t="array" ref="AB396">IF($A396="","",IFERROR(XLOOKUP($A396,'Auction Log'!$B$3:$B$300,'Auction Log'!$G$3:$G$300,""),""))</f>
        <v/>
      </c>
      <c r="AC396" s="12" t="str">
        <f t="array" ref="AC396">IF($A396="","",IFERROR(XLOOKUP($A396,'Auction Log'!$B$3:$B$300,'Auction Log'!$F$3:$F$300,""),""))</f>
        <v/>
      </c>
      <c r="AD396" s="12">
        <f t="array" ref="AD396">IF($A396="","",ROUND($Y396*XLOOKUP($F396,Settings!$I$15:$I$20,Settings!$K$15:$K$20,0.4),0))</f>
        <v>0</v>
      </c>
      <c r="AE396" s="12">
        <f t="array" ref="AE396">IF($A396="","",ROUND($Y396*XLOOKUP($F396,Settings!$I$15:$I$20,Settings!$L$15:$L$20,0.8),0))</f>
        <v>1</v>
      </c>
      <c r="AF396" s="12">
        <f t="array" ref="AF396">IF($A396="","",ROUND($Y396*XLOOKUP($F396,Settings!$I$15:$I$20,Settings!$M$15:$M$20,1),0))</f>
        <v>1</v>
      </c>
      <c r="AG396" s="12">
        <f t="array" ref="AG396">IF($A396="","",ROUND($Y396*XLOOKUP($F396,Settings!$I$15:$I$20,Settings!$N$15:$N$20,1.1),0))</f>
        <v>1</v>
      </c>
      <c r="AH396" s="12">
        <f t="array" ref="AH396">IF($A396="","",ROUND($Y396*XLOOKUP($F396,Settings!$I$15:$I$20,Settings!$O$15:$O$20,1.1)*Settings!$J$7,0))</f>
        <v>1</v>
      </c>
      <c r="AI396" s="12">
        <f t="array" ref="AI396">IF($A396="","",IF($AA396="Sold","",MIN($AH396,IFERROR(XLOOKUP(Settings!$B$12,Managers!$B$4:$B$15,Managers!$H$4:$H$15),$AH396))))</f>
        <v>1</v>
      </c>
      <c r="AJ396" s="12" t="str">
        <f t="shared" si="3"/>
        <v>Recommended</v>
      </c>
      <c r="AK396" s="12">
        <f t="shared" si="4"/>
        <v>26</v>
      </c>
      <c r="AL396" s="12" t="str">
        <f t="shared" si="5"/>
        <v/>
      </c>
    </row>
    <row r="397" ht="15.75" customHeight="1">
      <c r="A397" s="10" t="s">
        <v>1076</v>
      </c>
      <c r="B397" s="10" t="s">
        <v>1077</v>
      </c>
      <c r="C397" s="10" t="s">
        <v>913</v>
      </c>
      <c r="D397" s="10" t="s">
        <v>118</v>
      </c>
      <c r="E397" s="10" t="s">
        <v>118</v>
      </c>
      <c r="F397" s="10" t="s">
        <v>117</v>
      </c>
      <c r="G397" s="10">
        <v>5.0</v>
      </c>
      <c r="H397" s="10">
        <v>7.0</v>
      </c>
      <c r="I397" s="10" t="s">
        <v>2140</v>
      </c>
      <c r="J397" s="10" t="s">
        <v>2136</v>
      </c>
      <c r="K397" s="10"/>
      <c r="L397" s="10">
        <v>33.5</v>
      </c>
      <c r="M397" s="10">
        <v>1.97</v>
      </c>
      <c r="N397" s="10"/>
      <c r="O397" s="10"/>
      <c r="P397" s="12">
        <f>IF($A397="","",IFERROR((IF($O397="",0,$O397)*Settings!$J$4+IF($L397="",0,$L397)*Settings!$J$5+IF($N397="",0,$N397)*Settings!$J$6)/(IF($O397="",0,Settings!$J$4)+IF($L397="",0,Settings!$J$5)+IF($N397="",0,Settings!$J$6)),0))</f>
        <v>33.5</v>
      </c>
      <c r="Q397" s="12">
        <f t="array" ref="Q397">IF($A397="","",XLOOKUP($E397,Settings!$A$19:$A$22,Settings!$G$19:$G$22,0))</f>
        <v>196.25</v>
      </c>
      <c r="R397" s="12">
        <f t="shared" si="1"/>
        <v>0</v>
      </c>
      <c r="S397" s="12">
        <f>IF($A397="","",IF($R397&lt;=0,1,1+$R397/SUMIF($R$4:$R$923,"&gt;0",$R$4:$R$923)*(Settings!$B$5*(Settings!$B$6-Settings!$B$7))))</f>
        <v>1</v>
      </c>
      <c r="T397" s="12">
        <f t="array" ref="T397">IF($A397="","",XLOOKUP($F397,Settings!$I$15:$I$20,Settings!$J$15:$J$20,1))</f>
        <v>0.75</v>
      </c>
      <c r="U397" s="12">
        <f>IF($A397="","",1+(($G397-5)/5)*Settings!$J$8)</f>
        <v>1</v>
      </c>
      <c r="V397" s="12">
        <f>IF($A397="","",1+(($H397-5)/5)*Settings!$J$9)</f>
        <v>1.06</v>
      </c>
      <c r="W397" s="12">
        <f t="array" ref="W397">IF($A397="","",XLOOKUP($J397,Lists!$C$3:$C$7,Lists!$D$3:$D$7,1))</f>
        <v>1</v>
      </c>
      <c r="X397" s="12">
        <f>IF($A397="","",IF($I397="Yes",Settings!$J$10,1))</f>
        <v>1</v>
      </c>
      <c r="Y397" s="12">
        <f t="shared" si="2"/>
        <v>1</v>
      </c>
      <c r="Z397" s="12">
        <f>IF($A397="","",IFERROR(ROUND(AVERAGEIFS('Historical Drafts'!$G$4:$G$300,'Historical Drafts'!$D$4:$D$300,$E397,'Historical Drafts'!$J$4:$J$300,"&gt;="&amp;$L397*0.85,'Historical Drafts'!$J$4:$J$300,"&lt;="&amp;$L397*1.15),0),$Y397))</f>
        <v>1</v>
      </c>
      <c r="AA397" s="12" t="str">
        <f>IF($A397="","",IF(COUNTIF('Auction Log'!$B$3:$B$300,$A397)&gt;0,"Sold","Available"))</f>
        <v>Available</v>
      </c>
      <c r="AB397" s="12" t="str">
        <f t="array" ref="AB397">IF($A397="","",IFERROR(XLOOKUP($A397,'Auction Log'!$B$3:$B$300,'Auction Log'!$G$3:$G$300,""),""))</f>
        <v/>
      </c>
      <c r="AC397" s="12" t="str">
        <f t="array" ref="AC397">IF($A397="","",IFERROR(XLOOKUP($A397,'Auction Log'!$B$3:$B$300,'Auction Log'!$F$3:$F$300,""),""))</f>
        <v/>
      </c>
      <c r="AD397" s="12">
        <f t="array" ref="AD397">IF($A397="","",ROUND($Y397*XLOOKUP($F397,Settings!$I$15:$I$20,Settings!$K$15:$K$20,0.4),0))</f>
        <v>0</v>
      </c>
      <c r="AE397" s="12">
        <f t="array" ref="AE397">IF($A397="","",ROUND($Y397*XLOOKUP($F397,Settings!$I$15:$I$20,Settings!$L$15:$L$20,0.8),0))</f>
        <v>1</v>
      </c>
      <c r="AF397" s="12">
        <f t="array" ref="AF397">IF($A397="","",ROUND($Y397*XLOOKUP($F397,Settings!$I$15:$I$20,Settings!$M$15:$M$20,1),0))</f>
        <v>1</v>
      </c>
      <c r="AG397" s="12">
        <f t="array" ref="AG397">IF($A397="","",ROUND($Y397*XLOOKUP($F397,Settings!$I$15:$I$20,Settings!$N$15:$N$20,1.1),0))</f>
        <v>1</v>
      </c>
      <c r="AH397" s="12">
        <f t="array" ref="AH397">IF($A397="","",ROUND($Y397*XLOOKUP($F397,Settings!$I$15:$I$20,Settings!$O$15:$O$20,1.1)*Settings!$J$7,0))</f>
        <v>1</v>
      </c>
      <c r="AI397" s="12">
        <f t="array" ref="AI397">IF($A397="","",IF($AA397="Sold","",MIN($AH397,IFERROR(XLOOKUP(Settings!$B$12,Managers!$B$4:$B$15,Managers!$H$4:$H$15),$AH397))))</f>
        <v>1</v>
      </c>
      <c r="AJ397" s="12" t="str">
        <f t="shared" si="3"/>
        <v>Recommended</v>
      </c>
      <c r="AK397" s="12">
        <f t="shared" si="4"/>
        <v>26</v>
      </c>
      <c r="AL397" s="12" t="str">
        <f t="shared" si="5"/>
        <v/>
      </c>
    </row>
    <row r="398" ht="15.75" customHeight="1">
      <c r="A398" s="10" t="s">
        <v>1078</v>
      </c>
      <c r="B398" s="10" t="s">
        <v>1079</v>
      </c>
      <c r="C398" s="10" t="s">
        <v>387</v>
      </c>
      <c r="D398" s="10" t="s">
        <v>118</v>
      </c>
      <c r="E398" s="10" t="s">
        <v>118</v>
      </c>
      <c r="F398" s="10" t="s">
        <v>117</v>
      </c>
      <c r="G398" s="10">
        <v>5.0</v>
      </c>
      <c r="H398" s="10">
        <v>7.0</v>
      </c>
      <c r="I398" s="10" t="s">
        <v>2140</v>
      </c>
      <c r="J398" s="10" t="s">
        <v>2136</v>
      </c>
      <c r="K398" s="10"/>
      <c r="L398" s="10">
        <v>32.75</v>
      </c>
      <c r="M398" s="10">
        <v>2.98</v>
      </c>
      <c r="N398" s="10"/>
      <c r="O398" s="10"/>
      <c r="P398" s="12">
        <f>IF($A398="","",IFERROR((IF($O398="",0,$O398)*Settings!$J$4+IF($L398="",0,$L398)*Settings!$J$5+IF($N398="",0,$N398)*Settings!$J$6)/(IF($O398="",0,Settings!$J$4)+IF($L398="",0,Settings!$J$5)+IF($N398="",0,Settings!$J$6)),0))</f>
        <v>32.75</v>
      </c>
      <c r="Q398" s="12">
        <f t="array" ref="Q398">IF($A398="","",XLOOKUP($E398,Settings!$A$19:$A$22,Settings!$G$19:$G$22,0))</f>
        <v>196.25</v>
      </c>
      <c r="R398" s="12">
        <f t="shared" si="1"/>
        <v>0</v>
      </c>
      <c r="S398" s="12">
        <f>IF($A398="","",IF($R398&lt;=0,1,1+$R398/SUMIF($R$4:$R$923,"&gt;0",$R$4:$R$923)*(Settings!$B$5*(Settings!$B$6-Settings!$B$7))))</f>
        <v>1</v>
      </c>
      <c r="T398" s="12">
        <f t="array" ref="T398">IF($A398="","",XLOOKUP($F398,Settings!$I$15:$I$20,Settings!$J$15:$J$20,1))</f>
        <v>0.75</v>
      </c>
      <c r="U398" s="12">
        <f>IF($A398="","",1+(($G398-5)/5)*Settings!$J$8)</f>
        <v>1</v>
      </c>
      <c r="V398" s="12">
        <f>IF($A398="","",1+(($H398-5)/5)*Settings!$J$9)</f>
        <v>1.06</v>
      </c>
      <c r="W398" s="12">
        <f t="array" ref="W398">IF($A398="","",XLOOKUP($J398,Lists!$C$3:$C$7,Lists!$D$3:$D$7,1))</f>
        <v>1</v>
      </c>
      <c r="X398" s="12">
        <f>IF($A398="","",IF($I398="Yes",Settings!$J$10,1))</f>
        <v>1</v>
      </c>
      <c r="Y398" s="12">
        <f t="shared" si="2"/>
        <v>1</v>
      </c>
      <c r="Z398" s="12">
        <f>IF($A398="","",IFERROR(ROUND(AVERAGEIFS('Historical Drafts'!$G$4:$G$300,'Historical Drafts'!$D$4:$D$300,$E398,'Historical Drafts'!$J$4:$J$300,"&gt;="&amp;$L398*0.85,'Historical Drafts'!$J$4:$J$300,"&lt;="&amp;$L398*1.15),0),$Y398))</f>
        <v>1</v>
      </c>
      <c r="AA398" s="12" t="str">
        <f>IF($A398="","",IF(COUNTIF('Auction Log'!$B$3:$B$300,$A398)&gt;0,"Sold","Available"))</f>
        <v>Available</v>
      </c>
      <c r="AB398" s="12" t="str">
        <f t="array" ref="AB398">IF($A398="","",IFERROR(XLOOKUP($A398,'Auction Log'!$B$3:$B$300,'Auction Log'!$G$3:$G$300,""),""))</f>
        <v/>
      </c>
      <c r="AC398" s="12" t="str">
        <f t="array" ref="AC398">IF($A398="","",IFERROR(XLOOKUP($A398,'Auction Log'!$B$3:$B$300,'Auction Log'!$F$3:$F$300,""),""))</f>
        <v/>
      </c>
      <c r="AD398" s="12">
        <f t="array" ref="AD398">IF($A398="","",ROUND($Y398*XLOOKUP($F398,Settings!$I$15:$I$20,Settings!$K$15:$K$20,0.4),0))</f>
        <v>0</v>
      </c>
      <c r="AE398" s="12">
        <f t="array" ref="AE398">IF($A398="","",ROUND($Y398*XLOOKUP($F398,Settings!$I$15:$I$20,Settings!$L$15:$L$20,0.8),0))</f>
        <v>1</v>
      </c>
      <c r="AF398" s="12">
        <f t="array" ref="AF398">IF($A398="","",ROUND($Y398*XLOOKUP($F398,Settings!$I$15:$I$20,Settings!$M$15:$M$20,1),0))</f>
        <v>1</v>
      </c>
      <c r="AG398" s="12">
        <f t="array" ref="AG398">IF($A398="","",ROUND($Y398*XLOOKUP($F398,Settings!$I$15:$I$20,Settings!$N$15:$N$20,1.1),0))</f>
        <v>1</v>
      </c>
      <c r="AH398" s="12">
        <f t="array" ref="AH398">IF($A398="","",ROUND($Y398*XLOOKUP($F398,Settings!$I$15:$I$20,Settings!$O$15:$O$20,1.1)*Settings!$J$7,0))</f>
        <v>1</v>
      </c>
      <c r="AI398" s="12">
        <f t="array" ref="AI398">IF($A398="","",IF($AA398="Sold","",MIN($AH398,IFERROR(XLOOKUP(Settings!$B$12,Managers!$B$4:$B$15,Managers!$H$4:$H$15),$AH398))))</f>
        <v>1</v>
      </c>
      <c r="AJ398" s="12" t="str">
        <f t="shared" si="3"/>
        <v>Recommended</v>
      </c>
      <c r="AK398" s="12">
        <f t="shared" si="4"/>
        <v>26</v>
      </c>
      <c r="AL398" s="12" t="str">
        <f t="shared" si="5"/>
        <v/>
      </c>
    </row>
    <row r="399" ht="15.75" customHeight="1">
      <c r="A399" s="10" t="s">
        <v>1080</v>
      </c>
      <c r="B399" s="10" t="s">
        <v>1081</v>
      </c>
      <c r="C399" s="10" t="s">
        <v>257</v>
      </c>
      <c r="D399" s="10" t="s">
        <v>118</v>
      </c>
      <c r="E399" s="10" t="s">
        <v>118</v>
      </c>
      <c r="F399" s="10" t="s">
        <v>117</v>
      </c>
      <c r="G399" s="10">
        <v>5.0</v>
      </c>
      <c r="H399" s="10">
        <v>7.0</v>
      </c>
      <c r="I399" s="10" t="s">
        <v>2140</v>
      </c>
      <c r="J399" s="10" t="s">
        <v>2136</v>
      </c>
      <c r="K399" s="10"/>
      <c r="L399" s="10">
        <v>32.75</v>
      </c>
      <c r="M399" s="10">
        <v>4.68</v>
      </c>
      <c r="N399" s="10"/>
      <c r="O399" s="10"/>
      <c r="P399" s="12">
        <f>IF($A399="","",IFERROR((IF($O399="",0,$O399)*Settings!$J$4+IF($L399="",0,$L399)*Settings!$J$5+IF($N399="",0,$N399)*Settings!$J$6)/(IF($O399="",0,Settings!$J$4)+IF($L399="",0,Settings!$J$5)+IF($N399="",0,Settings!$J$6)),0))</f>
        <v>32.75</v>
      </c>
      <c r="Q399" s="12">
        <f t="array" ref="Q399">IF($A399="","",XLOOKUP($E399,Settings!$A$19:$A$22,Settings!$G$19:$G$22,0))</f>
        <v>196.25</v>
      </c>
      <c r="R399" s="12">
        <f t="shared" si="1"/>
        <v>0</v>
      </c>
      <c r="S399" s="12">
        <f>IF($A399="","",IF($R399&lt;=0,1,1+$R399/SUMIF($R$4:$R$923,"&gt;0",$R$4:$R$923)*(Settings!$B$5*(Settings!$B$6-Settings!$B$7))))</f>
        <v>1</v>
      </c>
      <c r="T399" s="12">
        <f t="array" ref="T399">IF($A399="","",XLOOKUP($F399,Settings!$I$15:$I$20,Settings!$J$15:$J$20,1))</f>
        <v>0.75</v>
      </c>
      <c r="U399" s="12">
        <f>IF($A399="","",1+(($G399-5)/5)*Settings!$J$8)</f>
        <v>1</v>
      </c>
      <c r="V399" s="12">
        <f>IF($A399="","",1+(($H399-5)/5)*Settings!$J$9)</f>
        <v>1.06</v>
      </c>
      <c r="W399" s="12">
        <f t="array" ref="W399">IF($A399="","",XLOOKUP($J399,Lists!$C$3:$C$7,Lists!$D$3:$D$7,1))</f>
        <v>1</v>
      </c>
      <c r="X399" s="12">
        <f>IF($A399="","",IF($I399="Yes",Settings!$J$10,1))</f>
        <v>1</v>
      </c>
      <c r="Y399" s="12">
        <f t="shared" si="2"/>
        <v>1</v>
      </c>
      <c r="Z399" s="12">
        <f>IF($A399="","",IFERROR(ROUND(AVERAGEIFS('Historical Drafts'!$G$4:$G$300,'Historical Drafts'!$D$4:$D$300,$E399,'Historical Drafts'!$J$4:$J$300,"&gt;="&amp;$L399*0.85,'Historical Drafts'!$J$4:$J$300,"&lt;="&amp;$L399*1.15),0),$Y399))</f>
        <v>1</v>
      </c>
      <c r="AA399" s="12" t="str">
        <f>IF($A399="","",IF(COUNTIF('Auction Log'!$B$3:$B$300,$A399)&gt;0,"Sold","Available"))</f>
        <v>Available</v>
      </c>
      <c r="AB399" s="12" t="str">
        <f t="array" ref="AB399">IF($A399="","",IFERROR(XLOOKUP($A399,'Auction Log'!$B$3:$B$300,'Auction Log'!$G$3:$G$300,""),""))</f>
        <v/>
      </c>
      <c r="AC399" s="12" t="str">
        <f t="array" ref="AC399">IF($A399="","",IFERROR(XLOOKUP($A399,'Auction Log'!$B$3:$B$300,'Auction Log'!$F$3:$F$300,""),""))</f>
        <v/>
      </c>
      <c r="AD399" s="12">
        <f t="array" ref="AD399">IF($A399="","",ROUND($Y399*XLOOKUP($F399,Settings!$I$15:$I$20,Settings!$K$15:$K$20,0.4),0))</f>
        <v>0</v>
      </c>
      <c r="AE399" s="12">
        <f t="array" ref="AE399">IF($A399="","",ROUND($Y399*XLOOKUP($F399,Settings!$I$15:$I$20,Settings!$L$15:$L$20,0.8),0))</f>
        <v>1</v>
      </c>
      <c r="AF399" s="12">
        <f t="array" ref="AF399">IF($A399="","",ROUND($Y399*XLOOKUP($F399,Settings!$I$15:$I$20,Settings!$M$15:$M$20,1),0))</f>
        <v>1</v>
      </c>
      <c r="AG399" s="12">
        <f t="array" ref="AG399">IF($A399="","",ROUND($Y399*XLOOKUP($F399,Settings!$I$15:$I$20,Settings!$N$15:$N$20,1.1),0))</f>
        <v>1</v>
      </c>
      <c r="AH399" s="12">
        <f t="array" ref="AH399">IF($A399="","",ROUND($Y399*XLOOKUP($F399,Settings!$I$15:$I$20,Settings!$O$15:$O$20,1.1)*Settings!$J$7,0))</f>
        <v>1</v>
      </c>
      <c r="AI399" s="12">
        <f t="array" ref="AI399">IF($A399="","",IF($AA399="Sold","",MIN($AH399,IFERROR(XLOOKUP(Settings!$B$12,Managers!$B$4:$B$15,Managers!$H$4:$H$15),$AH399))))</f>
        <v>1</v>
      </c>
      <c r="AJ399" s="12" t="str">
        <f t="shared" si="3"/>
        <v>Recommended</v>
      </c>
      <c r="AK399" s="12">
        <f t="shared" si="4"/>
        <v>26</v>
      </c>
      <c r="AL399" s="12" t="str">
        <f t="shared" si="5"/>
        <v/>
      </c>
    </row>
    <row r="400" ht="15.75" customHeight="1">
      <c r="A400" s="10" t="s">
        <v>1082</v>
      </c>
      <c r="B400" s="10" t="s">
        <v>1083</v>
      </c>
      <c r="C400" s="10" t="s">
        <v>327</v>
      </c>
      <c r="D400" s="10" t="s">
        <v>118</v>
      </c>
      <c r="E400" s="10" t="s">
        <v>118</v>
      </c>
      <c r="F400" s="10" t="s">
        <v>117</v>
      </c>
      <c r="G400" s="10">
        <v>5.0</v>
      </c>
      <c r="H400" s="10">
        <v>7.0</v>
      </c>
      <c r="I400" s="10" t="s">
        <v>2140</v>
      </c>
      <c r="J400" s="10" t="s">
        <v>2136</v>
      </c>
      <c r="K400" s="10"/>
      <c r="L400" s="10">
        <v>32.25</v>
      </c>
      <c r="M400" s="10">
        <v>1.54</v>
      </c>
      <c r="N400" s="10"/>
      <c r="O400" s="10"/>
      <c r="P400" s="12">
        <f>IF($A400="","",IFERROR((IF($O400="",0,$O400)*Settings!$J$4+IF($L400="",0,$L400)*Settings!$J$5+IF($N400="",0,$N400)*Settings!$J$6)/(IF($O400="",0,Settings!$J$4)+IF($L400="",0,Settings!$J$5)+IF($N400="",0,Settings!$J$6)),0))</f>
        <v>32.25</v>
      </c>
      <c r="Q400" s="12">
        <f t="array" ref="Q400">IF($A400="","",XLOOKUP($E400,Settings!$A$19:$A$22,Settings!$G$19:$G$22,0))</f>
        <v>196.25</v>
      </c>
      <c r="R400" s="12">
        <f t="shared" si="1"/>
        <v>0</v>
      </c>
      <c r="S400" s="12">
        <f>IF($A400="","",IF($R400&lt;=0,1,1+$R400/SUMIF($R$4:$R$923,"&gt;0",$R$4:$R$923)*(Settings!$B$5*(Settings!$B$6-Settings!$B$7))))</f>
        <v>1</v>
      </c>
      <c r="T400" s="12">
        <f t="array" ref="T400">IF($A400="","",XLOOKUP($F400,Settings!$I$15:$I$20,Settings!$J$15:$J$20,1))</f>
        <v>0.75</v>
      </c>
      <c r="U400" s="12">
        <f>IF($A400="","",1+(($G400-5)/5)*Settings!$J$8)</f>
        <v>1</v>
      </c>
      <c r="V400" s="12">
        <f>IF($A400="","",1+(($H400-5)/5)*Settings!$J$9)</f>
        <v>1.06</v>
      </c>
      <c r="W400" s="12">
        <f t="array" ref="W400">IF($A400="","",XLOOKUP($J400,Lists!$C$3:$C$7,Lists!$D$3:$D$7,1))</f>
        <v>1</v>
      </c>
      <c r="X400" s="12">
        <f>IF($A400="","",IF($I400="Yes",Settings!$J$10,1))</f>
        <v>1</v>
      </c>
      <c r="Y400" s="12">
        <f t="shared" si="2"/>
        <v>1</v>
      </c>
      <c r="Z400" s="12">
        <f>IF($A400="","",IFERROR(ROUND(AVERAGEIFS('Historical Drafts'!$G$4:$G$300,'Historical Drafts'!$D$4:$D$300,$E400,'Historical Drafts'!$J$4:$J$300,"&gt;="&amp;$L400*0.85,'Historical Drafts'!$J$4:$J$300,"&lt;="&amp;$L400*1.15),0),$Y400))</f>
        <v>1</v>
      </c>
      <c r="AA400" s="12" t="str">
        <f>IF($A400="","",IF(COUNTIF('Auction Log'!$B$3:$B$300,$A400)&gt;0,"Sold","Available"))</f>
        <v>Available</v>
      </c>
      <c r="AB400" s="12" t="str">
        <f t="array" ref="AB400">IF($A400="","",IFERROR(XLOOKUP($A400,'Auction Log'!$B$3:$B$300,'Auction Log'!$G$3:$G$300,""),""))</f>
        <v/>
      </c>
      <c r="AC400" s="12" t="str">
        <f t="array" ref="AC400">IF($A400="","",IFERROR(XLOOKUP($A400,'Auction Log'!$B$3:$B$300,'Auction Log'!$F$3:$F$300,""),""))</f>
        <v/>
      </c>
      <c r="AD400" s="12">
        <f t="array" ref="AD400">IF($A400="","",ROUND($Y400*XLOOKUP($F400,Settings!$I$15:$I$20,Settings!$K$15:$K$20,0.4),0))</f>
        <v>0</v>
      </c>
      <c r="AE400" s="12">
        <f t="array" ref="AE400">IF($A400="","",ROUND($Y400*XLOOKUP($F400,Settings!$I$15:$I$20,Settings!$L$15:$L$20,0.8),0))</f>
        <v>1</v>
      </c>
      <c r="AF400" s="12">
        <f t="array" ref="AF400">IF($A400="","",ROUND($Y400*XLOOKUP($F400,Settings!$I$15:$I$20,Settings!$M$15:$M$20,1),0))</f>
        <v>1</v>
      </c>
      <c r="AG400" s="12">
        <f t="array" ref="AG400">IF($A400="","",ROUND($Y400*XLOOKUP($F400,Settings!$I$15:$I$20,Settings!$N$15:$N$20,1.1),0))</f>
        <v>1</v>
      </c>
      <c r="AH400" s="12">
        <f t="array" ref="AH400">IF($A400="","",ROUND($Y400*XLOOKUP($F400,Settings!$I$15:$I$20,Settings!$O$15:$O$20,1.1)*Settings!$J$7,0))</f>
        <v>1</v>
      </c>
      <c r="AI400" s="12">
        <f t="array" ref="AI400">IF($A400="","",IF($AA400="Sold","",MIN($AH400,IFERROR(XLOOKUP(Settings!$B$12,Managers!$B$4:$B$15,Managers!$H$4:$H$15),$AH400))))</f>
        <v>1</v>
      </c>
      <c r="AJ400" s="12" t="str">
        <f t="shared" si="3"/>
        <v>Recommended</v>
      </c>
      <c r="AK400" s="12">
        <f t="shared" si="4"/>
        <v>26</v>
      </c>
      <c r="AL400" s="12" t="str">
        <f t="shared" si="5"/>
        <v/>
      </c>
    </row>
    <row r="401" ht="15.75" customHeight="1">
      <c r="A401" s="10" t="s">
        <v>1084</v>
      </c>
      <c r="B401" s="10" t="s">
        <v>1085</v>
      </c>
      <c r="C401" s="10" t="s">
        <v>191</v>
      </c>
      <c r="D401" s="10" t="s">
        <v>121</v>
      </c>
      <c r="E401" s="10" t="s">
        <v>121</v>
      </c>
      <c r="F401" s="10" t="s">
        <v>117</v>
      </c>
      <c r="G401" s="10">
        <v>5.0</v>
      </c>
      <c r="H401" s="10">
        <v>7.0</v>
      </c>
      <c r="I401" s="10" t="s">
        <v>2140</v>
      </c>
      <c r="J401" s="10" t="s">
        <v>2136</v>
      </c>
      <c r="K401" s="10"/>
      <c r="L401" s="10">
        <v>32.0</v>
      </c>
      <c r="M401" s="10">
        <v>5.33</v>
      </c>
      <c r="N401" s="10"/>
      <c r="O401" s="10"/>
      <c r="P401" s="12">
        <f>IF($A401="","",IFERROR((IF($O401="",0,$O401)*Settings!$J$4+IF($L401="",0,$L401)*Settings!$J$5+IF($N401="",0,$N401)*Settings!$J$6)/(IF($O401="",0,Settings!$J$4)+IF($L401="",0,Settings!$J$5)+IF($N401="",0,Settings!$J$6)),0))</f>
        <v>32</v>
      </c>
      <c r="Q401" s="12">
        <f t="array" ref="Q401">IF($A401="","",XLOOKUP($E401,Settings!$A$19:$A$22,Settings!$G$19:$G$22,0))</f>
        <v>206</v>
      </c>
      <c r="R401" s="12">
        <f t="shared" si="1"/>
        <v>0</v>
      </c>
      <c r="S401" s="12">
        <f>IF($A401="","",IF($R401&lt;=0,1,1+$R401/SUMIF($R$4:$R$923,"&gt;0",$R$4:$R$923)*(Settings!$B$5*(Settings!$B$6-Settings!$B$7))))</f>
        <v>1</v>
      </c>
      <c r="T401" s="12">
        <f t="array" ref="T401">IF($A401="","",XLOOKUP($F401,Settings!$I$15:$I$20,Settings!$J$15:$J$20,1))</f>
        <v>0.75</v>
      </c>
      <c r="U401" s="12">
        <f>IF($A401="","",1+(($G401-5)/5)*Settings!$J$8)</f>
        <v>1</v>
      </c>
      <c r="V401" s="12">
        <f>IF($A401="","",1+(($H401-5)/5)*Settings!$J$9)</f>
        <v>1.06</v>
      </c>
      <c r="W401" s="12">
        <f t="array" ref="W401">IF($A401="","",XLOOKUP($J401,Lists!$C$3:$C$7,Lists!$D$3:$D$7,1))</f>
        <v>1</v>
      </c>
      <c r="X401" s="12">
        <f>IF($A401="","",IF($I401="Yes",Settings!$J$10,1))</f>
        <v>1</v>
      </c>
      <c r="Y401" s="12">
        <f t="shared" si="2"/>
        <v>1</v>
      </c>
      <c r="Z401" s="12">
        <f>IF($A401="","",IFERROR(ROUND(AVERAGEIFS('Historical Drafts'!$G$4:$G$300,'Historical Drafts'!$D$4:$D$300,$E401,'Historical Drafts'!$J$4:$J$300,"&gt;="&amp;$L401*0.85,'Historical Drafts'!$J$4:$J$300,"&lt;="&amp;$L401*1.15),0),$Y401))</f>
        <v>1</v>
      </c>
      <c r="AA401" s="12" t="str">
        <f>IF($A401="","",IF(COUNTIF('Auction Log'!$B$3:$B$300,$A401)&gt;0,"Sold","Available"))</f>
        <v>Available</v>
      </c>
      <c r="AB401" s="12" t="str">
        <f t="array" ref="AB401">IF($A401="","",IFERROR(XLOOKUP($A401,'Auction Log'!$B$3:$B$300,'Auction Log'!$G$3:$G$300,""),""))</f>
        <v/>
      </c>
      <c r="AC401" s="12" t="str">
        <f t="array" ref="AC401">IF($A401="","",IFERROR(XLOOKUP($A401,'Auction Log'!$B$3:$B$300,'Auction Log'!$F$3:$F$300,""),""))</f>
        <v/>
      </c>
      <c r="AD401" s="12">
        <f t="array" ref="AD401">IF($A401="","",ROUND($Y401*XLOOKUP($F401,Settings!$I$15:$I$20,Settings!$K$15:$K$20,0.4),0))</f>
        <v>0</v>
      </c>
      <c r="AE401" s="12">
        <f t="array" ref="AE401">IF($A401="","",ROUND($Y401*XLOOKUP($F401,Settings!$I$15:$I$20,Settings!$L$15:$L$20,0.8),0))</f>
        <v>1</v>
      </c>
      <c r="AF401" s="12">
        <f t="array" ref="AF401">IF($A401="","",ROUND($Y401*XLOOKUP($F401,Settings!$I$15:$I$20,Settings!$M$15:$M$20,1),0))</f>
        <v>1</v>
      </c>
      <c r="AG401" s="12">
        <f t="array" ref="AG401">IF($A401="","",ROUND($Y401*XLOOKUP($F401,Settings!$I$15:$I$20,Settings!$N$15:$N$20,1.1),0))</f>
        <v>1</v>
      </c>
      <c r="AH401" s="12">
        <f t="array" ref="AH401">IF($A401="","",ROUND($Y401*XLOOKUP($F401,Settings!$I$15:$I$20,Settings!$O$15:$O$20,1.1)*Settings!$J$7,0))</f>
        <v>1</v>
      </c>
      <c r="AI401" s="12">
        <f t="array" ref="AI401">IF($A401="","",IF($AA401="Sold","",MIN($AH401,IFERROR(XLOOKUP(Settings!$B$12,Managers!$B$4:$B$15,Managers!$H$4:$H$15),$AH401))))</f>
        <v>1</v>
      </c>
      <c r="AJ401" s="12" t="str">
        <f t="shared" si="3"/>
        <v>Recommended</v>
      </c>
      <c r="AK401" s="12">
        <f t="shared" si="4"/>
        <v>26</v>
      </c>
      <c r="AL401" s="12" t="str">
        <f t="shared" si="5"/>
        <v/>
      </c>
    </row>
    <row r="402" ht="15.75" customHeight="1">
      <c r="A402" s="10" t="s">
        <v>1086</v>
      </c>
      <c r="B402" s="10" t="s">
        <v>1087</v>
      </c>
      <c r="C402" s="10" t="s">
        <v>305</v>
      </c>
      <c r="D402" s="10" t="s">
        <v>118</v>
      </c>
      <c r="E402" s="10" t="s">
        <v>118</v>
      </c>
      <c r="F402" s="10" t="s">
        <v>117</v>
      </c>
      <c r="G402" s="10">
        <v>5.0</v>
      </c>
      <c r="H402" s="10">
        <v>7.0</v>
      </c>
      <c r="I402" s="10" t="s">
        <v>2140</v>
      </c>
      <c r="J402" s="10" t="s">
        <v>2136</v>
      </c>
      <c r="K402" s="10"/>
      <c r="L402" s="10">
        <v>31.5</v>
      </c>
      <c r="M402" s="10">
        <v>2.42</v>
      </c>
      <c r="N402" s="10"/>
      <c r="O402" s="10"/>
      <c r="P402" s="12">
        <f>IF($A402="","",IFERROR((IF($O402="",0,$O402)*Settings!$J$4+IF($L402="",0,$L402)*Settings!$J$5+IF($N402="",0,$N402)*Settings!$J$6)/(IF($O402="",0,Settings!$J$4)+IF($L402="",0,Settings!$J$5)+IF($N402="",0,Settings!$J$6)),0))</f>
        <v>31.5</v>
      </c>
      <c r="Q402" s="12">
        <f t="array" ref="Q402">IF($A402="","",XLOOKUP($E402,Settings!$A$19:$A$22,Settings!$G$19:$G$22,0))</f>
        <v>196.25</v>
      </c>
      <c r="R402" s="12">
        <f t="shared" si="1"/>
        <v>0</v>
      </c>
      <c r="S402" s="12">
        <f>IF($A402="","",IF($R402&lt;=0,1,1+$R402/SUMIF($R$4:$R$923,"&gt;0",$R$4:$R$923)*(Settings!$B$5*(Settings!$B$6-Settings!$B$7))))</f>
        <v>1</v>
      </c>
      <c r="T402" s="12">
        <f t="array" ref="T402">IF($A402="","",XLOOKUP($F402,Settings!$I$15:$I$20,Settings!$J$15:$J$20,1))</f>
        <v>0.75</v>
      </c>
      <c r="U402" s="12">
        <f>IF($A402="","",1+(($G402-5)/5)*Settings!$J$8)</f>
        <v>1</v>
      </c>
      <c r="V402" s="12">
        <f>IF($A402="","",1+(($H402-5)/5)*Settings!$J$9)</f>
        <v>1.06</v>
      </c>
      <c r="W402" s="12">
        <f t="array" ref="W402">IF($A402="","",XLOOKUP($J402,Lists!$C$3:$C$7,Lists!$D$3:$D$7,1))</f>
        <v>1</v>
      </c>
      <c r="X402" s="12">
        <f>IF($A402="","",IF($I402="Yes",Settings!$J$10,1))</f>
        <v>1</v>
      </c>
      <c r="Y402" s="12">
        <f t="shared" si="2"/>
        <v>1</v>
      </c>
      <c r="Z402" s="12">
        <f>IF($A402="","",IFERROR(ROUND(AVERAGEIFS('Historical Drafts'!$G$4:$G$300,'Historical Drafts'!$D$4:$D$300,$E402,'Historical Drafts'!$J$4:$J$300,"&gt;="&amp;$L402*0.85,'Historical Drafts'!$J$4:$J$300,"&lt;="&amp;$L402*1.15),0),$Y402))</f>
        <v>1</v>
      </c>
      <c r="AA402" s="12" t="str">
        <f>IF($A402="","",IF(COUNTIF('Auction Log'!$B$3:$B$300,$A402)&gt;0,"Sold","Available"))</f>
        <v>Available</v>
      </c>
      <c r="AB402" s="12" t="str">
        <f t="array" ref="AB402">IF($A402="","",IFERROR(XLOOKUP($A402,'Auction Log'!$B$3:$B$300,'Auction Log'!$G$3:$G$300,""),""))</f>
        <v/>
      </c>
      <c r="AC402" s="12" t="str">
        <f t="array" ref="AC402">IF($A402="","",IFERROR(XLOOKUP($A402,'Auction Log'!$B$3:$B$300,'Auction Log'!$F$3:$F$300,""),""))</f>
        <v/>
      </c>
      <c r="AD402" s="12">
        <f t="array" ref="AD402">IF($A402="","",ROUND($Y402*XLOOKUP($F402,Settings!$I$15:$I$20,Settings!$K$15:$K$20,0.4),0))</f>
        <v>0</v>
      </c>
      <c r="AE402" s="12">
        <f t="array" ref="AE402">IF($A402="","",ROUND($Y402*XLOOKUP($F402,Settings!$I$15:$I$20,Settings!$L$15:$L$20,0.8),0))</f>
        <v>1</v>
      </c>
      <c r="AF402" s="12">
        <f t="array" ref="AF402">IF($A402="","",ROUND($Y402*XLOOKUP($F402,Settings!$I$15:$I$20,Settings!$M$15:$M$20,1),0))</f>
        <v>1</v>
      </c>
      <c r="AG402" s="12">
        <f t="array" ref="AG402">IF($A402="","",ROUND($Y402*XLOOKUP($F402,Settings!$I$15:$I$20,Settings!$N$15:$N$20,1.1),0))</f>
        <v>1</v>
      </c>
      <c r="AH402" s="12">
        <f t="array" ref="AH402">IF($A402="","",ROUND($Y402*XLOOKUP($F402,Settings!$I$15:$I$20,Settings!$O$15:$O$20,1.1)*Settings!$J$7,0))</f>
        <v>1</v>
      </c>
      <c r="AI402" s="12">
        <f t="array" ref="AI402">IF($A402="","",IF($AA402="Sold","",MIN($AH402,IFERROR(XLOOKUP(Settings!$B$12,Managers!$B$4:$B$15,Managers!$H$4:$H$15),$AH402))))</f>
        <v>1</v>
      </c>
      <c r="AJ402" s="12" t="str">
        <f t="shared" si="3"/>
        <v>Recommended</v>
      </c>
      <c r="AK402" s="12">
        <f t="shared" si="4"/>
        <v>26</v>
      </c>
      <c r="AL402" s="12" t="str">
        <f t="shared" si="5"/>
        <v/>
      </c>
    </row>
    <row r="403" ht="15.75" customHeight="1">
      <c r="A403" s="10" t="s">
        <v>1088</v>
      </c>
      <c r="B403" s="10" t="s">
        <v>1089</v>
      </c>
      <c r="C403" s="10" t="s">
        <v>314</v>
      </c>
      <c r="D403" s="10" t="s">
        <v>115</v>
      </c>
      <c r="E403" s="10" t="s">
        <v>115</v>
      </c>
      <c r="F403" s="10" t="s">
        <v>117</v>
      </c>
      <c r="G403" s="10">
        <v>5.0</v>
      </c>
      <c r="H403" s="10">
        <v>7.0</v>
      </c>
      <c r="I403" s="10" t="s">
        <v>2140</v>
      </c>
      <c r="J403" s="10" t="s">
        <v>2136</v>
      </c>
      <c r="K403" s="10"/>
      <c r="L403" s="10">
        <v>31.5</v>
      </c>
      <c r="M403" s="10">
        <v>10.5</v>
      </c>
      <c r="N403" s="10"/>
      <c r="O403" s="10"/>
      <c r="P403" s="12">
        <f>IF($A403="","",IFERROR((IF($O403="",0,$O403)*Settings!$J$4+IF($L403="",0,$L403)*Settings!$J$5+IF($N403="",0,$N403)*Settings!$J$6)/(IF($O403="",0,Settings!$J$4)+IF($L403="",0,Settings!$J$5)+IF($N403="",0,Settings!$J$6)),0))</f>
        <v>31.5</v>
      </c>
      <c r="Q403" s="12">
        <f t="array" ref="Q403">IF($A403="","",XLOOKUP($E403,Settings!$A$19:$A$22,Settings!$G$19:$G$22,0))</f>
        <v>249.25</v>
      </c>
      <c r="R403" s="12">
        <f t="shared" si="1"/>
        <v>0</v>
      </c>
      <c r="S403" s="12">
        <f>IF($A403="","",IF($R403&lt;=0,1,1+$R403/SUMIF($R$4:$R$923,"&gt;0",$R$4:$R$923)*(Settings!$B$5*(Settings!$B$6-Settings!$B$7))))</f>
        <v>1</v>
      </c>
      <c r="T403" s="12">
        <f t="array" ref="T403">IF($A403="","",XLOOKUP($F403,Settings!$I$15:$I$20,Settings!$J$15:$J$20,1))</f>
        <v>0.75</v>
      </c>
      <c r="U403" s="12">
        <f>IF($A403="","",1+(($G403-5)/5)*Settings!$J$8)</f>
        <v>1</v>
      </c>
      <c r="V403" s="12">
        <f>IF($A403="","",1+(($H403-5)/5)*Settings!$J$9)</f>
        <v>1.06</v>
      </c>
      <c r="W403" s="12">
        <f t="array" ref="W403">IF($A403="","",XLOOKUP($J403,Lists!$C$3:$C$7,Lists!$D$3:$D$7,1))</f>
        <v>1</v>
      </c>
      <c r="X403" s="12">
        <f>IF($A403="","",IF($I403="Yes",Settings!$J$10,1))</f>
        <v>1</v>
      </c>
      <c r="Y403" s="12">
        <f t="shared" si="2"/>
        <v>1</v>
      </c>
      <c r="Z403" s="12">
        <f>IF($A403="","",IFERROR(ROUND(AVERAGEIFS('Historical Drafts'!$G$4:$G$300,'Historical Drafts'!$D$4:$D$300,$E403,'Historical Drafts'!$J$4:$J$300,"&gt;="&amp;$L403*0.85,'Historical Drafts'!$J$4:$J$300,"&lt;="&amp;$L403*1.15),0),$Y403))</f>
        <v>1</v>
      </c>
      <c r="AA403" s="12" t="str">
        <f>IF($A403="","",IF(COUNTIF('Auction Log'!$B$3:$B$300,$A403)&gt;0,"Sold","Available"))</f>
        <v>Available</v>
      </c>
      <c r="AB403" s="12" t="str">
        <f t="array" ref="AB403">IF($A403="","",IFERROR(XLOOKUP($A403,'Auction Log'!$B$3:$B$300,'Auction Log'!$G$3:$G$300,""),""))</f>
        <v/>
      </c>
      <c r="AC403" s="12" t="str">
        <f t="array" ref="AC403">IF($A403="","",IFERROR(XLOOKUP($A403,'Auction Log'!$B$3:$B$300,'Auction Log'!$F$3:$F$300,""),""))</f>
        <v/>
      </c>
      <c r="AD403" s="12">
        <f t="array" ref="AD403">IF($A403="","",ROUND($Y403*XLOOKUP($F403,Settings!$I$15:$I$20,Settings!$K$15:$K$20,0.4),0))</f>
        <v>0</v>
      </c>
      <c r="AE403" s="12">
        <f t="array" ref="AE403">IF($A403="","",ROUND($Y403*XLOOKUP($F403,Settings!$I$15:$I$20,Settings!$L$15:$L$20,0.8),0))</f>
        <v>1</v>
      </c>
      <c r="AF403" s="12">
        <f t="array" ref="AF403">IF($A403="","",ROUND($Y403*XLOOKUP($F403,Settings!$I$15:$I$20,Settings!$M$15:$M$20,1),0))</f>
        <v>1</v>
      </c>
      <c r="AG403" s="12">
        <f t="array" ref="AG403">IF($A403="","",ROUND($Y403*XLOOKUP($F403,Settings!$I$15:$I$20,Settings!$N$15:$N$20,1.1),0))</f>
        <v>1</v>
      </c>
      <c r="AH403" s="12">
        <f t="array" ref="AH403">IF($A403="","",ROUND($Y403*XLOOKUP($F403,Settings!$I$15:$I$20,Settings!$O$15:$O$20,1.1)*Settings!$J$7,0))</f>
        <v>1</v>
      </c>
      <c r="AI403" s="12">
        <f t="array" ref="AI403">IF($A403="","",IF($AA403="Sold","",MIN($AH403,IFERROR(XLOOKUP(Settings!$B$12,Managers!$B$4:$B$15,Managers!$H$4:$H$15),$AH403))))</f>
        <v>1</v>
      </c>
      <c r="AJ403" s="12" t="str">
        <f t="shared" si="3"/>
        <v>Recommended</v>
      </c>
      <c r="AK403" s="12">
        <f t="shared" si="4"/>
        <v>26</v>
      </c>
      <c r="AL403" s="12" t="str">
        <f t="shared" si="5"/>
        <v/>
      </c>
    </row>
    <row r="404" ht="15.75" customHeight="1">
      <c r="A404" s="10" t="s">
        <v>1090</v>
      </c>
      <c r="B404" s="10" t="s">
        <v>1091</v>
      </c>
      <c r="C404" s="10" t="s">
        <v>1092</v>
      </c>
      <c r="D404" s="10" t="s">
        <v>121</v>
      </c>
      <c r="E404" s="10" t="s">
        <v>121</v>
      </c>
      <c r="F404" s="10" t="s">
        <v>117</v>
      </c>
      <c r="G404" s="10">
        <v>5.0</v>
      </c>
      <c r="H404" s="10">
        <v>7.0</v>
      </c>
      <c r="I404" s="10" t="s">
        <v>2140</v>
      </c>
      <c r="J404" s="10" t="s">
        <v>2136</v>
      </c>
      <c r="K404" s="10"/>
      <c r="L404" s="10">
        <v>31.5</v>
      </c>
      <c r="M404" s="10">
        <v>2.62</v>
      </c>
      <c r="N404" s="10"/>
      <c r="O404" s="10"/>
      <c r="P404" s="12">
        <f>IF($A404="","",IFERROR((IF($O404="",0,$O404)*Settings!$J$4+IF($L404="",0,$L404)*Settings!$J$5+IF($N404="",0,$N404)*Settings!$J$6)/(IF($O404="",0,Settings!$J$4)+IF($L404="",0,Settings!$J$5)+IF($N404="",0,Settings!$J$6)),0))</f>
        <v>31.5</v>
      </c>
      <c r="Q404" s="12">
        <f t="array" ref="Q404">IF($A404="","",XLOOKUP($E404,Settings!$A$19:$A$22,Settings!$G$19:$G$22,0))</f>
        <v>206</v>
      </c>
      <c r="R404" s="12">
        <f t="shared" si="1"/>
        <v>0</v>
      </c>
      <c r="S404" s="12">
        <f>IF($A404="","",IF($R404&lt;=0,1,1+$R404/SUMIF($R$4:$R$923,"&gt;0",$R$4:$R$923)*(Settings!$B$5*(Settings!$B$6-Settings!$B$7))))</f>
        <v>1</v>
      </c>
      <c r="T404" s="12">
        <f t="array" ref="T404">IF($A404="","",XLOOKUP($F404,Settings!$I$15:$I$20,Settings!$J$15:$J$20,1))</f>
        <v>0.75</v>
      </c>
      <c r="U404" s="12">
        <f>IF($A404="","",1+(($G404-5)/5)*Settings!$J$8)</f>
        <v>1</v>
      </c>
      <c r="V404" s="12">
        <f>IF($A404="","",1+(($H404-5)/5)*Settings!$J$9)</f>
        <v>1.06</v>
      </c>
      <c r="W404" s="12">
        <f t="array" ref="W404">IF($A404="","",XLOOKUP($J404,Lists!$C$3:$C$7,Lists!$D$3:$D$7,1))</f>
        <v>1</v>
      </c>
      <c r="X404" s="12">
        <f>IF($A404="","",IF($I404="Yes",Settings!$J$10,1))</f>
        <v>1</v>
      </c>
      <c r="Y404" s="12">
        <f t="shared" si="2"/>
        <v>1</v>
      </c>
      <c r="Z404" s="12">
        <f>IF($A404="","",IFERROR(ROUND(AVERAGEIFS('Historical Drafts'!$G$4:$G$300,'Historical Drafts'!$D$4:$D$300,$E404,'Historical Drafts'!$J$4:$J$300,"&gt;="&amp;$L404*0.85,'Historical Drafts'!$J$4:$J$300,"&lt;="&amp;$L404*1.15),0),$Y404))</f>
        <v>1</v>
      </c>
      <c r="AA404" s="12" t="str">
        <f>IF($A404="","",IF(COUNTIF('Auction Log'!$B$3:$B$300,$A404)&gt;0,"Sold","Available"))</f>
        <v>Available</v>
      </c>
      <c r="AB404" s="12" t="str">
        <f t="array" ref="AB404">IF($A404="","",IFERROR(XLOOKUP($A404,'Auction Log'!$B$3:$B$300,'Auction Log'!$G$3:$G$300,""),""))</f>
        <v/>
      </c>
      <c r="AC404" s="12" t="str">
        <f t="array" ref="AC404">IF($A404="","",IFERROR(XLOOKUP($A404,'Auction Log'!$B$3:$B$300,'Auction Log'!$F$3:$F$300,""),""))</f>
        <v/>
      </c>
      <c r="AD404" s="12">
        <f t="array" ref="AD404">IF($A404="","",ROUND($Y404*XLOOKUP($F404,Settings!$I$15:$I$20,Settings!$K$15:$K$20,0.4),0))</f>
        <v>0</v>
      </c>
      <c r="AE404" s="12">
        <f t="array" ref="AE404">IF($A404="","",ROUND($Y404*XLOOKUP($F404,Settings!$I$15:$I$20,Settings!$L$15:$L$20,0.8),0))</f>
        <v>1</v>
      </c>
      <c r="AF404" s="12">
        <f t="array" ref="AF404">IF($A404="","",ROUND($Y404*XLOOKUP($F404,Settings!$I$15:$I$20,Settings!$M$15:$M$20,1),0))</f>
        <v>1</v>
      </c>
      <c r="AG404" s="12">
        <f t="array" ref="AG404">IF($A404="","",ROUND($Y404*XLOOKUP($F404,Settings!$I$15:$I$20,Settings!$N$15:$N$20,1.1),0))</f>
        <v>1</v>
      </c>
      <c r="AH404" s="12">
        <f t="array" ref="AH404">IF($A404="","",ROUND($Y404*XLOOKUP($F404,Settings!$I$15:$I$20,Settings!$O$15:$O$20,1.1)*Settings!$J$7,0))</f>
        <v>1</v>
      </c>
      <c r="AI404" s="12">
        <f t="array" ref="AI404">IF($A404="","",IF($AA404="Sold","",MIN($AH404,IFERROR(XLOOKUP(Settings!$B$12,Managers!$B$4:$B$15,Managers!$H$4:$H$15),$AH404))))</f>
        <v>1</v>
      </c>
      <c r="AJ404" s="12" t="str">
        <f t="shared" si="3"/>
        <v>Recommended</v>
      </c>
      <c r="AK404" s="12">
        <f t="shared" si="4"/>
        <v>26</v>
      </c>
      <c r="AL404" s="12" t="str">
        <f t="shared" si="5"/>
        <v/>
      </c>
    </row>
    <row r="405" ht="15.75" customHeight="1">
      <c r="A405" s="10" t="s">
        <v>427</v>
      </c>
      <c r="B405" s="10" t="s">
        <v>428</v>
      </c>
      <c r="C405" s="10" t="s">
        <v>180</v>
      </c>
      <c r="D405" s="10" t="s">
        <v>115</v>
      </c>
      <c r="E405" s="10" t="s">
        <v>115</v>
      </c>
      <c r="F405" s="10" t="s">
        <v>117</v>
      </c>
      <c r="G405" s="10">
        <v>5.0</v>
      </c>
      <c r="H405" s="10">
        <v>7.0</v>
      </c>
      <c r="I405" s="10" t="s">
        <v>2140</v>
      </c>
      <c r="J405" s="10" t="s">
        <v>2136</v>
      </c>
      <c r="K405" s="10"/>
      <c r="L405" s="10">
        <v>31.5</v>
      </c>
      <c r="M405" s="10">
        <v>7.88</v>
      </c>
      <c r="N405" s="10"/>
      <c r="O405" s="10"/>
      <c r="P405" s="12">
        <f>IF($A405="","",IFERROR((IF($O405="",0,$O405)*Settings!$J$4+IF($L405="",0,$L405)*Settings!$J$5+IF($N405="",0,$N405)*Settings!$J$6)/(IF($O405="",0,Settings!$J$4)+IF($L405="",0,Settings!$J$5)+IF($N405="",0,Settings!$J$6)),0))</f>
        <v>31.5</v>
      </c>
      <c r="Q405" s="12">
        <f t="array" ref="Q405">IF($A405="","",XLOOKUP($E405,Settings!$A$19:$A$22,Settings!$G$19:$G$22,0))</f>
        <v>249.25</v>
      </c>
      <c r="R405" s="12">
        <f t="shared" si="1"/>
        <v>0</v>
      </c>
      <c r="S405" s="12">
        <f>IF($A405="","",IF($R405&lt;=0,1,1+$R405/SUMIF($R$4:$R$923,"&gt;0",$R$4:$R$923)*(Settings!$B$5*(Settings!$B$6-Settings!$B$7))))</f>
        <v>1</v>
      </c>
      <c r="T405" s="12">
        <f t="array" ref="T405">IF($A405="","",XLOOKUP($F405,Settings!$I$15:$I$20,Settings!$J$15:$J$20,1))</f>
        <v>0.75</v>
      </c>
      <c r="U405" s="12">
        <f>IF($A405="","",1+(($G405-5)/5)*Settings!$J$8)</f>
        <v>1</v>
      </c>
      <c r="V405" s="12">
        <f>IF($A405="","",1+(($H405-5)/5)*Settings!$J$9)</f>
        <v>1.06</v>
      </c>
      <c r="W405" s="12">
        <f t="array" ref="W405">IF($A405="","",XLOOKUP($J405,Lists!$C$3:$C$7,Lists!$D$3:$D$7,1))</f>
        <v>1</v>
      </c>
      <c r="X405" s="12">
        <f>IF($A405="","",IF($I405="Yes",Settings!$J$10,1))</f>
        <v>1</v>
      </c>
      <c r="Y405" s="12">
        <f t="shared" si="2"/>
        <v>1</v>
      </c>
      <c r="Z405" s="12">
        <f>IF($A405="","",IFERROR(ROUND(AVERAGEIFS('Historical Drafts'!$G$4:$G$300,'Historical Drafts'!$D$4:$D$300,$E405,'Historical Drafts'!$J$4:$J$300,"&gt;="&amp;$L405*0.85,'Historical Drafts'!$J$4:$J$300,"&lt;="&amp;$L405*1.15),0),$Y405))</f>
        <v>1</v>
      </c>
      <c r="AA405" s="12" t="str">
        <f>IF($A405="","",IF(COUNTIF('Auction Log'!$B$3:$B$300,$A405)&gt;0,"Sold","Available"))</f>
        <v>Available</v>
      </c>
      <c r="AB405" s="12" t="str">
        <f t="array" ref="AB405">IF($A405="","",IFERROR(XLOOKUP($A405,'Auction Log'!$B$3:$B$300,'Auction Log'!$G$3:$G$300,""),""))</f>
        <v/>
      </c>
      <c r="AC405" s="12" t="str">
        <f t="array" ref="AC405">IF($A405="","",IFERROR(XLOOKUP($A405,'Auction Log'!$B$3:$B$300,'Auction Log'!$F$3:$F$300,""),""))</f>
        <v/>
      </c>
      <c r="AD405" s="12">
        <f t="array" ref="AD405">IF($A405="","",ROUND($Y405*XLOOKUP($F405,Settings!$I$15:$I$20,Settings!$K$15:$K$20,0.4),0))</f>
        <v>0</v>
      </c>
      <c r="AE405" s="12">
        <f t="array" ref="AE405">IF($A405="","",ROUND($Y405*XLOOKUP($F405,Settings!$I$15:$I$20,Settings!$L$15:$L$20,0.8),0))</f>
        <v>1</v>
      </c>
      <c r="AF405" s="12">
        <f t="array" ref="AF405">IF($A405="","",ROUND($Y405*XLOOKUP($F405,Settings!$I$15:$I$20,Settings!$M$15:$M$20,1),0))</f>
        <v>1</v>
      </c>
      <c r="AG405" s="12">
        <f t="array" ref="AG405">IF($A405="","",ROUND($Y405*XLOOKUP($F405,Settings!$I$15:$I$20,Settings!$N$15:$N$20,1.1),0))</f>
        <v>1</v>
      </c>
      <c r="AH405" s="12">
        <f t="array" ref="AH405">IF($A405="","",ROUND($Y405*XLOOKUP($F405,Settings!$I$15:$I$20,Settings!$O$15:$O$20,1.1)*Settings!$J$7,0))</f>
        <v>1</v>
      </c>
      <c r="AI405" s="12">
        <f t="array" ref="AI405">IF($A405="","",IF($AA405="Sold","",MIN($AH405,IFERROR(XLOOKUP(Settings!$B$12,Managers!$B$4:$B$15,Managers!$H$4:$H$15),$AH405))))</f>
        <v>1</v>
      </c>
      <c r="AJ405" s="12" t="str">
        <f t="shared" si="3"/>
        <v>Recommended</v>
      </c>
      <c r="AK405" s="12">
        <f t="shared" si="4"/>
        <v>26</v>
      </c>
      <c r="AL405" s="12" t="str">
        <f t="shared" si="5"/>
        <v/>
      </c>
    </row>
    <row r="406" ht="15.75" customHeight="1">
      <c r="A406" s="10" t="s">
        <v>1093</v>
      </c>
      <c r="B406" s="10" t="s">
        <v>1094</v>
      </c>
      <c r="C406" s="10" t="s">
        <v>566</v>
      </c>
      <c r="D406" s="10" t="s">
        <v>118</v>
      </c>
      <c r="E406" s="10" t="s">
        <v>118</v>
      </c>
      <c r="F406" s="10" t="s">
        <v>117</v>
      </c>
      <c r="G406" s="10">
        <v>5.0</v>
      </c>
      <c r="H406" s="10">
        <v>7.0</v>
      </c>
      <c r="I406" s="10" t="s">
        <v>2140</v>
      </c>
      <c r="J406" s="10" t="s">
        <v>2136</v>
      </c>
      <c r="K406" s="10"/>
      <c r="L406" s="10">
        <v>29.75</v>
      </c>
      <c r="M406" s="10">
        <v>2.12</v>
      </c>
      <c r="N406" s="10"/>
      <c r="O406" s="10"/>
      <c r="P406" s="12">
        <f>IF($A406="","",IFERROR((IF($O406="",0,$O406)*Settings!$J$4+IF($L406="",0,$L406)*Settings!$J$5+IF($N406="",0,$N406)*Settings!$J$6)/(IF($O406="",0,Settings!$J$4)+IF($L406="",0,Settings!$J$5)+IF($N406="",0,Settings!$J$6)),0))</f>
        <v>29.75</v>
      </c>
      <c r="Q406" s="12">
        <f t="array" ref="Q406">IF($A406="","",XLOOKUP($E406,Settings!$A$19:$A$22,Settings!$G$19:$G$22,0))</f>
        <v>196.25</v>
      </c>
      <c r="R406" s="12">
        <f t="shared" si="1"/>
        <v>0</v>
      </c>
      <c r="S406" s="12">
        <f>IF($A406="","",IF($R406&lt;=0,1,1+$R406/SUMIF($R$4:$R$923,"&gt;0",$R$4:$R$923)*(Settings!$B$5*(Settings!$B$6-Settings!$B$7))))</f>
        <v>1</v>
      </c>
      <c r="T406" s="12">
        <f t="array" ref="T406">IF($A406="","",XLOOKUP($F406,Settings!$I$15:$I$20,Settings!$J$15:$J$20,1))</f>
        <v>0.75</v>
      </c>
      <c r="U406" s="12">
        <f>IF($A406="","",1+(($G406-5)/5)*Settings!$J$8)</f>
        <v>1</v>
      </c>
      <c r="V406" s="12">
        <f>IF($A406="","",1+(($H406-5)/5)*Settings!$J$9)</f>
        <v>1.06</v>
      </c>
      <c r="W406" s="12">
        <f t="array" ref="W406">IF($A406="","",XLOOKUP($J406,Lists!$C$3:$C$7,Lists!$D$3:$D$7,1))</f>
        <v>1</v>
      </c>
      <c r="X406" s="12">
        <f>IF($A406="","",IF($I406="Yes",Settings!$J$10,1))</f>
        <v>1</v>
      </c>
      <c r="Y406" s="12">
        <f t="shared" si="2"/>
        <v>1</v>
      </c>
      <c r="Z406" s="12">
        <f>IF($A406="","",IFERROR(ROUND(AVERAGEIFS('Historical Drafts'!$G$4:$G$300,'Historical Drafts'!$D$4:$D$300,$E406,'Historical Drafts'!$J$4:$J$300,"&gt;="&amp;$L406*0.85,'Historical Drafts'!$J$4:$J$300,"&lt;="&amp;$L406*1.15),0),$Y406))</f>
        <v>2</v>
      </c>
      <c r="AA406" s="12" t="str">
        <f>IF($A406="","",IF(COUNTIF('Auction Log'!$B$3:$B$300,$A406)&gt;0,"Sold","Available"))</f>
        <v>Available</v>
      </c>
      <c r="AB406" s="12" t="str">
        <f t="array" ref="AB406">IF($A406="","",IFERROR(XLOOKUP($A406,'Auction Log'!$B$3:$B$300,'Auction Log'!$G$3:$G$300,""),""))</f>
        <v/>
      </c>
      <c r="AC406" s="12" t="str">
        <f t="array" ref="AC406">IF($A406="","",IFERROR(XLOOKUP($A406,'Auction Log'!$B$3:$B$300,'Auction Log'!$F$3:$F$300,""),""))</f>
        <v/>
      </c>
      <c r="AD406" s="12">
        <f t="array" ref="AD406">IF($A406="","",ROUND($Y406*XLOOKUP($F406,Settings!$I$15:$I$20,Settings!$K$15:$K$20,0.4),0))</f>
        <v>0</v>
      </c>
      <c r="AE406" s="12">
        <f t="array" ref="AE406">IF($A406="","",ROUND($Y406*XLOOKUP($F406,Settings!$I$15:$I$20,Settings!$L$15:$L$20,0.8),0))</f>
        <v>1</v>
      </c>
      <c r="AF406" s="12">
        <f t="array" ref="AF406">IF($A406="","",ROUND($Y406*XLOOKUP($F406,Settings!$I$15:$I$20,Settings!$M$15:$M$20,1),0))</f>
        <v>1</v>
      </c>
      <c r="AG406" s="12">
        <f t="array" ref="AG406">IF($A406="","",ROUND($Y406*XLOOKUP($F406,Settings!$I$15:$I$20,Settings!$N$15:$N$20,1.1),0))</f>
        <v>1</v>
      </c>
      <c r="AH406" s="12">
        <f t="array" ref="AH406">IF($A406="","",ROUND($Y406*XLOOKUP($F406,Settings!$I$15:$I$20,Settings!$O$15:$O$20,1.1)*Settings!$J$7,0))</f>
        <v>1</v>
      </c>
      <c r="AI406" s="12">
        <f t="array" ref="AI406">IF($A406="","",IF($AA406="Sold","",MIN($AH406,IFERROR(XLOOKUP(Settings!$B$12,Managers!$B$4:$B$15,Managers!$H$4:$H$15),$AH406))))</f>
        <v>1</v>
      </c>
      <c r="AJ406" s="12" t="str">
        <f t="shared" si="3"/>
        <v>Budget Drainer</v>
      </c>
      <c r="AK406" s="12">
        <f t="shared" si="4"/>
        <v>27</v>
      </c>
      <c r="AL406" s="12" t="str">
        <f t="shared" si="5"/>
        <v/>
      </c>
    </row>
    <row r="407" ht="15.75" customHeight="1">
      <c r="A407" s="10" t="s">
        <v>443</v>
      </c>
      <c r="B407" s="10" t="s">
        <v>444</v>
      </c>
      <c r="C407" s="10" t="s">
        <v>231</v>
      </c>
      <c r="D407" s="10" t="s">
        <v>121</v>
      </c>
      <c r="E407" s="10" t="s">
        <v>121</v>
      </c>
      <c r="F407" s="10" t="s">
        <v>117</v>
      </c>
      <c r="G407" s="10">
        <v>5.0</v>
      </c>
      <c r="H407" s="10">
        <v>7.0</v>
      </c>
      <c r="I407" s="10" t="s">
        <v>2140</v>
      </c>
      <c r="J407" s="10" t="s">
        <v>2136</v>
      </c>
      <c r="K407" s="10"/>
      <c r="L407" s="10">
        <v>29.0</v>
      </c>
      <c r="M407" s="10">
        <v>4.83</v>
      </c>
      <c r="N407" s="10"/>
      <c r="O407" s="10"/>
      <c r="P407" s="12">
        <f>IF($A407="","",IFERROR((IF($O407="",0,$O407)*Settings!$J$4+IF($L407="",0,$L407)*Settings!$J$5+IF($N407="",0,$N407)*Settings!$J$6)/(IF($O407="",0,Settings!$J$4)+IF($L407="",0,Settings!$J$5)+IF($N407="",0,Settings!$J$6)),0))</f>
        <v>29</v>
      </c>
      <c r="Q407" s="12">
        <f t="array" ref="Q407">IF($A407="","",XLOOKUP($E407,Settings!$A$19:$A$22,Settings!$G$19:$G$22,0))</f>
        <v>206</v>
      </c>
      <c r="R407" s="12">
        <f t="shared" si="1"/>
        <v>0</v>
      </c>
      <c r="S407" s="12">
        <f>IF($A407="","",IF($R407&lt;=0,1,1+$R407/SUMIF($R$4:$R$923,"&gt;0",$R$4:$R$923)*(Settings!$B$5*(Settings!$B$6-Settings!$B$7))))</f>
        <v>1</v>
      </c>
      <c r="T407" s="12">
        <f t="array" ref="T407">IF($A407="","",XLOOKUP($F407,Settings!$I$15:$I$20,Settings!$J$15:$J$20,1))</f>
        <v>0.75</v>
      </c>
      <c r="U407" s="12">
        <f>IF($A407="","",1+(($G407-5)/5)*Settings!$J$8)</f>
        <v>1</v>
      </c>
      <c r="V407" s="12">
        <f>IF($A407="","",1+(($H407-5)/5)*Settings!$J$9)</f>
        <v>1.06</v>
      </c>
      <c r="W407" s="12">
        <f t="array" ref="W407">IF($A407="","",XLOOKUP($J407,Lists!$C$3:$C$7,Lists!$D$3:$D$7,1))</f>
        <v>1</v>
      </c>
      <c r="X407" s="12">
        <f>IF($A407="","",IF($I407="Yes",Settings!$J$10,1))</f>
        <v>1</v>
      </c>
      <c r="Y407" s="12">
        <f t="shared" si="2"/>
        <v>1</v>
      </c>
      <c r="Z407" s="12">
        <f>IF($A407="","",IFERROR(ROUND(AVERAGEIFS('Historical Drafts'!$G$4:$G$300,'Historical Drafts'!$D$4:$D$300,$E407,'Historical Drafts'!$J$4:$J$300,"&gt;="&amp;$L407*0.85,'Historical Drafts'!$J$4:$J$300,"&lt;="&amp;$L407*1.15),0),$Y407))</f>
        <v>1</v>
      </c>
      <c r="AA407" s="12" t="str">
        <f>IF($A407="","",IF(COUNTIF('Auction Log'!$B$3:$B$300,$A407)&gt;0,"Sold","Available"))</f>
        <v>Available</v>
      </c>
      <c r="AB407" s="12" t="str">
        <f t="array" ref="AB407">IF($A407="","",IFERROR(XLOOKUP($A407,'Auction Log'!$B$3:$B$300,'Auction Log'!$G$3:$G$300,""),""))</f>
        <v/>
      </c>
      <c r="AC407" s="12" t="str">
        <f t="array" ref="AC407">IF($A407="","",IFERROR(XLOOKUP($A407,'Auction Log'!$B$3:$B$300,'Auction Log'!$F$3:$F$300,""),""))</f>
        <v/>
      </c>
      <c r="AD407" s="12">
        <f t="array" ref="AD407">IF($A407="","",ROUND($Y407*XLOOKUP($F407,Settings!$I$15:$I$20,Settings!$K$15:$K$20,0.4),0))</f>
        <v>0</v>
      </c>
      <c r="AE407" s="12">
        <f t="array" ref="AE407">IF($A407="","",ROUND($Y407*XLOOKUP($F407,Settings!$I$15:$I$20,Settings!$L$15:$L$20,0.8),0))</f>
        <v>1</v>
      </c>
      <c r="AF407" s="12">
        <f t="array" ref="AF407">IF($A407="","",ROUND($Y407*XLOOKUP($F407,Settings!$I$15:$I$20,Settings!$M$15:$M$20,1),0))</f>
        <v>1</v>
      </c>
      <c r="AG407" s="12">
        <f t="array" ref="AG407">IF($A407="","",ROUND($Y407*XLOOKUP($F407,Settings!$I$15:$I$20,Settings!$N$15:$N$20,1.1),0))</f>
        <v>1</v>
      </c>
      <c r="AH407" s="12">
        <f t="array" ref="AH407">IF($A407="","",ROUND($Y407*XLOOKUP($F407,Settings!$I$15:$I$20,Settings!$O$15:$O$20,1.1)*Settings!$J$7,0))</f>
        <v>1</v>
      </c>
      <c r="AI407" s="12">
        <f t="array" ref="AI407">IF($A407="","",IF($AA407="Sold","",MIN($AH407,IFERROR(XLOOKUP(Settings!$B$12,Managers!$B$4:$B$15,Managers!$H$4:$H$15),$AH407))))</f>
        <v>1</v>
      </c>
      <c r="AJ407" s="12" t="str">
        <f t="shared" si="3"/>
        <v>Recommended</v>
      </c>
      <c r="AK407" s="12">
        <f t="shared" si="4"/>
        <v>26</v>
      </c>
      <c r="AL407" s="12" t="str">
        <f t="shared" si="5"/>
        <v/>
      </c>
    </row>
    <row r="408" ht="15.75" customHeight="1">
      <c r="A408" s="10" t="s">
        <v>1095</v>
      </c>
      <c r="B408" s="10" t="s">
        <v>1096</v>
      </c>
      <c r="C408" s="10" t="s">
        <v>231</v>
      </c>
      <c r="D408" s="10" t="s">
        <v>123</v>
      </c>
      <c r="E408" s="10" t="s">
        <v>123</v>
      </c>
      <c r="F408" s="10" t="s">
        <v>117</v>
      </c>
      <c r="G408" s="10">
        <v>5.0</v>
      </c>
      <c r="H408" s="10">
        <v>7.0</v>
      </c>
      <c r="I408" s="10" t="s">
        <v>2140</v>
      </c>
      <c r="J408" s="10" t="s">
        <v>2136</v>
      </c>
      <c r="K408" s="10"/>
      <c r="L408" s="10">
        <v>28.5</v>
      </c>
      <c r="M408" s="10">
        <v>3.17</v>
      </c>
      <c r="N408" s="10"/>
      <c r="O408" s="10"/>
      <c r="P408" s="12">
        <f>IF($A408="","",IFERROR((IF($O408="",0,$O408)*Settings!$J$4+IF($L408="",0,$L408)*Settings!$J$5+IF($N408="",0,$N408)*Settings!$J$6)/(IF($O408="",0,Settings!$J$4)+IF($L408="",0,Settings!$J$5)+IF($N408="",0,Settings!$J$6)),0))</f>
        <v>28.5</v>
      </c>
      <c r="Q408" s="12">
        <f t="array" ref="Q408">IF($A408="","",XLOOKUP($E408,Settings!$A$19:$A$22,Settings!$G$19:$G$22,0))</f>
        <v>203</v>
      </c>
      <c r="R408" s="12">
        <f t="shared" si="1"/>
        <v>0</v>
      </c>
      <c r="S408" s="12">
        <f>IF($A408="","",IF($R408&lt;=0,1,1+$R408/SUMIF($R$4:$R$923,"&gt;0",$R$4:$R$923)*(Settings!$B$5*(Settings!$B$6-Settings!$B$7))))</f>
        <v>1</v>
      </c>
      <c r="T408" s="12">
        <f t="array" ref="T408">IF($A408="","",XLOOKUP($F408,Settings!$I$15:$I$20,Settings!$J$15:$J$20,1))</f>
        <v>0.75</v>
      </c>
      <c r="U408" s="12">
        <f>IF($A408="","",1+(($G408-5)/5)*Settings!$J$8)</f>
        <v>1</v>
      </c>
      <c r="V408" s="12">
        <f>IF($A408="","",1+(($H408-5)/5)*Settings!$J$9)</f>
        <v>1.06</v>
      </c>
      <c r="W408" s="12">
        <f t="array" ref="W408">IF($A408="","",XLOOKUP($J408,Lists!$C$3:$C$7,Lists!$D$3:$D$7,1))</f>
        <v>1</v>
      </c>
      <c r="X408" s="12">
        <f>IF($A408="","",IF($I408="Yes",Settings!$J$10,1))</f>
        <v>1</v>
      </c>
      <c r="Y408" s="12">
        <f t="shared" si="2"/>
        <v>1</v>
      </c>
      <c r="Z408" s="12">
        <f>IF($A408="","",IFERROR(ROUND(AVERAGEIFS('Historical Drafts'!$G$4:$G$300,'Historical Drafts'!$D$4:$D$300,$E408,'Historical Drafts'!$J$4:$J$300,"&gt;="&amp;$L408*0.85,'Historical Drafts'!$J$4:$J$300,"&lt;="&amp;$L408*1.15),0),$Y408))</f>
        <v>1</v>
      </c>
      <c r="AA408" s="12" t="str">
        <f>IF($A408="","",IF(COUNTIF('Auction Log'!$B$3:$B$300,$A408)&gt;0,"Sold","Available"))</f>
        <v>Available</v>
      </c>
      <c r="AB408" s="12" t="str">
        <f t="array" ref="AB408">IF($A408="","",IFERROR(XLOOKUP($A408,'Auction Log'!$B$3:$B$300,'Auction Log'!$G$3:$G$300,""),""))</f>
        <v/>
      </c>
      <c r="AC408" s="12" t="str">
        <f t="array" ref="AC408">IF($A408="","",IFERROR(XLOOKUP($A408,'Auction Log'!$B$3:$B$300,'Auction Log'!$F$3:$F$300,""),""))</f>
        <v/>
      </c>
      <c r="AD408" s="12">
        <f t="array" ref="AD408">IF($A408="","",ROUND($Y408*XLOOKUP($F408,Settings!$I$15:$I$20,Settings!$K$15:$K$20,0.4),0))</f>
        <v>0</v>
      </c>
      <c r="AE408" s="12">
        <f t="array" ref="AE408">IF($A408="","",ROUND($Y408*XLOOKUP($F408,Settings!$I$15:$I$20,Settings!$L$15:$L$20,0.8),0))</f>
        <v>1</v>
      </c>
      <c r="AF408" s="12">
        <f t="array" ref="AF408">IF($A408="","",ROUND($Y408*XLOOKUP($F408,Settings!$I$15:$I$20,Settings!$M$15:$M$20,1),0))</f>
        <v>1</v>
      </c>
      <c r="AG408" s="12">
        <f t="array" ref="AG408">IF($A408="","",ROUND($Y408*XLOOKUP($F408,Settings!$I$15:$I$20,Settings!$N$15:$N$20,1.1),0))</f>
        <v>1</v>
      </c>
      <c r="AH408" s="12">
        <f t="array" ref="AH408">IF($A408="","",ROUND($Y408*XLOOKUP($F408,Settings!$I$15:$I$20,Settings!$O$15:$O$20,1.1)*Settings!$J$7,0))</f>
        <v>1</v>
      </c>
      <c r="AI408" s="12">
        <f t="array" ref="AI408">IF($A408="","",IF($AA408="Sold","",MIN($AH408,IFERROR(XLOOKUP(Settings!$B$12,Managers!$B$4:$B$15,Managers!$H$4:$H$15),$AH408))))</f>
        <v>1</v>
      </c>
      <c r="AJ408" s="12" t="str">
        <f t="shared" si="3"/>
        <v>Recommended</v>
      </c>
      <c r="AK408" s="12">
        <f t="shared" si="4"/>
        <v>26</v>
      </c>
      <c r="AL408" s="12" t="str">
        <f t="shared" si="5"/>
        <v/>
      </c>
    </row>
    <row r="409" ht="15.75" customHeight="1">
      <c r="A409" s="10" t="s">
        <v>1097</v>
      </c>
      <c r="B409" s="10" t="s">
        <v>1098</v>
      </c>
      <c r="C409" s="10" t="s">
        <v>1099</v>
      </c>
      <c r="D409" s="10" t="s">
        <v>121</v>
      </c>
      <c r="E409" s="10" t="s">
        <v>121</v>
      </c>
      <c r="F409" s="10" t="s">
        <v>117</v>
      </c>
      <c r="G409" s="10">
        <v>5.0</v>
      </c>
      <c r="H409" s="10">
        <v>7.0</v>
      </c>
      <c r="I409" s="10" t="s">
        <v>2140</v>
      </c>
      <c r="J409" s="10" t="s">
        <v>2136</v>
      </c>
      <c r="K409" s="10"/>
      <c r="L409" s="10">
        <v>28.0</v>
      </c>
      <c r="M409" s="10">
        <v>2.0</v>
      </c>
      <c r="N409" s="10"/>
      <c r="O409" s="10"/>
      <c r="P409" s="12">
        <f>IF($A409="","",IFERROR((IF($O409="",0,$O409)*Settings!$J$4+IF($L409="",0,$L409)*Settings!$J$5+IF($N409="",0,$N409)*Settings!$J$6)/(IF($O409="",0,Settings!$J$4)+IF($L409="",0,Settings!$J$5)+IF($N409="",0,Settings!$J$6)),0))</f>
        <v>28</v>
      </c>
      <c r="Q409" s="12">
        <f t="array" ref="Q409">IF($A409="","",XLOOKUP($E409,Settings!$A$19:$A$22,Settings!$G$19:$G$22,0))</f>
        <v>206</v>
      </c>
      <c r="R409" s="12">
        <f t="shared" si="1"/>
        <v>0</v>
      </c>
      <c r="S409" s="12">
        <f>IF($A409="","",IF($R409&lt;=0,1,1+$R409/SUMIF($R$4:$R$923,"&gt;0",$R$4:$R$923)*(Settings!$B$5*(Settings!$B$6-Settings!$B$7))))</f>
        <v>1</v>
      </c>
      <c r="T409" s="12">
        <f t="array" ref="T409">IF($A409="","",XLOOKUP($F409,Settings!$I$15:$I$20,Settings!$J$15:$J$20,1))</f>
        <v>0.75</v>
      </c>
      <c r="U409" s="12">
        <f>IF($A409="","",1+(($G409-5)/5)*Settings!$J$8)</f>
        <v>1</v>
      </c>
      <c r="V409" s="12">
        <f>IF($A409="","",1+(($H409-5)/5)*Settings!$J$9)</f>
        <v>1.06</v>
      </c>
      <c r="W409" s="12">
        <f t="array" ref="W409">IF($A409="","",XLOOKUP($J409,Lists!$C$3:$C$7,Lists!$D$3:$D$7,1))</f>
        <v>1</v>
      </c>
      <c r="X409" s="12">
        <f>IF($A409="","",IF($I409="Yes",Settings!$J$10,1))</f>
        <v>1</v>
      </c>
      <c r="Y409" s="12">
        <f t="shared" si="2"/>
        <v>1</v>
      </c>
      <c r="Z409" s="12">
        <f>IF($A409="","",IFERROR(ROUND(AVERAGEIFS('Historical Drafts'!$G$4:$G$300,'Historical Drafts'!$D$4:$D$300,$E409,'Historical Drafts'!$J$4:$J$300,"&gt;="&amp;$L409*0.85,'Historical Drafts'!$J$4:$J$300,"&lt;="&amp;$L409*1.15),0),$Y409))</f>
        <v>1</v>
      </c>
      <c r="AA409" s="12" t="str">
        <f>IF($A409="","",IF(COUNTIF('Auction Log'!$B$3:$B$300,$A409)&gt;0,"Sold","Available"))</f>
        <v>Available</v>
      </c>
      <c r="AB409" s="12" t="str">
        <f t="array" ref="AB409">IF($A409="","",IFERROR(XLOOKUP($A409,'Auction Log'!$B$3:$B$300,'Auction Log'!$G$3:$G$300,""),""))</f>
        <v/>
      </c>
      <c r="AC409" s="12" t="str">
        <f t="array" ref="AC409">IF($A409="","",IFERROR(XLOOKUP($A409,'Auction Log'!$B$3:$B$300,'Auction Log'!$F$3:$F$300,""),""))</f>
        <v/>
      </c>
      <c r="AD409" s="12">
        <f t="array" ref="AD409">IF($A409="","",ROUND($Y409*XLOOKUP($F409,Settings!$I$15:$I$20,Settings!$K$15:$K$20,0.4),0))</f>
        <v>0</v>
      </c>
      <c r="AE409" s="12">
        <f t="array" ref="AE409">IF($A409="","",ROUND($Y409*XLOOKUP($F409,Settings!$I$15:$I$20,Settings!$L$15:$L$20,0.8),0))</f>
        <v>1</v>
      </c>
      <c r="AF409" s="12">
        <f t="array" ref="AF409">IF($A409="","",ROUND($Y409*XLOOKUP($F409,Settings!$I$15:$I$20,Settings!$M$15:$M$20,1),0))</f>
        <v>1</v>
      </c>
      <c r="AG409" s="12">
        <f t="array" ref="AG409">IF($A409="","",ROUND($Y409*XLOOKUP($F409,Settings!$I$15:$I$20,Settings!$N$15:$N$20,1.1),0))</f>
        <v>1</v>
      </c>
      <c r="AH409" s="12">
        <f t="array" ref="AH409">IF($A409="","",ROUND($Y409*XLOOKUP($F409,Settings!$I$15:$I$20,Settings!$O$15:$O$20,1.1)*Settings!$J$7,0))</f>
        <v>1</v>
      </c>
      <c r="AI409" s="12">
        <f t="array" ref="AI409">IF($A409="","",IF($AA409="Sold","",MIN($AH409,IFERROR(XLOOKUP(Settings!$B$12,Managers!$B$4:$B$15,Managers!$H$4:$H$15),$AH409))))</f>
        <v>1</v>
      </c>
      <c r="AJ409" s="12" t="str">
        <f t="shared" si="3"/>
        <v>Recommended</v>
      </c>
      <c r="AK409" s="12">
        <f t="shared" si="4"/>
        <v>26</v>
      </c>
      <c r="AL409" s="12" t="str">
        <f t="shared" si="5"/>
        <v/>
      </c>
    </row>
    <row r="410" ht="15.75" customHeight="1">
      <c r="A410" s="10" t="s">
        <v>467</v>
      </c>
      <c r="B410" s="10" t="s">
        <v>468</v>
      </c>
      <c r="C410" s="10" t="s">
        <v>188</v>
      </c>
      <c r="D410" s="10" t="s">
        <v>118</v>
      </c>
      <c r="E410" s="10" t="s">
        <v>118</v>
      </c>
      <c r="F410" s="10" t="s">
        <v>117</v>
      </c>
      <c r="G410" s="10">
        <v>5.0</v>
      </c>
      <c r="H410" s="10">
        <v>7.0</v>
      </c>
      <c r="I410" s="10" t="s">
        <v>2140</v>
      </c>
      <c r="J410" s="10" t="s">
        <v>2136</v>
      </c>
      <c r="K410" s="10"/>
      <c r="L410" s="10">
        <v>27.75</v>
      </c>
      <c r="M410" s="10">
        <v>1.26</v>
      </c>
      <c r="N410" s="10"/>
      <c r="O410" s="10"/>
      <c r="P410" s="12">
        <f>IF($A410="","",IFERROR((IF($O410="",0,$O410)*Settings!$J$4+IF($L410="",0,$L410)*Settings!$J$5+IF($N410="",0,$N410)*Settings!$J$6)/(IF($O410="",0,Settings!$J$4)+IF($L410="",0,Settings!$J$5)+IF($N410="",0,Settings!$J$6)),0))</f>
        <v>27.75</v>
      </c>
      <c r="Q410" s="12">
        <f t="array" ref="Q410">IF($A410="","",XLOOKUP($E410,Settings!$A$19:$A$22,Settings!$G$19:$G$22,0))</f>
        <v>196.25</v>
      </c>
      <c r="R410" s="12">
        <f t="shared" si="1"/>
        <v>0</v>
      </c>
      <c r="S410" s="12">
        <f>IF($A410="","",IF($R410&lt;=0,1,1+$R410/SUMIF($R$4:$R$923,"&gt;0",$R$4:$R$923)*(Settings!$B$5*(Settings!$B$6-Settings!$B$7))))</f>
        <v>1</v>
      </c>
      <c r="T410" s="12">
        <f t="array" ref="T410">IF($A410="","",XLOOKUP($F410,Settings!$I$15:$I$20,Settings!$J$15:$J$20,1))</f>
        <v>0.75</v>
      </c>
      <c r="U410" s="12">
        <f>IF($A410="","",1+(($G410-5)/5)*Settings!$J$8)</f>
        <v>1</v>
      </c>
      <c r="V410" s="12">
        <f>IF($A410="","",1+(($H410-5)/5)*Settings!$J$9)</f>
        <v>1.06</v>
      </c>
      <c r="W410" s="12">
        <f t="array" ref="W410">IF($A410="","",XLOOKUP($J410,Lists!$C$3:$C$7,Lists!$D$3:$D$7,1))</f>
        <v>1</v>
      </c>
      <c r="X410" s="12">
        <f>IF($A410="","",IF($I410="Yes",Settings!$J$10,1))</f>
        <v>1</v>
      </c>
      <c r="Y410" s="12">
        <f t="shared" si="2"/>
        <v>1</v>
      </c>
      <c r="Z410" s="12">
        <f>IF($A410="","",IFERROR(ROUND(AVERAGEIFS('Historical Drafts'!$G$4:$G$300,'Historical Drafts'!$D$4:$D$300,$E410,'Historical Drafts'!$J$4:$J$300,"&gt;="&amp;$L410*0.85,'Historical Drafts'!$J$4:$J$300,"&lt;="&amp;$L410*1.15),0),$Y410))</f>
        <v>2</v>
      </c>
      <c r="AA410" s="12" t="str">
        <f>IF($A410="","",IF(COUNTIF('Auction Log'!$B$3:$B$300,$A410)&gt;0,"Sold","Available"))</f>
        <v>Available</v>
      </c>
      <c r="AB410" s="12" t="str">
        <f t="array" ref="AB410">IF($A410="","",IFERROR(XLOOKUP($A410,'Auction Log'!$B$3:$B$300,'Auction Log'!$G$3:$G$300,""),""))</f>
        <v/>
      </c>
      <c r="AC410" s="12" t="str">
        <f t="array" ref="AC410">IF($A410="","",IFERROR(XLOOKUP($A410,'Auction Log'!$B$3:$B$300,'Auction Log'!$F$3:$F$300,""),""))</f>
        <v/>
      </c>
      <c r="AD410" s="12">
        <f t="array" ref="AD410">IF($A410="","",ROUND($Y410*XLOOKUP($F410,Settings!$I$15:$I$20,Settings!$K$15:$K$20,0.4),0))</f>
        <v>0</v>
      </c>
      <c r="AE410" s="12">
        <f t="array" ref="AE410">IF($A410="","",ROUND($Y410*XLOOKUP($F410,Settings!$I$15:$I$20,Settings!$L$15:$L$20,0.8),0))</f>
        <v>1</v>
      </c>
      <c r="AF410" s="12">
        <f t="array" ref="AF410">IF($A410="","",ROUND($Y410*XLOOKUP($F410,Settings!$I$15:$I$20,Settings!$M$15:$M$20,1),0))</f>
        <v>1</v>
      </c>
      <c r="AG410" s="12">
        <f t="array" ref="AG410">IF($A410="","",ROUND($Y410*XLOOKUP($F410,Settings!$I$15:$I$20,Settings!$N$15:$N$20,1.1),0))</f>
        <v>1</v>
      </c>
      <c r="AH410" s="12">
        <f t="array" ref="AH410">IF($A410="","",ROUND($Y410*XLOOKUP($F410,Settings!$I$15:$I$20,Settings!$O$15:$O$20,1.1)*Settings!$J$7,0))</f>
        <v>1</v>
      </c>
      <c r="AI410" s="12">
        <f t="array" ref="AI410">IF($A410="","",IF($AA410="Sold","",MIN($AH410,IFERROR(XLOOKUP(Settings!$B$12,Managers!$B$4:$B$15,Managers!$H$4:$H$15),$AH410))))</f>
        <v>1</v>
      </c>
      <c r="AJ410" s="12" t="str">
        <f t="shared" si="3"/>
        <v>Budget Drainer</v>
      </c>
      <c r="AK410" s="12">
        <f t="shared" si="4"/>
        <v>27</v>
      </c>
      <c r="AL410" s="12" t="str">
        <f t="shared" si="5"/>
        <v/>
      </c>
    </row>
    <row r="411" ht="15.75" customHeight="1">
      <c r="A411" s="10" t="s">
        <v>1100</v>
      </c>
      <c r="B411" s="10" t="s">
        <v>1101</v>
      </c>
      <c r="C411" s="10" t="s">
        <v>566</v>
      </c>
      <c r="D411" s="10" t="s">
        <v>118</v>
      </c>
      <c r="E411" s="10" t="s">
        <v>118</v>
      </c>
      <c r="F411" s="10" t="s">
        <v>117</v>
      </c>
      <c r="G411" s="10">
        <v>5.0</v>
      </c>
      <c r="H411" s="10">
        <v>7.0</v>
      </c>
      <c r="I411" s="10" t="s">
        <v>2140</v>
      </c>
      <c r="J411" s="10" t="s">
        <v>2136</v>
      </c>
      <c r="K411" s="10"/>
      <c r="L411" s="10">
        <v>27.0</v>
      </c>
      <c r="M411" s="10">
        <v>2.45</v>
      </c>
      <c r="N411" s="10"/>
      <c r="O411" s="10"/>
      <c r="P411" s="12">
        <f>IF($A411="","",IFERROR((IF($O411="",0,$O411)*Settings!$J$4+IF($L411="",0,$L411)*Settings!$J$5+IF($N411="",0,$N411)*Settings!$J$6)/(IF($O411="",0,Settings!$J$4)+IF($L411="",0,Settings!$J$5)+IF($N411="",0,Settings!$J$6)),0))</f>
        <v>27</v>
      </c>
      <c r="Q411" s="12">
        <f t="array" ref="Q411">IF($A411="","",XLOOKUP($E411,Settings!$A$19:$A$22,Settings!$G$19:$G$22,0))</f>
        <v>196.25</v>
      </c>
      <c r="R411" s="12">
        <f t="shared" si="1"/>
        <v>0</v>
      </c>
      <c r="S411" s="12">
        <f>IF($A411="","",IF($R411&lt;=0,1,1+$R411/SUMIF($R$4:$R$923,"&gt;0",$R$4:$R$923)*(Settings!$B$5*(Settings!$B$6-Settings!$B$7))))</f>
        <v>1</v>
      </c>
      <c r="T411" s="12">
        <f t="array" ref="T411">IF($A411="","",XLOOKUP($F411,Settings!$I$15:$I$20,Settings!$J$15:$J$20,1))</f>
        <v>0.75</v>
      </c>
      <c r="U411" s="12">
        <f>IF($A411="","",1+(($G411-5)/5)*Settings!$J$8)</f>
        <v>1</v>
      </c>
      <c r="V411" s="12">
        <f>IF($A411="","",1+(($H411-5)/5)*Settings!$J$9)</f>
        <v>1.06</v>
      </c>
      <c r="W411" s="12">
        <f t="array" ref="W411">IF($A411="","",XLOOKUP($J411,Lists!$C$3:$C$7,Lists!$D$3:$D$7,1))</f>
        <v>1</v>
      </c>
      <c r="X411" s="12">
        <f>IF($A411="","",IF($I411="Yes",Settings!$J$10,1))</f>
        <v>1</v>
      </c>
      <c r="Y411" s="12">
        <f t="shared" si="2"/>
        <v>1</v>
      </c>
      <c r="Z411" s="12">
        <f>IF($A411="","",IFERROR(ROUND(AVERAGEIFS('Historical Drafts'!$G$4:$G$300,'Historical Drafts'!$D$4:$D$300,$E411,'Historical Drafts'!$J$4:$J$300,"&gt;="&amp;$L411*0.85,'Historical Drafts'!$J$4:$J$300,"&lt;="&amp;$L411*1.15),0),$Y411))</f>
        <v>2</v>
      </c>
      <c r="AA411" s="12" t="str">
        <f>IF($A411="","",IF(COUNTIF('Auction Log'!$B$3:$B$300,$A411)&gt;0,"Sold","Available"))</f>
        <v>Available</v>
      </c>
      <c r="AB411" s="12" t="str">
        <f t="array" ref="AB411">IF($A411="","",IFERROR(XLOOKUP($A411,'Auction Log'!$B$3:$B$300,'Auction Log'!$G$3:$G$300,""),""))</f>
        <v/>
      </c>
      <c r="AC411" s="12" t="str">
        <f t="array" ref="AC411">IF($A411="","",IFERROR(XLOOKUP($A411,'Auction Log'!$B$3:$B$300,'Auction Log'!$F$3:$F$300,""),""))</f>
        <v/>
      </c>
      <c r="AD411" s="12">
        <f t="array" ref="AD411">IF($A411="","",ROUND($Y411*XLOOKUP($F411,Settings!$I$15:$I$20,Settings!$K$15:$K$20,0.4),0))</f>
        <v>0</v>
      </c>
      <c r="AE411" s="12">
        <f t="array" ref="AE411">IF($A411="","",ROUND($Y411*XLOOKUP($F411,Settings!$I$15:$I$20,Settings!$L$15:$L$20,0.8),0))</f>
        <v>1</v>
      </c>
      <c r="AF411" s="12">
        <f t="array" ref="AF411">IF($A411="","",ROUND($Y411*XLOOKUP($F411,Settings!$I$15:$I$20,Settings!$M$15:$M$20,1),0))</f>
        <v>1</v>
      </c>
      <c r="AG411" s="12">
        <f t="array" ref="AG411">IF($A411="","",ROUND($Y411*XLOOKUP($F411,Settings!$I$15:$I$20,Settings!$N$15:$N$20,1.1),0))</f>
        <v>1</v>
      </c>
      <c r="AH411" s="12">
        <f t="array" ref="AH411">IF($A411="","",ROUND($Y411*XLOOKUP($F411,Settings!$I$15:$I$20,Settings!$O$15:$O$20,1.1)*Settings!$J$7,0))</f>
        <v>1</v>
      </c>
      <c r="AI411" s="12">
        <f t="array" ref="AI411">IF($A411="","",IF($AA411="Sold","",MIN($AH411,IFERROR(XLOOKUP(Settings!$B$12,Managers!$B$4:$B$15,Managers!$H$4:$H$15),$AH411))))</f>
        <v>1</v>
      </c>
      <c r="AJ411" s="12" t="str">
        <f t="shared" si="3"/>
        <v>Budget Drainer</v>
      </c>
      <c r="AK411" s="12">
        <f t="shared" si="4"/>
        <v>27</v>
      </c>
      <c r="AL411" s="12" t="str">
        <f t="shared" si="5"/>
        <v/>
      </c>
    </row>
    <row r="412" ht="15.75" customHeight="1">
      <c r="A412" s="10" t="s">
        <v>423</v>
      </c>
      <c r="B412" s="10" t="s">
        <v>424</v>
      </c>
      <c r="C412" s="10" t="s">
        <v>191</v>
      </c>
      <c r="D412" s="10" t="s">
        <v>118</v>
      </c>
      <c r="E412" s="10" t="s">
        <v>118</v>
      </c>
      <c r="F412" s="10" t="s">
        <v>117</v>
      </c>
      <c r="G412" s="10">
        <v>5.0</v>
      </c>
      <c r="H412" s="10">
        <v>7.0</v>
      </c>
      <c r="I412" s="10" t="s">
        <v>2140</v>
      </c>
      <c r="J412" s="10" t="s">
        <v>2136</v>
      </c>
      <c r="K412" s="10"/>
      <c r="L412" s="10">
        <v>26.25</v>
      </c>
      <c r="M412" s="10">
        <v>1.31</v>
      </c>
      <c r="N412" s="10"/>
      <c r="O412" s="10"/>
      <c r="P412" s="12">
        <f>IF($A412="","",IFERROR((IF($O412="",0,$O412)*Settings!$J$4+IF($L412="",0,$L412)*Settings!$J$5+IF($N412="",0,$N412)*Settings!$J$6)/(IF($O412="",0,Settings!$J$4)+IF($L412="",0,Settings!$J$5)+IF($N412="",0,Settings!$J$6)),0))</f>
        <v>26.25</v>
      </c>
      <c r="Q412" s="12">
        <f t="array" ref="Q412">IF($A412="","",XLOOKUP($E412,Settings!$A$19:$A$22,Settings!$G$19:$G$22,0))</f>
        <v>196.25</v>
      </c>
      <c r="R412" s="12">
        <f t="shared" si="1"/>
        <v>0</v>
      </c>
      <c r="S412" s="12">
        <f>IF($A412="","",IF($R412&lt;=0,1,1+$R412/SUMIF($R$4:$R$923,"&gt;0",$R$4:$R$923)*(Settings!$B$5*(Settings!$B$6-Settings!$B$7))))</f>
        <v>1</v>
      </c>
      <c r="T412" s="12">
        <f t="array" ref="T412">IF($A412="","",XLOOKUP($F412,Settings!$I$15:$I$20,Settings!$J$15:$J$20,1))</f>
        <v>0.75</v>
      </c>
      <c r="U412" s="12">
        <f>IF($A412="","",1+(($G412-5)/5)*Settings!$J$8)</f>
        <v>1</v>
      </c>
      <c r="V412" s="12">
        <f>IF($A412="","",1+(($H412-5)/5)*Settings!$J$9)</f>
        <v>1.06</v>
      </c>
      <c r="W412" s="12">
        <f t="array" ref="W412">IF($A412="","",XLOOKUP($J412,Lists!$C$3:$C$7,Lists!$D$3:$D$7,1))</f>
        <v>1</v>
      </c>
      <c r="X412" s="12">
        <f>IF($A412="","",IF($I412="Yes",Settings!$J$10,1))</f>
        <v>1</v>
      </c>
      <c r="Y412" s="12">
        <f t="shared" si="2"/>
        <v>1</v>
      </c>
      <c r="Z412" s="12">
        <f>IF($A412="","",IFERROR(ROUND(AVERAGEIFS('Historical Drafts'!$G$4:$G$300,'Historical Drafts'!$D$4:$D$300,$E412,'Historical Drafts'!$J$4:$J$300,"&gt;="&amp;$L412*0.85,'Historical Drafts'!$J$4:$J$300,"&lt;="&amp;$L412*1.15),0),$Y412))</f>
        <v>2</v>
      </c>
      <c r="AA412" s="12" t="str">
        <f>IF($A412="","",IF(COUNTIF('Auction Log'!$B$3:$B$300,$A412)&gt;0,"Sold","Available"))</f>
        <v>Available</v>
      </c>
      <c r="AB412" s="12" t="str">
        <f t="array" ref="AB412">IF($A412="","",IFERROR(XLOOKUP($A412,'Auction Log'!$B$3:$B$300,'Auction Log'!$G$3:$G$300,""),""))</f>
        <v/>
      </c>
      <c r="AC412" s="12" t="str">
        <f t="array" ref="AC412">IF($A412="","",IFERROR(XLOOKUP($A412,'Auction Log'!$B$3:$B$300,'Auction Log'!$F$3:$F$300,""),""))</f>
        <v/>
      </c>
      <c r="AD412" s="12">
        <f t="array" ref="AD412">IF($A412="","",ROUND($Y412*XLOOKUP($F412,Settings!$I$15:$I$20,Settings!$K$15:$K$20,0.4),0))</f>
        <v>0</v>
      </c>
      <c r="AE412" s="12">
        <f t="array" ref="AE412">IF($A412="","",ROUND($Y412*XLOOKUP($F412,Settings!$I$15:$I$20,Settings!$L$15:$L$20,0.8),0))</f>
        <v>1</v>
      </c>
      <c r="AF412" s="12">
        <f t="array" ref="AF412">IF($A412="","",ROUND($Y412*XLOOKUP($F412,Settings!$I$15:$I$20,Settings!$M$15:$M$20,1),0))</f>
        <v>1</v>
      </c>
      <c r="AG412" s="12">
        <f t="array" ref="AG412">IF($A412="","",ROUND($Y412*XLOOKUP($F412,Settings!$I$15:$I$20,Settings!$N$15:$N$20,1.1),0))</f>
        <v>1</v>
      </c>
      <c r="AH412" s="12">
        <f t="array" ref="AH412">IF($A412="","",ROUND($Y412*XLOOKUP($F412,Settings!$I$15:$I$20,Settings!$O$15:$O$20,1.1)*Settings!$J$7,0))</f>
        <v>1</v>
      </c>
      <c r="AI412" s="12">
        <f t="array" ref="AI412">IF($A412="","",IF($AA412="Sold","",MIN($AH412,IFERROR(XLOOKUP(Settings!$B$12,Managers!$B$4:$B$15,Managers!$H$4:$H$15),$AH412))))</f>
        <v>1</v>
      </c>
      <c r="AJ412" s="12" t="str">
        <f t="shared" si="3"/>
        <v>Budget Drainer</v>
      </c>
      <c r="AK412" s="12">
        <f t="shared" si="4"/>
        <v>27</v>
      </c>
      <c r="AL412" s="12" t="str">
        <f t="shared" si="5"/>
        <v/>
      </c>
    </row>
    <row r="413" ht="15.75" customHeight="1">
      <c r="A413" s="10" t="s">
        <v>1102</v>
      </c>
      <c r="B413" s="10" t="s">
        <v>1103</v>
      </c>
      <c r="C413" s="10" t="s">
        <v>243</v>
      </c>
      <c r="D413" s="10" t="s">
        <v>118</v>
      </c>
      <c r="E413" s="10" t="s">
        <v>118</v>
      </c>
      <c r="F413" s="10" t="s">
        <v>117</v>
      </c>
      <c r="G413" s="10">
        <v>5.0</v>
      </c>
      <c r="H413" s="10">
        <v>7.0</v>
      </c>
      <c r="I413" s="10" t="s">
        <v>2140</v>
      </c>
      <c r="J413" s="10" t="s">
        <v>2136</v>
      </c>
      <c r="K413" s="10"/>
      <c r="L413" s="10">
        <v>26.0</v>
      </c>
      <c r="M413" s="10">
        <v>2.6</v>
      </c>
      <c r="N413" s="10"/>
      <c r="O413" s="10"/>
      <c r="P413" s="12">
        <f>IF($A413="","",IFERROR((IF($O413="",0,$O413)*Settings!$J$4+IF($L413="",0,$L413)*Settings!$J$5+IF($N413="",0,$N413)*Settings!$J$6)/(IF($O413="",0,Settings!$J$4)+IF($L413="",0,Settings!$J$5)+IF($N413="",0,Settings!$J$6)),0))</f>
        <v>26</v>
      </c>
      <c r="Q413" s="12">
        <f t="array" ref="Q413">IF($A413="","",XLOOKUP($E413,Settings!$A$19:$A$22,Settings!$G$19:$G$22,0))</f>
        <v>196.25</v>
      </c>
      <c r="R413" s="12">
        <f t="shared" si="1"/>
        <v>0</v>
      </c>
      <c r="S413" s="12">
        <f>IF($A413="","",IF($R413&lt;=0,1,1+$R413/SUMIF($R$4:$R$923,"&gt;0",$R$4:$R$923)*(Settings!$B$5*(Settings!$B$6-Settings!$B$7))))</f>
        <v>1</v>
      </c>
      <c r="T413" s="12">
        <f t="array" ref="T413">IF($A413="","",XLOOKUP($F413,Settings!$I$15:$I$20,Settings!$J$15:$J$20,1))</f>
        <v>0.75</v>
      </c>
      <c r="U413" s="12">
        <f>IF($A413="","",1+(($G413-5)/5)*Settings!$J$8)</f>
        <v>1</v>
      </c>
      <c r="V413" s="12">
        <f>IF($A413="","",1+(($H413-5)/5)*Settings!$J$9)</f>
        <v>1.06</v>
      </c>
      <c r="W413" s="12">
        <f t="array" ref="W413">IF($A413="","",XLOOKUP($J413,Lists!$C$3:$C$7,Lists!$D$3:$D$7,1))</f>
        <v>1</v>
      </c>
      <c r="X413" s="12">
        <f>IF($A413="","",IF($I413="Yes",Settings!$J$10,1))</f>
        <v>1</v>
      </c>
      <c r="Y413" s="12">
        <f t="shared" si="2"/>
        <v>1</v>
      </c>
      <c r="Z413" s="12">
        <f>IF($A413="","",IFERROR(ROUND(AVERAGEIFS('Historical Drafts'!$G$4:$G$300,'Historical Drafts'!$D$4:$D$300,$E413,'Historical Drafts'!$J$4:$J$300,"&gt;="&amp;$L413*0.85,'Historical Drafts'!$J$4:$J$300,"&lt;="&amp;$L413*1.15),0),$Y413))</f>
        <v>2</v>
      </c>
      <c r="AA413" s="12" t="str">
        <f>IF($A413="","",IF(COUNTIF('Auction Log'!$B$3:$B$300,$A413)&gt;0,"Sold","Available"))</f>
        <v>Available</v>
      </c>
      <c r="AB413" s="12" t="str">
        <f t="array" ref="AB413">IF($A413="","",IFERROR(XLOOKUP($A413,'Auction Log'!$B$3:$B$300,'Auction Log'!$G$3:$G$300,""),""))</f>
        <v/>
      </c>
      <c r="AC413" s="12" t="str">
        <f t="array" ref="AC413">IF($A413="","",IFERROR(XLOOKUP($A413,'Auction Log'!$B$3:$B$300,'Auction Log'!$F$3:$F$300,""),""))</f>
        <v/>
      </c>
      <c r="AD413" s="12">
        <f t="array" ref="AD413">IF($A413="","",ROUND($Y413*XLOOKUP($F413,Settings!$I$15:$I$20,Settings!$K$15:$K$20,0.4),0))</f>
        <v>0</v>
      </c>
      <c r="AE413" s="12">
        <f t="array" ref="AE413">IF($A413="","",ROUND($Y413*XLOOKUP($F413,Settings!$I$15:$I$20,Settings!$L$15:$L$20,0.8),0))</f>
        <v>1</v>
      </c>
      <c r="AF413" s="12">
        <f t="array" ref="AF413">IF($A413="","",ROUND($Y413*XLOOKUP($F413,Settings!$I$15:$I$20,Settings!$M$15:$M$20,1),0))</f>
        <v>1</v>
      </c>
      <c r="AG413" s="12">
        <f t="array" ref="AG413">IF($A413="","",ROUND($Y413*XLOOKUP($F413,Settings!$I$15:$I$20,Settings!$N$15:$N$20,1.1),0))</f>
        <v>1</v>
      </c>
      <c r="AH413" s="12">
        <f t="array" ref="AH413">IF($A413="","",ROUND($Y413*XLOOKUP($F413,Settings!$I$15:$I$20,Settings!$O$15:$O$20,1.1)*Settings!$J$7,0))</f>
        <v>1</v>
      </c>
      <c r="AI413" s="12">
        <f t="array" ref="AI413">IF($A413="","",IF($AA413="Sold","",MIN($AH413,IFERROR(XLOOKUP(Settings!$B$12,Managers!$B$4:$B$15,Managers!$H$4:$H$15),$AH413))))</f>
        <v>1</v>
      </c>
      <c r="AJ413" s="12" t="str">
        <f t="shared" si="3"/>
        <v>Budget Drainer</v>
      </c>
      <c r="AK413" s="12">
        <f t="shared" si="4"/>
        <v>27</v>
      </c>
      <c r="AL413" s="12" t="str">
        <f t="shared" si="5"/>
        <v/>
      </c>
    </row>
    <row r="414" ht="15.75" customHeight="1">
      <c r="A414" s="10" t="s">
        <v>1104</v>
      </c>
      <c r="B414" s="10" t="s">
        <v>1105</v>
      </c>
      <c r="C414" s="10" t="s">
        <v>1106</v>
      </c>
      <c r="D414" s="10" t="s">
        <v>123</v>
      </c>
      <c r="E414" s="10" t="s">
        <v>123</v>
      </c>
      <c r="F414" s="10" t="s">
        <v>117</v>
      </c>
      <c r="G414" s="10">
        <v>5.0</v>
      </c>
      <c r="H414" s="10">
        <v>7.0</v>
      </c>
      <c r="I414" s="10" t="s">
        <v>2140</v>
      </c>
      <c r="J414" s="10" t="s">
        <v>2136</v>
      </c>
      <c r="K414" s="10"/>
      <c r="L414" s="10">
        <v>26.0</v>
      </c>
      <c r="M414" s="10">
        <v>1.73</v>
      </c>
      <c r="N414" s="10"/>
      <c r="O414" s="10"/>
      <c r="P414" s="12">
        <f>IF($A414="","",IFERROR((IF($O414="",0,$O414)*Settings!$J$4+IF($L414="",0,$L414)*Settings!$J$5+IF($N414="",0,$N414)*Settings!$J$6)/(IF($O414="",0,Settings!$J$4)+IF($L414="",0,Settings!$J$5)+IF($N414="",0,Settings!$J$6)),0))</f>
        <v>26</v>
      </c>
      <c r="Q414" s="12">
        <f t="array" ref="Q414">IF($A414="","",XLOOKUP($E414,Settings!$A$19:$A$22,Settings!$G$19:$G$22,0))</f>
        <v>203</v>
      </c>
      <c r="R414" s="12">
        <f t="shared" si="1"/>
        <v>0</v>
      </c>
      <c r="S414" s="12">
        <f>IF($A414="","",IF($R414&lt;=0,1,1+$R414/SUMIF($R$4:$R$923,"&gt;0",$R$4:$R$923)*(Settings!$B$5*(Settings!$B$6-Settings!$B$7))))</f>
        <v>1</v>
      </c>
      <c r="T414" s="12">
        <f t="array" ref="T414">IF($A414="","",XLOOKUP($F414,Settings!$I$15:$I$20,Settings!$J$15:$J$20,1))</f>
        <v>0.75</v>
      </c>
      <c r="U414" s="12">
        <f>IF($A414="","",1+(($G414-5)/5)*Settings!$J$8)</f>
        <v>1</v>
      </c>
      <c r="V414" s="12">
        <f>IF($A414="","",1+(($H414-5)/5)*Settings!$J$9)</f>
        <v>1.06</v>
      </c>
      <c r="W414" s="12">
        <f t="array" ref="W414">IF($A414="","",XLOOKUP($J414,Lists!$C$3:$C$7,Lists!$D$3:$D$7,1))</f>
        <v>1</v>
      </c>
      <c r="X414" s="12">
        <f>IF($A414="","",IF($I414="Yes",Settings!$J$10,1))</f>
        <v>1</v>
      </c>
      <c r="Y414" s="12">
        <f t="shared" si="2"/>
        <v>1</v>
      </c>
      <c r="Z414" s="12">
        <f>IF($A414="","",IFERROR(ROUND(AVERAGEIFS('Historical Drafts'!$G$4:$G$300,'Historical Drafts'!$D$4:$D$300,$E414,'Historical Drafts'!$J$4:$J$300,"&gt;="&amp;$L414*0.85,'Historical Drafts'!$J$4:$J$300,"&lt;="&amp;$L414*1.15),0),$Y414))</f>
        <v>1</v>
      </c>
      <c r="AA414" s="12" t="str">
        <f>IF($A414="","",IF(COUNTIF('Auction Log'!$B$3:$B$300,$A414)&gt;0,"Sold","Available"))</f>
        <v>Available</v>
      </c>
      <c r="AB414" s="12" t="str">
        <f t="array" ref="AB414">IF($A414="","",IFERROR(XLOOKUP($A414,'Auction Log'!$B$3:$B$300,'Auction Log'!$G$3:$G$300,""),""))</f>
        <v/>
      </c>
      <c r="AC414" s="12" t="str">
        <f t="array" ref="AC414">IF($A414="","",IFERROR(XLOOKUP($A414,'Auction Log'!$B$3:$B$300,'Auction Log'!$F$3:$F$300,""),""))</f>
        <v/>
      </c>
      <c r="AD414" s="12">
        <f t="array" ref="AD414">IF($A414="","",ROUND($Y414*XLOOKUP($F414,Settings!$I$15:$I$20,Settings!$K$15:$K$20,0.4),0))</f>
        <v>0</v>
      </c>
      <c r="AE414" s="12">
        <f t="array" ref="AE414">IF($A414="","",ROUND($Y414*XLOOKUP($F414,Settings!$I$15:$I$20,Settings!$L$15:$L$20,0.8),0))</f>
        <v>1</v>
      </c>
      <c r="AF414" s="12">
        <f t="array" ref="AF414">IF($A414="","",ROUND($Y414*XLOOKUP($F414,Settings!$I$15:$I$20,Settings!$M$15:$M$20,1),0))</f>
        <v>1</v>
      </c>
      <c r="AG414" s="12">
        <f t="array" ref="AG414">IF($A414="","",ROUND($Y414*XLOOKUP($F414,Settings!$I$15:$I$20,Settings!$N$15:$N$20,1.1),0))</f>
        <v>1</v>
      </c>
      <c r="AH414" s="12">
        <f t="array" ref="AH414">IF($A414="","",ROUND($Y414*XLOOKUP($F414,Settings!$I$15:$I$20,Settings!$O$15:$O$20,1.1)*Settings!$J$7,0))</f>
        <v>1</v>
      </c>
      <c r="AI414" s="12">
        <f t="array" ref="AI414">IF($A414="","",IF($AA414="Sold","",MIN($AH414,IFERROR(XLOOKUP(Settings!$B$12,Managers!$B$4:$B$15,Managers!$H$4:$H$15),$AH414))))</f>
        <v>1</v>
      </c>
      <c r="AJ414" s="12" t="str">
        <f t="shared" si="3"/>
        <v>Recommended</v>
      </c>
      <c r="AK414" s="12">
        <f t="shared" si="4"/>
        <v>26</v>
      </c>
      <c r="AL414" s="12" t="str">
        <f t="shared" si="5"/>
        <v/>
      </c>
    </row>
    <row r="415" ht="15.75" customHeight="1">
      <c r="A415" s="10" t="s">
        <v>1107</v>
      </c>
      <c r="B415" s="10" t="s">
        <v>1108</v>
      </c>
      <c r="C415" s="10" t="s">
        <v>285</v>
      </c>
      <c r="D415" s="10" t="s">
        <v>118</v>
      </c>
      <c r="E415" s="10" t="s">
        <v>118</v>
      </c>
      <c r="F415" s="10" t="s">
        <v>117</v>
      </c>
      <c r="G415" s="10">
        <v>5.0</v>
      </c>
      <c r="H415" s="10">
        <v>7.0</v>
      </c>
      <c r="I415" s="10" t="s">
        <v>2140</v>
      </c>
      <c r="J415" s="10" t="s">
        <v>2136</v>
      </c>
      <c r="K415" s="10"/>
      <c r="L415" s="10">
        <v>25.5</v>
      </c>
      <c r="M415" s="10">
        <v>3.64</v>
      </c>
      <c r="N415" s="10"/>
      <c r="O415" s="10"/>
      <c r="P415" s="12">
        <f>IF($A415="","",IFERROR((IF($O415="",0,$O415)*Settings!$J$4+IF($L415="",0,$L415)*Settings!$J$5+IF($N415="",0,$N415)*Settings!$J$6)/(IF($O415="",0,Settings!$J$4)+IF($L415="",0,Settings!$J$5)+IF($N415="",0,Settings!$J$6)),0))</f>
        <v>25.5</v>
      </c>
      <c r="Q415" s="12">
        <f t="array" ref="Q415">IF($A415="","",XLOOKUP($E415,Settings!$A$19:$A$22,Settings!$G$19:$G$22,0))</f>
        <v>196.25</v>
      </c>
      <c r="R415" s="12">
        <f t="shared" si="1"/>
        <v>0</v>
      </c>
      <c r="S415" s="12">
        <f>IF($A415="","",IF($R415&lt;=0,1,1+$R415/SUMIF($R$4:$R$923,"&gt;0",$R$4:$R$923)*(Settings!$B$5*(Settings!$B$6-Settings!$B$7))))</f>
        <v>1</v>
      </c>
      <c r="T415" s="12">
        <f t="array" ref="T415">IF($A415="","",XLOOKUP($F415,Settings!$I$15:$I$20,Settings!$J$15:$J$20,1))</f>
        <v>0.75</v>
      </c>
      <c r="U415" s="12">
        <f>IF($A415="","",1+(($G415-5)/5)*Settings!$J$8)</f>
        <v>1</v>
      </c>
      <c r="V415" s="12">
        <f>IF($A415="","",1+(($H415-5)/5)*Settings!$J$9)</f>
        <v>1.06</v>
      </c>
      <c r="W415" s="12">
        <f t="array" ref="W415">IF($A415="","",XLOOKUP($J415,Lists!$C$3:$C$7,Lists!$D$3:$D$7,1))</f>
        <v>1</v>
      </c>
      <c r="X415" s="12">
        <f>IF($A415="","",IF($I415="Yes",Settings!$J$10,1))</f>
        <v>1</v>
      </c>
      <c r="Y415" s="12">
        <f t="shared" si="2"/>
        <v>1</v>
      </c>
      <c r="Z415" s="12">
        <f>IF($A415="","",IFERROR(ROUND(AVERAGEIFS('Historical Drafts'!$G$4:$G$300,'Historical Drafts'!$D$4:$D$300,$E415,'Historical Drafts'!$J$4:$J$300,"&gt;="&amp;$L415*0.85,'Historical Drafts'!$J$4:$J$300,"&lt;="&amp;$L415*1.15),0),$Y415))</f>
        <v>2</v>
      </c>
      <c r="AA415" s="12" t="str">
        <f>IF($A415="","",IF(COUNTIF('Auction Log'!$B$3:$B$300,$A415)&gt;0,"Sold","Available"))</f>
        <v>Available</v>
      </c>
      <c r="AB415" s="12" t="str">
        <f t="array" ref="AB415">IF($A415="","",IFERROR(XLOOKUP($A415,'Auction Log'!$B$3:$B$300,'Auction Log'!$G$3:$G$300,""),""))</f>
        <v/>
      </c>
      <c r="AC415" s="12" t="str">
        <f t="array" ref="AC415">IF($A415="","",IFERROR(XLOOKUP($A415,'Auction Log'!$B$3:$B$300,'Auction Log'!$F$3:$F$300,""),""))</f>
        <v/>
      </c>
      <c r="AD415" s="12">
        <f t="array" ref="AD415">IF($A415="","",ROUND($Y415*XLOOKUP($F415,Settings!$I$15:$I$20,Settings!$K$15:$K$20,0.4),0))</f>
        <v>0</v>
      </c>
      <c r="AE415" s="12">
        <f t="array" ref="AE415">IF($A415="","",ROUND($Y415*XLOOKUP($F415,Settings!$I$15:$I$20,Settings!$L$15:$L$20,0.8),0))</f>
        <v>1</v>
      </c>
      <c r="AF415" s="12">
        <f t="array" ref="AF415">IF($A415="","",ROUND($Y415*XLOOKUP($F415,Settings!$I$15:$I$20,Settings!$M$15:$M$20,1),0))</f>
        <v>1</v>
      </c>
      <c r="AG415" s="12">
        <f t="array" ref="AG415">IF($A415="","",ROUND($Y415*XLOOKUP($F415,Settings!$I$15:$I$20,Settings!$N$15:$N$20,1.1),0))</f>
        <v>1</v>
      </c>
      <c r="AH415" s="12">
        <f t="array" ref="AH415">IF($A415="","",ROUND($Y415*XLOOKUP($F415,Settings!$I$15:$I$20,Settings!$O$15:$O$20,1.1)*Settings!$J$7,0))</f>
        <v>1</v>
      </c>
      <c r="AI415" s="12">
        <f t="array" ref="AI415">IF($A415="","",IF($AA415="Sold","",MIN($AH415,IFERROR(XLOOKUP(Settings!$B$12,Managers!$B$4:$B$15,Managers!$H$4:$H$15),$AH415))))</f>
        <v>1</v>
      </c>
      <c r="AJ415" s="12" t="str">
        <f t="shared" si="3"/>
        <v>Budget Drainer</v>
      </c>
      <c r="AK415" s="12">
        <f t="shared" si="4"/>
        <v>27</v>
      </c>
      <c r="AL415" s="12" t="str">
        <f t="shared" si="5"/>
        <v/>
      </c>
    </row>
    <row r="416" ht="15.75" customHeight="1">
      <c r="A416" s="10" t="s">
        <v>1109</v>
      </c>
      <c r="B416" s="10" t="s">
        <v>1110</v>
      </c>
      <c r="C416" s="10" t="s">
        <v>387</v>
      </c>
      <c r="D416" s="10" t="s">
        <v>118</v>
      </c>
      <c r="E416" s="10" t="s">
        <v>118</v>
      </c>
      <c r="F416" s="10" t="s">
        <v>117</v>
      </c>
      <c r="G416" s="10">
        <v>5.0</v>
      </c>
      <c r="H416" s="10">
        <v>7.0</v>
      </c>
      <c r="I416" s="10" t="s">
        <v>2140</v>
      </c>
      <c r="J416" s="10" t="s">
        <v>2136</v>
      </c>
      <c r="K416" s="10"/>
      <c r="L416" s="10">
        <v>25.0</v>
      </c>
      <c r="M416" s="10">
        <v>2.78</v>
      </c>
      <c r="N416" s="10"/>
      <c r="O416" s="10"/>
      <c r="P416" s="12">
        <f>IF($A416="","",IFERROR((IF($O416="",0,$O416)*Settings!$J$4+IF($L416="",0,$L416)*Settings!$J$5+IF($N416="",0,$N416)*Settings!$J$6)/(IF($O416="",0,Settings!$J$4)+IF($L416="",0,Settings!$J$5)+IF($N416="",0,Settings!$J$6)),0))</f>
        <v>25</v>
      </c>
      <c r="Q416" s="12">
        <f t="array" ref="Q416">IF($A416="","",XLOOKUP($E416,Settings!$A$19:$A$22,Settings!$G$19:$G$22,0))</f>
        <v>196.25</v>
      </c>
      <c r="R416" s="12">
        <f t="shared" si="1"/>
        <v>0</v>
      </c>
      <c r="S416" s="12">
        <f>IF($A416="","",IF($R416&lt;=0,1,1+$R416/SUMIF($R$4:$R$923,"&gt;0",$R$4:$R$923)*(Settings!$B$5*(Settings!$B$6-Settings!$B$7))))</f>
        <v>1</v>
      </c>
      <c r="T416" s="12">
        <f t="array" ref="T416">IF($A416="","",XLOOKUP($F416,Settings!$I$15:$I$20,Settings!$J$15:$J$20,1))</f>
        <v>0.75</v>
      </c>
      <c r="U416" s="12">
        <f>IF($A416="","",1+(($G416-5)/5)*Settings!$J$8)</f>
        <v>1</v>
      </c>
      <c r="V416" s="12">
        <f>IF($A416="","",1+(($H416-5)/5)*Settings!$J$9)</f>
        <v>1.06</v>
      </c>
      <c r="W416" s="12">
        <f t="array" ref="W416">IF($A416="","",XLOOKUP($J416,Lists!$C$3:$C$7,Lists!$D$3:$D$7,1))</f>
        <v>1</v>
      </c>
      <c r="X416" s="12">
        <f>IF($A416="","",IF($I416="Yes",Settings!$J$10,1))</f>
        <v>1</v>
      </c>
      <c r="Y416" s="12">
        <f t="shared" si="2"/>
        <v>1</v>
      </c>
      <c r="Z416" s="12">
        <f>IF($A416="","",IFERROR(ROUND(AVERAGEIFS('Historical Drafts'!$G$4:$G$300,'Historical Drafts'!$D$4:$D$300,$E416,'Historical Drafts'!$J$4:$J$300,"&gt;="&amp;$L416*0.85,'Historical Drafts'!$J$4:$J$300,"&lt;="&amp;$L416*1.15),0),$Y416))</f>
        <v>2</v>
      </c>
      <c r="AA416" s="12" t="str">
        <f>IF($A416="","",IF(COUNTIF('Auction Log'!$B$3:$B$300,$A416)&gt;0,"Sold","Available"))</f>
        <v>Available</v>
      </c>
      <c r="AB416" s="12" t="str">
        <f t="array" ref="AB416">IF($A416="","",IFERROR(XLOOKUP($A416,'Auction Log'!$B$3:$B$300,'Auction Log'!$G$3:$G$300,""),""))</f>
        <v/>
      </c>
      <c r="AC416" s="12" t="str">
        <f t="array" ref="AC416">IF($A416="","",IFERROR(XLOOKUP($A416,'Auction Log'!$B$3:$B$300,'Auction Log'!$F$3:$F$300,""),""))</f>
        <v/>
      </c>
      <c r="AD416" s="12">
        <f t="array" ref="AD416">IF($A416="","",ROUND($Y416*XLOOKUP($F416,Settings!$I$15:$I$20,Settings!$K$15:$K$20,0.4),0))</f>
        <v>0</v>
      </c>
      <c r="AE416" s="12">
        <f t="array" ref="AE416">IF($A416="","",ROUND($Y416*XLOOKUP($F416,Settings!$I$15:$I$20,Settings!$L$15:$L$20,0.8),0))</f>
        <v>1</v>
      </c>
      <c r="AF416" s="12">
        <f t="array" ref="AF416">IF($A416="","",ROUND($Y416*XLOOKUP($F416,Settings!$I$15:$I$20,Settings!$M$15:$M$20,1),0))</f>
        <v>1</v>
      </c>
      <c r="AG416" s="12">
        <f t="array" ref="AG416">IF($A416="","",ROUND($Y416*XLOOKUP($F416,Settings!$I$15:$I$20,Settings!$N$15:$N$20,1.1),0))</f>
        <v>1</v>
      </c>
      <c r="AH416" s="12">
        <f t="array" ref="AH416">IF($A416="","",ROUND($Y416*XLOOKUP($F416,Settings!$I$15:$I$20,Settings!$O$15:$O$20,1.1)*Settings!$J$7,0))</f>
        <v>1</v>
      </c>
      <c r="AI416" s="12">
        <f t="array" ref="AI416">IF($A416="","",IF($AA416="Sold","",MIN($AH416,IFERROR(XLOOKUP(Settings!$B$12,Managers!$B$4:$B$15,Managers!$H$4:$H$15),$AH416))))</f>
        <v>1</v>
      </c>
      <c r="AJ416" s="12" t="str">
        <f t="shared" si="3"/>
        <v>Budget Drainer</v>
      </c>
      <c r="AK416" s="12">
        <f t="shared" si="4"/>
        <v>27</v>
      </c>
      <c r="AL416" s="12" t="str">
        <f t="shared" si="5"/>
        <v/>
      </c>
    </row>
    <row r="417" ht="15.75" customHeight="1">
      <c r="A417" s="10" t="s">
        <v>1111</v>
      </c>
      <c r="B417" s="10" t="s">
        <v>1112</v>
      </c>
      <c r="C417" s="10" t="s">
        <v>180</v>
      </c>
      <c r="D417" s="10" t="s">
        <v>118</v>
      </c>
      <c r="E417" s="10" t="s">
        <v>118</v>
      </c>
      <c r="F417" s="10" t="s">
        <v>117</v>
      </c>
      <c r="G417" s="10">
        <v>5.0</v>
      </c>
      <c r="H417" s="10">
        <v>7.0</v>
      </c>
      <c r="I417" s="10" t="s">
        <v>2140</v>
      </c>
      <c r="J417" s="10" t="s">
        <v>2136</v>
      </c>
      <c r="K417" s="10"/>
      <c r="L417" s="10">
        <v>24.5</v>
      </c>
      <c r="M417" s="10">
        <v>2.23</v>
      </c>
      <c r="N417" s="10"/>
      <c r="O417" s="10"/>
      <c r="P417" s="12">
        <f>IF($A417="","",IFERROR((IF($O417="",0,$O417)*Settings!$J$4+IF($L417="",0,$L417)*Settings!$J$5+IF($N417="",0,$N417)*Settings!$J$6)/(IF($O417="",0,Settings!$J$4)+IF($L417="",0,Settings!$J$5)+IF($N417="",0,Settings!$J$6)),0))</f>
        <v>24.5</v>
      </c>
      <c r="Q417" s="12">
        <f t="array" ref="Q417">IF($A417="","",XLOOKUP($E417,Settings!$A$19:$A$22,Settings!$G$19:$G$22,0))</f>
        <v>196.25</v>
      </c>
      <c r="R417" s="12">
        <f t="shared" si="1"/>
        <v>0</v>
      </c>
      <c r="S417" s="12">
        <f>IF($A417="","",IF($R417&lt;=0,1,1+$R417/SUMIF($R$4:$R$923,"&gt;0",$R$4:$R$923)*(Settings!$B$5*(Settings!$B$6-Settings!$B$7))))</f>
        <v>1</v>
      </c>
      <c r="T417" s="12">
        <f t="array" ref="T417">IF($A417="","",XLOOKUP($F417,Settings!$I$15:$I$20,Settings!$J$15:$J$20,1))</f>
        <v>0.75</v>
      </c>
      <c r="U417" s="12">
        <f>IF($A417="","",1+(($G417-5)/5)*Settings!$J$8)</f>
        <v>1</v>
      </c>
      <c r="V417" s="12">
        <f>IF($A417="","",1+(($H417-5)/5)*Settings!$J$9)</f>
        <v>1.06</v>
      </c>
      <c r="W417" s="12">
        <f t="array" ref="W417">IF($A417="","",XLOOKUP($J417,Lists!$C$3:$C$7,Lists!$D$3:$D$7,1))</f>
        <v>1</v>
      </c>
      <c r="X417" s="12">
        <f>IF($A417="","",IF($I417="Yes",Settings!$J$10,1))</f>
        <v>1</v>
      </c>
      <c r="Y417" s="12">
        <f t="shared" si="2"/>
        <v>1</v>
      </c>
      <c r="Z417" s="12">
        <f>IF($A417="","",IFERROR(ROUND(AVERAGEIFS('Historical Drafts'!$G$4:$G$300,'Historical Drafts'!$D$4:$D$300,$E417,'Historical Drafts'!$J$4:$J$300,"&gt;="&amp;$L417*0.85,'Historical Drafts'!$J$4:$J$300,"&lt;="&amp;$L417*1.15),0),$Y417))</f>
        <v>2</v>
      </c>
      <c r="AA417" s="12" t="str">
        <f>IF($A417="","",IF(COUNTIF('Auction Log'!$B$3:$B$300,$A417)&gt;0,"Sold","Available"))</f>
        <v>Available</v>
      </c>
      <c r="AB417" s="12" t="str">
        <f t="array" ref="AB417">IF($A417="","",IFERROR(XLOOKUP($A417,'Auction Log'!$B$3:$B$300,'Auction Log'!$G$3:$G$300,""),""))</f>
        <v/>
      </c>
      <c r="AC417" s="12" t="str">
        <f t="array" ref="AC417">IF($A417="","",IFERROR(XLOOKUP($A417,'Auction Log'!$B$3:$B$300,'Auction Log'!$F$3:$F$300,""),""))</f>
        <v/>
      </c>
      <c r="AD417" s="12">
        <f t="array" ref="AD417">IF($A417="","",ROUND($Y417*XLOOKUP($F417,Settings!$I$15:$I$20,Settings!$K$15:$K$20,0.4),0))</f>
        <v>0</v>
      </c>
      <c r="AE417" s="12">
        <f t="array" ref="AE417">IF($A417="","",ROUND($Y417*XLOOKUP($F417,Settings!$I$15:$I$20,Settings!$L$15:$L$20,0.8),0))</f>
        <v>1</v>
      </c>
      <c r="AF417" s="12">
        <f t="array" ref="AF417">IF($A417="","",ROUND($Y417*XLOOKUP($F417,Settings!$I$15:$I$20,Settings!$M$15:$M$20,1),0))</f>
        <v>1</v>
      </c>
      <c r="AG417" s="12">
        <f t="array" ref="AG417">IF($A417="","",ROUND($Y417*XLOOKUP($F417,Settings!$I$15:$I$20,Settings!$N$15:$N$20,1.1),0))</f>
        <v>1</v>
      </c>
      <c r="AH417" s="12">
        <f t="array" ref="AH417">IF($A417="","",ROUND($Y417*XLOOKUP($F417,Settings!$I$15:$I$20,Settings!$O$15:$O$20,1.1)*Settings!$J$7,0))</f>
        <v>1</v>
      </c>
      <c r="AI417" s="12">
        <f t="array" ref="AI417">IF($A417="","",IF($AA417="Sold","",MIN($AH417,IFERROR(XLOOKUP(Settings!$B$12,Managers!$B$4:$B$15,Managers!$H$4:$H$15),$AH417))))</f>
        <v>1</v>
      </c>
      <c r="AJ417" s="12" t="str">
        <f t="shared" si="3"/>
        <v>Budget Drainer</v>
      </c>
      <c r="AK417" s="12">
        <f t="shared" si="4"/>
        <v>27</v>
      </c>
      <c r="AL417" s="12" t="str">
        <f t="shared" si="5"/>
        <v/>
      </c>
    </row>
    <row r="418" ht="15.75" customHeight="1">
      <c r="A418" s="10" t="s">
        <v>1113</v>
      </c>
      <c r="B418" s="10" t="s">
        <v>1114</v>
      </c>
      <c r="C418" s="10" t="s">
        <v>1115</v>
      </c>
      <c r="D418" s="10" t="s">
        <v>121</v>
      </c>
      <c r="E418" s="10" t="s">
        <v>121</v>
      </c>
      <c r="F418" s="10" t="s">
        <v>117</v>
      </c>
      <c r="G418" s="10">
        <v>5.0</v>
      </c>
      <c r="H418" s="10">
        <v>7.0</v>
      </c>
      <c r="I418" s="10" t="s">
        <v>2140</v>
      </c>
      <c r="J418" s="10" t="s">
        <v>2136</v>
      </c>
      <c r="K418" s="10"/>
      <c r="L418" s="10">
        <v>23.5</v>
      </c>
      <c r="M418" s="10">
        <v>1.68</v>
      </c>
      <c r="N418" s="10"/>
      <c r="O418" s="10"/>
      <c r="P418" s="12">
        <f>IF($A418="","",IFERROR((IF($O418="",0,$O418)*Settings!$J$4+IF($L418="",0,$L418)*Settings!$J$5+IF($N418="",0,$N418)*Settings!$J$6)/(IF($O418="",0,Settings!$J$4)+IF($L418="",0,Settings!$J$5)+IF($N418="",0,Settings!$J$6)),0))</f>
        <v>23.5</v>
      </c>
      <c r="Q418" s="12">
        <f t="array" ref="Q418">IF($A418="","",XLOOKUP($E418,Settings!$A$19:$A$22,Settings!$G$19:$G$22,0))</f>
        <v>206</v>
      </c>
      <c r="R418" s="12">
        <f t="shared" si="1"/>
        <v>0</v>
      </c>
      <c r="S418" s="12">
        <f>IF($A418="","",IF($R418&lt;=0,1,1+$R418/SUMIF($R$4:$R$923,"&gt;0",$R$4:$R$923)*(Settings!$B$5*(Settings!$B$6-Settings!$B$7))))</f>
        <v>1</v>
      </c>
      <c r="T418" s="12">
        <f t="array" ref="T418">IF($A418="","",XLOOKUP($F418,Settings!$I$15:$I$20,Settings!$J$15:$J$20,1))</f>
        <v>0.75</v>
      </c>
      <c r="U418" s="12">
        <f>IF($A418="","",1+(($G418-5)/5)*Settings!$J$8)</f>
        <v>1</v>
      </c>
      <c r="V418" s="12">
        <f>IF($A418="","",1+(($H418-5)/5)*Settings!$J$9)</f>
        <v>1.06</v>
      </c>
      <c r="W418" s="12">
        <f t="array" ref="W418">IF($A418="","",XLOOKUP($J418,Lists!$C$3:$C$7,Lists!$D$3:$D$7,1))</f>
        <v>1</v>
      </c>
      <c r="X418" s="12">
        <f>IF($A418="","",IF($I418="Yes",Settings!$J$10,1))</f>
        <v>1</v>
      </c>
      <c r="Y418" s="12">
        <f t="shared" si="2"/>
        <v>1</v>
      </c>
      <c r="Z418" s="12">
        <f>IF($A418="","",IFERROR(ROUND(AVERAGEIFS('Historical Drafts'!$G$4:$G$300,'Historical Drafts'!$D$4:$D$300,$E418,'Historical Drafts'!$J$4:$J$300,"&gt;="&amp;$L418*0.85,'Historical Drafts'!$J$4:$J$300,"&lt;="&amp;$L418*1.15),0),$Y418))</f>
        <v>1</v>
      </c>
      <c r="AA418" s="12" t="str">
        <f>IF($A418="","",IF(COUNTIF('Auction Log'!$B$3:$B$300,$A418)&gt;0,"Sold","Available"))</f>
        <v>Available</v>
      </c>
      <c r="AB418" s="12" t="str">
        <f t="array" ref="AB418">IF($A418="","",IFERROR(XLOOKUP($A418,'Auction Log'!$B$3:$B$300,'Auction Log'!$G$3:$G$300,""),""))</f>
        <v/>
      </c>
      <c r="AC418" s="12" t="str">
        <f t="array" ref="AC418">IF($A418="","",IFERROR(XLOOKUP($A418,'Auction Log'!$B$3:$B$300,'Auction Log'!$F$3:$F$300,""),""))</f>
        <v/>
      </c>
      <c r="AD418" s="12">
        <f t="array" ref="AD418">IF($A418="","",ROUND($Y418*XLOOKUP($F418,Settings!$I$15:$I$20,Settings!$K$15:$K$20,0.4),0))</f>
        <v>0</v>
      </c>
      <c r="AE418" s="12">
        <f t="array" ref="AE418">IF($A418="","",ROUND($Y418*XLOOKUP($F418,Settings!$I$15:$I$20,Settings!$L$15:$L$20,0.8),0))</f>
        <v>1</v>
      </c>
      <c r="AF418" s="12">
        <f t="array" ref="AF418">IF($A418="","",ROUND($Y418*XLOOKUP($F418,Settings!$I$15:$I$20,Settings!$M$15:$M$20,1),0))</f>
        <v>1</v>
      </c>
      <c r="AG418" s="12">
        <f t="array" ref="AG418">IF($A418="","",ROUND($Y418*XLOOKUP($F418,Settings!$I$15:$I$20,Settings!$N$15:$N$20,1.1),0))</f>
        <v>1</v>
      </c>
      <c r="AH418" s="12">
        <f t="array" ref="AH418">IF($A418="","",ROUND($Y418*XLOOKUP($F418,Settings!$I$15:$I$20,Settings!$O$15:$O$20,1.1)*Settings!$J$7,0))</f>
        <v>1</v>
      </c>
      <c r="AI418" s="12">
        <f t="array" ref="AI418">IF($A418="","",IF($AA418="Sold","",MIN($AH418,IFERROR(XLOOKUP(Settings!$B$12,Managers!$B$4:$B$15,Managers!$H$4:$H$15),$AH418))))</f>
        <v>1</v>
      </c>
      <c r="AJ418" s="12" t="str">
        <f t="shared" si="3"/>
        <v>Recommended</v>
      </c>
      <c r="AK418" s="12">
        <f t="shared" si="4"/>
        <v>26</v>
      </c>
      <c r="AL418" s="12" t="str">
        <f t="shared" si="5"/>
        <v/>
      </c>
    </row>
    <row r="419" ht="15.75" customHeight="1">
      <c r="A419" s="10" t="s">
        <v>1116</v>
      </c>
      <c r="B419" s="10" t="s">
        <v>1117</v>
      </c>
      <c r="C419" s="10" t="s">
        <v>566</v>
      </c>
      <c r="D419" s="10" t="s">
        <v>115</v>
      </c>
      <c r="E419" s="10" t="s">
        <v>115</v>
      </c>
      <c r="F419" s="10" t="s">
        <v>117</v>
      </c>
      <c r="G419" s="10">
        <v>5.0</v>
      </c>
      <c r="H419" s="10">
        <v>7.0</v>
      </c>
      <c r="I419" s="10" t="s">
        <v>2140</v>
      </c>
      <c r="J419" s="10" t="s">
        <v>2136</v>
      </c>
      <c r="K419" s="10"/>
      <c r="L419" s="10">
        <v>23.0</v>
      </c>
      <c r="M419" s="10">
        <v>7.67</v>
      </c>
      <c r="N419" s="10"/>
      <c r="O419" s="10"/>
      <c r="P419" s="12">
        <f>IF($A419="","",IFERROR((IF($O419="",0,$O419)*Settings!$J$4+IF($L419="",0,$L419)*Settings!$J$5+IF($N419="",0,$N419)*Settings!$J$6)/(IF($O419="",0,Settings!$J$4)+IF($L419="",0,Settings!$J$5)+IF($N419="",0,Settings!$J$6)),0))</f>
        <v>23</v>
      </c>
      <c r="Q419" s="12">
        <f t="array" ref="Q419">IF($A419="","",XLOOKUP($E419,Settings!$A$19:$A$22,Settings!$G$19:$G$22,0))</f>
        <v>249.25</v>
      </c>
      <c r="R419" s="12">
        <f t="shared" si="1"/>
        <v>0</v>
      </c>
      <c r="S419" s="12">
        <f>IF($A419="","",IF($R419&lt;=0,1,1+$R419/SUMIF($R$4:$R$923,"&gt;0",$R$4:$R$923)*(Settings!$B$5*(Settings!$B$6-Settings!$B$7))))</f>
        <v>1</v>
      </c>
      <c r="T419" s="12">
        <f t="array" ref="T419">IF($A419="","",XLOOKUP($F419,Settings!$I$15:$I$20,Settings!$J$15:$J$20,1))</f>
        <v>0.75</v>
      </c>
      <c r="U419" s="12">
        <f>IF($A419="","",1+(($G419-5)/5)*Settings!$J$8)</f>
        <v>1</v>
      </c>
      <c r="V419" s="12">
        <f>IF($A419="","",1+(($H419-5)/5)*Settings!$J$9)</f>
        <v>1.06</v>
      </c>
      <c r="W419" s="12">
        <f t="array" ref="W419">IF($A419="","",XLOOKUP($J419,Lists!$C$3:$C$7,Lists!$D$3:$D$7,1))</f>
        <v>1</v>
      </c>
      <c r="X419" s="12">
        <f>IF($A419="","",IF($I419="Yes",Settings!$J$10,1))</f>
        <v>1</v>
      </c>
      <c r="Y419" s="12">
        <f t="shared" si="2"/>
        <v>1</v>
      </c>
      <c r="Z419" s="12">
        <f>IF($A419="","",IFERROR(ROUND(AVERAGEIFS('Historical Drafts'!$G$4:$G$300,'Historical Drafts'!$D$4:$D$300,$E419,'Historical Drafts'!$J$4:$J$300,"&gt;="&amp;$L419*0.85,'Historical Drafts'!$J$4:$J$300,"&lt;="&amp;$L419*1.15),0),$Y419))</f>
        <v>1</v>
      </c>
      <c r="AA419" s="12" t="str">
        <f>IF($A419="","",IF(COUNTIF('Auction Log'!$B$3:$B$300,$A419)&gt;0,"Sold","Available"))</f>
        <v>Available</v>
      </c>
      <c r="AB419" s="12" t="str">
        <f t="array" ref="AB419">IF($A419="","",IFERROR(XLOOKUP($A419,'Auction Log'!$B$3:$B$300,'Auction Log'!$G$3:$G$300,""),""))</f>
        <v/>
      </c>
      <c r="AC419" s="12" t="str">
        <f t="array" ref="AC419">IF($A419="","",IFERROR(XLOOKUP($A419,'Auction Log'!$B$3:$B$300,'Auction Log'!$F$3:$F$300,""),""))</f>
        <v/>
      </c>
      <c r="AD419" s="12">
        <f t="array" ref="AD419">IF($A419="","",ROUND($Y419*XLOOKUP($F419,Settings!$I$15:$I$20,Settings!$K$15:$K$20,0.4),0))</f>
        <v>0</v>
      </c>
      <c r="AE419" s="12">
        <f t="array" ref="AE419">IF($A419="","",ROUND($Y419*XLOOKUP($F419,Settings!$I$15:$I$20,Settings!$L$15:$L$20,0.8),0))</f>
        <v>1</v>
      </c>
      <c r="AF419" s="12">
        <f t="array" ref="AF419">IF($A419="","",ROUND($Y419*XLOOKUP($F419,Settings!$I$15:$I$20,Settings!$M$15:$M$20,1),0))</f>
        <v>1</v>
      </c>
      <c r="AG419" s="12">
        <f t="array" ref="AG419">IF($A419="","",ROUND($Y419*XLOOKUP($F419,Settings!$I$15:$I$20,Settings!$N$15:$N$20,1.1),0))</f>
        <v>1</v>
      </c>
      <c r="AH419" s="12">
        <f t="array" ref="AH419">IF($A419="","",ROUND($Y419*XLOOKUP($F419,Settings!$I$15:$I$20,Settings!$O$15:$O$20,1.1)*Settings!$J$7,0))</f>
        <v>1</v>
      </c>
      <c r="AI419" s="12">
        <f t="array" ref="AI419">IF($A419="","",IF($AA419="Sold","",MIN($AH419,IFERROR(XLOOKUP(Settings!$B$12,Managers!$B$4:$B$15,Managers!$H$4:$H$15),$AH419))))</f>
        <v>1</v>
      </c>
      <c r="AJ419" s="12" t="str">
        <f t="shared" si="3"/>
        <v>Recommended</v>
      </c>
      <c r="AK419" s="12">
        <f t="shared" si="4"/>
        <v>26</v>
      </c>
      <c r="AL419" s="12" t="str">
        <f t="shared" si="5"/>
        <v/>
      </c>
    </row>
    <row r="420" ht="15.75" customHeight="1">
      <c r="A420" s="10" t="s">
        <v>1118</v>
      </c>
      <c r="B420" s="10" t="s">
        <v>1119</v>
      </c>
      <c r="C420" s="10" t="s">
        <v>1120</v>
      </c>
      <c r="D420" s="10" t="s">
        <v>118</v>
      </c>
      <c r="E420" s="10" t="s">
        <v>118</v>
      </c>
      <c r="F420" s="10" t="s">
        <v>117</v>
      </c>
      <c r="G420" s="10">
        <v>5.0</v>
      </c>
      <c r="H420" s="10">
        <v>7.0</v>
      </c>
      <c r="I420" s="10" t="s">
        <v>2140</v>
      </c>
      <c r="J420" s="10" t="s">
        <v>2136</v>
      </c>
      <c r="K420" s="10"/>
      <c r="L420" s="10">
        <v>22.25</v>
      </c>
      <c r="M420" s="10">
        <v>4.45</v>
      </c>
      <c r="N420" s="10"/>
      <c r="O420" s="10"/>
      <c r="P420" s="12">
        <f>IF($A420="","",IFERROR((IF($O420="",0,$O420)*Settings!$J$4+IF($L420="",0,$L420)*Settings!$J$5+IF($N420="",0,$N420)*Settings!$J$6)/(IF($O420="",0,Settings!$J$4)+IF($L420="",0,Settings!$J$5)+IF($N420="",0,Settings!$J$6)),0))</f>
        <v>22.25</v>
      </c>
      <c r="Q420" s="12">
        <f t="array" ref="Q420">IF($A420="","",XLOOKUP($E420,Settings!$A$19:$A$22,Settings!$G$19:$G$22,0))</f>
        <v>196.25</v>
      </c>
      <c r="R420" s="12">
        <f t="shared" si="1"/>
        <v>0</v>
      </c>
      <c r="S420" s="12">
        <f>IF($A420="","",IF($R420&lt;=0,1,1+$R420/SUMIF($R$4:$R$923,"&gt;0",$R$4:$R$923)*(Settings!$B$5*(Settings!$B$6-Settings!$B$7))))</f>
        <v>1</v>
      </c>
      <c r="T420" s="12">
        <f t="array" ref="T420">IF($A420="","",XLOOKUP($F420,Settings!$I$15:$I$20,Settings!$J$15:$J$20,1))</f>
        <v>0.75</v>
      </c>
      <c r="U420" s="12">
        <f>IF($A420="","",1+(($G420-5)/5)*Settings!$J$8)</f>
        <v>1</v>
      </c>
      <c r="V420" s="12">
        <f>IF($A420="","",1+(($H420-5)/5)*Settings!$J$9)</f>
        <v>1.06</v>
      </c>
      <c r="W420" s="12">
        <f t="array" ref="W420">IF($A420="","",XLOOKUP($J420,Lists!$C$3:$C$7,Lists!$D$3:$D$7,1))</f>
        <v>1</v>
      </c>
      <c r="X420" s="12">
        <f>IF($A420="","",IF($I420="Yes",Settings!$J$10,1))</f>
        <v>1</v>
      </c>
      <c r="Y420" s="12">
        <f t="shared" si="2"/>
        <v>1</v>
      </c>
      <c r="Z420" s="12">
        <f>IF($A420="","",IFERROR(ROUND(AVERAGEIFS('Historical Drafts'!$G$4:$G$300,'Historical Drafts'!$D$4:$D$300,$E420,'Historical Drafts'!$J$4:$J$300,"&gt;="&amp;$L420*0.85,'Historical Drafts'!$J$4:$J$300,"&lt;="&amp;$L420*1.15),0),$Y420))</f>
        <v>1</v>
      </c>
      <c r="AA420" s="12" t="str">
        <f>IF($A420="","",IF(COUNTIF('Auction Log'!$B$3:$B$300,$A420)&gt;0,"Sold","Available"))</f>
        <v>Available</v>
      </c>
      <c r="AB420" s="12" t="str">
        <f t="array" ref="AB420">IF($A420="","",IFERROR(XLOOKUP($A420,'Auction Log'!$B$3:$B$300,'Auction Log'!$G$3:$G$300,""),""))</f>
        <v/>
      </c>
      <c r="AC420" s="12" t="str">
        <f t="array" ref="AC420">IF($A420="","",IFERROR(XLOOKUP($A420,'Auction Log'!$B$3:$B$300,'Auction Log'!$F$3:$F$300,""),""))</f>
        <v/>
      </c>
      <c r="AD420" s="12">
        <f t="array" ref="AD420">IF($A420="","",ROUND($Y420*XLOOKUP($F420,Settings!$I$15:$I$20,Settings!$K$15:$K$20,0.4),0))</f>
        <v>0</v>
      </c>
      <c r="AE420" s="12">
        <f t="array" ref="AE420">IF($A420="","",ROUND($Y420*XLOOKUP($F420,Settings!$I$15:$I$20,Settings!$L$15:$L$20,0.8),0))</f>
        <v>1</v>
      </c>
      <c r="AF420" s="12">
        <f t="array" ref="AF420">IF($A420="","",ROUND($Y420*XLOOKUP($F420,Settings!$I$15:$I$20,Settings!$M$15:$M$20,1),0))</f>
        <v>1</v>
      </c>
      <c r="AG420" s="12">
        <f t="array" ref="AG420">IF($A420="","",ROUND($Y420*XLOOKUP($F420,Settings!$I$15:$I$20,Settings!$N$15:$N$20,1.1),0))</f>
        <v>1</v>
      </c>
      <c r="AH420" s="12">
        <f t="array" ref="AH420">IF($A420="","",ROUND($Y420*XLOOKUP($F420,Settings!$I$15:$I$20,Settings!$O$15:$O$20,1.1)*Settings!$J$7,0))</f>
        <v>1</v>
      </c>
      <c r="AI420" s="12">
        <f t="array" ref="AI420">IF($A420="","",IF($AA420="Sold","",MIN($AH420,IFERROR(XLOOKUP(Settings!$B$12,Managers!$B$4:$B$15,Managers!$H$4:$H$15),$AH420))))</f>
        <v>1</v>
      </c>
      <c r="AJ420" s="12" t="str">
        <f t="shared" si="3"/>
        <v>Recommended</v>
      </c>
      <c r="AK420" s="12">
        <f t="shared" si="4"/>
        <v>26</v>
      </c>
      <c r="AL420" s="12" t="str">
        <f t="shared" si="5"/>
        <v/>
      </c>
    </row>
    <row r="421" ht="15.75" customHeight="1">
      <c r="A421" s="10" t="s">
        <v>1121</v>
      </c>
      <c r="B421" s="10" t="s">
        <v>1122</v>
      </c>
      <c r="C421" s="10" t="s">
        <v>243</v>
      </c>
      <c r="D421" s="10" t="s">
        <v>118</v>
      </c>
      <c r="E421" s="10" t="s">
        <v>118</v>
      </c>
      <c r="F421" s="10" t="s">
        <v>117</v>
      </c>
      <c r="G421" s="10">
        <v>5.0</v>
      </c>
      <c r="H421" s="10">
        <v>7.0</v>
      </c>
      <c r="I421" s="10" t="s">
        <v>2140</v>
      </c>
      <c r="J421" s="10" t="s">
        <v>2136</v>
      </c>
      <c r="K421" s="10"/>
      <c r="L421" s="10">
        <v>22.0</v>
      </c>
      <c r="M421" s="10">
        <v>7.33</v>
      </c>
      <c r="N421" s="10"/>
      <c r="O421" s="10"/>
      <c r="P421" s="12">
        <f>IF($A421="","",IFERROR((IF($O421="",0,$O421)*Settings!$J$4+IF($L421="",0,$L421)*Settings!$J$5+IF($N421="",0,$N421)*Settings!$J$6)/(IF($O421="",0,Settings!$J$4)+IF($L421="",0,Settings!$J$5)+IF($N421="",0,Settings!$J$6)),0))</f>
        <v>22</v>
      </c>
      <c r="Q421" s="12">
        <f t="array" ref="Q421">IF($A421="","",XLOOKUP($E421,Settings!$A$19:$A$22,Settings!$G$19:$G$22,0))</f>
        <v>196.25</v>
      </c>
      <c r="R421" s="12">
        <f t="shared" si="1"/>
        <v>0</v>
      </c>
      <c r="S421" s="12">
        <f>IF($A421="","",IF($R421&lt;=0,1,1+$R421/SUMIF($R$4:$R$923,"&gt;0",$R$4:$R$923)*(Settings!$B$5*(Settings!$B$6-Settings!$B$7))))</f>
        <v>1</v>
      </c>
      <c r="T421" s="12">
        <f t="array" ref="T421">IF($A421="","",XLOOKUP($F421,Settings!$I$15:$I$20,Settings!$J$15:$J$20,1))</f>
        <v>0.75</v>
      </c>
      <c r="U421" s="12">
        <f>IF($A421="","",1+(($G421-5)/5)*Settings!$J$8)</f>
        <v>1</v>
      </c>
      <c r="V421" s="12">
        <f>IF($A421="","",1+(($H421-5)/5)*Settings!$J$9)</f>
        <v>1.06</v>
      </c>
      <c r="W421" s="12">
        <f t="array" ref="W421">IF($A421="","",XLOOKUP($J421,Lists!$C$3:$C$7,Lists!$D$3:$D$7,1))</f>
        <v>1</v>
      </c>
      <c r="X421" s="12">
        <f>IF($A421="","",IF($I421="Yes",Settings!$J$10,1))</f>
        <v>1</v>
      </c>
      <c r="Y421" s="12">
        <f t="shared" si="2"/>
        <v>1</v>
      </c>
      <c r="Z421" s="12">
        <f>IF($A421="","",IFERROR(ROUND(AVERAGEIFS('Historical Drafts'!$G$4:$G$300,'Historical Drafts'!$D$4:$D$300,$E421,'Historical Drafts'!$J$4:$J$300,"&gt;="&amp;$L421*0.85,'Historical Drafts'!$J$4:$J$300,"&lt;="&amp;$L421*1.15),0),$Y421))</f>
        <v>1</v>
      </c>
      <c r="AA421" s="12" t="str">
        <f>IF($A421="","",IF(COUNTIF('Auction Log'!$B$3:$B$300,$A421)&gt;0,"Sold","Available"))</f>
        <v>Available</v>
      </c>
      <c r="AB421" s="12" t="str">
        <f t="array" ref="AB421">IF($A421="","",IFERROR(XLOOKUP($A421,'Auction Log'!$B$3:$B$300,'Auction Log'!$G$3:$G$300,""),""))</f>
        <v/>
      </c>
      <c r="AC421" s="12" t="str">
        <f t="array" ref="AC421">IF($A421="","",IFERROR(XLOOKUP($A421,'Auction Log'!$B$3:$B$300,'Auction Log'!$F$3:$F$300,""),""))</f>
        <v/>
      </c>
      <c r="AD421" s="12">
        <f t="array" ref="AD421">IF($A421="","",ROUND($Y421*XLOOKUP($F421,Settings!$I$15:$I$20,Settings!$K$15:$K$20,0.4),0))</f>
        <v>0</v>
      </c>
      <c r="AE421" s="12">
        <f t="array" ref="AE421">IF($A421="","",ROUND($Y421*XLOOKUP($F421,Settings!$I$15:$I$20,Settings!$L$15:$L$20,0.8),0))</f>
        <v>1</v>
      </c>
      <c r="AF421" s="12">
        <f t="array" ref="AF421">IF($A421="","",ROUND($Y421*XLOOKUP($F421,Settings!$I$15:$I$20,Settings!$M$15:$M$20,1),0))</f>
        <v>1</v>
      </c>
      <c r="AG421" s="12">
        <f t="array" ref="AG421">IF($A421="","",ROUND($Y421*XLOOKUP($F421,Settings!$I$15:$I$20,Settings!$N$15:$N$20,1.1),0))</f>
        <v>1</v>
      </c>
      <c r="AH421" s="12">
        <f t="array" ref="AH421">IF($A421="","",ROUND($Y421*XLOOKUP($F421,Settings!$I$15:$I$20,Settings!$O$15:$O$20,1.1)*Settings!$J$7,0))</f>
        <v>1</v>
      </c>
      <c r="AI421" s="12">
        <f t="array" ref="AI421">IF($A421="","",IF($AA421="Sold","",MIN($AH421,IFERROR(XLOOKUP(Settings!$B$12,Managers!$B$4:$B$15,Managers!$H$4:$H$15),$AH421))))</f>
        <v>1</v>
      </c>
      <c r="AJ421" s="12" t="str">
        <f t="shared" si="3"/>
        <v>Recommended</v>
      </c>
      <c r="AK421" s="12">
        <f t="shared" si="4"/>
        <v>26</v>
      </c>
      <c r="AL421" s="12" t="str">
        <f t="shared" si="5"/>
        <v/>
      </c>
    </row>
    <row r="422" ht="15.75" customHeight="1">
      <c r="A422" s="10" t="s">
        <v>1123</v>
      </c>
      <c r="B422" s="10" t="s">
        <v>1124</v>
      </c>
      <c r="C422" s="10" t="s">
        <v>243</v>
      </c>
      <c r="D422" s="10" t="s">
        <v>121</v>
      </c>
      <c r="E422" s="10" t="s">
        <v>121</v>
      </c>
      <c r="F422" s="10" t="s">
        <v>117</v>
      </c>
      <c r="G422" s="10">
        <v>5.0</v>
      </c>
      <c r="H422" s="10">
        <v>7.0</v>
      </c>
      <c r="I422" s="10" t="s">
        <v>2140</v>
      </c>
      <c r="J422" s="10" t="s">
        <v>2136</v>
      </c>
      <c r="K422" s="10"/>
      <c r="L422" s="10">
        <v>21.5</v>
      </c>
      <c r="M422" s="10">
        <v>1.95</v>
      </c>
      <c r="N422" s="10"/>
      <c r="O422" s="10"/>
      <c r="P422" s="12">
        <f>IF($A422="","",IFERROR((IF($O422="",0,$O422)*Settings!$J$4+IF($L422="",0,$L422)*Settings!$J$5+IF($N422="",0,$N422)*Settings!$J$6)/(IF($O422="",0,Settings!$J$4)+IF($L422="",0,Settings!$J$5)+IF($N422="",0,Settings!$J$6)),0))</f>
        <v>21.5</v>
      </c>
      <c r="Q422" s="12">
        <f t="array" ref="Q422">IF($A422="","",XLOOKUP($E422,Settings!$A$19:$A$22,Settings!$G$19:$G$22,0))</f>
        <v>206</v>
      </c>
      <c r="R422" s="12">
        <f t="shared" si="1"/>
        <v>0</v>
      </c>
      <c r="S422" s="12">
        <f>IF($A422="","",IF($R422&lt;=0,1,1+$R422/SUMIF($R$4:$R$923,"&gt;0",$R$4:$R$923)*(Settings!$B$5*(Settings!$B$6-Settings!$B$7))))</f>
        <v>1</v>
      </c>
      <c r="T422" s="12">
        <f t="array" ref="T422">IF($A422="","",XLOOKUP($F422,Settings!$I$15:$I$20,Settings!$J$15:$J$20,1))</f>
        <v>0.75</v>
      </c>
      <c r="U422" s="12">
        <f>IF($A422="","",1+(($G422-5)/5)*Settings!$J$8)</f>
        <v>1</v>
      </c>
      <c r="V422" s="12">
        <f>IF($A422="","",1+(($H422-5)/5)*Settings!$J$9)</f>
        <v>1.06</v>
      </c>
      <c r="W422" s="12">
        <f t="array" ref="W422">IF($A422="","",XLOOKUP($J422,Lists!$C$3:$C$7,Lists!$D$3:$D$7,1))</f>
        <v>1</v>
      </c>
      <c r="X422" s="12">
        <f>IF($A422="","",IF($I422="Yes",Settings!$J$10,1))</f>
        <v>1</v>
      </c>
      <c r="Y422" s="12">
        <f t="shared" si="2"/>
        <v>1</v>
      </c>
      <c r="Z422" s="12">
        <f>IF($A422="","",IFERROR(ROUND(AVERAGEIFS('Historical Drafts'!$G$4:$G$300,'Historical Drafts'!$D$4:$D$300,$E422,'Historical Drafts'!$J$4:$J$300,"&gt;="&amp;$L422*0.85,'Historical Drafts'!$J$4:$J$300,"&lt;="&amp;$L422*1.15),0),$Y422))</f>
        <v>1</v>
      </c>
      <c r="AA422" s="12" t="str">
        <f>IF($A422="","",IF(COUNTIF('Auction Log'!$B$3:$B$300,$A422)&gt;0,"Sold","Available"))</f>
        <v>Available</v>
      </c>
      <c r="AB422" s="12" t="str">
        <f t="array" ref="AB422">IF($A422="","",IFERROR(XLOOKUP($A422,'Auction Log'!$B$3:$B$300,'Auction Log'!$G$3:$G$300,""),""))</f>
        <v/>
      </c>
      <c r="AC422" s="12" t="str">
        <f t="array" ref="AC422">IF($A422="","",IFERROR(XLOOKUP($A422,'Auction Log'!$B$3:$B$300,'Auction Log'!$F$3:$F$300,""),""))</f>
        <v/>
      </c>
      <c r="AD422" s="12">
        <f t="array" ref="AD422">IF($A422="","",ROUND($Y422*XLOOKUP($F422,Settings!$I$15:$I$20,Settings!$K$15:$K$20,0.4),0))</f>
        <v>0</v>
      </c>
      <c r="AE422" s="12">
        <f t="array" ref="AE422">IF($A422="","",ROUND($Y422*XLOOKUP($F422,Settings!$I$15:$I$20,Settings!$L$15:$L$20,0.8),0))</f>
        <v>1</v>
      </c>
      <c r="AF422" s="12">
        <f t="array" ref="AF422">IF($A422="","",ROUND($Y422*XLOOKUP($F422,Settings!$I$15:$I$20,Settings!$M$15:$M$20,1),0))</f>
        <v>1</v>
      </c>
      <c r="AG422" s="12">
        <f t="array" ref="AG422">IF($A422="","",ROUND($Y422*XLOOKUP($F422,Settings!$I$15:$I$20,Settings!$N$15:$N$20,1.1),0))</f>
        <v>1</v>
      </c>
      <c r="AH422" s="12">
        <f t="array" ref="AH422">IF($A422="","",ROUND($Y422*XLOOKUP($F422,Settings!$I$15:$I$20,Settings!$O$15:$O$20,1.1)*Settings!$J$7,0))</f>
        <v>1</v>
      </c>
      <c r="AI422" s="12">
        <f t="array" ref="AI422">IF($A422="","",IF($AA422="Sold","",MIN($AH422,IFERROR(XLOOKUP(Settings!$B$12,Managers!$B$4:$B$15,Managers!$H$4:$H$15),$AH422))))</f>
        <v>1</v>
      </c>
      <c r="AJ422" s="12" t="str">
        <f t="shared" si="3"/>
        <v>Recommended</v>
      </c>
      <c r="AK422" s="12">
        <f t="shared" si="4"/>
        <v>26</v>
      </c>
      <c r="AL422" s="12" t="str">
        <f t="shared" si="5"/>
        <v/>
      </c>
    </row>
    <row r="423" ht="15.75" customHeight="1">
      <c r="A423" s="10" t="s">
        <v>1125</v>
      </c>
      <c r="B423" s="10" t="s">
        <v>1126</v>
      </c>
      <c r="C423" s="10" t="s">
        <v>1115</v>
      </c>
      <c r="D423" s="10" t="s">
        <v>115</v>
      </c>
      <c r="E423" s="10" t="s">
        <v>115</v>
      </c>
      <c r="F423" s="10" t="s">
        <v>117</v>
      </c>
      <c r="G423" s="10">
        <v>5.0</v>
      </c>
      <c r="H423" s="10">
        <v>7.0</v>
      </c>
      <c r="I423" s="10" t="s">
        <v>2140</v>
      </c>
      <c r="J423" s="10" t="s">
        <v>2136</v>
      </c>
      <c r="K423" s="10"/>
      <c r="L423" s="10">
        <v>21.25</v>
      </c>
      <c r="M423" s="10">
        <v>7.08</v>
      </c>
      <c r="N423" s="10"/>
      <c r="O423" s="10"/>
      <c r="P423" s="12">
        <f>IF($A423="","",IFERROR((IF($O423="",0,$O423)*Settings!$J$4+IF($L423="",0,$L423)*Settings!$J$5+IF($N423="",0,$N423)*Settings!$J$6)/(IF($O423="",0,Settings!$J$4)+IF($L423="",0,Settings!$J$5)+IF($N423="",0,Settings!$J$6)),0))</f>
        <v>21.25</v>
      </c>
      <c r="Q423" s="12">
        <f t="array" ref="Q423">IF($A423="","",XLOOKUP($E423,Settings!$A$19:$A$22,Settings!$G$19:$G$22,0))</f>
        <v>249.25</v>
      </c>
      <c r="R423" s="12">
        <f t="shared" si="1"/>
        <v>0</v>
      </c>
      <c r="S423" s="12">
        <f>IF($A423="","",IF($R423&lt;=0,1,1+$R423/SUMIF($R$4:$R$923,"&gt;0",$R$4:$R$923)*(Settings!$B$5*(Settings!$B$6-Settings!$B$7))))</f>
        <v>1</v>
      </c>
      <c r="T423" s="12">
        <f t="array" ref="T423">IF($A423="","",XLOOKUP($F423,Settings!$I$15:$I$20,Settings!$J$15:$J$20,1))</f>
        <v>0.75</v>
      </c>
      <c r="U423" s="12">
        <f>IF($A423="","",1+(($G423-5)/5)*Settings!$J$8)</f>
        <v>1</v>
      </c>
      <c r="V423" s="12">
        <f>IF($A423="","",1+(($H423-5)/5)*Settings!$J$9)</f>
        <v>1.06</v>
      </c>
      <c r="W423" s="12">
        <f t="array" ref="W423">IF($A423="","",XLOOKUP($J423,Lists!$C$3:$C$7,Lists!$D$3:$D$7,1))</f>
        <v>1</v>
      </c>
      <c r="X423" s="12">
        <f>IF($A423="","",IF($I423="Yes",Settings!$J$10,1))</f>
        <v>1</v>
      </c>
      <c r="Y423" s="12">
        <f t="shared" si="2"/>
        <v>1</v>
      </c>
      <c r="Z423" s="12">
        <f>IF($A423="","",IFERROR(ROUND(AVERAGEIFS('Historical Drafts'!$G$4:$G$300,'Historical Drafts'!$D$4:$D$300,$E423,'Historical Drafts'!$J$4:$J$300,"&gt;="&amp;$L423*0.85,'Historical Drafts'!$J$4:$J$300,"&lt;="&amp;$L423*1.15),0),$Y423))</f>
        <v>1</v>
      </c>
      <c r="AA423" s="12" t="str">
        <f>IF($A423="","",IF(COUNTIF('Auction Log'!$B$3:$B$300,$A423)&gt;0,"Sold","Available"))</f>
        <v>Available</v>
      </c>
      <c r="AB423" s="12" t="str">
        <f t="array" ref="AB423">IF($A423="","",IFERROR(XLOOKUP($A423,'Auction Log'!$B$3:$B$300,'Auction Log'!$G$3:$G$300,""),""))</f>
        <v/>
      </c>
      <c r="AC423" s="12" t="str">
        <f t="array" ref="AC423">IF($A423="","",IFERROR(XLOOKUP($A423,'Auction Log'!$B$3:$B$300,'Auction Log'!$F$3:$F$300,""),""))</f>
        <v/>
      </c>
      <c r="AD423" s="12">
        <f t="array" ref="AD423">IF($A423="","",ROUND($Y423*XLOOKUP($F423,Settings!$I$15:$I$20,Settings!$K$15:$K$20,0.4),0))</f>
        <v>0</v>
      </c>
      <c r="AE423" s="12">
        <f t="array" ref="AE423">IF($A423="","",ROUND($Y423*XLOOKUP($F423,Settings!$I$15:$I$20,Settings!$L$15:$L$20,0.8),0))</f>
        <v>1</v>
      </c>
      <c r="AF423" s="12">
        <f t="array" ref="AF423">IF($A423="","",ROUND($Y423*XLOOKUP($F423,Settings!$I$15:$I$20,Settings!$M$15:$M$20,1),0))</f>
        <v>1</v>
      </c>
      <c r="AG423" s="12">
        <f t="array" ref="AG423">IF($A423="","",ROUND($Y423*XLOOKUP($F423,Settings!$I$15:$I$20,Settings!$N$15:$N$20,1.1),0))</f>
        <v>1</v>
      </c>
      <c r="AH423" s="12">
        <f t="array" ref="AH423">IF($A423="","",ROUND($Y423*XLOOKUP($F423,Settings!$I$15:$I$20,Settings!$O$15:$O$20,1.1)*Settings!$J$7,0))</f>
        <v>1</v>
      </c>
      <c r="AI423" s="12">
        <f t="array" ref="AI423">IF($A423="","",IF($AA423="Sold","",MIN($AH423,IFERROR(XLOOKUP(Settings!$B$12,Managers!$B$4:$B$15,Managers!$H$4:$H$15),$AH423))))</f>
        <v>1</v>
      </c>
      <c r="AJ423" s="12" t="str">
        <f t="shared" si="3"/>
        <v>Recommended</v>
      </c>
      <c r="AK423" s="12">
        <f t="shared" si="4"/>
        <v>26</v>
      </c>
      <c r="AL423" s="12" t="str">
        <f t="shared" si="5"/>
        <v/>
      </c>
    </row>
    <row r="424" ht="15.75" customHeight="1">
      <c r="A424" s="10" t="s">
        <v>1127</v>
      </c>
      <c r="B424" s="10" t="s">
        <v>1128</v>
      </c>
      <c r="C424" s="10" t="s">
        <v>327</v>
      </c>
      <c r="D424" s="10" t="s">
        <v>118</v>
      </c>
      <c r="E424" s="10" t="s">
        <v>118</v>
      </c>
      <c r="F424" s="10" t="s">
        <v>117</v>
      </c>
      <c r="G424" s="10">
        <v>5.0</v>
      </c>
      <c r="H424" s="10">
        <v>7.0</v>
      </c>
      <c r="I424" s="10" t="s">
        <v>2140</v>
      </c>
      <c r="J424" s="10" t="s">
        <v>2136</v>
      </c>
      <c r="K424" s="10"/>
      <c r="L424" s="10">
        <v>20.25</v>
      </c>
      <c r="M424" s="10">
        <v>5.06</v>
      </c>
      <c r="N424" s="10"/>
      <c r="O424" s="10"/>
      <c r="P424" s="12">
        <f>IF($A424="","",IFERROR((IF($O424="",0,$O424)*Settings!$J$4+IF($L424="",0,$L424)*Settings!$J$5+IF($N424="",0,$N424)*Settings!$J$6)/(IF($O424="",0,Settings!$J$4)+IF($L424="",0,Settings!$J$5)+IF($N424="",0,Settings!$J$6)),0))</f>
        <v>20.25</v>
      </c>
      <c r="Q424" s="12">
        <f t="array" ref="Q424">IF($A424="","",XLOOKUP($E424,Settings!$A$19:$A$22,Settings!$G$19:$G$22,0))</f>
        <v>196.25</v>
      </c>
      <c r="R424" s="12">
        <f t="shared" si="1"/>
        <v>0</v>
      </c>
      <c r="S424" s="12">
        <f>IF($A424="","",IF($R424&lt;=0,1,1+$R424/SUMIF($R$4:$R$923,"&gt;0",$R$4:$R$923)*(Settings!$B$5*(Settings!$B$6-Settings!$B$7))))</f>
        <v>1</v>
      </c>
      <c r="T424" s="12">
        <f t="array" ref="T424">IF($A424="","",XLOOKUP($F424,Settings!$I$15:$I$20,Settings!$J$15:$J$20,1))</f>
        <v>0.75</v>
      </c>
      <c r="U424" s="12">
        <f>IF($A424="","",1+(($G424-5)/5)*Settings!$J$8)</f>
        <v>1</v>
      </c>
      <c r="V424" s="12">
        <f>IF($A424="","",1+(($H424-5)/5)*Settings!$J$9)</f>
        <v>1.06</v>
      </c>
      <c r="W424" s="12">
        <f t="array" ref="W424">IF($A424="","",XLOOKUP($J424,Lists!$C$3:$C$7,Lists!$D$3:$D$7,1))</f>
        <v>1</v>
      </c>
      <c r="X424" s="12">
        <f>IF($A424="","",IF($I424="Yes",Settings!$J$10,1))</f>
        <v>1</v>
      </c>
      <c r="Y424" s="12">
        <f t="shared" si="2"/>
        <v>1</v>
      </c>
      <c r="Z424" s="12">
        <f>IF($A424="","",IFERROR(ROUND(AVERAGEIFS('Historical Drafts'!$G$4:$G$300,'Historical Drafts'!$D$4:$D$300,$E424,'Historical Drafts'!$J$4:$J$300,"&gt;="&amp;$L424*0.85,'Historical Drafts'!$J$4:$J$300,"&lt;="&amp;$L424*1.15),0),$Y424))</f>
        <v>1</v>
      </c>
      <c r="AA424" s="12" t="str">
        <f>IF($A424="","",IF(COUNTIF('Auction Log'!$B$3:$B$300,$A424)&gt;0,"Sold","Available"))</f>
        <v>Available</v>
      </c>
      <c r="AB424" s="12" t="str">
        <f t="array" ref="AB424">IF($A424="","",IFERROR(XLOOKUP($A424,'Auction Log'!$B$3:$B$300,'Auction Log'!$G$3:$G$300,""),""))</f>
        <v/>
      </c>
      <c r="AC424" s="12" t="str">
        <f t="array" ref="AC424">IF($A424="","",IFERROR(XLOOKUP($A424,'Auction Log'!$B$3:$B$300,'Auction Log'!$F$3:$F$300,""),""))</f>
        <v/>
      </c>
      <c r="AD424" s="12">
        <f t="array" ref="AD424">IF($A424="","",ROUND($Y424*XLOOKUP($F424,Settings!$I$15:$I$20,Settings!$K$15:$K$20,0.4),0))</f>
        <v>0</v>
      </c>
      <c r="AE424" s="12">
        <f t="array" ref="AE424">IF($A424="","",ROUND($Y424*XLOOKUP($F424,Settings!$I$15:$I$20,Settings!$L$15:$L$20,0.8),0))</f>
        <v>1</v>
      </c>
      <c r="AF424" s="12">
        <f t="array" ref="AF424">IF($A424="","",ROUND($Y424*XLOOKUP($F424,Settings!$I$15:$I$20,Settings!$M$15:$M$20,1),0))</f>
        <v>1</v>
      </c>
      <c r="AG424" s="12">
        <f t="array" ref="AG424">IF($A424="","",ROUND($Y424*XLOOKUP($F424,Settings!$I$15:$I$20,Settings!$N$15:$N$20,1.1),0))</f>
        <v>1</v>
      </c>
      <c r="AH424" s="12">
        <f t="array" ref="AH424">IF($A424="","",ROUND($Y424*XLOOKUP($F424,Settings!$I$15:$I$20,Settings!$O$15:$O$20,1.1)*Settings!$J$7,0))</f>
        <v>1</v>
      </c>
      <c r="AI424" s="12">
        <f t="array" ref="AI424">IF($A424="","",IF($AA424="Sold","",MIN($AH424,IFERROR(XLOOKUP(Settings!$B$12,Managers!$B$4:$B$15,Managers!$H$4:$H$15),$AH424))))</f>
        <v>1</v>
      </c>
      <c r="AJ424" s="12" t="str">
        <f t="shared" si="3"/>
        <v>Recommended</v>
      </c>
      <c r="AK424" s="12">
        <f t="shared" si="4"/>
        <v>26</v>
      </c>
      <c r="AL424" s="12" t="str">
        <f t="shared" si="5"/>
        <v/>
      </c>
    </row>
    <row r="425" ht="15.75" customHeight="1">
      <c r="A425" s="10" t="s">
        <v>1129</v>
      </c>
      <c r="B425" s="10" t="s">
        <v>1130</v>
      </c>
      <c r="C425" s="10" t="s">
        <v>314</v>
      </c>
      <c r="D425" s="10" t="s">
        <v>118</v>
      </c>
      <c r="E425" s="10" t="s">
        <v>118</v>
      </c>
      <c r="F425" s="10" t="s">
        <v>117</v>
      </c>
      <c r="G425" s="10">
        <v>5.0</v>
      </c>
      <c r="H425" s="10">
        <v>7.0</v>
      </c>
      <c r="I425" s="10" t="s">
        <v>2140</v>
      </c>
      <c r="J425" s="10" t="s">
        <v>2136</v>
      </c>
      <c r="K425" s="10"/>
      <c r="L425" s="10">
        <v>20.0</v>
      </c>
      <c r="M425" s="10">
        <v>2.5</v>
      </c>
      <c r="N425" s="10"/>
      <c r="O425" s="10"/>
      <c r="P425" s="12">
        <f>IF($A425="","",IFERROR((IF($O425="",0,$O425)*Settings!$J$4+IF($L425="",0,$L425)*Settings!$J$5+IF($N425="",0,$N425)*Settings!$J$6)/(IF($O425="",0,Settings!$J$4)+IF($L425="",0,Settings!$J$5)+IF($N425="",0,Settings!$J$6)),0))</f>
        <v>20</v>
      </c>
      <c r="Q425" s="12">
        <f t="array" ref="Q425">IF($A425="","",XLOOKUP($E425,Settings!$A$19:$A$22,Settings!$G$19:$G$22,0))</f>
        <v>196.25</v>
      </c>
      <c r="R425" s="12">
        <f t="shared" si="1"/>
        <v>0</v>
      </c>
      <c r="S425" s="12">
        <f>IF($A425="","",IF($R425&lt;=0,1,1+$R425/SUMIF($R$4:$R$923,"&gt;0",$R$4:$R$923)*(Settings!$B$5*(Settings!$B$6-Settings!$B$7))))</f>
        <v>1</v>
      </c>
      <c r="T425" s="12">
        <f t="array" ref="T425">IF($A425="","",XLOOKUP($F425,Settings!$I$15:$I$20,Settings!$J$15:$J$20,1))</f>
        <v>0.75</v>
      </c>
      <c r="U425" s="12">
        <f>IF($A425="","",1+(($G425-5)/5)*Settings!$J$8)</f>
        <v>1</v>
      </c>
      <c r="V425" s="12">
        <f>IF($A425="","",1+(($H425-5)/5)*Settings!$J$9)</f>
        <v>1.06</v>
      </c>
      <c r="W425" s="12">
        <f t="array" ref="W425">IF($A425="","",XLOOKUP($J425,Lists!$C$3:$C$7,Lists!$D$3:$D$7,1))</f>
        <v>1</v>
      </c>
      <c r="X425" s="12">
        <f>IF($A425="","",IF($I425="Yes",Settings!$J$10,1))</f>
        <v>1</v>
      </c>
      <c r="Y425" s="12">
        <f t="shared" si="2"/>
        <v>1</v>
      </c>
      <c r="Z425" s="12">
        <f>IF($A425="","",IFERROR(ROUND(AVERAGEIFS('Historical Drafts'!$G$4:$G$300,'Historical Drafts'!$D$4:$D$300,$E425,'Historical Drafts'!$J$4:$J$300,"&gt;="&amp;$L425*0.85,'Historical Drafts'!$J$4:$J$300,"&lt;="&amp;$L425*1.15),0),$Y425))</f>
        <v>1</v>
      </c>
      <c r="AA425" s="12" t="str">
        <f>IF($A425="","",IF(COUNTIF('Auction Log'!$B$3:$B$300,$A425)&gt;0,"Sold","Available"))</f>
        <v>Available</v>
      </c>
      <c r="AB425" s="12" t="str">
        <f t="array" ref="AB425">IF($A425="","",IFERROR(XLOOKUP($A425,'Auction Log'!$B$3:$B$300,'Auction Log'!$G$3:$G$300,""),""))</f>
        <v/>
      </c>
      <c r="AC425" s="12" t="str">
        <f t="array" ref="AC425">IF($A425="","",IFERROR(XLOOKUP($A425,'Auction Log'!$B$3:$B$300,'Auction Log'!$F$3:$F$300,""),""))</f>
        <v/>
      </c>
      <c r="AD425" s="12">
        <f t="array" ref="AD425">IF($A425="","",ROUND($Y425*XLOOKUP($F425,Settings!$I$15:$I$20,Settings!$K$15:$K$20,0.4),0))</f>
        <v>0</v>
      </c>
      <c r="AE425" s="12">
        <f t="array" ref="AE425">IF($A425="","",ROUND($Y425*XLOOKUP($F425,Settings!$I$15:$I$20,Settings!$L$15:$L$20,0.8),0))</f>
        <v>1</v>
      </c>
      <c r="AF425" s="12">
        <f t="array" ref="AF425">IF($A425="","",ROUND($Y425*XLOOKUP($F425,Settings!$I$15:$I$20,Settings!$M$15:$M$20,1),0))</f>
        <v>1</v>
      </c>
      <c r="AG425" s="12">
        <f t="array" ref="AG425">IF($A425="","",ROUND($Y425*XLOOKUP($F425,Settings!$I$15:$I$20,Settings!$N$15:$N$20,1.1),0))</f>
        <v>1</v>
      </c>
      <c r="AH425" s="12">
        <f t="array" ref="AH425">IF($A425="","",ROUND($Y425*XLOOKUP($F425,Settings!$I$15:$I$20,Settings!$O$15:$O$20,1.1)*Settings!$J$7,0))</f>
        <v>1</v>
      </c>
      <c r="AI425" s="12">
        <f t="array" ref="AI425">IF($A425="","",IF($AA425="Sold","",MIN($AH425,IFERROR(XLOOKUP(Settings!$B$12,Managers!$B$4:$B$15,Managers!$H$4:$H$15),$AH425))))</f>
        <v>1</v>
      </c>
      <c r="AJ425" s="12" t="str">
        <f t="shared" si="3"/>
        <v>Recommended</v>
      </c>
      <c r="AK425" s="12">
        <f t="shared" si="4"/>
        <v>26</v>
      </c>
      <c r="AL425" s="12" t="str">
        <f t="shared" si="5"/>
        <v/>
      </c>
    </row>
    <row r="426" ht="15.75" customHeight="1">
      <c r="A426" s="10" t="s">
        <v>1131</v>
      </c>
      <c r="B426" s="10" t="s">
        <v>1132</v>
      </c>
      <c r="C426" s="10" t="s">
        <v>236</v>
      </c>
      <c r="D426" s="10" t="s">
        <v>118</v>
      </c>
      <c r="E426" s="10" t="s">
        <v>118</v>
      </c>
      <c r="F426" s="10" t="s">
        <v>117</v>
      </c>
      <c r="G426" s="10">
        <v>5.0</v>
      </c>
      <c r="H426" s="10">
        <v>7.0</v>
      </c>
      <c r="I426" s="10" t="s">
        <v>2140</v>
      </c>
      <c r="J426" s="10" t="s">
        <v>2136</v>
      </c>
      <c r="K426" s="10"/>
      <c r="L426" s="10">
        <v>19.75</v>
      </c>
      <c r="M426" s="10">
        <v>2.19</v>
      </c>
      <c r="N426" s="10"/>
      <c r="O426" s="10"/>
      <c r="P426" s="12">
        <f>IF($A426="","",IFERROR((IF($O426="",0,$O426)*Settings!$J$4+IF($L426="",0,$L426)*Settings!$J$5+IF($N426="",0,$N426)*Settings!$J$6)/(IF($O426="",0,Settings!$J$4)+IF($L426="",0,Settings!$J$5)+IF($N426="",0,Settings!$J$6)),0))</f>
        <v>19.75</v>
      </c>
      <c r="Q426" s="12">
        <f t="array" ref="Q426">IF($A426="","",XLOOKUP($E426,Settings!$A$19:$A$22,Settings!$G$19:$G$22,0))</f>
        <v>196.25</v>
      </c>
      <c r="R426" s="12">
        <f t="shared" si="1"/>
        <v>0</v>
      </c>
      <c r="S426" s="12">
        <f>IF($A426="","",IF($R426&lt;=0,1,1+$R426/SUMIF($R$4:$R$923,"&gt;0",$R$4:$R$923)*(Settings!$B$5*(Settings!$B$6-Settings!$B$7))))</f>
        <v>1</v>
      </c>
      <c r="T426" s="12">
        <f t="array" ref="T426">IF($A426="","",XLOOKUP($F426,Settings!$I$15:$I$20,Settings!$J$15:$J$20,1))</f>
        <v>0.75</v>
      </c>
      <c r="U426" s="12">
        <f>IF($A426="","",1+(($G426-5)/5)*Settings!$J$8)</f>
        <v>1</v>
      </c>
      <c r="V426" s="12">
        <f>IF($A426="","",1+(($H426-5)/5)*Settings!$J$9)</f>
        <v>1.06</v>
      </c>
      <c r="W426" s="12">
        <f t="array" ref="W426">IF($A426="","",XLOOKUP($J426,Lists!$C$3:$C$7,Lists!$D$3:$D$7,1))</f>
        <v>1</v>
      </c>
      <c r="X426" s="12">
        <f>IF($A426="","",IF($I426="Yes",Settings!$J$10,1))</f>
        <v>1</v>
      </c>
      <c r="Y426" s="12">
        <f t="shared" si="2"/>
        <v>1</v>
      </c>
      <c r="Z426" s="12">
        <f>IF($A426="","",IFERROR(ROUND(AVERAGEIFS('Historical Drafts'!$G$4:$G$300,'Historical Drafts'!$D$4:$D$300,$E426,'Historical Drafts'!$J$4:$J$300,"&gt;="&amp;$L426*0.85,'Historical Drafts'!$J$4:$J$300,"&lt;="&amp;$L426*1.15),0),$Y426))</f>
        <v>1</v>
      </c>
      <c r="AA426" s="12" t="str">
        <f>IF($A426="","",IF(COUNTIF('Auction Log'!$B$3:$B$300,$A426)&gt;0,"Sold","Available"))</f>
        <v>Available</v>
      </c>
      <c r="AB426" s="12" t="str">
        <f t="array" ref="AB426">IF($A426="","",IFERROR(XLOOKUP($A426,'Auction Log'!$B$3:$B$300,'Auction Log'!$G$3:$G$300,""),""))</f>
        <v/>
      </c>
      <c r="AC426" s="12" t="str">
        <f t="array" ref="AC426">IF($A426="","",IFERROR(XLOOKUP($A426,'Auction Log'!$B$3:$B$300,'Auction Log'!$F$3:$F$300,""),""))</f>
        <v/>
      </c>
      <c r="AD426" s="12">
        <f t="array" ref="AD426">IF($A426="","",ROUND($Y426*XLOOKUP($F426,Settings!$I$15:$I$20,Settings!$K$15:$K$20,0.4),0))</f>
        <v>0</v>
      </c>
      <c r="AE426" s="12">
        <f t="array" ref="AE426">IF($A426="","",ROUND($Y426*XLOOKUP($F426,Settings!$I$15:$I$20,Settings!$L$15:$L$20,0.8),0))</f>
        <v>1</v>
      </c>
      <c r="AF426" s="12">
        <f t="array" ref="AF426">IF($A426="","",ROUND($Y426*XLOOKUP($F426,Settings!$I$15:$I$20,Settings!$M$15:$M$20,1),0))</f>
        <v>1</v>
      </c>
      <c r="AG426" s="12">
        <f t="array" ref="AG426">IF($A426="","",ROUND($Y426*XLOOKUP($F426,Settings!$I$15:$I$20,Settings!$N$15:$N$20,1.1),0))</f>
        <v>1</v>
      </c>
      <c r="AH426" s="12">
        <f t="array" ref="AH426">IF($A426="","",ROUND($Y426*XLOOKUP($F426,Settings!$I$15:$I$20,Settings!$O$15:$O$20,1.1)*Settings!$J$7,0))</f>
        <v>1</v>
      </c>
      <c r="AI426" s="12">
        <f t="array" ref="AI426">IF($A426="","",IF($AA426="Sold","",MIN($AH426,IFERROR(XLOOKUP(Settings!$B$12,Managers!$B$4:$B$15,Managers!$H$4:$H$15),$AH426))))</f>
        <v>1</v>
      </c>
      <c r="AJ426" s="12" t="str">
        <f t="shared" si="3"/>
        <v>Recommended</v>
      </c>
      <c r="AK426" s="12">
        <f t="shared" si="4"/>
        <v>26</v>
      </c>
      <c r="AL426" s="12" t="str">
        <f t="shared" si="5"/>
        <v/>
      </c>
    </row>
    <row r="427" ht="15.75" customHeight="1">
      <c r="A427" s="10" t="s">
        <v>1133</v>
      </c>
      <c r="B427" s="10" t="s">
        <v>1134</v>
      </c>
      <c r="C427" s="10" t="s">
        <v>453</v>
      </c>
      <c r="D427" s="10" t="s">
        <v>121</v>
      </c>
      <c r="E427" s="10" t="s">
        <v>121</v>
      </c>
      <c r="F427" s="10" t="s">
        <v>117</v>
      </c>
      <c r="G427" s="10">
        <v>5.0</v>
      </c>
      <c r="H427" s="10">
        <v>7.0</v>
      </c>
      <c r="I427" s="10" t="s">
        <v>2140</v>
      </c>
      <c r="J427" s="10" t="s">
        <v>2136</v>
      </c>
      <c r="K427" s="10"/>
      <c r="L427" s="10">
        <v>19.5</v>
      </c>
      <c r="M427" s="10">
        <v>1.77</v>
      </c>
      <c r="N427" s="10"/>
      <c r="O427" s="10"/>
      <c r="P427" s="12">
        <f>IF($A427="","",IFERROR((IF($O427="",0,$O427)*Settings!$J$4+IF($L427="",0,$L427)*Settings!$J$5+IF($N427="",0,$N427)*Settings!$J$6)/(IF($O427="",0,Settings!$J$4)+IF($L427="",0,Settings!$J$5)+IF($N427="",0,Settings!$J$6)),0))</f>
        <v>19.5</v>
      </c>
      <c r="Q427" s="12">
        <f t="array" ref="Q427">IF($A427="","",XLOOKUP($E427,Settings!$A$19:$A$22,Settings!$G$19:$G$22,0))</f>
        <v>206</v>
      </c>
      <c r="R427" s="12">
        <f t="shared" si="1"/>
        <v>0</v>
      </c>
      <c r="S427" s="12">
        <f>IF($A427="","",IF($R427&lt;=0,1,1+$R427/SUMIF($R$4:$R$923,"&gt;0",$R$4:$R$923)*(Settings!$B$5*(Settings!$B$6-Settings!$B$7))))</f>
        <v>1</v>
      </c>
      <c r="T427" s="12">
        <f t="array" ref="T427">IF($A427="","",XLOOKUP($F427,Settings!$I$15:$I$20,Settings!$J$15:$J$20,1))</f>
        <v>0.75</v>
      </c>
      <c r="U427" s="12">
        <f>IF($A427="","",1+(($G427-5)/5)*Settings!$J$8)</f>
        <v>1</v>
      </c>
      <c r="V427" s="12">
        <f>IF($A427="","",1+(($H427-5)/5)*Settings!$J$9)</f>
        <v>1.06</v>
      </c>
      <c r="W427" s="12">
        <f t="array" ref="W427">IF($A427="","",XLOOKUP($J427,Lists!$C$3:$C$7,Lists!$D$3:$D$7,1))</f>
        <v>1</v>
      </c>
      <c r="X427" s="12">
        <f>IF($A427="","",IF($I427="Yes",Settings!$J$10,1))</f>
        <v>1</v>
      </c>
      <c r="Y427" s="12">
        <f t="shared" si="2"/>
        <v>1</v>
      </c>
      <c r="Z427" s="12">
        <f>IF($A427="","",IFERROR(ROUND(AVERAGEIFS('Historical Drafts'!$G$4:$G$300,'Historical Drafts'!$D$4:$D$300,$E427,'Historical Drafts'!$J$4:$J$300,"&gt;="&amp;$L427*0.85,'Historical Drafts'!$J$4:$J$300,"&lt;="&amp;$L427*1.15),0),$Y427))</f>
        <v>1</v>
      </c>
      <c r="AA427" s="12" t="str">
        <f>IF($A427="","",IF(COUNTIF('Auction Log'!$B$3:$B$300,$A427)&gt;0,"Sold","Available"))</f>
        <v>Available</v>
      </c>
      <c r="AB427" s="12" t="str">
        <f t="array" ref="AB427">IF($A427="","",IFERROR(XLOOKUP($A427,'Auction Log'!$B$3:$B$300,'Auction Log'!$G$3:$G$300,""),""))</f>
        <v/>
      </c>
      <c r="AC427" s="12" t="str">
        <f t="array" ref="AC427">IF($A427="","",IFERROR(XLOOKUP($A427,'Auction Log'!$B$3:$B$300,'Auction Log'!$F$3:$F$300,""),""))</f>
        <v/>
      </c>
      <c r="AD427" s="12">
        <f t="array" ref="AD427">IF($A427="","",ROUND($Y427*XLOOKUP($F427,Settings!$I$15:$I$20,Settings!$K$15:$K$20,0.4),0))</f>
        <v>0</v>
      </c>
      <c r="AE427" s="12">
        <f t="array" ref="AE427">IF($A427="","",ROUND($Y427*XLOOKUP($F427,Settings!$I$15:$I$20,Settings!$L$15:$L$20,0.8),0))</f>
        <v>1</v>
      </c>
      <c r="AF427" s="12">
        <f t="array" ref="AF427">IF($A427="","",ROUND($Y427*XLOOKUP($F427,Settings!$I$15:$I$20,Settings!$M$15:$M$20,1),0))</f>
        <v>1</v>
      </c>
      <c r="AG427" s="12">
        <f t="array" ref="AG427">IF($A427="","",ROUND($Y427*XLOOKUP($F427,Settings!$I$15:$I$20,Settings!$N$15:$N$20,1.1),0))</f>
        <v>1</v>
      </c>
      <c r="AH427" s="12">
        <f t="array" ref="AH427">IF($A427="","",ROUND($Y427*XLOOKUP($F427,Settings!$I$15:$I$20,Settings!$O$15:$O$20,1.1)*Settings!$J$7,0))</f>
        <v>1</v>
      </c>
      <c r="AI427" s="12">
        <f t="array" ref="AI427">IF($A427="","",IF($AA427="Sold","",MIN($AH427,IFERROR(XLOOKUP(Settings!$B$12,Managers!$B$4:$B$15,Managers!$H$4:$H$15),$AH427))))</f>
        <v>1</v>
      </c>
      <c r="AJ427" s="12" t="str">
        <f t="shared" si="3"/>
        <v>Recommended</v>
      </c>
      <c r="AK427" s="12">
        <f t="shared" si="4"/>
        <v>26</v>
      </c>
      <c r="AL427" s="12" t="str">
        <f t="shared" si="5"/>
        <v/>
      </c>
    </row>
    <row r="428" ht="15.75" customHeight="1">
      <c r="A428" s="10" t="s">
        <v>1135</v>
      </c>
      <c r="B428" s="10" t="s">
        <v>1136</v>
      </c>
      <c r="C428" s="10" t="s">
        <v>188</v>
      </c>
      <c r="D428" s="10" t="s">
        <v>121</v>
      </c>
      <c r="E428" s="10" t="s">
        <v>121</v>
      </c>
      <c r="F428" s="10" t="s">
        <v>117</v>
      </c>
      <c r="G428" s="10">
        <v>5.0</v>
      </c>
      <c r="H428" s="10">
        <v>7.0</v>
      </c>
      <c r="I428" s="10" t="s">
        <v>2140</v>
      </c>
      <c r="J428" s="10" t="s">
        <v>2136</v>
      </c>
      <c r="K428" s="10"/>
      <c r="L428" s="10">
        <v>19.5</v>
      </c>
      <c r="M428" s="10">
        <v>1.62</v>
      </c>
      <c r="N428" s="10"/>
      <c r="O428" s="10"/>
      <c r="P428" s="12">
        <f>IF($A428="","",IFERROR((IF($O428="",0,$O428)*Settings!$J$4+IF($L428="",0,$L428)*Settings!$J$5+IF($N428="",0,$N428)*Settings!$J$6)/(IF($O428="",0,Settings!$J$4)+IF($L428="",0,Settings!$J$5)+IF($N428="",0,Settings!$J$6)),0))</f>
        <v>19.5</v>
      </c>
      <c r="Q428" s="12">
        <f t="array" ref="Q428">IF($A428="","",XLOOKUP($E428,Settings!$A$19:$A$22,Settings!$G$19:$G$22,0))</f>
        <v>206</v>
      </c>
      <c r="R428" s="12">
        <f t="shared" si="1"/>
        <v>0</v>
      </c>
      <c r="S428" s="12">
        <f>IF($A428="","",IF($R428&lt;=0,1,1+$R428/SUMIF($R$4:$R$923,"&gt;0",$R$4:$R$923)*(Settings!$B$5*(Settings!$B$6-Settings!$B$7))))</f>
        <v>1</v>
      </c>
      <c r="T428" s="12">
        <f t="array" ref="T428">IF($A428="","",XLOOKUP($F428,Settings!$I$15:$I$20,Settings!$J$15:$J$20,1))</f>
        <v>0.75</v>
      </c>
      <c r="U428" s="12">
        <f>IF($A428="","",1+(($G428-5)/5)*Settings!$J$8)</f>
        <v>1</v>
      </c>
      <c r="V428" s="12">
        <f>IF($A428="","",1+(($H428-5)/5)*Settings!$J$9)</f>
        <v>1.06</v>
      </c>
      <c r="W428" s="12">
        <f t="array" ref="W428">IF($A428="","",XLOOKUP($J428,Lists!$C$3:$C$7,Lists!$D$3:$D$7,1))</f>
        <v>1</v>
      </c>
      <c r="X428" s="12">
        <f>IF($A428="","",IF($I428="Yes",Settings!$J$10,1))</f>
        <v>1</v>
      </c>
      <c r="Y428" s="12">
        <f t="shared" si="2"/>
        <v>1</v>
      </c>
      <c r="Z428" s="12">
        <f>IF($A428="","",IFERROR(ROUND(AVERAGEIFS('Historical Drafts'!$G$4:$G$300,'Historical Drafts'!$D$4:$D$300,$E428,'Historical Drafts'!$J$4:$J$300,"&gt;="&amp;$L428*0.85,'Historical Drafts'!$J$4:$J$300,"&lt;="&amp;$L428*1.15),0),$Y428))</f>
        <v>1</v>
      </c>
      <c r="AA428" s="12" t="str">
        <f>IF($A428="","",IF(COUNTIF('Auction Log'!$B$3:$B$300,$A428)&gt;0,"Sold","Available"))</f>
        <v>Available</v>
      </c>
      <c r="AB428" s="12" t="str">
        <f t="array" ref="AB428">IF($A428="","",IFERROR(XLOOKUP($A428,'Auction Log'!$B$3:$B$300,'Auction Log'!$G$3:$G$300,""),""))</f>
        <v/>
      </c>
      <c r="AC428" s="12" t="str">
        <f t="array" ref="AC428">IF($A428="","",IFERROR(XLOOKUP($A428,'Auction Log'!$B$3:$B$300,'Auction Log'!$F$3:$F$300,""),""))</f>
        <v/>
      </c>
      <c r="AD428" s="12">
        <f t="array" ref="AD428">IF($A428="","",ROUND($Y428*XLOOKUP($F428,Settings!$I$15:$I$20,Settings!$K$15:$K$20,0.4),0))</f>
        <v>0</v>
      </c>
      <c r="AE428" s="12">
        <f t="array" ref="AE428">IF($A428="","",ROUND($Y428*XLOOKUP($F428,Settings!$I$15:$I$20,Settings!$L$15:$L$20,0.8),0))</f>
        <v>1</v>
      </c>
      <c r="AF428" s="12">
        <f t="array" ref="AF428">IF($A428="","",ROUND($Y428*XLOOKUP($F428,Settings!$I$15:$I$20,Settings!$M$15:$M$20,1),0))</f>
        <v>1</v>
      </c>
      <c r="AG428" s="12">
        <f t="array" ref="AG428">IF($A428="","",ROUND($Y428*XLOOKUP($F428,Settings!$I$15:$I$20,Settings!$N$15:$N$20,1.1),0))</f>
        <v>1</v>
      </c>
      <c r="AH428" s="12">
        <f t="array" ref="AH428">IF($A428="","",ROUND($Y428*XLOOKUP($F428,Settings!$I$15:$I$20,Settings!$O$15:$O$20,1.1)*Settings!$J$7,0))</f>
        <v>1</v>
      </c>
      <c r="AI428" s="12">
        <f t="array" ref="AI428">IF($A428="","",IF($AA428="Sold","",MIN($AH428,IFERROR(XLOOKUP(Settings!$B$12,Managers!$B$4:$B$15,Managers!$H$4:$H$15),$AH428))))</f>
        <v>1</v>
      </c>
      <c r="AJ428" s="12" t="str">
        <f t="shared" si="3"/>
        <v>Recommended</v>
      </c>
      <c r="AK428" s="12">
        <f t="shared" si="4"/>
        <v>26</v>
      </c>
      <c r="AL428" s="12" t="str">
        <f t="shared" si="5"/>
        <v/>
      </c>
    </row>
    <row r="429" ht="15.75" customHeight="1">
      <c r="A429" s="10" t="s">
        <v>1137</v>
      </c>
      <c r="B429" s="10" t="s">
        <v>1138</v>
      </c>
      <c r="C429" s="10" t="s">
        <v>305</v>
      </c>
      <c r="D429" s="10" t="s">
        <v>121</v>
      </c>
      <c r="E429" s="10" t="s">
        <v>121</v>
      </c>
      <c r="F429" s="10" t="s">
        <v>117</v>
      </c>
      <c r="G429" s="10">
        <v>5.0</v>
      </c>
      <c r="H429" s="10">
        <v>7.0</v>
      </c>
      <c r="I429" s="10" t="s">
        <v>2140</v>
      </c>
      <c r="J429" s="10" t="s">
        <v>2136</v>
      </c>
      <c r="K429" s="10"/>
      <c r="L429" s="10">
        <v>19.5</v>
      </c>
      <c r="M429" s="10">
        <v>2.79</v>
      </c>
      <c r="N429" s="10"/>
      <c r="O429" s="10"/>
      <c r="P429" s="12">
        <f>IF($A429="","",IFERROR((IF($O429="",0,$O429)*Settings!$J$4+IF($L429="",0,$L429)*Settings!$J$5+IF($N429="",0,$N429)*Settings!$J$6)/(IF($O429="",0,Settings!$J$4)+IF($L429="",0,Settings!$J$5)+IF($N429="",0,Settings!$J$6)),0))</f>
        <v>19.5</v>
      </c>
      <c r="Q429" s="12">
        <f t="array" ref="Q429">IF($A429="","",XLOOKUP($E429,Settings!$A$19:$A$22,Settings!$G$19:$G$22,0))</f>
        <v>206</v>
      </c>
      <c r="R429" s="12">
        <f t="shared" si="1"/>
        <v>0</v>
      </c>
      <c r="S429" s="12">
        <f>IF($A429="","",IF($R429&lt;=0,1,1+$R429/SUMIF($R$4:$R$923,"&gt;0",$R$4:$R$923)*(Settings!$B$5*(Settings!$B$6-Settings!$B$7))))</f>
        <v>1</v>
      </c>
      <c r="T429" s="12">
        <f t="array" ref="T429">IF($A429="","",XLOOKUP($F429,Settings!$I$15:$I$20,Settings!$J$15:$J$20,1))</f>
        <v>0.75</v>
      </c>
      <c r="U429" s="12">
        <f>IF($A429="","",1+(($G429-5)/5)*Settings!$J$8)</f>
        <v>1</v>
      </c>
      <c r="V429" s="12">
        <f>IF($A429="","",1+(($H429-5)/5)*Settings!$J$9)</f>
        <v>1.06</v>
      </c>
      <c r="W429" s="12">
        <f t="array" ref="W429">IF($A429="","",XLOOKUP($J429,Lists!$C$3:$C$7,Lists!$D$3:$D$7,1))</f>
        <v>1</v>
      </c>
      <c r="X429" s="12">
        <f>IF($A429="","",IF($I429="Yes",Settings!$J$10,1))</f>
        <v>1</v>
      </c>
      <c r="Y429" s="12">
        <f t="shared" si="2"/>
        <v>1</v>
      </c>
      <c r="Z429" s="12">
        <f>IF($A429="","",IFERROR(ROUND(AVERAGEIFS('Historical Drafts'!$G$4:$G$300,'Historical Drafts'!$D$4:$D$300,$E429,'Historical Drafts'!$J$4:$J$300,"&gt;="&amp;$L429*0.85,'Historical Drafts'!$J$4:$J$300,"&lt;="&amp;$L429*1.15),0),$Y429))</f>
        <v>1</v>
      </c>
      <c r="AA429" s="12" t="str">
        <f>IF($A429="","",IF(COUNTIF('Auction Log'!$B$3:$B$300,$A429)&gt;0,"Sold","Available"))</f>
        <v>Available</v>
      </c>
      <c r="AB429" s="12" t="str">
        <f t="array" ref="AB429">IF($A429="","",IFERROR(XLOOKUP($A429,'Auction Log'!$B$3:$B$300,'Auction Log'!$G$3:$G$300,""),""))</f>
        <v/>
      </c>
      <c r="AC429" s="12" t="str">
        <f t="array" ref="AC429">IF($A429="","",IFERROR(XLOOKUP($A429,'Auction Log'!$B$3:$B$300,'Auction Log'!$F$3:$F$300,""),""))</f>
        <v/>
      </c>
      <c r="AD429" s="12">
        <f t="array" ref="AD429">IF($A429="","",ROUND($Y429*XLOOKUP($F429,Settings!$I$15:$I$20,Settings!$K$15:$K$20,0.4),0))</f>
        <v>0</v>
      </c>
      <c r="AE429" s="12">
        <f t="array" ref="AE429">IF($A429="","",ROUND($Y429*XLOOKUP($F429,Settings!$I$15:$I$20,Settings!$L$15:$L$20,0.8),0))</f>
        <v>1</v>
      </c>
      <c r="AF429" s="12">
        <f t="array" ref="AF429">IF($A429="","",ROUND($Y429*XLOOKUP($F429,Settings!$I$15:$I$20,Settings!$M$15:$M$20,1),0))</f>
        <v>1</v>
      </c>
      <c r="AG429" s="12">
        <f t="array" ref="AG429">IF($A429="","",ROUND($Y429*XLOOKUP($F429,Settings!$I$15:$I$20,Settings!$N$15:$N$20,1.1),0))</f>
        <v>1</v>
      </c>
      <c r="AH429" s="12">
        <f t="array" ref="AH429">IF($A429="","",ROUND($Y429*XLOOKUP($F429,Settings!$I$15:$I$20,Settings!$O$15:$O$20,1.1)*Settings!$J$7,0))</f>
        <v>1</v>
      </c>
      <c r="AI429" s="12">
        <f t="array" ref="AI429">IF($A429="","",IF($AA429="Sold","",MIN($AH429,IFERROR(XLOOKUP(Settings!$B$12,Managers!$B$4:$B$15,Managers!$H$4:$H$15),$AH429))))</f>
        <v>1</v>
      </c>
      <c r="AJ429" s="12" t="str">
        <f t="shared" si="3"/>
        <v>Recommended</v>
      </c>
      <c r="AK429" s="12">
        <f t="shared" si="4"/>
        <v>26</v>
      </c>
      <c r="AL429" s="12" t="str">
        <f t="shared" si="5"/>
        <v/>
      </c>
    </row>
    <row r="430" ht="15.75" customHeight="1">
      <c r="A430" s="10" t="s">
        <v>1139</v>
      </c>
      <c r="B430" s="10" t="s">
        <v>1140</v>
      </c>
      <c r="C430" s="10" t="s">
        <v>1141</v>
      </c>
      <c r="D430" s="10" t="s">
        <v>123</v>
      </c>
      <c r="E430" s="10" t="s">
        <v>123</v>
      </c>
      <c r="F430" s="10" t="s">
        <v>117</v>
      </c>
      <c r="G430" s="10">
        <v>5.0</v>
      </c>
      <c r="H430" s="10">
        <v>7.0</v>
      </c>
      <c r="I430" s="10" t="s">
        <v>2140</v>
      </c>
      <c r="J430" s="10" t="s">
        <v>2136</v>
      </c>
      <c r="K430" s="10"/>
      <c r="L430" s="10">
        <v>18.0</v>
      </c>
      <c r="M430" s="10">
        <v>1.8</v>
      </c>
      <c r="N430" s="10"/>
      <c r="O430" s="10"/>
      <c r="P430" s="12">
        <f>IF($A430="","",IFERROR((IF($O430="",0,$O430)*Settings!$J$4+IF($L430="",0,$L430)*Settings!$J$5+IF($N430="",0,$N430)*Settings!$J$6)/(IF($O430="",0,Settings!$J$4)+IF($L430="",0,Settings!$J$5)+IF($N430="",0,Settings!$J$6)),0))</f>
        <v>18</v>
      </c>
      <c r="Q430" s="12">
        <f t="array" ref="Q430">IF($A430="","",XLOOKUP($E430,Settings!$A$19:$A$22,Settings!$G$19:$G$22,0))</f>
        <v>203</v>
      </c>
      <c r="R430" s="12">
        <f t="shared" si="1"/>
        <v>0</v>
      </c>
      <c r="S430" s="12">
        <f>IF($A430="","",IF($R430&lt;=0,1,1+$R430/SUMIF($R$4:$R$923,"&gt;0",$R$4:$R$923)*(Settings!$B$5*(Settings!$B$6-Settings!$B$7))))</f>
        <v>1</v>
      </c>
      <c r="T430" s="12">
        <f t="array" ref="T430">IF($A430="","",XLOOKUP($F430,Settings!$I$15:$I$20,Settings!$J$15:$J$20,1))</f>
        <v>0.75</v>
      </c>
      <c r="U430" s="12">
        <f>IF($A430="","",1+(($G430-5)/5)*Settings!$J$8)</f>
        <v>1</v>
      </c>
      <c r="V430" s="12">
        <f>IF($A430="","",1+(($H430-5)/5)*Settings!$J$9)</f>
        <v>1.06</v>
      </c>
      <c r="W430" s="12">
        <f t="array" ref="W430">IF($A430="","",XLOOKUP($J430,Lists!$C$3:$C$7,Lists!$D$3:$D$7,1))</f>
        <v>1</v>
      </c>
      <c r="X430" s="12">
        <f>IF($A430="","",IF($I430="Yes",Settings!$J$10,1))</f>
        <v>1</v>
      </c>
      <c r="Y430" s="12">
        <f t="shared" si="2"/>
        <v>1</v>
      </c>
      <c r="Z430" s="12">
        <f>IF($A430="","",IFERROR(ROUND(AVERAGEIFS('Historical Drafts'!$G$4:$G$300,'Historical Drafts'!$D$4:$D$300,$E430,'Historical Drafts'!$J$4:$J$300,"&gt;="&amp;$L430*0.85,'Historical Drafts'!$J$4:$J$300,"&lt;="&amp;$L430*1.15),0),$Y430))</f>
        <v>1</v>
      </c>
      <c r="AA430" s="12" t="str">
        <f>IF($A430="","",IF(COUNTIF('Auction Log'!$B$3:$B$300,$A430)&gt;0,"Sold","Available"))</f>
        <v>Available</v>
      </c>
      <c r="AB430" s="12" t="str">
        <f t="array" ref="AB430">IF($A430="","",IFERROR(XLOOKUP($A430,'Auction Log'!$B$3:$B$300,'Auction Log'!$G$3:$G$300,""),""))</f>
        <v/>
      </c>
      <c r="AC430" s="12" t="str">
        <f t="array" ref="AC430">IF($A430="","",IFERROR(XLOOKUP($A430,'Auction Log'!$B$3:$B$300,'Auction Log'!$F$3:$F$300,""),""))</f>
        <v/>
      </c>
      <c r="AD430" s="12">
        <f t="array" ref="AD430">IF($A430="","",ROUND($Y430*XLOOKUP($F430,Settings!$I$15:$I$20,Settings!$K$15:$K$20,0.4),0))</f>
        <v>0</v>
      </c>
      <c r="AE430" s="12">
        <f t="array" ref="AE430">IF($A430="","",ROUND($Y430*XLOOKUP($F430,Settings!$I$15:$I$20,Settings!$L$15:$L$20,0.8),0))</f>
        <v>1</v>
      </c>
      <c r="AF430" s="12">
        <f t="array" ref="AF430">IF($A430="","",ROUND($Y430*XLOOKUP($F430,Settings!$I$15:$I$20,Settings!$M$15:$M$20,1),0))</f>
        <v>1</v>
      </c>
      <c r="AG430" s="12">
        <f t="array" ref="AG430">IF($A430="","",ROUND($Y430*XLOOKUP($F430,Settings!$I$15:$I$20,Settings!$N$15:$N$20,1.1),0))</f>
        <v>1</v>
      </c>
      <c r="AH430" s="12">
        <f t="array" ref="AH430">IF($A430="","",ROUND($Y430*XLOOKUP($F430,Settings!$I$15:$I$20,Settings!$O$15:$O$20,1.1)*Settings!$J$7,0))</f>
        <v>1</v>
      </c>
      <c r="AI430" s="12">
        <f t="array" ref="AI430">IF($A430="","",IF($AA430="Sold","",MIN($AH430,IFERROR(XLOOKUP(Settings!$B$12,Managers!$B$4:$B$15,Managers!$H$4:$H$15),$AH430))))</f>
        <v>1</v>
      </c>
      <c r="AJ430" s="12" t="str">
        <f t="shared" si="3"/>
        <v>Recommended</v>
      </c>
      <c r="AK430" s="12">
        <f t="shared" si="4"/>
        <v>26</v>
      </c>
      <c r="AL430" s="12" t="str">
        <f t="shared" si="5"/>
        <v/>
      </c>
    </row>
    <row r="431" ht="15.75" customHeight="1">
      <c r="A431" s="10" t="s">
        <v>1142</v>
      </c>
      <c r="B431" s="10" t="s">
        <v>1143</v>
      </c>
      <c r="C431" s="10" t="s">
        <v>1144</v>
      </c>
      <c r="D431" s="10" t="s">
        <v>123</v>
      </c>
      <c r="E431" s="10" t="s">
        <v>123</v>
      </c>
      <c r="F431" s="10" t="s">
        <v>117</v>
      </c>
      <c r="G431" s="10">
        <v>5.0</v>
      </c>
      <c r="H431" s="10">
        <v>7.0</v>
      </c>
      <c r="I431" s="10" t="s">
        <v>2140</v>
      </c>
      <c r="J431" s="10" t="s">
        <v>2136</v>
      </c>
      <c r="K431" s="10"/>
      <c r="L431" s="10">
        <v>18.0</v>
      </c>
      <c r="M431" s="10">
        <v>0.75</v>
      </c>
      <c r="N431" s="10"/>
      <c r="O431" s="10"/>
      <c r="P431" s="12">
        <f>IF($A431="","",IFERROR((IF($O431="",0,$O431)*Settings!$J$4+IF($L431="",0,$L431)*Settings!$J$5+IF($N431="",0,$N431)*Settings!$J$6)/(IF($O431="",0,Settings!$J$4)+IF($L431="",0,Settings!$J$5)+IF($N431="",0,Settings!$J$6)),0))</f>
        <v>18</v>
      </c>
      <c r="Q431" s="12">
        <f t="array" ref="Q431">IF($A431="","",XLOOKUP($E431,Settings!$A$19:$A$22,Settings!$G$19:$G$22,0))</f>
        <v>203</v>
      </c>
      <c r="R431" s="12">
        <f t="shared" si="1"/>
        <v>0</v>
      </c>
      <c r="S431" s="12">
        <f>IF($A431="","",IF($R431&lt;=0,1,1+$R431/SUMIF($R$4:$R$923,"&gt;0",$R$4:$R$923)*(Settings!$B$5*(Settings!$B$6-Settings!$B$7))))</f>
        <v>1</v>
      </c>
      <c r="T431" s="12">
        <f t="array" ref="T431">IF($A431="","",XLOOKUP($F431,Settings!$I$15:$I$20,Settings!$J$15:$J$20,1))</f>
        <v>0.75</v>
      </c>
      <c r="U431" s="12">
        <f>IF($A431="","",1+(($G431-5)/5)*Settings!$J$8)</f>
        <v>1</v>
      </c>
      <c r="V431" s="12">
        <f>IF($A431="","",1+(($H431-5)/5)*Settings!$J$9)</f>
        <v>1.06</v>
      </c>
      <c r="W431" s="12">
        <f t="array" ref="W431">IF($A431="","",XLOOKUP($J431,Lists!$C$3:$C$7,Lists!$D$3:$D$7,1))</f>
        <v>1</v>
      </c>
      <c r="X431" s="12">
        <f>IF($A431="","",IF($I431="Yes",Settings!$J$10,1))</f>
        <v>1</v>
      </c>
      <c r="Y431" s="12">
        <f t="shared" si="2"/>
        <v>1</v>
      </c>
      <c r="Z431" s="12">
        <f>IF($A431="","",IFERROR(ROUND(AVERAGEIFS('Historical Drafts'!$G$4:$G$300,'Historical Drafts'!$D$4:$D$300,$E431,'Historical Drafts'!$J$4:$J$300,"&gt;="&amp;$L431*0.85,'Historical Drafts'!$J$4:$J$300,"&lt;="&amp;$L431*1.15),0),$Y431))</f>
        <v>1</v>
      </c>
      <c r="AA431" s="12" t="str">
        <f>IF($A431="","",IF(COUNTIF('Auction Log'!$B$3:$B$300,$A431)&gt;0,"Sold","Available"))</f>
        <v>Available</v>
      </c>
      <c r="AB431" s="12" t="str">
        <f t="array" ref="AB431">IF($A431="","",IFERROR(XLOOKUP($A431,'Auction Log'!$B$3:$B$300,'Auction Log'!$G$3:$G$300,""),""))</f>
        <v/>
      </c>
      <c r="AC431" s="12" t="str">
        <f t="array" ref="AC431">IF($A431="","",IFERROR(XLOOKUP($A431,'Auction Log'!$B$3:$B$300,'Auction Log'!$F$3:$F$300,""),""))</f>
        <v/>
      </c>
      <c r="AD431" s="12">
        <f t="array" ref="AD431">IF($A431="","",ROUND($Y431*XLOOKUP($F431,Settings!$I$15:$I$20,Settings!$K$15:$K$20,0.4),0))</f>
        <v>0</v>
      </c>
      <c r="AE431" s="12">
        <f t="array" ref="AE431">IF($A431="","",ROUND($Y431*XLOOKUP($F431,Settings!$I$15:$I$20,Settings!$L$15:$L$20,0.8),0))</f>
        <v>1</v>
      </c>
      <c r="AF431" s="12">
        <f t="array" ref="AF431">IF($A431="","",ROUND($Y431*XLOOKUP($F431,Settings!$I$15:$I$20,Settings!$M$15:$M$20,1),0))</f>
        <v>1</v>
      </c>
      <c r="AG431" s="12">
        <f t="array" ref="AG431">IF($A431="","",ROUND($Y431*XLOOKUP($F431,Settings!$I$15:$I$20,Settings!$N$15:$N$20,1.1),0))</f>
        <v>1</v>
      </c>
      <c r="AH431" s="12">
        <f t="array" ref="AH431">IF($A431="","",ROUND($Y431*XLOOKUP($F431,Settings!$I$15:$I$20,Settings!$O$15:$O$20,1.1)*Settings!$J$7,0))</f>
        <v>1</v>
      </c>
      <c r="AI431" s="12">
        <f t="array" ref="AI431">IF($A431="","",IF($AA431="Sold","",MIN($AH431,IFERROR(XLOOKUP(Settings!$B$12,Managers!$B$4:$B$15,Managers!$H$4:$H$15),$AH431))))</f>
        <v>1</v>
      </c>
      <c r="AJ431" s="12" t="str">
        <f t="shared" si="3"/>
        <v>Recommended</v>
      </c>
      <c r="AK431" s="12">
        <f t="shared" si="4"/>
        <v>26</v>
      </c>
      <c r="AL431" s="12" t="str">
        <f t="shared" si="5"/>
        <v/>
      </c>
    </row>
    <row r="432" ht="15.75" customHeight="1">
      <c r="A432" s="10" t="s">
        <v>1145</v>
      </c>
      <c r="B432" s="10" t="s">
        <v>1146</v>
      </c>
      <c r="C432" s="10" t="s">
        <v>185</v>
      </c>
      <c r="D432" s="10" t="s">
        <v>115</v>
      </c>
      <c r="E432" s="10" t="s">
        <v>115</v>
      </c>
      <c r="F432" s="10" t="s">
        <v>117</v>
      </c>
      <c r="G432" s="10">
        <v>5.0</v>
      </c>
      <c r="H432" s="10">
        <v>7.0</v>
      </c>
      <c r="I432" s="10" t="s">
        <v>2140</v>
      </c>
      <c r="J432" s="10" t="s">
        <v>2136</v>
      </c>
      <c r="K432" s="10"/>
      <c r="L432" s="10">
        <v>17.75</v>
      </c>
      <c r="M432" s="10">
        <v>2.96</v>
      </c>
      <c r="N432" s="10"/>
      <c r="O432" s="10"/>
      <c r="P432" s="12">
        <f>IF($A432="","",IFERROR((IF($O432="",0,$O432)*Settings!$J$4+IF($L432="",0,$L432)*Settings!$J$5+IF($N432="",0,$N432)*Settings!$J$6)/(IF($O432="",0,Settings!$J$4)+IF($L432="",0,Settings!$J$5)+IF($N432="",0,Settings!$J$6)),0))</f>
        <v>17.75</v>
      </c>
      <c r="Q432" s="12">
        <f t="array" ref="Q432">IF($A432="","",XLOOKUP($E432,Settings!$A$19:$A$22,Settings!$G$19:$G$22,0))</f>
        <v>249.25</v>
      </c>
      <c r="R432" s="12">
        <f t="shared" si="1"/>
        <v>0</v>
      </c>
      <c r="S432" s="12">
        <f>IF($A432="","",IF($R432&lt;=0,1,1+$R432/SUMIF($R$4:$R$923,"&gt;0",$R$4:$R$923)*(Settings!$B$5*(Settings!$B$6-Settings!$B$7))))</f>
        <v>1</v>
      </c>
      <c r="T432" s="12">
        <f t="array" ref="T432">IF($A432="","",XLOOKUP($F432,Settings!$I$15:$I$20,Settings!$J$15:$J$20,1))</f>
        <v>0.75</v>
      </c>
      <c r="U432" s="12">
        <f>IF($A432="","",1+(($G432-5)/5)*Settings!$J$8)</f>
        <v>1</v>
      </c>
      <c r="V432" s="12">
        <f>IF($A432="","",1+(($H432-5)/5)*Settings!$J$9)</f>
        <v>1.06</v>
      </c>
      <c r="W432" s="12">
        <f t="array" ref="W432">IF($A432="","",XLOOKUP($J432,Lists!$C$3:$C$7,Lists!$D$3:$D$7,1))</f>
        <v>1</v>
      </c>
      <c r="X432" s="12">
        <f>IF($A432="","",IF($I432="Yes",Settings!$J$10,1))</f>
        <v>1</v>
      </c>
      <c r="Y432" s="12">
        <f t="shared" si="2"/>
        <v>1</v>
      </c>
      <c r="Z432" s="12">
        <f>IF($A432="","",IFERROR(ROUND(AVERAGEIFS('Historical Drafts'!$G$4:$G$300,'Historical Drafts'!$D$4:$D$300,$E432,'Historical Drafts'!$J$4:$J$300,"&gt;="&amp;$L432*0.85,'Historical Drafts'!$J$4:$J$300,"&lt;="&amp;$L432*1.15),0),$Y432))</f>
        <v>1</v>
      </c>
      <c r="AA432" s="12" t="str">
        <f>IF($A432="","",IF(COUNTIF('Auction Log'!$B$3:$B$300,$A432)&gt;0,"Sold","Available"))</f>
        <v>Available</v>
      </c>
      <c r="AB432" s="12" t="str">
        <f t="array" ref="AB432">IF($A432="","",IFERROR(XLOOKUP($A432,'Auction Log'!$B$3:$B$300,'Auction Log'!$G$3:$G$300,""),""))</f>
        <v/>
      </c>
      <c r="AC432" s="12" t="str">
        <f t="array" ref="AC432">IF($A432="","",IFERROR(XLOOKUP($A432,'Auction Log'!$B$3:$B$300,'Auction Log'!$F$3:$F$300,""),""))</f>
        <v/>
      </c>
      <c r="AD432" s="12">
        <f t="array" ref="AD432">IF($A432="","",ROUND($Y432*XLOOKUP($F432,Settings!$I$15:$I$20,Settings!$K$15:$K$20,0.4),0))</f>
        <v>0</v>
      </c>
      <c r="AE432" s="12">
        <f t="array" ref="AE432">IF($A432="","",ROUND($Y432*XLOOKUP($F432,Settings!$I$15:$I$20,Settings!$L$15:$L$20,0.8),0))</f>
        <v>1</v>
      </c>
      <c r="AF432" s="12">
        <f t="array" ref="AF432">IF($A432="","",ROUND($Y432*XLOOKUP($F432,Settings!$I$15:$I$20,Settings!$M$15:$M$20,1),0))</f>
        <v>1</v>
      </c>
      <c r="AG432" s="12">
        <f t="array" ref="AG432">IF($A432="","",ROUND($Y432*XLOOKUP($F432,Settings!$I$15:$I$20,Settings!$N$15:$N$20,1.1),0))</f>
        <v>1</v>
      </c>
      <c r="AH432" s="12">
        <f t="array" ref="AH432">IF($A432="","",ROUND($Y432*XLOOKUP($F432,Settings!$I$15:$I$20,Settings!$O$15:$O$20,1.1)*Settings!$J$7,0))</f>
        <v>1</v>
      </c>
      <c r="AI432" s="12">
        <f t="array" ref="AI432">IF($A432="","",IF($AA432="Sold","",MIN($AH432,IFERROR(XLOOKUP(Settings!$B$12,Managers!$B$4:$B$15,Managers!$H$4:$H$15),$AH432))))</f>
        <v>1</v>
      </c>
      <c r="AJ432" s="12" t="str">
        <f t="shared" si="3"/>
        <v>Recommended</v>
      </c>
      <c r="AK432" s="12">
        <f t="shared" si="4"/>
        <v>26</v>
      </c>
      <c r="AL432" s="12" t="str">
        <f t="shared" si="5"/>
        <v/>
      </c>
    </row>
    <row r="433" ht="15.75" customHeight="1">
      <c r="A433" s="10" t="s">
        <v>1147</v>
      </c>
      <c r="B433" s="10" t="s">
        <v>1148</v>
      </c>
      <c r="C433" s="10" t="s">
        <v>180</v>
      </c>
      <c r="D433" s="10" t="s">
        <v>121</v>
      </c>
      <c r="E433" s="10" t="s">
        <v>121</v>
      </c>
      <c r="F433" s="10" t="s">
        <v>117</v>
      </c>
      <c r="G433" s="10">
        <v>5.0</v>
      </c>
      <c r="H433" s="10">
        <v>7.0</v>
      </c>
      <c r="I433" s="10" t="s">
        <v>2140</v>
      </c>
      <c r="J433" s="10" t="s">
        <v>2136</v>
      </c>
      <c r="K433" s="10"/>
      <c r="L433" s="10">
        <v>17.5</v>
      </c>
      <c r="M433" s="10">
        <v>2.92</v>
      </c>
      <c r="N433" s="10"/>
      <c r="O433" s="10"/>
      <c r="P433" s="12">
        <f>IF($A433="","",IFERROR((IF($O433="",0,$O433)*Settings!$J$4+IF($L433="",0,$L433)*Settings!$J$5+IF($N433="",0,$N433)*Settings!$J$6)/(IF($O433="",0,Settings!$J$4)+IF($L433="",0,Settings!$J$5)+IF($N433="",0,Settings!$J$6)),0))</f>
        <v>17.5</v>
      </c>
      <c r="Q433" s="12">
        <f t="array" ref="Q433">IF($A433="","",XLOOKUP($E433,Settings!$A$19:$A$22,Settings!$G$19:$G$22,0))</f>
        <v>206</v>
      </c>
      <c r="R433" s="12">
        <f t="shared" si="1"/>
        <v>0</v>
      </c>
      <c r="S433" s="12">
        <f>IF($A433="","",IF($R433&lt;=0,1,1+$R433/SUMIF($R$4:$R$923,"&gt;0",$R$4:$R$923)*(Settings!$B$5*(Settings!$B$6-Settings!$B$7))))</f>
        <v>1</v>
      </c>
      <c r="T433" s="12">
        <f t="array" ref="T433">IF($A433="","",XLOOKUP($F433,Settings!$I$15:$I$20,Settings!$J$15:$J$20,1))</f>
        <v>0.75</v>
      </c>
      <c r="U433" s="12">
        <f>IF($A433="","",1+(($G433-5)/5)*Settings!$J$8)</f>
        <v>1</v>
      </c>
      <c r="V433" s="12">
        <f>IF($A433="","",1+(($H433-5)/5)*Settings!$J$9)</f>
        <v>1.06</v>
      </c>
      <c r="W433" s="12">
        <f t="array" ref="W433">IF($A433="","",XLOOKUP($J433,Lists!$C$3:$C$7,Lists!$D$3:$D$7,1))</f>
        <v>1</v>
      </c>
      <c r="X433" s="12">
        <f>IF($A433="","",IF($I433="Yes",Settings!$J$10,1))</f>
        <v>1</v>
      </c>
      <c r="Y433" s="12">
        <f t="shared" si="2"/>
        <v>1</v>
      </c>
      <c r="Z433" s="12">
        <f>IF($A433="","",IFERROR(ROUND(AVERAGEIFS('Historical Drafts'!$G$4:$G$300,'Historical Drafts'!$D$4:$D$300,$E433,'Historical Drafts'!$J$4:$J$300,"&gt;="&amp;$L433*0.85,'Historical Drafts'!$J$4:$J$300,"&lt;="&amp;$L433*1.15),0),$Y433))</f>
        <v>1</v>
      </c>
      <c r="AA433" s="12" t="str">
        <f>IF($A433="","",IF(COUNTIF('Auction Log'!$B$3:$B$300,$A433)&gt;0,"Sold","Available"))</f>
        <v>Available</v>
      </c>
      <c r="AB433" s="12" t="str">
        <f t="array" ref="AB433">IF($A433="","",IFERROR(XLOOKUP($A433,'Auction Log'!$B$3:$B$300,'Auction Log'!$G$3:$G$300,""),""))</f>
        <v/>
      </c>
      <c r="AC433" s="12" t="str">
        <f t="array" ref="AC433">IF($A433="","",IFERROR(XLOOKUP($A433,'Auction Log'!$B$3:$B$300,'Auction Log'!$F$3:$F$300,""),""))</f>
        <v/>
      </c>
      <c r="AD433" s="12">
        <f t="array" ref="AD433">IF($A433="","",ROUND($Y433*XLOOKUP($F433,Settings!$I$15:$I$20,Settings!$K$15:$K$20,0.4),0))</f>
        <v>0</v>
      </c>
      <c r="AE433" s="12">
        <f t="array" ref="AE433">IF($A433="","",ROUND($Y433*XLOOKUP($F433,Settings!$I$15:$I$20,Settings!$L$15:$L$20,0.8),0))</f>
        <v>1</v>
      </c>
      <c r="AF433" s="12">
        <f t="array" ref="AF433">IF($A433="","",ROUND($Y433*XLOOKUP($F433,Settings!$I$15:$I$20,Settings!$M$15:$M$20,1),0))</f>
        <v>1</v>
      </c>
      <c r="AG433" s="12">
        <f t="array" ref="AG433">IF($A433="","",ROUND($Y433*XLOOKUP($F433,Settings!$I$15:$I$20,Settings!$N$15:$N$20,1.1),0))</f>
        <v>1</v>
      </c>
      <c r="AH433" s="12">
        <f t="array" ref="AH433">IF($A433="","",ROUND($Y433*XLOOKUP($F433,Settings!$I$15:$I$20,Settings!$O$15:$O$20,1.1)*Settings!$J$7,0))</f>
        <v>1</v>
      </c>
      <c r="AI433" s="12">
        <f t="array" ref="AI433">IF($A433="","",IF($AA433="Sold","",MIN($AH433,IFERROR(XLOOKUP(Settings!$B$12,Managers!$B$4:$B$15,Managers!$H$4:$H$15),$AH433))))</f>
        <v>1</v>
      </c>
      <c r="AJ433" s="12" t="str">
        <f t="shared" si="3"/>
        <v>Recommended</v>
      </c>
      <c r="AK433" s="12">
        <f t="shared" si="4"/>
        <v>26</v>
      </c>
      <c r="AL433" s="12" t="str">
        <f t="shared" si="5"/>
        <v/>
      </c>
    </row>
    <row r="434" ht="15.75" customHeight="1">
      <c r="A434" s="10" t="s">
        <v>1149</v>
      </c>
      <c r="B434" s="10" t="s">
        <v>1150</v>
      </c>
      <c r="C434" s="10" t="s">
        <v>1151</v>
      </c>
      <c r="D434" s="10" t="s">
        <v>123</v>
      </c>
      <c r="E434" s="10" t="s">
        <v>123</v>
      </c>
      <c r="F434" s="10" t="s">
        <v>117</v>
      </c>
      <c r="G434" s="10">
        <v>5.0</v>
      </c>
      <c r="H434" s="10">
        <v>7.0</v>
      </c>
      <c r="I434" s="10" t="s">
        <v>2140</v>
      </c>
      <c r="J434" s="10" t="s">
        <v>2136</v>
      </c>
      <c r="K434" s="10"/>
      <c r="L434" s="10">
        <v>17.0</v>
      </c>
      <c r="M434" s="10">
        <v>1.7</v>
      </c>
      <c r="N434" s="10"/>
      <c r="O434" s="10"/>
      <c r="P434" s="12">
        <f>IF($A434="","",IFERROR((IF($O434="",0,$O434)*Settings!$J$4+IF($L434="",0,$L434)*Settings!$J$5+IF($N434="",0,$N434)*Settings!$J$6)/(IF($O434="",0,Settings!$J$4)+IF($L434="",0,Settings!$J$5)+IF($N434="",0,Settings!$J$6)),0))</f>
        <v>17</v>
      </c>
      <c r="Q434" s="12">
        <f t="array" ref="Q434">IF($A434="","",XLOOKUP($E434,Settings!$A$19:$A$22,Settings!$G$19:$G$22,0))</f>
        <v>203</v>
      </c>
      <c r="R434" s="12">
        <f t="shared" si="1"/>
        <v>0</v>
      </c>
      <c r="S434" s="12">
        <f>IF($A434="","",IF($R434&lt;=0,1,1+$R434/SUMIF($R$4:$R$923,"&gt;0",$R$4:$R$923)*(Settings!$B$5*(Settings!$B$6-Settings!$B$7))))</f>
        <v>1</v>
      </c>
      <c r="T434" s="12">
        <f t="array" ref="T434">IF($A434="","",XLOOKUP($F434,Settings!$I$15:$I$20,Settings!$J$15:$J$20,1))</f>
        <v>0.75</v>
      </c>
      <c r="U434" s="12">
        <f>IF($A434="","",1+(($G434-5)/5)*Settings!$J$8)</f>
        <v>1</v>
      </c>
      <c r="V434" s="12">
        <f>IF($A434="","",1+(($H434-5)/5)*Settings!$J$9)</f>
        <v>1.06</v>
      </c>
      <c r="W434" s="12">
        <f t="array" ref="W434">IF($A434="","",XLOOKUP($J434,Lists!$C$3:$C$7,Lists!$D$3:$D$7,1))</f>
        <v>1</v>
      </c>
      <c r="X434" s="12">
        <f>IF($A434="","",IF($I434="Yes",Settings!$J$10,1))</f>
        <v>1</v>
      </c>
      <c r="Y434" s="12">
        <f t="shared" si="2"/>
        <v>1</v>
      </c>
      <c r="Z434" s="12">
        <f>IF($A434="","",IFERROR(ROUND(AVERAGEIFS('Historical Drafts'!$G$4:$G$300,'Historical Drafts'!$D$4:$D$300,$E434,'Historical Drafts'!$J$4:$J$300,"&gt;="&amp;$L434*0.85,'Historical Drafts'!$J$4:$J$300,"&lt;="&amp;$L434*1.15),0),$Y434))</f>
        <v>1</v>
      </c>
      <c r="AA434" s="12" t="str">
        <f>IF($A434="","",IF(COUNTIF('Auction Log'!$B$3:$B$300,$A434)&gt;0,"Sold","Available"))</f>
        <v>Available</v>
      </c>
      <c r="AB434" s="12" t="str">
        <f t="array" ref="AB434">IF($A434="","",IFERROR(XLOOKUP($A434,'Auction Log'!$B$3:$B$300,'Auction Log'!$G$3:$G$300,""),""))</f>
        <v/>
      </c>
      <c r="AC434" s="12" t="str">
        <f t="array" ref="AC434">IF($A434="","",IFERROR(XLOOKUP($A434,'Auction Log'!$B$3:$B$300,'Auction Log'!$F$3:$F$300,""),""))</f>
        <v/>
      </c>
      <c r="AD434" s="12">
        <f t="array" ref="AD434">IF($A434="","",ROUND($Y434*XLOOKUP($F434,Settings!$I$15:$I$20,Settings!$K$15:$K$20,0.4),0))</f>
        <v>0</v>
      </c>
      <c r="AE434" s="12">
        <f t="array" ref="AE434">IF($A434="","",ROUND($Y434*XLOOKUP($F434,Settings!$I$15:$I$20,Settings!$L$15:$L$20,0.8),0))</f>
        <v>1</v>
      </c>
      <c r="AF434" s="12">
        <f t="array" ref="AF434">IF($A434="","",ROUND($Y434*XLOOKUP($F434,Settings!$I$15:$I$20,Settings!$M$15:$M$20,1),0))</f>
        <v>1</v>
      </c>
      <c r="AG434" s="12">
        <f t="array" ref="AG434">IF($A434="","",ROUND($Y434*XLOOKUP($F434,Settings!$I$15:$I$20,Settings!$N$15:$N$20,1.1),0))</f>
        <v>1</v>
      </c>
      <c r="AH434" s="12">
        <f t="array" ref="AH434">IF($A434="","",ROUND($Y434*XLOOKUP($F434,Settings!$I$15:$I$20,Settings!$O$15:$O$20,1.1)*Settings!$J$7,0))</f>
        <v>1</v>
      </c>
      <c r="AI434" s="12">
        <f t="array" ref="AI434">IF($A434="","",IF($AA434="Sold","",MIN($AH434,IFERROR(XLOOKUP(Settings!$B$12,Managers!$B$4:$B$15,Managers!$H$4:$H$15),$AH434))))</f>
        <v>1</v>
      </c>
      <c r="AJ434" s="12" t="str">
        <f t="shared" si="3"/>
        <v>Recommended</v>
      </c>
      <c r="AK434" s="12">
        <f t="shared" si="4"/>
        <v>26</v>
      </c>
      <c r="AL434" s="12" t="str">
        <f t="shared" si="5"/>
        <v/>
      </c>
    </row>
    <row r="435" ht="15.75" customHeight="1">
      <c r="A435" s="10" t="s">
        <v>1152</v>
      </c>
      <c r="B435" s="10" t="s">
        <v>1153</v>
      </c>
      <c r="C435" s="10" t="s">
        <v>285</v>
      </c>
      <c r="D435" s="10" t="s">
        <v>123</v>
      </c>
      <c r="E435" s="10" t="s">
        <v>123</v>
      </c>
      <c r="F435" s="10" t="s">
        <v>117</v>
      </c>
      <c r="G435" s="10">
        <v>5.0</v>
      </c>
      <c r="H435" s="10">
        <v>7.0</v>
      </c>
      <c r="I435" s="10" t="s">
        <v>2140</v>
      </c>
      <c r="J435" s="10" t="s">
        <v>2136</v>
      </c>
      <c r="K435" s="10"/>
      <c r="L435" s="10">
        <v>17.0</v>
      </c>
      <c r="M435" s="10">
        <v>0.74</v>
      </c>
      <c r="N435" s="10"/>
      <c r="O435" s="10"/>
      <c r="P435" s="12">
        <f>IF($A435="","",IFERROR((IF($O435="",0,$O435)*Settings!$J$4+IF($L435="",0,$L435)*Settings!$J$5+IF($N435="",0,$N435)*Settings!$J$6)/(IF($O435="",0,Settings!$J$4)+IF($L435="",0,Settings!$J$5)+IF($N435="",0,Settings!$J$6)),0))</f>
        <v>17</v>
      </c>
      <c r="Q435" s="12">
        <f t="array" ref="Q435">IF($A435="","",XLOOKUP($E435,Settings!$A$19:$A$22,Settings!$G$19:$G$22,0))</f>
        <v>203</v>
      </c>
      <c r="R435" s="12">
        <f t="shared" si="1"/>
        <v>0</v>
      </c>
      <c r="S435" s="12">
        <f>IF($A435="","",IF($R435&lt;=0,1,1+$R435/SUMIF($R$4:$R$923,"&gt;0",$R$4:$R$923)*(Settings!$B$5*(Settings!$B$6-Settings!$B$7))))</f>
        <v>1</v>
      </c>
      <c r="T435" s="12">
        <f t="array" ref="T435">IF($A435="","",XLOOKUP($F435,Settings!$I$15:$I$20,Settings!$J$15:$J$20,1))</f>
        <v>0.75</v>
      </c>
      <c r="U435" s="12">
        <f>IF($A435="","",1+(($G435-5)/5)*Settings!$J$8)</f>
        <v>1</v>
      </c>
      <c r="V435" s="12">
        <f>IF($A435="","",1+(($H435-5)/5)*Settings!$J$9)</f>
        <v>1.06</v>
      </c>
      <c r="W435" s="12">
        <f t="array" ref="W435">IF($A435="","",XLOOKUP($J435,Lists!$C$3:$C$7,Lists!$D$3:$D$7,1))</f>
        <v>1</v>
      </c>
      <c r="X435" s="12">
        <f>IF($A435="","",IF($I435="Yes",Settings!$J$10,1))</f>
        <v>1</v>
      </c>
      <c r="Y435" s="12">
        <f t="shared" si="2"/>
        <v>1</v>
      </c>
      <c r="Z435" s="12">
        <f>IF($A435="","",IFERROR(ROUND(AVERAGEIFS('Historical Drafts'!$G$4:$G$300,'Historical Drafts'!$D$4:$D$300,$E435,'Historical Drafts'!$J$4:$J$300,"&gt;="&amp;$L435*0.85,'Historical Drafts'!$J$4:$J$300,"&lt;="&amp;$L435*1.15),0),$Y435))</f>
        <v>1</v>
      </c>
      <c r="AA435" s="12" t="str">
        <f>IF($A435="","",IF(COUNTIF('Auction Log'!$B$3:$B$300,$A435)&gt;0,"Sold","Available"))</f>
        <v>Available</v>
      </c>
      <c r="AB435" s="12" t="str">
        <f t="array" ref="AB435">IF($A435="","",IFERROR(XLOOKUP($A435,'Auction Log'!$B$3:$B$300,'Auction Log'!$G$3:$G$300,""),""))</f>
        <v/>
      </c>
      <c r="AC435" s="12" t="str">
        <f t="array" ref="AC435">IF($A435="","",IFERROR(XLOOKUP($A435,'Auction Log'!$B$3:$B$300,'Auction Log'!$F$3:$F$300,""),""))</f>
        <v/>
      </c>
      <c r="AD435" s="12">
        <f t="array" ref="AD435">IF($A435="","",ROUND($Y435*XLOOKUP($F435,Settings!$I$15:$I$20,Settings!$K$15:$K$20,0.4),0))</f>
        <v>0</v>
      </c>
      <c r="AE435" s="12">
        <f t="array" ref="AE435">IF($A435="","",ROUND($Y435*XLOOKUP($F435,Settings!$I$15:$I$20,Settings!$L$15:$L$20,0.8),0))</f>
        <v>1</v>
      </c>
      <c r="AF435" s="12">
        <f t="array" ref="AF435">IF($A435="","",ROUND($Y435*XLOOKUP($F435,Settings!$I$15:$I$20,Settings!$M$15:$M$20,1),0))</f>
        <v>1</v>
      </c>
      <c r="AG435" s="12">
        <f t="array" ref="AG435">IF($A435="","",ROUND($Y435*XLOOKUP($F435,Settings!$I$15:$I$20,Settings!$N$15:$N$20,1.1),0))</f>
        <v>1</v>
      </c>
      <c r="AH435" s="12">
        <f t="array" ref="AH435">IF($A435="","",ROUND($Y435*XLOOKUP($F435,Settings!$I$15:$I$20,Settings!$O$15:$O$20,1.1)*Settings!$J$7,0))</f>
        <v>1</v>
      </c>
      <c r="AI435" s="12">
        <f t="array" ref="AI435">IF($A435="","",IF($AA435="Sold","",MIN($AH435,IFERROR(XLOOKUP(Settings!$B$12,Managers!$B$4:$B$15,Managers!$H$4:$H$15),$AH435))))</f>
        <v>1</v>
      </c>
      <c r="AJ435" s="12" t="str">
        <f t="shared" si="3"/>
        <v>Recommended</v>
      </c>
      <c r="AK435" s="12">
        <f t="shared" si="4"/>
        <v>26</v>
      </c>
      <c r="AL435" s="12" t="str">
        <f t="shared" si="5"/>
        <v/>
      </c>
    </row>
    <row r="436" ht="15.75" customHeight="1">
      <c r="A436" s="10" t="s">
        <v>1154</v>
      </c>
      <c r="B436" s="10" t="s">
        <v>1155</v>
      </c>
      <c r="C436" s="10" t="s">
        <v>180</v>
      </c>
      <c r="D436" s="10" t="s">
        <v>118</v>
      </c>
      <c r="E436" s="10" t="s">
        <v>118</v>
      </c>
      <c r="F436" s="10" t="s">
        <v>117</v>
      </c>
      <c r="G436" s="10">
        <v>5.0</v>
      </c>
      <c r="H436" s="10">
        <v>7.0</v>
      </c>
      <c r="I436" s="10" t="s">
        <v>2140</v>
      </c>
      <c r="J436" s="10" t="s">
        <v>2136</v>
      </c>
      <c r="K436" s="10"/>
      <c r="L436" s="10">
        <v>16.5</v>
      </c>
      <c r="M436" s="10">
        <v>8.25</v>
      </c>
      <c r="N436" s="10"/>
      <c r="O436" s="10"/>
      <c r="P436" s="12">
        <f>IF($A436="","",IFERROR((IF($O436="",0,$O436)*Settings!$J$4+IF($L436="",0,$L436)*Settings!$J$5+IF($N436="",0,$N436)*Settings!$J$6)/(IF($O436="",0,Settings!$J$4)+IF($L436="",0,Settings!$J$5)+IF($N436="",0,Settings!$J$6)),0))</f>
        <v>16.5</v>
      </c>
      <c r="Q436" s="12">
        <f t="array" ref="Q436">IF($A436="","",XLOOKUP($E436,Settings!$A$19:$A$22,Settings!$G$19:$G$22,0))</f>
        <v>196.25</v>
      </c>
      <c r="R436" s="12">
        <f t="shared" si="1"/>
        <v>0</v>
      </c>
      <c r="S436" s="12">
        <f>IF($A436="","",IF($R436&lt;=0,1,1+$R436/SUMIF($R$4:$R$923,"&gt;0",$R$4:$R$923)*(Settings!$B$5*(Settings!$B$6-Settings!$B$7))))</f>
        <v>1</v>
      </c>
      <c r="T436" s="12">
        <f t="array" ref="T436">IF($A436="","",XLOOKUP($F436,Settings!$I$15:$I$20,Settings!$J$15:$J$20,1))</f>
        <v>0.75</v>
      </c>
      <c r="U436" s="12">
        <f>IF($A436="","",1+(($G436-5)/5)*Settings!$J$8)</f>
        <v>1</v>
      </c>
      <c r="V436" s="12">
        <f>IF($A436="","",1+(($H436-5)/5)*Settings!$J$9)</f>
        <v>1.06</v>
      </c>
      <c r="W436" s="12">
        <f t="array" ref="W436">IF($A436="","",XLOOKUP($J436,Lists!$C$3:$C$7,Lists!$D$3:$D$7,1))</f>
        <v>1</v>
      </c>
      <c r="X436" s="12">
        <f>IF($A436="","",IF($I436="Yes",Settings!$J$10,1))</f>
        <v>1</v>
      </c>
      <c r="Y436" s="12">
        <f t="shared" si="2"/>
        <v>1</v>
      </c>
      <c r="Z436" s="12">
        <f>IF($A436="","",IFERROR(ROUND(AVERAGEIFS('Historical Drafts'!$G$4:$G$300,'Historical Drafts'!$D$4:$D$300,$E436,'Historical Drafts'!$J$4:$J$300,"&gt;="&amp;$L436*0.85,'Historical Drafts'!$J$4:$J$300,"&lt;="&amp;$L436*1.15),0),$Y436))</f>
        <v>1</v>
      </c>
      <c r="AA436" s="12" t="str">
        <f>IF($A436="","",IF(COUNTIF('Auction Log'!$B$3:$B$300,$A436)&gt;0,"Sold","Available"))</f>
        <v>Available</v>
      </c>
      <c r="AB436" s="12" t="str">
        <f t="array" ref="AB436">IF($A436="","",IFERROR(XLOOKUP($A436,'Auction Log'!$B$3:$B$300,'Auction Log'!$G$3:$G$300,""),""))</f>
        <v/>
      </c>
      <c r="AC436" s="12" t="str">
        <f t="array" ref="AC436">IF($A436="","",IFERROR(XLOOKUP($A436,'Auction Log'!$B$3:$B$300,'Auction Log'!$F$3:$F$300,""),""))</f>
        <v/>
      </c>
      <c r="AD436" s="12">
        <f t="array" ref="AD436">IF($A436="","",ROUND($Y436*XLOOKUP($F436,Settings!$I$15:$I$20,Settings!$K$15:$K$20,0.4),0))</f>
        <v>0</v>
      </c>
      <c r="AE436" s="12">
        <f t="array" ref="AE436">IF($A436="","",ROUND($Y436*XLOOKUP($F436,Settings!$I$15:$I$20,Settings!$L$15:$L$20,0.8),0))</f>
        <v>1</v>
      </c>
      <c r="AF436" s="12">
        <f t="array" ref="AF436">IF($A436="","",ROUND($Y436*XLOOKUP($F436,Settings!$I$15:$I$20,Settings!$M$15:$M$20,1),0))</f>
        <v>1</v>
      </c>
      <c r="AG436" s="12">
        <f t="array" ref="AG436">IF($A436="","",ROUND($Y436*XLOOKUP($F436,Settings!$I$15:$I$20,Settings!$N$15:$N$20,1.1),0))</f>
        <v>1</v>
      </c>
      <c r="AH436" s="12">
        <f t="array" ref="AH436">IF($A436="","",ROUND($Y436*XLOOKUP($F436,Settings!$I$15:$I$20,Settings!$O$15:$O$20,1.1)*Settings!$J$7,0))</f>
        <v>1</v>
      </c>
      <c r="AI436" s="12">
        <f t="array" ref="AI436">IF($A436="","",IF($AA436="Sold","",MIN($AH436,IFERROR(XLOOKUP(Settings!$B$12,Managers!$B$4:$B$15,Managers!$H$4:$H$15),$AH436))))</f>
        <v>1</v>
      </c>
      <c r="AJ436" s="12" t="str">
        <f t="shared" si="3"/>
        <v>Recommended</v>
      </c>
      <c r="AK436" s="12">
        <f t="shared" si="4"/>
        <v>26</v>
      </c>
      <c r="AL436" s="12" t="str">
        <f t="shared" si="5"/>
        <v/>
      </c>
    </row>
    <row r="437" ht="15.75" customHeight="1">
      <c r="A437" s="10" t="s">
        <v>1156</v>
      </c>
      <c r="B437" s="10" t="s">
        <v>1157</v>
      </c>
      <c r="C437" s="10" t="s">
        <v>327</v>
      </c>
      <c r="D437" s="10" t="s">
        <v>121</v>
      </c>
      <c r="E437" s="10" t="s">
        <v>121</v>
      </c>
      <c r="F437" s="10" t="s">
        <v>117</v>
      </c>
      <c r="G437" s="10">
        <v>5.0</v>
      </c>
      <c r="H437" s="10">
        <v>7.0</v>
      </c>
      <c r="I437" s="10" t="s">
        <v>2140</v>
      </c>
      <c r="J437" s="10" t="s">
        <v>2136</v>
      </c>
      <c r="K437" s="10"/>
      <c r="L437" s="10">
        <v>16.5</v>
      </c>
      <c r="M437" s="10">
        <v>2.75</v>
      </c>
      <c r="N437" s="10"/>
      <c r="O437" s="10"/>
      <c r="P437" s="12">
        <f>IF($A437="","",IFERROR((IF($O437="",0,$O437)*Settings!$J$4+IF($L437="",0,$L437)*Settings!$J$5+IF($N437="",0,$N437)*Settings!$J$6)/(IF($O437="",0,Settings!$J$4)+IF($L437="",0,Settings!$J$5)+IF($N437="",0,Settings!$J$6)),0))</f>
        <v>16.5</v>
      </c>
      <c r="Q437" s="12">
        <f t="array" ref="Q437">IF($A437="","",XLOOKUP($E437,Settings!$A$19:$A$22,Settings!$G$19:$G$22,0))</f>
        <v>206</v>
      </c>
      <c r="R437" s="12">
        <f t="shared" si="1"/>
        <v>0</v>
      </c>
      <c r="S437" s="12">
        <f>IF($A437="","",IF($R437&lt;=0,1,1+$R437/SUMIF($R$4:$R$923,"&gt;0",$R$4:$R$923)*(Settings!$B$5*(Settings!$B$6-Settings!$B$7))))</f>
        <v>1</v>
      </c>
      <c r="T437" s="12">
        <f t="array" ref="T437">IF($A437="","",XLOOKUP($F437,Settings!$I$15:$I$20,Settings!$J$15:$J$20,1))</f>
        <v>0.75</v>
      </c>
      <c r="U437" s="12">
        <f>IF($A437="","",1+(($G437-5)/5)*Settings!$J$8)</f>
        <v>1</v>
      </c>
      <c r="V437" s="12">
        <f>IF($A437="","",1+(($H437-5)/5)*Settings!$J$9)</f>
        <v>1.06</v>
      </c>
      <c r="W437" s="12">
        <f t="array" ref="W437">IF($A437="","",XLOOKUP($J437,Lists!$C$3:$C$7,Lists!$D$3:$D$7,1))</f>
        <v>1</v>
      </c>
      <c r="X437" s="12">
        <f>IF($A437="","",IF($I437="Yes",Settings!$J$10,1))</f>
        <v>1</v>
      </c>
      <c r="Y437" s="12">
        <f t="shared" si="2"/>
        <v>1</v>
      </c>
      <c r="Z437" s="12">
        <f>IF($A437="","",IFERROR(ROUND(AVERAGEIFS('Historical Drafts'!$G$4:$G$300,'Historical Drafts'!$D$4:$D$300,$E437,'Historical Drafts'!$J$4:$J$300,"&gt;="&amp;$L437*0.85,'Historical Drafts'!$J$4:$J$300,"&lt;="&amp;$L437*1.15),0),$Y437))</f>
        <v>1</v>
      </c>
      <c r="AA437" s="12" t="str">
        <f>IF($A437="","",IF(COUNTIF('Auction Log'!$B$3:$B$300,$A437)&gt;0,"Sold","Available"))</f>
        <v>Available</v>
      </c>
      <c r="AB437" s="12" t="str">
        <f t="array" ref="AB437">IF($A437="","",IFERROR(XLOOKUP($A437,'Auction Log'!$B$3:$B$300,'Auction Log'!$G$3:$G$300,""),""))</f>
        <v/>
      </c>
      <c r="AC437" s="12" t="str">
        <f t="array" ref="AC437">IF($A437="","",IFERROR(XLOOKUP($A437,'Auction Log'!$B$3:$B$300,'Auction Log'!$F$3:$F$300,""),""))</f>
        <v/>
      </c>
      <c r="AD437" s="12">
        <f t="array" ref="AD437">IF($A437="","",ROUND($Y437*XLOOKUP($F437,Settings!$I$15:$I$20,Settings!$K$15:$K$20,0.4),0))</f>
        <v>0</v>
      </c>
      <c r="AE437" s="12">
        <f t="array" ref="AE437">IF($A437="","",ROUND($Y437*XLOOKUP($F437,Settings!$I$15:$I$20,Settings!$L$15:$L$20,0.8),0))</f>
        <v>1</v>
      </c>
      <c r="AF437" s="12">
        <f t="array" ref="AF437">IF($A437="","",ROUND($Y437*XLOOKUP($F437,Settings!$I$15:$I$20,Settings!$M$15:$M$20,1),0))</f>
        <v>1</v>
      </c>
      <c r="AG437" s="12">
        <f t="array" ref="AG437">IF($A437="","",ROUND($Y437*XLOOKUP($F437,Settings!$I$15:$I$20,Settings!$N$15:$N$20,1.1),0))</f>
        <v>1</v>
      </c>
      <c r="AH437" s="12">
        <f t="array" ref="AH437">IF($A437="","",ROUND($Y437*XLOOKUP($F437,Settings!$I$15:$I$20,Settings!$O$15:$O$20,1.1)*Settings!$J$7,0))</f>
        <v>1</v>
      </c>
      <c r="AI437" s="12">
        <f t="array" ref="AI437">IF($A437="","",IF($AA437="Sold","",MIN($AH437,IFERROR(XLOOKUP(Settings!$B$12,Managers!$B$4:$B$15,Managers!$H$4:$H$15),$AH437))))</f>
        <v>1</v>
      </c>
      <c r="AJ437" s="12" t="str">
        <f t="shared" si="3"/>
        <v>Recommended</v>
      </c>
      <c r="AK437" s="12">
        <f t="shared" si="4"/>
        <v>26</v>
      </c>
      <c r="AL437" s="12" t="str">
        <f t="shared" si="5"/>
        <v/>
      </c>
    </row>
    <row r="438" ht="15.75" customHeight="1">
      <c r="A438" s="10" t="s">
        <v>1158</v>
      </c>
      <c r="B438" s="10" t="s">
        <v>1159</v>
      </c>
      <c r="C438" s="10" t="s">
        <v>566</v>
      </c>
      <c r="D438" s="10" t="s">
        <v>118</v>
      </c>
      <c r="E438" s="10" t="s">
        <v>118</v>
      </c>
      <c r="F438" s="10" t="s">
        <v>117</v>
      </c>
      <c r="G438" s="10">
        <v>5.0</v>
      </c>
      <c r="H438" s="10">
        <v>7.0</v>
      </c>
      <c r="I438" s="10" t="s">
        <v>2140</v>
      </c>
      <c r="J438" s="10" t="s">
        <v>2136</v>
      </c>
      <c r="K438" s="10"/>
      <c r="L438" s="10">
        <v>16.5</v>
      </c>
      <c r="M438" s="10">
        <v>2.36</v>
      </c>
      <c r="N438" s="10"/>
      <c r="O438" s="10"/>
      <c r="P438" s="12">
        <f>IF($A438="","",IFERROR((IF($O438="",0,$O438)*Settings!$J$4+IF($L438="",0,$L438)*Settings!$J$5+IF($N438="",0,$N438)*Settings!$J$6)/(IF($O438="",0,Settings!$J$4)+IF($L438="",0,Settings!$J$5)+IF($N438="",0,Settings!$J$6)),0))</f>
        <v>16.5</v>
      </c>
      <c r="Q438" s="12">
        <f t="array" ref="Q438">IF($A438="","",XLOOKUP($E438,Settings!$A$19:$A$22,Settings!$G$19:$G$22,0))</f>
        <v>196.25</v>
      </c>
      <c r="R438" s="12">
        <f t="shared" si="1"/>
        <v>0</v>
      </c>
      <c r="S438" s="12">
        <f>IF($A438="","",IF($R438&lt;=0,1,1+$R438/SUMIF($R$4:$R$923,"&gt;0",$R$4:$R$923)*(Settings!$B$5*(Settings!$B$6-Settings!$B$7))))</f>
        <v>1</v>
      </c>
      <c r="T438" s="12">
        <f t="array" ref="T438">IF($A438="","",XLOOKUP($F438,Settings!$I$15:$I$20,Settings!$J$15:$J$20,1))</f>
        <v>0.75</v>
      </c>
      <c r="U438" s="12">
        <f>IF($A438="","",1+(($G438-5)/5)*Settings!$J$8)</f>
        <v>1</v>
      </c>
      <c r="V438" s="12">
        <f>IF($A438="","",1+(($H438-5)/5)*Settings!$J$9)</f>
        <v>1.06</v>
      </c>
      <c r="W438" s="12">
        <f t="array" ref="W438">IF($A438="","",XLOOKUP($J438,Lists!$C$3:$C$7,Lists!$D$3:$D$7,1))</f>
        <v>1</v>
      </c>
      <c r="X438" s="12">
        <f>IF($A438="","",IF($I438="Yes",Settings!$J$10,1))</f>
        <v>1</v>
      </c>
      <c r="Y438" s="12">
        <f t="shared" si="2"/>
        <v>1</v>
      </c>
      <c r="Z438" s="12">
        <f>IF($A438="","",IFERROR(ROUND(AVERAGEIFS('Historical Drafts'!$G$4:$G$300,'Historical Drafts'!$D$4:$D$300,$E438,'Historical Drafts'!$J$4:$J$300,"&gt;="&amp;$L438*0.85,'Historical Drafts'!$J$4:$J$300,"&lt;="&amp;$L438*1.15),0),$Y438))</f>
        <v>1</v>
      </c>
      <c r="AA438" s="12" t="str">
        <f>IF($A438="","",IF(COUNTIF('Auction Log'!$B$3:$B$300,$A438)&gt;0,"Sold","Available"))</f>
        <v>Available</v>
      </c>
      <c r="AB438" s="12" t="str">
        <f t="array" ref="AB438">IF($A438="","",IFERROR(XLOOKUP($A438,'Auction Log'!$B$3:$B$300,'Auction Log'!$G$3:$G$300,""),""))</f>
        <v/>
      </c>
      <c r="AC438" s="12" t="str">
        <f t="array" ref="AC438">IF($A438="","",IFERROR(XLOOKUP($A438,'Auction Log'!$B$3:$B$300,'Auction Log'!$F$3:$F$300,""),""))</f>
        <v/>
      </c>
      <c r="AD438" s="12">
        <f t="array" ref="AD438">IF($A438="","",ROUND($Y438*XLOOKUP($F438,Settings!$I$15:$I$20,Settings!$K$15:$K$20,0.4),0))</f>
        <v>0</v>
      </c>
      <c r="AE438" s="12">
        <f t="array" ref="AE438">IF($A438="","",ROUND($Y438*XLOOKUP($F438,Settings!$I$15:$I$20,Settings!$L$15:$L$20,0.8),0))</f>
        <v>1</v>
      </c>
      <c r="AF438" s="12">
        <f t="array" ref="AF438">IF($A438="","",ROUND($Y438*XLOOKUP($F438,Settings!$I$15:$I$20,Settings!$M$15:$M$20,1),0))</f>
        <v>1</v>
      </c>
      <c r="AG438" s="12">
        <f t="array" ref="AG438">IF($A438="","",ROUND($Y438*XLOOKUP($F438,Settings!$I$15:$I$20,Settings!$N$15:$N$20,1.1),0))</f>
        <v>1</v>
      </c>
      <c r="AH438" s="12">
        <f t="array" ref="AH438">IF($A438="","",ROUND($Y438*XLOOKUP($F438,Settings!$I$15:$I$20,Settings!$O$15:$O$20,1.1)*Settings!$J$7,0))</f>
        <v>1</v>
      </c>
      <c r="AI438" s="12">
        <f t="array" ref="AI438">IF($A438="","",IF($AA438="Sold","",MIN($AH438,IFERROR(XLOOKUP(Settings!$B$12,Managers!$B$4:$B$15,Managers!$H$4:$H$15),$AH438))))</f>
        <v>1</v>
      </c>
      <c r="AJ438" s="12" t="str">
        <f t="shared" si="3"/>
        <v>Recommended</v>
      </c>
      <c r="AK438" s="12">
        <f t="shared" si="4"/>
        <v>26</v>
      </c>
      <c r="AL438" s="12" t="str">
        <f t="shared" si="5"/>
        <v/>
      </c>
    </row>
    <row r="439" ht="15.75" customHeight="1">
      <c r="A439" s="10" t="s">
        <v>1160</v>
      </c>
      <c r="B439" s="10" t="s">
        <v>1161</v>
      </c>
      <c r="C439" s="10" t="s">
        <v>221</v>
      </c>
      <c r="D439" s="10" t="s">
        <v>115</v>
      </c>
      <c r="E439" s="10" t="s">
        <v>115</v>
      </c>
      <c r="F439" s="10" t="s">
        <v>117</v>
      </c>
      <c r="G439" s="10">
        <v>5.0</v>
      </c>
      <c r="H439" s="10">
        <v>7.0</v>
      </c>
      <c r="I439" s="10" t="s">
        <v>2140</v>
      </c>
      <c r="J439" s="10" t="s">
        <v>2136</v>
      </c>
      <c r="K439" s="10"/>
      <c r="L439" s="10">
        <v>16.25</v>
      </c>
      <c r="M439" s="10">
        <v>16.25</v>
      </c>
      <c r="N439" s="10"/>
      <c r="O439" s="10"/>
      <c r="P439" s="12">
        <f>IF($A439="","",IFERROR((IF($O439="",0,$O439)*Settings!$J$4+IF($L439="",0,$L439)*Settings!$J$5+IF($N439="",0,$N439)*Settings!$J$6)/(IF($O439="",0,Settings!$J$4)+IF($L439="",0,Settings!$J$5)+IF($N439="",0,Settings!$J$6)),0))</f>
        <v>16.25</v>
      </c>
      <c r="Q439" s="12">
        <f t="array" ref="Q439">IF($A439="","",XLOOKUP($E439,Settings!$A$19:$A$22,Settings!$G$19:$G$22,0))</f>
        <v>249.25</v>
      </c>
      <c r="R439" s="12">
        <f t="shared" si="1"/>
        <v>0</v>
      </c>
      <c r="S439" s="12">
        <f>IF($A439="","",IF($R439&lt;=0,1,1+$R439/SUMIF($R$4:$R$923,"&gt;0",$R$4:$R$923)*(Settings!$B$5*(Settings!$B$6-Settings!$B$7))))</f>
        <v>1</v>
      </c>
      <c r="T439" s="12">
        <f t="array" ref="T439">IF($A439="","",XLOOKUP($F439,Settings!$I$15:$I$20,Settings!$J$15:$J$20,1))</f>
        <v>0.75</v>
      </c>
      <c r="U439" s="12">
        <f>IF($A439="","",1+(($G439-5)/5)*Settings!$J$8)</f>
        <v>1</v>
      </c>
      <c r="V439" s="12">
        <f>IF($A439="","",1+(($H439-5)/5)*Settings!$J$9)</f>
        <v>1.06</v>
      </c>
      <c r="W439" s="12">
        <f t="array" ref="W439">IF($A439="","",XLOOKUP($J439,Lists!$C$3:$C$7,Lists!$D$3:$D$7,1))</f>
        <v>1</v>
      </c>
      <c r="X439" s="12">
        <f>IF($A439="","",IF($I439="Yes",Settings!$J$10,1))</f>
        <v>1</v>
      </c>
      <c r="Y439" s="12">
        <f t="shared" si="2"/>
        <v>1</v>
      </c>
      <c r="Z439" s="12">
        <f>IF($A439="","",IFERROR(ROUND(AVERAGEIFS('Historical Drafts'!$G$4:$G$300,'Historical Drafts'!$D$4:$D$300,$E439,'Historical Drafts'!$J$4:$J$300,"&gt;="&amp;$L439*0.85,'Historical Drafts'!$J$4:$J$300,"&lt;="&amp;$L439*1.15),0),$Y439))</f>
        <v>1</v>
      </c>
      <c r="AA439" s="12" t="str">
        <f>IF($A439="","",IF(COUNTIF('Auction Log'!$B$3:$B$300,$A439)&gt;0,"Sold","Available"))</f>
        <v>Available</v>
      </c>
      <c r="AB439" s="12" t="str">
        <f t="array" ref="AB439">IF($A439="","",IFERROR(XLOOKUP($A439,'Auction Log'!$B$3:$B$300,'Auction Log'!$G$3:$G$300,""),""))</f>
        <v/>
      </c>
      <c r="AC439" s="12" t="str">
        <f t="array" ref="AC439">IF($A439="","",IFERROR(XLOOKUP($A439,'Auction Log'!$B$3:$B$300,'Auction Log'!$F$3:$F$300,""),""))</f>
        <v/>
      </c>
      <c r="AD439" s="12">
        <f t="array" ref="AD439">IF($A439="","",ROUND($Y439*XLOOKUP($F439,Settings!$I$15:$I$20,Settings!$K$15:$K$20,0.4),0))</f>
        <v>0</v>
      </c>
      <c r="AE439" s="12">
        <f t="array" ref="AE439">IF($A439="","",ROUND($Y439*XLOOKUP($F439,Settings!$I$15:$I$20,Settings!$L$15:$L$20,0.8),0))</f>
        <v>1</v>
      </c>
      <c r="AF439" s="12">
        <f t="array" ref="AF439">IF($A439="","",ROUND($Y439*XLOOKUP($F439,Settings!$I$15:$I$20,Settings!$M$15:$M$20,1),0))</f>
        <v>1</v>
      </c>
      <c r="AG439" s="12">
        <f t="array" ref="AG439">IF($A439="","",ROUND($Y439*XLOOKUP($F439,Settings!$I$15:$I$20,Settings!$N$15:$N$20,1.1),0))</f>
        <v>1</v>
      </c>
      <c r="AH439" s="12">
        <f t="array" ref="AH439">IF($A439="","",ROUND($Y439*XLOOKUP($F439,Settings!$I$15:$I$20,Settings!$O$15:$O$20,1.1)*Settings!$J$7,0))</f>
        <v>1</v>
      </c>
      <c r="AI439" s="12">
        <f t="array" ref="AI439">IF($A439="","",IF($AA439="Sold","",MIN($AH439,IFERROR(XLOOKUP(Settings!$B$12,Managers!$B$4:$B$15,Managers!$H$4:$H$15),$AH439))))</f>
        <v>1</v>
      </c>
      <c r="AJ439" s="12" t="str">
        <f t="shared" si="3"/>
        <v>Recommended</v>
      </c>
      <c r="AK439" s="12">
        <f t="shared" si="4"/>
        <v>26</v>
      </c>
      <c r="AL439" s="12" t="str">
        <f t="shared" si="5"/>
        <v/>
      </c>
    </row>
    <row r="440" ht="15.75" customHeight="1">
      <c r="A440" s="10" t="s">
        <v>1162</v>
      </c>
      <c r="B440" s="10" t="s">
        <v>1163</v>
      </c>
      <c r="C440" s="10" t="s">
        <v>236</v>
      </c>
      <c r="D440" s="10" t="s">
        <v>123</v>
      </c>
      <c r="E440" s="10" t="s">
        <v>123</v>
      </c>
      <c r="F440" s="10" t="s">
        <v>117</v>
      </c>
      <c r="G440" s="10">
        <v>5.0</v>
      </c>
      <c r="H440" s="10">
        <v>7.0</v>
      </c>
      <c r="I440" s="10" t="s">
        <v>2140</v>
      </c>
      <c r="J440" s="10" t="s">
        <v>2136</v>
      </c>
      <c r="K440" s="10"/>
      <c r="L440" s="10">
        <v>16.0</v>
      </c>
      <c r="M440" s="10">
        <v>4.0</v>
      </c>
      <c r="N440" s="10"/>
      <c r="O440" s="10"/>
      <c r="P440" s="12">
        <f>IF($A440="","",IFERROR((IF($O440="",0,$O440)*Settings!$J$4+IF($L440="",0,$L440)*Settings!$J$5+IF($N440="",0,$N440)*Settings!$J$6)/(IF($O440="",0,Settings!$J$4)+IF($L440="",0,Settings!$J$5)+IF($N440="",0,Settings!$J$6)),0))</f>
        <v>16</v>
      </c>
      <c r="Q440" s="12">
        <f t="array" ref="Q440">IF($A440="","",XLOOKUP($E440,Settings!$A$19:$A$22,Settings!$G$19:$G$22,0))</f>
        <v>203</v>
      </c>
      <c r="R440" s="12">
        <f t="shared" si="1"/>
        <v>0</v>
      </c>
      <c r="S440" s="12">
        <f>IF($A440="","",IF($R440&lt;=0,1,1+$R440/SUMIF($R$4:$R$923,"&gt;0",$R$4:$R$923)*(Settings!$B$5*(Settings!$B$6-Settings!$B$7))))</f>
        <v>1</v>
      </c>
      <c r="T440" s="12">
        <f t="array" ref="T440">IF($A440="","",XLOOKUP($F440,Settings!$I$15:$I$20,Settings!$J$15:$J$20,1))</f>
        <v>0.75</v>
      </c>
      <c r="U440" s="12">
        <f>IF($A440="","",1+(($G440-5)/5)*Settings!$J$8)</f>
        <v>1</v>
      </c>
      <c r="V440" s="12">
        <f>IF($A440="","",1+(($H440-5)/5)*Settings!$J$9)</f>
        <v>1.06</v>
      </c>
      <c r="W440" s="12">
        <f t="array" ref="W440">IF($A440="","",XLOOKUP($J440,Lists!$C$3:$C$7,Lists!$D$3:$D$7,1))</f>
        <v>1</v>
      </c>
      <c r="X440" s="12">
        <f>IF($A440="","",IF($I440="Yes",Settings!$J$10,1))</f>
        <v>1</v>
      </c>
      <c r="Y440" s="12">
        <f t="shared" si="2"/>
        <v>1</v>
      </c>
      <c r="Z440" s="12">
        <f>IF($A440="","",IFERROR(ROUND(AVERAGEIFS('Historical Drafts'!$G$4:$G$300,'Historical Drafts'!$D$4:$D$300,$E440,'Historical Drafts'!$J$4:$J$300,"&gt;="&amp;$L440*0.85,'Historical Drafts'!$J$4:$J$300,"&lt;="&amp;$L440*1.15),0),$Y440))</f>
        <v>1</v>
      </c>
      <c r="AA440" s="12" t="str">
        <f>IF($A440="","",IF(COUNTIF('Auction Log'!$B$3:$B$300,$A440)&gt;0,"Sold","Available"))</f>
        <v>Available</v>
      </c>
      <c r="AB440" s="12" t="str">
        <f t="array" ref="AB440">IF($A440="","",IFERROR(XLOOKUP($A440,'Auction Log'!$B$3:$B$300,'Auction Log'!$G$3:$G$300,""),""))</f>
        <v/>
      </c>
      <c r="AC440" s="12" t="str">
        <f t="array" ref="AC440">IF($A440="","",IFERROR(XLOOKUP($A440,'Auction Log'!$B$3:$B$300,'Auction Log'!$F$3:$F$300,""),""))</f>
        <v/>
      </c>
      <c r="AD440" s="12">
        <f t="array" ref="AD440">IF($A440="","",ROUND($Y440*XLOOKUP($F440,Settings!$I$15:$I$20,Settings!$K$15:$K$20,0.4),0))</f>
        <v>0</v>
      </c>
      <c r="AE440" s="12">
        <f t="array" ref="AE440">IF($A440="","",ROUND($Y440*XLOOKUP($F440,Settings!$I$15:$I$20,Settings!$L$15:$L$20,0.8),0))</f>
        <v>1</v>
      </c>
      <c r="AF440" s="12">
        <f t="array" ref="AF440">IF($A440="","",ROUND($Y440*XLOOKUP($F440,Settings!$I$15:$I$20,Settings!$M$15:$M$20,1),0))</f>
        <v>1</v>
      </c>
      <c r="AG440" s="12">
        <f t="array" ref="AG440">IF($A440="","",ROUND($Y440*XLOOKUP($F440,Settings!$I$15:$I$20,Settings!$N$15:$N$20,1.1),0))</f>
        <v>1</v>
      </c>
      <c r="AH440" s="12">
        <f t="array" ref="AH440">IF($A440="","",ROUND($Y440*XLOOKUP($F440,Settings!$I$15:$I$20,Settings!$O$15:$O$20,1.1)*Settings!$J$7,0))</f>
        <v>1</v>
      </c>
      <c r="AI440" s="12">
        <f t="array" ref="AI440">IF($A440="","",IF($AA440="Sold","",MIN($AH440,IFERROR(XLOOKUP(Settings!$B$12,Managers!$B$4:$B$15,Managers!$H$4:$H$15),$AH440))))</f>
        <v>1</v>
      </c>
      <c r="AJ440" s="12" t="str">
        <f t="shared" si="3"/>
        <v>Recommended</v>
      </c>
      <c r="AK440" s="12">
        <f t="shared" si="4"/>
        <v>26</v>
      </c>
      <c r="AL440" s="12" t="str">
        <f t="shared" si="5"/>
        <v/>
      </c>
    </row>
    <row r="441" ht="15.75" customHeight="1">
      <c r="A441" s="10" t="s">
        <v>1164</v>
      </c>
      <c r="B441" s="10" t="s">
        <v>1165</v>
      </c>
      <c r="C441" s="10" t="s">
        <v>387</v>
      </c>
      <c r="D441" s="10" t="s">
        <v>123</v>
      </c>
      <c r="E441" s="10" t="s">
        <v>123</v>
      </c>
      <c r="F441" s="10" t="s">
        <v>117</v>
      </c>
      <c r="G441" s="10">
        <v>5.0</v>
      </c>
      <c r="H441" s="10">
        <v>7.0</v>
      </c>
      <c r="I441" s="10" t="s">
        <v>2140</v>
      </c>
      <c r="J441" s="10" t="s">
        <v>2136</v>
      </c>
      <c r="K441" s="10"/>
      <c r="L441" s="10">
        <v>16.0</v>
      </c>
      <c r="M441" s="10">
        <v>1.78</v>
      </c>
      <c r="N441" s="10"/>
      <c r="O441" s="10"/>
      <c r="P441" s="12">
        <f>IF($A441="","",IFERROR((IF($O441="",0,$O441)*Settings!$J$4+IF($L441="",0,$L441)*Settings!$J$5+IF($N441="",0,$N441)*Settings!$J$6)/(IF($O441="",0,Settings!$J$4)+IF($L441="",0,Settings!$J$5)+IF($N441="",0,Settings!$J$6)),0))</f>
        <v>16</v>
      </c>
      <c r="Q441" s="12">
        <f t="array" ref="Q441">IF($A441="","",XLOOKUP($E441,Settings!$A$19:$A$22,Settings!$G$19:$G$22,0))</f>
        <v>203</v>
      </c>
      <c r="R441" s="12">
        <f t="shared" si="1"/>
        <v>0</v>
      </c>
      <c r="S441" s="12">
        <f>IF($A441="","",IF($R441&lt;=0,1,1+$R441/SUMIF($R$4:$R$923,"&gt;0",$R$4:$R$923)*(Settings!$B$5*(Settings!$B$6-Settings!$B$7))))</f>
        <v>1</v>
      </c>
      <c r="T441" s="12">
        <f t="array" ref="T441">IF($A441="","",XLOOKUP($F441,Settings!$I$15:$I$20,Settings!$J$15:$J$20,1))</f>
        <v>0.75</v>
      </c>
      <c r="U441" s="12">
        <f>IF($A441="","",1+(($G441-5)/5)*Settings!$J$8)</f>
        <v>1</v>
      </c>
      <c r="V441" s="12">
        <f>IF($A441="","",1+(($H441-5)/5)*Settings!$J$9)</f>
        <v>1.06</v>
      </c>
      <c r="W441" s="12">
        <f t="array" ref="W441">IF($A441="","",XLOOKUP($J441,Lists!$C$3:$C$7,Lists!$D$3:$D$7,1))</f>
        <v>1</v>
      </c>
      <c r="X441" s="12">
        <f>IF($A441="","",IF($I441="Yes",Settings!$J$10,1))</f>
        <v>1</v>
      </c>
      <c r="Y441" s="12">
        <f t="shared" si="2"/>
        <v>1</v>
      </c>
      <c r="Z441" s="12">
        <f>IF($A441="","",IFERROR(ROUND(AVERAGEIFS('Historical Drafts'!$G$4:$G$300,'Historical Drafts'!$D$4:$D$300,$E441,'Historical Drafts'!$J$4:$J$300,"&gt;="&amp;$L441*0.85,'Historical Drafts'!$J$4:$J$300,"&lt;="&amp;$L441*1.15),0),$Y441))</f>
        <v>1</v>
      </c>
      <c r="AA441" s="12" t="str">
        <f>IF($A441="","",IF(COUNTIF('Auction Log'!$B$3:$B$300,$A441)&gt;0,"Sold","Available"))</f>
        <v>Available</v>
      </c>
      <c r="AB441" s="12" t="str">
        <f t="array" ref="AB441">IF($A441="","",IFERROR(XLOOKUP($A441,'Auction Log'!$B$3:$B$300,'Auction Log'!$G$3:$G$300,""),""))</f>
        <v/>
      </c>
      <c r="AC441" s="12" t="str">
        <f t="array" ref="AC441">IF($A441="","",IFERROR(XLOOKUP($A441,'Auction Log'!$B$3:$B$300,'Auction Log'!$F$3:$F$300,""),""))</f>
        <v/>
      </c>
      <c r="AD441" s="12">
        <f t="array" ref="AD441">IF($A441="","",ROUND($Y441*XLOOKUP($F441,Settings!$I$15:$I$20,Settings!$K$15:$K$20,0.4),0))</f>
        <v>0</v>
      </c>
      <c r="AE441" s="12">
        <f t="array" ref="AE441">IF($A441="","",ROUND($Y441*XLOOKUP($F441,Settings!$I$15:$I$20,Settings!$L$15:$L$20,0.8),0))</f>
        <v>1</v>
      </c>
      <c r="AF441" s="12">
        <f t="array" ref="AF441">IF($A441="","",ROUND($Y441*XLOOKUP($F441,Settings!$I$15:$I$20,Settings!$M$15:$M$20,1),0))</f>
        <v>1</v>
      </c>
      <c r="AG441" s="12">
        <f t="array" ref="AG441">IF($A441="","",ROUND($Y441*XLOOKUP($F441,Settings!$I$15:$I$20,Settings!$N$15:$N$20,1.1),0))</f>
        <v>1</v>
      </c>
      <c r="AH441" s="12">
        <f t="array" ref="AH441">IF($A441="","",ROUND($Y441*XLOOKUP($F441,Settings!$I$15:$I$20,Settings!$O$15:$O$20,1.1)*Settings!$J$7,0))</f>
        <v>1</v>
      </c>
      <c r="AI441" s="12">
        <f t="array" ref="AI441">IF($A441="","",IF($AA441="Sold","",MIN($AH441,IFERROR(XLOOKUP(Settings!$B$12,Managers!$B$4:$B$15,Managers!$H$4:$H$15),$AH441))))</f>
        <v>1</v>
      </c>
      <c r="AJ441" s="12" t="str">
        <f t="shared" si="3"/>
        <v>Recommended</v>
      </c>
      <c r="AK441" s="12">
        <f t="shared" si="4"/>
        <v>26</v>
      </c>
      <c r="AL441" s="12" t="str">
        <f t="shared" si="5"/>
        <v/>
      </c>
    </row>
    <row r="442" ht="15.75" customHeight="1">
      <c r="A442" s="10" t="s">
        <v>1166</v>
      </c>
      <c r="B442" s="10" t="s">
        <v>1167</v>
      </c>
      <c r="C442" s="10" t="s">
        <v>180</v>
      </c>
      <c r="D442" s="10" t="s">
        <v>118</v>
      </c>
      <c r="E442" s="10" t="s">
        <v>118</v>
      </c>
      <c r="F442" s="10" t="s">
        <v>117</v>
      </c>
      <c r="G442" s="10">
        <v>5.0</v>
      </c>
      <c r="H442" s="10">
        <v>7.0</v>
      </c>
      <c r="I442" s="10" t="s">
        <v>2140</v>
      </c>
      <c r="J442" s="10" t="s">
        <v>2136</v>
      </c>
      <c r="K442" s="10"/>
      <c r="L442" s="10">
        <v>15.75</v>
      </c>
      <c r="M442" s="10">
        <v>1.75</v>
      </c>
      <c r="N442" s="10"/>
      <c r="O442" s="10"/>
      <c r="P442" s="12">
        <f>IF($A442="","",IFERROR((IF($O442="",0,$O442)*Settings!$J$4+IF($L442="",0,$L442)*Settings!$J$5+IF($N442="",0,$N442)*Settings!$J$6)/(IF($O442="",0,Settings!$J$4)+IF($L442="",0,Settings!$J$5)+IF($N442="",0,Settings!$J$6)),0))</f>
        <v>15.75</v>
      </c>
      <c r="Q442" s="12">
        <f t="array" ref="Q442">IF($A442="","",XLOOKUP($E442,Settings!$A$19:$A$22,Settings!$G$19:$G$22,0))</f>
        <v>196.25</v>
      </c>
      <c r="R442" s="12">
        <f t="shared" si="1"/>
        <v>0</v>
      </c>
      <c r="S442" s="12">
        <f>IF($A442="","",IF($R442&lt;=0,1,1+$R442/SUMIF($R$4:$R$923,"&gt;0",$R$4:$R$923)*(Settings!$B$5*(Settings!$B$6-Settings!$B$7))))</f>
        <v>1</v>
      </c>
      <c r="T442" s="12">
        <f t="array" ref="T442">IF($A442="","",XLOOKUP($F442,Settings!$I$15:$I$20,Settings!$J$15:$J$20,1))</f>
        <v>0.75</v>
      </c>
      <c r="U442" s="12">
        <f>IF($A442="","",1+(($G442-5)/5)*Settings!$J$8)</f>
        <v>1</v>
      </c>
      <c r="V442" s="12">
        <f>IF($A442="","",1+(($H442-5)/5)*Settings!$J$9)</f>
        <v>1.06</v>
      </c>
      <c r="W442" s="12">
        <f t="array" ref="W442">IF($A442="","",XLOOKUP($J442,Lists!$C$3:$C$7,Lists!$D$3:$D$7,1))</f>
        <v>1</v>
      </c>
      <c r="X442" s="12">
        <f>IF($A442="","",IF($I442="Yes",Settings!$J$10,1))</f>
        <v>1</v>
      </c>
      <c r="Y442" s="12">
        <f t="shared" si="2"/>
        <v>1</v>
      </c>
      <c r="Z442" s="12">
        <f>IF($A442="","",IFERROR(ROUND(AVERAGEIFS('Historical Drafts'!$G$4:$G$300,'Historical Drafts'!$D$4:$D$300,$E442,'Historical Drafts'!$J$4:$J$300,"&gt;="&amp;$L442*0.85,'Historical Drafts'!$J$4:$J$300,"&lt;="&amp;$L442*1.15),0),$Y442))</f>
        <v>1</v>
      </c>
      <c r="AA442" s="12" t="str">
        <f>IF($A442="","",IF(COUNTIF('Auction Log'!$B$3:$B$300,$A442)&gt;0,"Sold","Available"))</f>
        <v>Available</v>
      </c>
      <c r="AB442" s="12" t="str">
        <f t="array" ref="AB442">IF($A442="","",IFERROR(XLOOKUP($A442,'Auction Log'!$B$3:$B$300,'Auction Log'!$G$3:$G$300,""),""))</f>
        <v/>
      </c>
      <c r="AC442" s="12" t="str">
        <f t="array" ref="AC442">IF($A442="","",IFERROR(XLOOKUP($A442,'Auction Log'!$B$3:$B$300,'Auction Log'!$F$3:$F$300,""),""))</f>
        <v/>
      </c>
      <c r="AD442" s="12">
        <f t="array" ref="AD442">IF($A442="","",ROUND($Y442*XLOOKUP($F442,Settings!$I$15:$I$20,Settings!$K$15:$K$20,0.4),0))</f>
        <v>0</v>
      </c>
      <c r="AE442" s="12">
        <f t="array" ref="AE442">IF($A442="","",ROUND($Y442*XLOOKUP($F442,Settings!$I$15:$I$20,Settings!$L$15:$L$20,0.8),0))</f>
        <v>1</v>
      </c>
      <c r="AF442" s="12">
        <f t="array" ref="AF442">IF($A442="","",ROUND($Y442*XLOOKUP($F442,Settings!$I$15:$I$20,Settings!$M$15:$M$20,1),0))</f>
        <v>1</v>
      </c>
      <c r="AG442" s="12">
        <f t="array" ref="AG442">IF($A442="","",ROUND($Y442*XLOOKUP($F442,Settings!$I$15:$I$20,Settings!$N$15:$N$20,1.1),0))</f>
        <v>1</v>
      </c>
      <c r="AH442" s="12">
        <f t="array" ref="AH442">IF($A442="","",ROUND($Y442*XLOOKUP($F442,Settings!$I$15:$I$20,Settings!$O$15:$O$20,1.1)*Settings!$J$7,0))</f>
        <v>1</v>
      </c>
      <c r="AI442" s="12">
        <f t="array" ref="AI442">IF($A442="","",IF($AA442="Sold","",MIN($AH442,IFERROR(XLOOKUP(Settings!$B$12,Managers!$B$4:$B$15,Managers!$H$4:$H$15),$AH442))))</f>
        <v>1</v>
      </c>
      <c r="AJ442" s="12" t="str">
        <f t="shared" si="3"/>
        <v>Recommended</v>
      </c>
      <c r="AK442" s="12">
        <f t="shared" si="4"/>
        <v>26</v>
      </c>
      <c r="AL442" s="12" t="str">
        <f t="shared" si="5"/>
        <v/>
      </c>
    </row>
    <row r="443" ht="15.75" customHeight="1">
      <c r="A443" s="10" t="s">
        <v>1168</v>
      </c>
      <c r="B443" s="10" t="s">
        <v>1169</v>
      </c>
      <c r="C443" s="10" t="s">
        <v>1170</v>
      </c>
      <c r="D443" s="10" t="s">
        <v>123</v>
      </c>
      <c r="E443" s="10" t="s">
        <v>123</v>
      </c>
      <c r="F443" s="10" t="s">
        <v>117</v>
      </c>
      <c r="G443" s="10">
        <v>5.0</v>
      </c>
      <c r="H443" s="10">
        <v>7.0</v>
      </c>
      <c r="I443" s="10" t="s">
        <v>2140</v>
      </c>
      <c r="J443" s="10" t="s">
        <v>2136</v>
      </c>
      <c r="K443" s="10"/>
      <c r="L443" s="10">
        <v>15.5</v>
      </c>
      <c r="M443" s="10">
        <v>1.94</v>
      </c>
      <c r="N443" s="10"/>
      <c r="O443" s="10"/>
      <c r="P443" s="12">
        <f>IF($A443="","",IFERROR((IF($O443="",0,$O443)*Settings!$J$4+IF($L443="",0,$L443)*Settings!$J$5+IF($N443="",0,$N443)*Settings!$J$6)/(IF($O443="",0,Settings!$J$4)+IF($L443="",0,Settings!$J$5)+IF($N443="",0,Settings!$J$6)),0))</f>
        <v>15.5</v>
      </c>
      <c r="Q443" s="12">
        <f t="array" ref="Q443">IF($A443="","",XLOOKUP($E443,Settings!$A$19:$A$22,Settings!$G$19:$G$22,0))</f>
        <v>203</v>
      </c>
      <c r="R443" s="12">
        <f t="shared" si="1"/>
        <v>0</v>
      </c>
      <c r="S443" s="12">
        <f>IF($A443="","",IF($R443&lt;=0,1,1+$R443/SUMIF($R$4:$R$923,"&gt;0",$R$4:$R$923)*(Settings!$B$5*(Settings!$B$6-Settings!$B$7))))</f>
        <v>1</v>
      </c>
      <c r="T443" s="12">
        <f t="array" ref="T443">IF($A443="","",XLOOKUP($F443,Settings!$I$15:$I$20,Settings!$J$15:$J$20,1))</f>
        <v>0.75</v>
      </c>
      <c r="U443" s="12">
        <f>IF($A443="","",1+(($G443-5)/5)*Settings!$J$8)</f>
        <v>1</v>
      </c>
      <c r="V443" s="12">
        <f>IF($A443="","",1+(($H443-5)/5)*Settings!$J$9)</f>
        <v>1.06</v>
      </c>
      <c r="W443" s="12">
        <f t="array" ref="W443">IF($A443="","",XLOOKUP($J443,Lists!$C$3:$C$7,Lists!$D$3:$D$7,1))</f>
        <v>1</v>
      </c>
      <c r="X443" s="12">
        <f>IF($A443="","",IF($I443="Yes",Settings!$J$10,1))</f>
        <v>1</v>
      </c>
      <c r="Y443" s="12">
        <f t="shared" si="2"/>
        <v>1</v>
      </c>
      <c r="Z443" s="12">
        <f>IF($A443="","",IFERROR(ROUND(AVERAGEIFS('Historical Drafts'!$G$4:$G$300,'Historical Drafts'!$D$4:$D$300,$E443,'Historical Drafts'!$J$4:$J$300,"&gt;="&amp;$L443*0.85,'Historical Drafts'!$J$4:$J$300,"&lt;="&amp;$L443*1.15),0),$Y443))</f>
        <v>1</v>
      </c>
      <c r="AA443" s="12" t="str">
        <f>IF($A443="","",IF(COUNTIF('Auction Log'!$B$3:$B$300,$A443)&gt;0,"Sold","Available"))</f>
        <v>Available</v>
      </c>
      <c r="AB443" s="12" t="str">
        <f t="array" ref="AB443">IF($A443="","",IFERROR(XLOOKUP($A443,'Auction Log'!$B$3:$B$300,'Auction Log'!$G$3:$G$300,""),""))</f>
        <v/>
      </c>
      <c r="AC443" s="12" t="str">
        <f t="array" ref="AC443">IF($A443="","",IFERROR(XLOOKUP($A443,'Auction Log'!$B$3:$B$300,'Auction Log'!$F$3:$F$300,""),""))</f>
        <v/>
      </c>
      <c r="AD443" s="12">
        <f t="array" ref="AD443">IF($A443="","",ROUND($Y443*XLOOKUP($F443,Settings!$I$15:$I$20,Settings!$K$15:$K$20,0.4),0))</f>
        <v>0</v>
      </c>
      <c r="AE443" s="12">
        <f t="array" ref="AE443">IF($A443="","",ROUND($Y443*XLOOKUP($F443,Settings!$I$15:$I$20,Settings!$L$15:$L$20,0.8),0))</f>
        <v>1</v>
      </c>
      <c r="AF443" s="12">
        <f t="array" ref="AF443">IF($A443="","",ROUND($Y443*XLOOKUP($F443,Settings!$I$15:$I$20,Settings!$M$15:$M$20,1),0))</f>
        <v>1</v>
      </c>
      <c r="AG443" s="12">
        <f t="array" ref="AG443">IF($A443="","",ROUND($Y443*XLOOKUP($F443,Settings!$I$15:$I$20,Settings!$N$15:$N$20,1.1),0))</f>
        <v>1</v>
      </c>
      <c r="AH443" s="12">
        <f t="array" ref="AH443">IF($A443="","",ROUND($Y443*XLOOKUP($F443,Settings!$I$15:$I$20,Settings!$O$15:$O$20,1.1)*Settings!$J$7,0))</f>
        <v>1</v>
      </c>
      <c r="AI443" s="12">
        <f t="array" ref="AI443">IF($A443="","",IF($AA443="Sold","",MIN($AH443,IFERROR(XLOOKUP(Settings!$B$12,Managers!$B$4:$B$15,Managers!$H$4:$H$15),$AH443))))</f>
        <v>1</v>
      </c>
      <c r="AJ443" s="12" t="str">
        <f t="shared" si="3"/>
        <v>Recommended</v>
      </c>
      <c r="AK443" s="12">
        <f t="shared" si="4"/>
        <v>26</v>
      </c>
      <c r="AL443" s="12" t="str">
        <f t="shared" si="5"/>
        <v/>
      </c>
    </row>
    <row r="444" ht="15.75" customHeight="1">
      <c r="A444" s="10" t="s">
        <v>1171</v>
      </c>
      <c r="B444" s="10" t="s">
        <v>1172</v>
      </c>
      <c r="C444" s="10" t="s">
        <v>314</v>
      </c>
      <c r="D444" s="10" t="s">
        <v>123</v>
      </c>
      <c r="E444" s="10" t="s">
        <v>123</v>
      </c>
      <c r="F444" s="10" t="s">
        <v>117</v>
      </c>
      <c r="G444" s="10">
        <v>5.0</v>
      </c>
      <c r="H444" s="10">
        <v>7.0</v>
      </c>
      <c r="I444" s="10" t="s">
        <v>2140</v>
      </c>
      <c r="J444" s="10" t="s">
        <v>2136</v>
      </c>
      <c r="K444" s="10"/>
      <c r="L444" s="10">
        <v>15.5</v>
      </c>
      <c r="M444" s="10">
        <v>1.11</v>
      </c>
      <c r="N444" s="10"/>
      <c r="O444" s="10"/>
      <c r="P444" s="12">
        <f>IF($A444="","",IFERROR((IF($O444="",0,$O444)*Settings!$J$4+IF($L444="",0,$L444)*Settings!$J$5+IF($N444="",0,$N444)*Settings!$J$6)/(IF($O444="",0,Settings!$J$4)+IF($L444="",0,Settings!$J$5)+IF($N444="",0,Settings!$J$6)),0))</f>
        <v>15.5</v>
      </c>
      <c r="Q444" s="12">
        <f t="array" ref="Q444">IF($A444="","",XLOOKUP($E444,Settings!$A$19:$A$22,Settings!$G$19:$G$22,0))</f>
        <v>203</v>
      </c>
      <c r="R444" s="12">
        <f t="shared" si="1"/>
        <v>0</v>
      </c>
      <c r="S444" s="12">
        <f>IF($A444="","",IF($R444&lt;=0,1,1+$R444/SUMIF($R$4:$R$923,"&gt;0",$R$4:$R$923)*(Settings!$B$5*(Settings!$B$6-Settings!$B$7))))</f>
        <v>1</v>
      </c>
      <c r="T444" s="12">
        <f t="array" ref="T444">IF($A444="","",XLOOKUP($F444,Settings!$I$15:$I$20,Settings!$J$15:$J$20,1))</f>
        <v>0.75</v>
      </c>
      <c r="U444" s="12">
        <f>IF($A444="","",1+(($G444-5)/5)*Settings!$J$8)</f>
        <v>1</v>
      </c>
      <c r="V444" s="12">
        <f>IF($A444="","",1+(($H444-5)/5)*Settings!$J$9)</f>
        <v>1.06</v>
      </c>
      <c r="W444" s="12">
        <f t="array" ref="W444">IF($A444="","",XLOOKUP($J444,Lists!$C$3:$C$7,Lists!$D$3:$D$7,1))</f>
        <v>1</v>
      </c>
      <c r="X444" s="12">
        <f>IF($A444="","",IF($I444="Yes",Settings!$J$10,1))</f>
        <v>1</v>
      </c>
      <c r="Y444" s="12">
        <f t="shared" si="2"/>
        <v>1</v>
      </c>
      <c r="Z444" s="12">
        <f>IF($A444="","",IFERROR(ROUND(AVERAGEIFS('Historical Drafts'!$G$4:$G$300,'Historical Drafts'!$D$4:$D$300,$E444,'Historical Drafts'!$J$4:$J$300,"&gt;="&amp;$L444*0.85,'Historical Drafts'!$J$4:$J$300,"&lt;="&amp;$L444*1.15),0),$Y444))</f>
        <v>1</v>
      </c>
      <c r="AA444" s="12" t="str">
        <f>IF($A444="","",IF(COUNTIF('Auction Log'!$B$3:$B$300,$A444)&gt;0,"Sold","Available"))</f>
        <v>Available</v>
      </c>
      <c r="AB444" s="12" t="str">
        <f t="array" ref="AB444">IF($A444="","",IFERROR(XLOOKUP($A444,'Auction Log'!$B$3:$B$300,'Auction Log'!$G$3:$G$300,""),""))</f>
        <v/>
      </c>
      <c r="AC444" s="12" t="str">
        <f t="array" ref="AC444">IF($A444="","",IFERROR(XLOOKUP($A444,'Auction Log'!$B$3:$B$300,'Auction Log'!$F$3:$F$300,""),""))</f>
        <v/>
      </c>
      <c r="AD444" s="12">
        <f t="array" ref="AD444">IF($A444="","",ROUND($Y444*XLOOKUP($F444,Settings!$I$15:$I$20,Settings!$K$15:$K$20,0.4),0))</f>
        <v>0</v>
      </c>
      <c r="AE444" s="12">
        <f t="array" ref="AE444">IF($A444="","",ROUND($Y444*XLOOKUP($F444,Settings!$I$15:$I$20,Settings!$L$15:$L$20,0.8),0))</f>
        <v>1</v>
      </c>
      <c r="AF444" s="12">
        <f t="array" ref="AF444">IF($A444="","",ROUND($Y444*XLOOKUP($F444,Settings!$I$15:$I$20,Settings!$M$15:$M$20,1),0))</f>
        <v>1</v>
      </c>
      <c r="AG444" s="12">
        <f t="array" ref="AG444">IF($A444="","",ROUND($Y444*XLOOKUP($F444,Settings!$I$15:$I$20,Settings!$N$15:$N$20,1.1),0))</f>
        <v>1</v>
      </c>
      <c r="AH444" s="12">
        <f t="array" ref="AH444">IF($A444="","",ROUND($Y444*XLOOKUP($F444,Settings!$I$15:$I$20,Settings!$O$15:$O$20,1.1)*Settings!$J$7,0))</f>
        <v>1</v>
      </c>
      <c r="AI444" s="12">
        <f t="array" ref="AI444">IF($A444="","",IF($AA444="Sold","",MIN($AH444,IFERROR(XLOOKUP(Settings!$B$12,Managers!$B$4:$B$15,Managers!$H$4:$H$15),$AH444))))</f>
        <v>1</v>
      </c>
      <c r="AJ444" s="12" t="str">
        <f t="shared" si="3"/>
        <v>Recommended</v>
      </c>
      <c r="AK444" s="12">
        <f t="shared" si="4"/>
        <v>26</v>
      </c>
      <c r="AL444" s="12" t="str">
        <f t="shared" si="5"/>
        <v/>
      </c>
    </row>
    <row r="445" ht="15.75" customHeight="1">
      <c r="A445" s="10" t="s">
        <v>1173</v>
      </c>
      <c r="B445" s="10" t="s">
        <v>1174</v>
      </c>
      <c r="C445" s="10" t="s">
        <v>231</v>
      </c>
      <c r="D445" s="10" t="s">
        <v>118</v>
      </c>
      <c r="E445" s="10" t="s">
        <v>118</v>
      </c>
      <c r="F445" s="10" t="s">
        <v>117</v>
      </c>
      <c r="G445" s="10">
        <v>5.0</v>
      </c>
      <c r="H445" s="10">
        <v>7.0</v>
      </c>
      <c r="I445" s="10" t="s">
        <v>2140</v>
      </c>
      <c r="J445" s="10" t="s">
        <v>2136</v>
      </c>
      <c r="K445" s="10"/>
      <c r="L445" s="10">
        <v>15.0</v>
      </c>
      <c r="M445" s="10">
        <v>3.0</v>
      </c>
      <c r="N445" s="10"/>
      <c r="O445" s="10"/>
      <c r="P445" s="12">
        <f>IF($A445="","",IFERROR((IF($O445="",0,$O445)*Settings!$J$4+IF($L445="",0,$L445)*Settings!$J$5+IF($N445="",0,$N445)*Settings!$J$6)/(IF($O445="",0,Settings!$J$4)+IF($L445="",0,Settings!$J$5)+IF($N445="",0,Settings!$J$6)),0))</f>
        <v>15</v>
      </c>
      <c r="Q445" s="12">
        <f t="array" ref="Q445">IF($A445="","",XLOOKUP($E445,Settings!$A$19:$A$22,Settings!$G$19:$G$22,0))</f>
        <v>196.25</v>
      </c>
      <c r="R445" s="12">
        <f t="shared" si="1"/>
        <v>0</v>
      </c>
      <c r="S445" s="12">
        <f>IF($A445="","",IF($R445&lt;=0,1,1+$R445/SUMIF($R$4:$R$923,"&gt;0",$R$4:$R$923)*(Settings!$B$5*(Settings!$B$6-Settings!$B$7))))</f>
        <v>1</v>
      </c>
      <c r="T445" s="12">
        <f t="array" ref="T445">IF($A445="","",XLOOKUP($F445,Settings!$I$15:$I$20,Settings!$J$15:$J$20,1))</f>
        <v>0.75</v>
      </c>
      <c r="U445" s="12">
        <f>IF($A445="","",1+(($G445-5)/5)*Settings!$J$8)</f>
        <v>1</v>
      </c>
      <c r="V445" s="12">
        <f>IF($A445="","",1+(($H445-5)/5)*Settings!$J$9)</f>
        <v>1.06</v>
      </c>
      <c r="W445" s="12">
        <f t="array" ref="W445">IF($A445="","",XLOOKUP($J445,Lists!$C$3:$C$7,Lists!$D$3:$D$7,1))</f>
        <v>1</v>
      </c>
      <c r="X445" s="12">
        <f>IF($A445="","",IF($I445="Yes",Settings!$J$10,1))</f>
        <v>1</v>
      </c>
      <c r="Y445" s="12">
        <f t="shared" si="2"/>
        <v>1</v>
      </c>
      <c r="Z445" s="12">
        <f>IF($A445="","",IFERROR(ROUND(AVERAGEIFS('Historical Drafts'!$G$4:$G$300,'Historical Drafts'!$D$4:$D$300,$E445,'Historical Drafts'!$J$4:$J$300,"&gt;="&amp;$L445*0.85,'Historical Drafts'!$J$4:$J$300,"&lt;="&amp;$L445*1.15),0),$Y445))</f>
        <v>1</v>
      </c>
      <c r="AA445" s="12" t="str">
        <f>IF($A445="","",IF(COUNTIF('Auction Log'!$B$3:$B$300,$A445)&gt;0,"Sold","Available"))</f>
        <v>Available</v>
      </c>
      <c r="AB445" s="12" t="str">
        <f t="array" ref="AB445">IF($A445="","",IFERROR(XLOOKUP($A445,'Auction Log'!$B$3:$B$300,'Auction Log'!$G$3:$G$300,""),""))</f>
        <v/>
      </c>
      <c r="AC445" s="12" t="str">
        <f t="array" ref="AC445">IF($A445="","",IFERROR(XLOOKUP($A445,'Auction Log'!$B$3:$B$300,'Auction Log'!$F$3:$F$300,""),""))</f>
        <v/>
      </c>
      <c r="AD445" s="12">
        <f t="array" ref="AD445">IF($A445="","",ROUND($Y445*XLOOKUP($F445,Settings!$I$15:$I$20,Settings!$K$15:$K$20,0.4),0))</f>
        <v>0</v>
      </c>
      <c r="AE445" s="12">
        <f t="array" ref="AE445">IF($A445="","",ROUND($Y445*XLOOKUP($F445,Settings!$I$15:$I$20,Settings!$L$15:$L$20,0.8),0))</f>
        <v>1</v>
      </c>
      <c r="AF445" s="12">
        <f t="array" ref="AF445">IF($A445="","",ROUND($Y445*XLOOKUP($F445,Settings!$I$15:$I$20,Settings!$M$15:$M$20,1),0))</f>
        <v>1</v>
      </c>
      <c r="AG445" s="12">
        <f t="array" ref="AG445">IF($A445="","",ROUND($Y445*XLOOKUP($F445,Settings!$I$15:$I$20,Settings!$N$15:$N$20,1.1),0))</f>
        <v>1</v>
      </c>
      <c r="AH445" s="12">
        <f t="array" ref="AH445">IF($A445="","",ROUND($Y445*XLOOKUP($F445,Settings!$I$15:$I$20,Settings!$O$15:$O$20,1.1)*Settings!$J$7,0))</f>
        <v>1</v>
      </c>
      <c r="AI445" s="12">
        <f t="array" ref="AI445">IF($A445="","",IF($AA445="Sold","",MIN($AH445,IFERROR(XLOOKUP(Settings!$B$12,Managers!$B$4:$B$15,Managers!$H$4:$H$15),$AH445))))</f>
        <v>1</v>
      </c>
      <c r="AJ445" s="12" t="str">
        <f t="shared" si="3"/>
        <v>Recommended</v>
      </c>
      <c r="AK445" s="12">
        <f t="shared" si="4"/>
        <v>26</v>
      </c>
      <c r="AL445" s="12" t="str">
        <f t="shared" si="5"/>
        <v/>
      </c>
    </row>
    <row r="446" ht="15.75" customHeight="1">
      <c r="A446" s="10" t="s">
        <v>1175</v>
      </c>
      <c r="B446" s="10" t="s">
        <v>1176</v>
      </c>
      <c r="C446" s="10" t="s">
        <v>199</v>
      </c>
      <c r="D446" s="10" t="s">
        <v>576</v>
      </c>
      <c r="E446" s="10" t="s">
        <v>576</v>
      </c>
      <c r="F446" s="10" t="s">
        <v>117</v>
      </c>
      <c r="G446" s="10">
        <v>5.0</v>
      </c>
      <c r="H446" s="10">
        <v>7.0</v>
      </c>
      <c r="I446" s="10" t="s">
        <v>2140</v>
      </c>
      <c r="J446" s="10" t="s">
        <v>2136</v>
      </c>
      <c r="K446" s="10"/>
      <c r="L446" s="10">
        <v>14.5</v>
      </c>
      <c r="M446" s="10">
        <v>0.52</v>
      </c>
      <c r="N446" s="10"/>
      <c r="O446" s="10"/>
      <c r="P446" s="12">
        <f>IF($A446="","",IFERROR((IF($O446="",0,$O446)*Settings!$J$4+IF($L446="",0,$L446)*Settings!$J$5+IF($N446="",0,$N446)*Settings!$J$6)/(IF($O446="",0,Settings!$J$4)+IF($L446="",0,Settings!$J$5)+IF($N446="",0,Settings!$J$6)),0))</f>
        <v>14.5</v>
      </c>
      <c r="Q446" s="12">
        <f t="array" ref="Q446">IF($A446="","",XLOOKUP($E446,Settings!$A$19:$A$22,Settings!$G$19:$G$22,0))</f>
        <v>0</v>
      </c>
      <c r="R446" s="12">
        <f t="shared" si="1"/>
        <v>14.5</v>
      </c>
      <c r="S446" s="12">
        <f>IF($A446="","",IF($R446&lt;=0,1,1+$R446/SUMIF($R$4:$R$923,"&gt;0",$R$4:$R$923)*(Settings!$B$5*(Settings!$B$6-Settings!$B$7))))</f>
        <v>2.790322581</v>
      </c>
      <c r="T446" s="12">
        <f t="array" ref="T446">IF($A446="","",XLOOKUP($F446,Settings!$I$15:$I$20,Settings!$J$15:$J$20,1))</f>
        <v>0.75</v>
      </c>
      <c r="U446" s="12">
        <f>IF($A446="","",1+(($G446-5)/5)*Settings!$J$8)</f>
        <v>1</v>
      </c>
      <c r="V446" s="12">
        <f>IF($A446="","",1+(($H446-5)/5)*Settings!$J$9)</f>
        <v>1.06</v>
      </c>
      <c r="W446" s="12">
        <f t="array" ref="W446">IF($A446="","",XLOOKUP($J446,Lists!$C$3:$C$7,Lists!$D$3:$D$7,1))</f>
        <v>1</v>
      </c>
      <c r="X446" s="12">
        <f>IF($A446="","",IF($I446="Yes",Settings!$J$10,1))</f>
        <v>1</v>
      </c>
      <c r="Y446" s="12">
        <f t="shared" si="2"/>
        <v>2</v>
      </c>
      <c r="Z446" s="12">
        <f>IF($A446="","",IFERROR(ROUND(AVERAGEIFS('Historical Drafts'!$G$4:$G$300,'Historical Drafts'!$D$4:$D$300,$E446,'Historical Drafts'!$J$4:$J$300,"&gt;="&amp;$L446*0.85,'Historical Drafts'!$J$4:$J$300,"&lt;="&amp;$L446*1.15),0),$Y446))</f>
        <v>2</v>
      </c>
      <c r="AA446" s="12" t="str">
        <f>IF($A446="","",IF(COUNTIF('Auction Log'!$B$3:$B$300,$A446)&gt;0,"Sold","Available"))</f>
        <v>Available</v>
      </c>
      <c r="AB446" s="12" t="str">
        <f t="array" ref="AB446">IF($A446="","",IFERROR(XLOOKUP($A446,'Auction Log'!$B$3:$B$300,'Auction Log'!$G$3:$G$300,""),""))</f>
        <v/>
      </c>
      <c r="AC446" s="12" t="str">
        <f t="array" ref="AC446">IF($A446="","",IFERROR(XLOOKUP($A446,'Auction Log'!$B$3:$B$300,'Auction Log'!$F$3:$F$300,""),""))</f>
        <v/>
      </c>
      <c r="AD446" s="12">
        <f t="array" ref="AD446">IF($A446="","",ROUND($Y446*XLOOKUP($F446,Settings!$I$15:$I$20,Settings!$K$15:$K$20,0.4),0))</f>
        <v>0</v>
      </c>
      <c r="AE446" s="12">
        <f t="array" ref="AE446">IF($A446="","",ROUND($Y446*XLOOKUP($F446,Settings!$I$15:$I$20,Settings!$L$15:$L$20,0.8),0))</f>
        <v>1</v>
      </c>
      <c r="AF446" s="12">
        <f t="array" ref="AF446">IF($A446="","",ROUND($Y446*XLOOKUP($F446,Settings!$I$15:$I$20,Settings!$M$15:$M$20,1),0))</f>
        <v>2</v>
      </c>
      <c r="AG446" s="12">
        <f t="array" ref="AG446">IF($A446="","",ROUND($Y446*XLOOKUP($F446,Settings!$I$15:$I$20,Settings!$N$15:$N$20,1.1),0))</f>
        <v>2</v>
      </c>
      <c r="AH446" s="12">
        <f t="array" ref="AH446">IF($A446="","",ROUND($Y446*XLOOKUP($F446,Settings!$I$15:$I$20,Settings!$O$15:$O$20,1.1)*Settings!$J$7,0))</f>
        <v>2</v>
      </c>
      <c r="AI446" s="12">
        <f t="array" ref="AI446">IF($A446="","",IF($AA446="Sold","",MIN($AH446,IFERROR(XLOOKUP(Settings!$B$12,Managers!$B$4:$B$15,Managers!$H$4:$H$15),$AH446))))</f>
        <v>2</v>
      </c>
      <c r="AJ446" s="12" t="str">
        <f t="shared" si="3"/>
        <v>Recommended</v>
      </c>
      <c r="AK446" s="12">
        <f t="shared" si="4"/>
        <v>27</v>
      </c>
      <c r="AL446" s="12" t="str">
        <f t="shared" si="5"/>
        <v/>
      </c>
    </row>
    <row r="447" ht="15.75" customHeight="1">
      <c r="A447" s="10" t="s">
        <v>1177</v>
      </c>
      <c r="B447" s="10" t="s">
        <v>1178</v>
      </c>
      <c r="C447" s="10" t="s">
        <v>236</v>
      </c>
      <c r="D447" s="10" t="s">
        <v>118</v>
      </c>
      <c r="E447" s="10" t="s">
        <v>118</v>
      </c>
      <c r="F447" s="10" t="s">
        <v>117</v>
      </c>
      <c r="G447" s="10">
        <v>5.0</v>
      </c>
      <c r="H447" s="10">
        <v>7.0</v>
      </c>
      <c r="I447" s="10" t="s">
        <v>2140</v>
      </c>
      <c r="J447" s="10" t="s">
        <v>2136</v>
      </c>
      <c r="K447" s="10"/>
      <c r="L447" s="10">
        <v>14.25</v>
      </c>
      <c r="M447" s="10">
        <v>2.04</v>
      </c>
      <c r="N447" s="10"/>
      <c r="O447" s="10"/>
      <c r="P447" s="12">
        <f>IF($A447="","",IFERROR((IF($O447="",0,$O447)*Settings!$J$4+IF($L447="",0,$L447)*Settings!$J$5+IF($N447="",0,$N447)*Settings!$J$6)/(IF($O447="",0,Settings!$J$4)+IF($L447="",0,Settings!$J$5)+IF($N447="",0,Settings!$J$6)),0))</f>
        <v>14.25</v>
      </c>
      <c r="Q447" s="12">
        <f t="array" ref="Q447">IF($A447="","",XLOOKUP($E447,Settings!$A$19:$A$22,Settings!$G$19:$G$22,0))</f>
        <v>196.25</v>
      </c>
      <c r="R447" s="12">
        <f t="shared" si="1"/>
        <v>0</v>
      </c>
      <c r="S447" s="12">
        <f>IF($A447="","",IF($R447&lt;=0,1,1+$R447/SUMIF($R$4:$R$923,"&gt;0",$R$4:$R$923)*(Settings!$B$5*(Settings!$B$6-Settings!$B$7))))</f>
        <v>1</v>
      </c>
      <c r="T447" s="12">
        <f t="array" ref="T447">IF($A447="","",XLOOKUP($F447,Settings!$I$15:$I$20,Settings!$J$15:$J$20,1))</f>
        <v>0.75</v>
      </c>
      <c r="U447" s="12">
        <f>IF($A447="","",1+(($G447-5)/5)*Settings!$J$8)</f>
        <v>1</v>
      </c>
      <c r="V447" s="12">
        <f>IF($A447="","",1+(($H447-5)/5)*Settings!$J$9)</f>
        <v>1.06</v>
      </c>
      <c r="W447" s="12">
        <f t="array" ref="W447">IF($A447="","",XLOOKUP($J447,Lists!$C$3:$C$7,Lists!$D$3:$D$7,1))</f>
        <v>1</v>
      </c>
      <c r="X447" s="12">
        <f>IF($A447="","",IF($I447="Yes",Settings!$J$10,1))</f>
        <v>1</v>
      </c>
      <c r="Y447" s="12">
        <f t="shared" si="2"/>
        <v>1</v>
      </c>
      <c r="Z447" s="12">
        <f>IF($A447="","",IFERROR(ROUND(AVERAGEIFS('Historical Drafts'!$G$4:$G$300,'Historical Drafts'!$D$4:$D$300,$E447,'Historical Drafts'!$J$4:$J$300,"&gt;="&amp;$L447*0.85,'Historical Drafts'!$J$4:$J$300,"&lt;="&amp;$L447*1.15),0),$Y447))</f>
        <v>1</v>
      </c>
      <c r="AA447" s="12" t="str">
        <f>IF($A447="","",IF(COUNTIF('Auction Log'!$B$3:$B$300,$A447)&gt;0,"Sold","Available"))</f>
        <v>Available</v>
      </c>
      <c r="AB447" s="12" t="str">
        <f t="array" ref="AB447">IF($A447="","",IFERROR(XLOOKUP($A447,'Auction Log'!$B$3:$B$300,'Auction Log'!$G$3:$G$300,""),""))</f>
        <v/>
      </c>
      <c r="AC447" s="12" t="str">
        <f t="array" ref="AC447">IF($A447="","",IFERROR(XLOOKUP($A447,'Auction Log'!$B$3:$B$300,'Auction Log'!$F$3:$F$300,""),""))</f>
        <v/>
      </c>
      <c r="AD447" s="12">
        <f t="array" ref="AD447">IF($A447="","",ROUND($Y447*XLOOKUP($F447,Settings!$I$15:$I$20,Settings!$K$15:$K$20,0.4),0))</f>
        <v>0</v>
      </c>
      <c r="AE447" s="12">
        <f t="array" ref="AE447">IF($A447="","",ROUND($Y447*XLOOKUP($F447,Settings!$I$15:$I$20,Settings!$L$15:$L$20,0.8),0))</f>
        <v>1</v>
      </c>
      <c r="AF447" s="12">
        <f t="array" ref="AF447">IF($A447="","",ROUND($Y447*XLOOKUP($F447,Settings!$I$15:$I$20,Settings!$M$15:$M$20,1),0))</f>
        <v>1</v>
      </c>
      <c r="AG447" s="12">
        <f t="array" ref="AG447">IF($A447="","",ROUND($Y447*XLOOKUP($F447,Settings!$I$15:$I$20,Settings!$N$15:$N$20,1.1),0))</f>
        <v>1</v>
      </c>
      <c r="AH447" s="12">
        <f t="array" ref="AH447">IF($A447="","",ROUND($Y447*XLOOKUP($F447,Settings!$I$15:$I$20,Settings!$O$15:$O$20,1.1)*Settings!$J$7,0))</f>
        <v>1</v>
      </c>
      <c r="AI447" s="12">
        <f t="array" ref="AI447">IF($A447="","",IF($AA447="Sold","",MIN($AH447,IFERROR(XLOOKUP(Settings!$B$12,Managers!$B$4:$B$15,Managers!$H$4:$H$15),$AH447))))</f>
        <v>1</v>
      </c>
      <c r="AJ447" s="12" t="str">
        <f t="shared" si="3"/>
        <v>Recommended</v>
      </c>
      <c r="AK447" s="12">
        <f t="shared" si="4"/>
        <v>26</v>
      </c>
      <c r="AL447" s="12" t="str">
        <f t="shared" si="5"/>
        <v/>
      </c>
    </row>
    <row r="448" ht="15.75" customHeight="1">
      <c r="A448" s="10" t="s">
        <v>1179</v>
      </c>
      <c r="B448" s="10" t="s">
        <v>1180</v>
      </c>
      <c r="C448" s="10" t="s">
        <v>327</v>
      </c>
      <c r="D448" s="10" t="s">
        <v>121</v>
      </c>
      <c r="E448" s="10" t="s">
        <v>121</v>
      </c>
      <c r="F448" s="10" t="s">
        <v>117</v>
      </c>
      <c r="G448" s="10">
        <v>5.0</v>
      </c>
      <c r="H448" s="10">
        <v>7.0</v>
      </c>
      <c r="I448" s="10" t="s">
        <v>2140</v>
      </c>
      <c r="J448" s="10" t="s">
        <v>2136</v>
      </c>
      <c r="K448" s="10"/>
      <c r="L448" s="10">
        <v>14.0</v>
      </c>
      <c r="M448" s="10">
        <v>2.33</v>
      </c>
      <c r="N448" s="10"/>
      <c r="O448" s="10"/>
      <c r="P448" s="12">
        <f>IF($A448="","",IFERROR((IF($O448="",0,$O448)*Settings!$J$4+IF($L448="",0,$L448)*Settings!$J$5+IF($N448="",0,$N448)*Settings!$J$6)/(IF($O448="",0,Settings!$J$4)+IF($L448="",0,Settings!$J$5)+IF($N448="",0,Settings!$J$6)),0))</f>
        <v>14</v>
      </c>
      <c r="Q448" s="12">
        <f t="array" ref="Q448">IF($A448="","",XLOOKUP($E448,Settings!$A$19:$A$22,Settings!$G$19:$G$22,0))</f>
        <v>206</v>
      </c>
      <c r="R448" s="12">
        <f t="shared" si="1"/>
        <v>0</v>
      </c>
      <c r="S448" s="12">
        <f>IF($A448="","",IF($R448&lt;=0,1,1+$R448/SUMIF($R$4:$R$923,"&gt;0",$R$4:$R$923)*(Settings!$B$5*(Settings!$B$6-Settings!$B$7))))</f>
        <v>1</v>
      </c>
      <c r="T448" s="12">
        <f t="array" ref="T448">IF($A448="","",XLOOKUP($F448,Settings!$I$15:$I$20,Settings!$J$15:$J$20,1))</f>
        <v>0.75</v>
      </c>
      <c r="U448" s="12">
        <f>IF($A448="","",1+(($G448-5)/5)*Settings!$J$8)</f>
        <v>1</v>
      </c>
      <c r="V448" s="12">
        <f>IF($A448="","",1+(($H448-5)/5)*Settings!$J$9)</f>
        <v>1.06</v>
      </c>
      <c r="W448" s="12">
        <f t="array" ref="W448">IF($A448="","",XLOOKUP($J448,Lists!$C$3:$C$7,Lists!$D$3:$D$7,1))</f>
        <v>1</v>
      </c>
      <c r="X448" s="12">
        <f>IF($A448="","",IF($I448="Yes",Settings!$J$10,1))</f>
        <v>1</v>
      </c>
      <c r="Y448" s="12">
        <f t="shared" si="2"/>
        <v>1</v>
      </c>
      <c r="Z448" s="12">
        <f>IF($A448="","",IFERROR(ROUND(AVERAGEIFS('Historical Drafts'!$G$4:$G$300,'Historical Drafts'!$D$4:$D$300,$E448,'Historical Drafts'!$J$4:$J$300,"&gt;="&amp;$L448*0.85,'Historical Drafts'!$J$4:$J$300,"&lt;="&amp;$L448*1.15),0),$Y448))</f>
        <v>1</v>
      </c>
      <c r="AA448" s="12" t="str">
        <f>IF($A448="","",IF(COUNTIF('Auction Log'!$B$3:$B$300,$A448)&gt;0,"Sold","Available"))</f>
        <v>Available</v>
      </c>
      <c r="AB448" s="12" t="str">
        <f t="array" ref="AB448">IF($A448="","",IFERROR(XLOOKUP($A448,'Auction Log'!$B$3:$B$300,'Auction Log'!$G$3:$G$300,""),""))</f>
        <v/>
      </c>
      <c r="AC448" s="12" t="str">
        <f t="array" ref="AC448">IF($A448="","",IFERROR(XLOOKUP($A448,'Auction Log'!$B$3:$B$300,'Auction Log'!$F$3:$F$300,""),""))</f>
        <v/>
      </c>
      <c r="AD448" s="12">
        <f t="array" ref="AD448">IF($A448="","",ROUND($Y448*XLOOKUP($F448,Settings!$I$15:$I$20,Settings!$K$15:$K$20,0.4),0))</f>
        <v>0</v>
      </c>
      <c r="AE448" s="12">
        <f t="array" ref="AE448">IF($A448="","",ROUND($Y448*XLOOKUP($F448,Settings!$I$15:$I$20,Settings!$L$15:$L$20,0.8),0))</f>
        <v>1</v>
      </c>
      <c r="AF448" s="12">
        <f t="array" ref="AF448">IF($A448="","",ROUND($Y448*XLOOKUP($F448,Settings!$I$15:$I$20,Settings!$M$15:$M$20,1),0))</f>
        <v>1</v>
      </c>
      <c r="AG448" s="12">
        <f t="array" ref="AG448">IF($A448="","",ROUND($Y448*XLOOKUP($F448,Settings!$I$15:$I$20,Settings!$N$15:$N$20,1.1),0))</f>
        <v>1</v>
      </c>
      <c r="AH448" s="12">
        <f t="array" ref="AH448">IF($A448="","",ROUND($Y448*XLOOKUP($F448,Settings!$I$15:$I$20,Settings!$O$15:$O$20,1.1)*Settings!$J$7,0))</f>
        <v>1</v>
      </c>
      <c r="AI448" s="12">
        <f t="array" ref="AI448">IF($A448="","",IF($AA448="Sold","",MIN($AH448,IFERROR(XLOOKUP(Settings!$B$12,Managers!$B$4:$B$15,Managers!$H$4:$H$15),$AH448))))</f>
        <v>1</v>
      </c>
      <c r="AJ448" s="12" t="str">
        <f t="shared" si="3"/>
        <v>Recommended</v>
      </c>
      <c r="AK448" s="12">
        <f t="shared" si="4"/>
        <v>26</v>
      </c>
      <c r="AL448" s="12" t="str">
        <f t="shared" si="5"/>
        <v/>
      </c>
    </row>
    <row r="449" ht="15.75" customHeight="1">
      <c r="A449" s="10" t="s">
        <v>1181</v>
      </c>
      <c r="B449" s="10" t="s">
        <v>1182</v>
      </c>
      <c r="C449" s="10" t="s">
        <v>177</v>
      </c>
      <c r="D449" s="10" t="s">
        <v>121</v>
      </c>
      <c r="E449" s="10" t="s">
        <v>121</v>
      </c>
      <c r="F449" s="10" t="s">
        <v>117</v>
      </c>
      <c r="G449" s="10">
        <v>5.0</v>
      </c>
      <c r="H449" s="10">
        <v>7.0</v>
      </c>
      <c r="I449" s="10" t="s">
        <v>2140</v>
      </c>
      <c r="J449" s="10" t="s">
        <v>2136</v>
      </c>
      <c r="K449" s="10"/>
      <c r="L449" s="10">
        <v>14.0</v>
      </c>
      <c r="M449" s="10">
        <v>1.75</v>
      </c>
      <c r="N449" s="10"/>
      <c r="O449" s="10"/>
      <c r="P449" s="12">
        <f>IF($A449="","",IFERROR((IF($O449="",0,$O449)*Settings!$J$4+IF($L449="",0,$L449)*Settings!$J$5+IF($N449="",0,$N449)*Settings!$J$6)/(IF($O449="",0,Settings!$J$4)+IF($L449="",0,Settings!$J$5)+IF($N449="",0,Settings!$J$6)),0))</f>
        <v>14</v>
      </c>
      <c r="Q449" s="12">
        <f t="array" ref="Q449">IF($A449="","",XLOOKUP($E449,Settings!$A$19:$A$22,Settings!$G$19:$G$22,0))</f>
        <v>206</v>
      </c>
      <c r="R449" s="12">
        <f t="shared" si="1"/>
        <v>0</v>
      </c>
      <c r="S449" s="12">
        <f>IF($A449="","",IF($R449&lt;=0,1,1+$R449/SUMIF($R$4:$R$923,"&gt;0",$R$4:$R$923)*(Settings!$B$5*(Settings!$B$6-Settings!$B$7))))</f>
        <v>1</v>
      </c>
      <c r="T449" s="12">
        <f t="array" ref="T449">IF($A449="","",XLOOKUP($F449,Settings!$I$15:$I$20,Settings!$J$15:$J$20,1))</f>
        <v>0.75</v>
      </c>
      <c r="U449" s="12">
        <f>IF($A449="","",1+(($G449-5)/5)*Settings!$J$8)</f>
        <v>1</v>
      </c>
      <c r="V449" s="12">
        <f>IF($A449="","",1+(($H449-5)/5)*Settings!$J$9)</f>
        <v>1.06</v>
      </c>
      <c r="W449" s="12">
        <f t="array" ref="W449">IF($A449="","",XLOOKUP($J449,Lists!$C$3:$C$7,Lists!$D$3:$D$7,1))</f>
        <v>1</v>
      </c>
      <c r="X449" s="12">
        <f>IF($A449="","",IF($I449="Yes",Settings!$J$10,1))</f>
        <v>1</v>
      </c>
      <c r="Y449" s="12">
        <f t="shared" si="2"/>
        <v>1</v>
      </c>
      <c r="Z449" s="12">
        <f>IF($A449="","",IFERROR(ROUND(AVERAGEIFS('Historical Drafts'!$G$4:$G$300,'Historical Drafts'!$D$4:$D$300,$E449,'Historical Drafts'!$J$4:$J$300,"&gt;="&amp;$L449*0.85,'Historical Drafts'!$J$4:$J$300,"&lt;="&amp;$L449*1.15),0),$Y449))</f>
        <v>1</v>
      </c>
      <c r="AA449" s="12" t="str">
        <f>IF($A449="","",IF(COUNTIF('Auction Log'!$B$3:$B$300,$A449)&gt;0,"Sold","Available"))</f>
        <v>Available</v>
      </c>
      <c r="AB449" s="12" t="str">
        <f t="array" ref="AB449">IF($A449="","",IFERROR(XLOOKUP($A449,'Auction Log'!$B$3:$B$300,'Auction Log'!$G$3:$G$300,""),""))</f>
        <v/>
      </c>
      <c r="AC449" s="12" t="str">
        <f t="array" ref="AC449">IF($A449="","",IFERROR(XLOOKUP($A449,'Auction Log'!$B$3:$B$300,'Auction Log'!$F$3:$F$300,""),""))</f>
        <v/>
      </c>
      <c r="AD449" s="12">
        <f t="array" ref="AD449">IF($A449="","",ROUND($Y449*XLOOKUP($F449,Settings!$I$15:$I$20,Settings!$K$15:$K$20,0.4),0))</f>
        <v>0</v>
      </c>
      <c r="AE449" s="12">
        <f t="array" ref="AE449">IF($A449="","",ROUND($Y449*XLOOKUP($F449,Settings!$I$15:$I$20,Settings!$L$15:$L$20,0.8),0))</f>
        <v>1</v>
      </c>
      <c r="AF449" s="12">
        <f t="array" ref="AF449">IF($A449="","",ROUND($Y449*XLOOKUP($F449,Settings!$I$15:$I$20,Settings!$M$15:$M$20,1),0))</f>
        <v>1</v>
      </c>
      <c r="AG449" s="12">
        <f t="array" ref="AG449">IF($A449="","",ROUND($Y449*XLOOKUP($F449,Settings!$I$15:$I$20,Settings!$N$15:$N$20,1.1),0))</f>
        <v>1</v>
      </c>
      <c r="AH449" s="12">
        <f t="array" ref="AH449">IF($A449="","",ROUND($Y449*XLOOKUP($F449,Settings!$I$15:$I$20,Settings!$O$15:$O$20,1.1)*Settings!$J$7,0))</f>
        <v>1</v>
      </c>
      <c r="AI449" s="12">
        <f t="array" ref="AI449">IF($A449="","",IF($AA449="Sold","",MIN($AH449,IFERROR(XLOOKUP(Settings!$B$12,Managers!$B$4:$B$15,Managers!$H$4:$H$15),$AH449))))</f>
        <v>1</v>
      </c>
      <c r="AJ449" s="12" t="str">
        <f t="shared" si="3"/>
        <v>Recommended</v>
      </c>
      <c r="AK449" s="12">
        <f t="shared" si="4"/>
        <v>26</v>
      </c>
      <c r="AL449" s="12" t="str">
        <f t="shared" si="5"/>
        <v/>
      </c>
    </row>
    <row r="450" ht="15.75" customHeight="1">
      <c r="A450" s="10" t="s">
        <v>1183</v>
      </c>
      <c r="B450" s="10" t="s">
        <v>1184</v>
      </c>
      <c r="C450" s="10" t="s">
        <v>314</v>
      </c>
      <c r="D450" s="10" t="s">
        <v>121</v>
      </c>
      <c r="E450" s="10" t="s">
        <v>121</v>
      </c>
      <c r="F450" s="10" t="s">
        <v>117</v>
      </c>
      <c r="G450" s="10">
        <v>5.0</v>
      </c>
      <c r="H450" s="10">
        <v>7.0</v>
      </c>
      <c r="I450" s="10" t="s">
        <v>2140</v>
      </c>
      <c r="J450" s="10" t="s">
        <v>2136</v>
      </c>
      <c r="K450" s="10"/>
      <c r="L450" s="10">
        <v>14.0</v>
      </c>
      <c r="M450" s="10">
        <v>1.17</v>
      </c>
      <c r="N450" s="10"/>
      <c r="O450" s="10"/>
      <c r="P450" s="12">
        <f>IF($A450="","",IFERROR((IF($O450="",0,$O450)*Settings!$J$4+IF($L450="",0,$L450)*Settings!$J$5+IF($N450="",0,$N450)*Settings!$J$6)/(IF($O450="",0,Settings!$J$4)+IF($L450="",0,Settings!$J$5)+IF($N450="",0,Settings!$J$6)),0))</f>
        <v>14</v>
      </c>
      <c r="Q450" s="12">
        <f t="array" ref="Q450">IF($A450="","",XLOOKUP($E450,Settings!$A$19:$A$22,Settings!$G$19:$G$22,0))</f>
        <v>206</v>
      </c>
      <c r="R450" s="12">
        <f t="shared" si="1"/>
        <v>0</v>
      </c>
      <c r="S450" s="12">
        <f>IF($A450="","",IF($R450&lt;=0,1,1+$R450/SUMIF($R$4:$R$923,"&gt;0",$R$4:$R$923)*(Settings!$B$5*(Settings!$B$6-Settings!$B$7))))</f>
        <v>1</v>
      </c>
      <c r="T450" s="12">
        <f t="array" ref="T450">IF($A450="","",XLOOKUP($F450,Settings!$I$15:$I$20,Settings!$J$15:$J$20,1))</f>
        <v>0.75</v>
      </c>
      <c r="U450" s="12">
        <f>IF($A450="","",1+(($G450-5)/5)*Settings!$J$8)</f>
        <v>1</v>
      </c>
      <c r="V450" s="12">
        <f>IF($A450="","",1+(($H450-5)/5)*Settings!$J$9)</f>
        <v>1.06</v>
      </c>
      <c r="W450" s="12">
        <f t="array" ref="W450">IF($A450="","",XLOOKUP($J450,Lists!$C$3:$C$7,Lists!$D$3:$D$7,1))</f>
        <v>1</v>
      </c>
      <c r="X450" s="12">
        <f>IF($A450="","",IF($I450="Yes",Settings!$J$10,1))</f>
        <v>1</v>
      </c>
      <c r="Y450" s="12">
        <f t="shared" si="2"/>
        <v>1</v>
      </c>
      <c r="Z450" s="12">
        <f>IF($A450="","",IFERROR(ROUND(AVERAGEIFS('Historical Drafts'!$G$4:$G$300,'Historical Drafts'!$D$4:$D$300,$E450,'Historical Drafts'!$J$4:$J$300,"&gt;="&amp;$L450*0.85,'Historical Drafts'!$J$4:$J$300,"&lt;="&amp;$L450*1.15),0),$Y450))</f>
        <v>1</v>
      </c>
      <c r="AA450" s="12" t="str">
        <f>IF($A450="","",IF(COUNTIF('Auction Log'!$B$3:$B$300,$A450)&gt;0,"Sold","Available"))</f>
        <v>Available</v>
      </c>
      <c r="AB450" s="12" t="str">
        <f t="array" ref="AB450">IF($A450="","",IFERROR(XLOOKUP($A450,'Auction Log'!$B$3:$B$300,'Auction Log'!$G$3:$G$300,""),""))</f>
        <v/>
      </c>
      <c r="AC450" s="12" t="str">
        <f t="array" ref="AC450">IF($A450="","",IFERROR(XLOOKUP($A450,'Auction Log'!$B$3:$B$300,'Auction Log'!$F$3:$F$300,""),""))</f>
        <v/>
      </c>
      <c r="AD450" s="12">
        <f t="array" ref="AD450">IF($A450="","",ROUND($Y450*XLOOKUP($F450,Settings!$I$15:$I$20,Settings!$K$15:$K$20,0.4),0))</f>
        <v>0</v>
      </c>
      <c r="AE450" s="12">
        <f t="array" ref="AE450">IF($A450="","",ROUND($Y450*XLOOKUP($F450,Settings!$I$15:$I$20,Settings!$L$15:$L$20,0.8),0))</f>
        <v>1</v>
      </c>
      <c r="AF450" s="12">
        <f t="array" ref="AF450">IF($A450="","",ROUND($Y450*XLOOKUP($F450,Settings!$I$15:$I$20,Settings!$M$15:$M$20,1),0))</f>
        <v>1</v>
      </c>
      <c r="AG450" s="12">
        <f t="array" ref="AG450">IF($A450="","",ROUND($Y450*XLOOKUP($F450,Settings!$I$15:$I$20,Settings!$N$15:$N$20,1.1),0))</f>
        <v>1</v>
      </c>
      <c r="AH450" s="12">
        <f t="array" ref="AH450">IF($A450="","",ROUND($Y450*XLOOKUP($F450,Settings!$I$15:$I$20,Settings!$O$15:$O$20,1.1)*Settings!$J$7,0))</f>
        <v>1</v>
      </c>
      <c r="AI450" s="12">
        <f t="array" ref="AI450">IF($A450="","",IF($AA450="Sold","",MIN($AH450,IFERROR(XLOOKUP(Settings!$B$12,Managers!$B$4:$B$15,Managers!$H$4:$H$15),$AH450))))</f>
        <v>1</v>
      </c>
      <c r="AJ450" s="12" t="str">
        <f t="shared" si="3"/>
        <v>Recommended</v>
      </c>
      <c r="AK450" s="12">
        <f t="shared" si="4"/>
        <v>26</v>
      </c>
      <c r="AL450" s="12" t="str">
        <f t="shared" si="5"/>
        <v/>
      </c>
    </row>
    <row r="451" ht="15.75" customHeight="1">
      <c r="A451" s="10" t="s">
        <v>451</v>
      </c>
      <c r="B451" s="10" t="s">
        <v>452</v>
      </c>
      <c r="C451" s="10" t="s">
        <v>453</v>
      </c>
      <c r="D451" s="10" t="s">
        <v>123</v>
      </c>
      <c r="E451" s="10" t="s">
        <v>123</v>
      </c>
      <c r="F451" s="10" t="s">
        <v>117</v>
      </c>
      <c r="G451" s="10">
        <v>5.0</v>
      </c>
      <c r="H451" s="10">
        <v>7.0</v>
      </c>
      <c r="I451" s="10" t="s">
        <v>2140</v>
      </c>
      <c r="J451" s="10" t="s">
        <v>2136</v>
      </c>
      <c r="K451" s="10"/>
      <c r="L451" s="10">
        <v>14.0</v>
      </c>
      <c r="M451" s="10">
        <v>0.88</v>
      </c>
      <c r="N451" s="10"/>
      <c r="O451" s="10"/>
      <c r="P451" s="12">
        <f>IF($A451="","",IFERROR((IF($O451="",0,$O451)*Settings!$J$4+IF($L451="",0,$L451)*Settings!$J$5+IF($N451="",0,$N451)*Settings!$J$6)/(IF($O451="",0,Settings!$J$4)+IF($L451="",0,Settings!$J$5)+IF($N451="",0,Settings!$J$6)),0))</f>
        <v>14</v>
      </c>
      <c r="Q451" s="12">
        <f t="array" ref="Q451">IF($A451="","",XLOOKUP($E451,Settings!$A$19:$A$22,Settings!$G$19:$G$22,0))</f>
        <v>203</v>
      </c>
      <c r="R451" s="12">
        <f t="shared" si="1"/>
        <v>0</v>
      </c>
      <c r="S451" s="12">
        <f>IF($A451="","",IF($R451&lt;=0,1,1+$R451/SUMIF($R$4:$R$923,"&gt;0",$R$4:$R$923)*(Settings!$B$5*(Settings!$B$6-Settings!$B$7))))</f>
        <v>1</v>
      </c>
      <c r="T451" s="12">
        <f t="array" ref="T451">IF($A451="","",XLOOKUP($F451,Settings!$I$15:$I$20,Settings!$J$15:$J$20,1))</f>
        <v>0.75</v>
      </c>
      <c r="U451" s="12">
        <f>IF($A451="","",1+(($G451-5)/5)*Settings!$J$8)</f>
        <v>1</v>
      </c>
      <c r="V451" s="12">
        <f>IF($A451="","",1+(($H451-5)/5)*Settings!$J$9)</f>
        <v>1.06</v>
      </c>
      <c r="W451" s="12">
        <f t="array" ref="W451">IF($A451="","",XLOOKUP($J451,Lists!$C$3:$C$7,Lists!$D$3:$D$7,1))</f>
        <v>1</v>
      </c>
      <c r="X451" s="12">
        <f>IF($A451="","",IF($I451="Yes",Settings!$J$10,1))</f>
        <v>1</v>
      </c>
      <c r="Y451" s="12">
        <f t="shared" si="2"/>
        <v>1</v>
      </c>
      <c r="Z451" s="12">
        <f>IF($A451="","",IFERROR(ROUND(AVERAGEIFS('Historical Drafts'!$G$4:$G$300,'Historical Drafts'!$D$4:$D$300,$E451,'Historical Drafts'!$J$4:$J$300,"&gt;="&amp;$L451*0.85,'Historical Drafts'!$J$4:$J$300,"&lt;="&amp;$L451*1.15),0),$Y451))</f>
        <v>1</v>
      </c>
      <c r="AA451" s="12" t="str">
        <f>IF($A451="","",IF(COUNTIF('Auction Log'!$B$3:$B$300,$A451)&gt;0,"Sold","Available"))</f>
        <v>Available</v>
      </c>
      <c r="AB451" s="12" t="str">
        <f t="array" ref="AB451">IF($A451="","",IFERROR(XLOOKUP($A451,'Auction Log'!$B$3:$B$300,'Auction Log'!$G$3:$G$300,""),""))</f>
        <v/>
      </c>
      <c r="AC451" s="12" t="str">
        <f t="array" ref="AC451">IF($A451="","",IFERROR(XLOOKUP($A451,'Auction Log'!$B$3:$B$300,'Auction Log'!$F$3:$F$300,""),""))</f>
        <v/>
      </c>
      <c r="AD451" s="12">
        <f t="array" ref="AD451">IF($A451="","",ROUND($Y451*XLOOKUP($F451,Settings!$I$15:$I$20,Settings!$K$15:$K$20,0.4),0))</f>
        <v>0</v>
      </c>
      <c r="AE451" s="12">
        <f t="array" ref="AE451">IF($A451="","",ROUND($Y451*XLOOKUP($F451,Settings!$I$15:$I$20,Settings!$L$15:$L$20,0.8),0))</f>
        <v>1</v>
      </c>
      <c r="AF451" s="12">
        <f t="array" ref="AF451">IF($A451="","",ROUND($Y451*XLOOKUP($F451,Settings!$I$15:$I$20,Settings!$M$15:$M$20,1),0))</f>
        <v>1</v>
      </c>
      <c r="AG451" s="12">
        <f t="array" ref="AG451">IF($A451="","",ROUND($Y451*XLOOKUP($F451,Settings!$I$15:$I$20,Settings!$N$15:$N$20,1.1),0))</f>
        <v>1</v>
      </c>
      <c r="AH451" s="12">
        <f t="array" ref="AH451">IF($A451="","",ROUND($Y451*XLOOKUP($F451,Settings!$I$15:$I$20,Settings!$O$15:$O$20,1.1)*Settings!$J$7,0))</f>
        <v>1</v>
      </c>
      <c r="AI451" s="12">
        <f t="array" ref="AI451">IF($A451="","",IF($AA451="Sold","",MIN($AH451,IFERROR(XLOOKUP(Settings!$B$12,Managers!$B$4:$B$15,Managers!$H$4:$H$15),$AH451))))</f>
        <v>1</v>
      </c>
      <c r="AJ451" s="12" t="str">
        <f t="shared" si="3"/>
        <v>Recommended</v>
      </c>
      <c r="AK451" s="12">
        <f t="shared" si="4"/>
        <v>26</v>
      </c>
      <c r="AL451" s="12" t="str">
        <f t="shared" si="5"/>
        <v/>
      </c>
    </row>
    <row r="452" ht="15.75" customHeight="1">
      <c r="A452" s="10" t="s">
        <v>1185</v>
      </c>
      <c r="B452" s="10" t="s">
        <v>1186</v>
      </c>
      <c r="C452" s="10" t="s">
        <v>188</v>
      </c>
      <c r="D452" s="10" t="s">
        <v>115</v>
      </c>
      <c r="E452" s="10" t="s">
        <v>115</v>
      </c>
      <c r="F452" s="10" t="s">
        <v>117</v>
      </c>
      <c r="G452" s="10">
        <v>5.0</v>
      </c>
      <c r="H452" s="10">
        <v>7.0</v>
      </c>
      <c r="I452" s="10" t="s">
        <v>2140</v>
      </c>
      <c r="J452" s="10" t="s">
        <v>2136</v>
      </c>
      <c r="K452" s="10"/>
      <c r="L452" s="10">
        <v>13.5</v>
      </c>
      <c r="M452" s="10">
        <v>2.7</v>
      </c>
      <c r="N452" s="10"/>
      <c r="O452" s="10"/>
      <c r="P452" s="12">
        <f>IF($A452="","",IFERROR((IF($O452="",0,$O452)*Settings!$J$4+IF($L452="",0,$L452)*Settings!$J$5+IF($N452="",0,$N452)*Settings!$J$6)/(IF($O452="",0,Settings!$J$4)+IF($L452="",0,Settings!$J$5)+IF($N452="",0,Settings!$J$6)),0))</f>
        <v>13.5</v>
      </c>
      <c r="Q452" s="12">
        <f t="array" ref="Q452">IF($A452="","",XLOOKUP($E452,Settings!$A$19:$A$22,Settings!$G$19:$G$22,0))</f>
        <v>249.25</v>
      </c>
      <c r="R452" s="12">
        <f t="shared" si="1"/>
        <v>0</v>
      </c>
      <c r="S452" s="12">
        <f>IF($A452="","",IF($R452&lt;=0,1,1+$R452/SUMIF($R$4:$R$923,"&gt;0",$R$4:$R$923)*(Settings!$B$5*(Settings!$B$6-Settings!$B$7))))</f>
        <v>1</v>
      </c>
      <c r="T452" s="12">
        <f t="array" ref="T452">IF($A452="","",XLOOKUP($F452,Settings!$I$15:$I$20,Settings!$J$15:$J$20,1))</f>
        <v>0.75</v>
      </c>
      <c r="U452" s="12">
        <f>IF($A452="","",1+(($G452-5)/5)*Settings!$J$8)</f>
        <v>1</v>
      </c>
      <c r="V452" s="12">
        <f>IF($A452="","",1+(($H452-5)/5)*Settings!$J$9)</f>
        <v>1.06</v>
      </c>
      <c r="W452" s="12">
        <f t="array" ref="W452">IF($A452="","",XLOOKUP($J452,Lists!$C$3:$C$7,Lists!$D$3:$D$7,1))</f>
        <v>1</v>
      </c>
      <c r="X452" s="12">
        <f>IF($A452="","",IF($I452="Yes",Settings!$J$10,1))</f>
        <v>1</v>
      </c>
      <c r="Y452" s="12">
        <f t="shared" si="2"/>
        <v>1</v>
      </c>
      <c r="Z452" s="12">
        <f>IF($A452="","",IFERROR(ROUND(AVERAGEIFS('Historical Drafts'!$G$4:$G$300,'Historical Drafts'!$D$4:$D$300,$E452,'Historical Drafts'!$J$4:$J$300,"&gt;="&amp;$L452*0.85,'Historical Drafts'!$J$4:$J$300,"&lt;="&amp;$L452*1.15),0),$Y452))</f>
        <v>1</v>
      </c>
      <c r="AA452" s="12" t="str">
        <f>IF($A452="","",IF(COUNTIF('Auction Log'!$B$3:$B$300,$A452)&gt;0,"Sold","Available"))</f>
        <v>Available</v>
      </c>
      <c r="AB452" s="12" t="str">
        <f t="array" ref="AB452">IF($A452="","",IFERROR(XLOOKUP($A452,'Auction Log'!$B$3:$B$300,'Auction Log'!$G$3:$G$300,""),""))</f>
        <v/>
      </c>
      <c r="AC452" s="12" t="str">
        <f t="array" ref="AC452">IF($A452="","",IFERROR(XLOOKUP($A452,'Auction Log'!$B$3:$B$300,'Auction Log'!$F$3:$F$300,""),""))</f>
        <v/>
      </c>
      <c r="AD452" s="12">
        <f t="array" ref="AD452">IF($A452="","",ROUND($Y452*XLOOKUP($F452,Settings!$I$15:$I$20,Settings!$K$15:$K$20,0.4),0))</f>
        <v>0</v>
      </c>
      <c r="AE452" s="12">
        <f t="array" ref="AE452">IF($A452="","",ROUND($Y452*XLOOKUP($F452,Settings!$I$15:$I$20,Settings!$L$15:$L$20,0.8),0))</f>
        <v>1</v>
      </c>
      <c r="AF452" s="12">
        <f t="array" ref="AF452">IF($A452="","",ROUND($Y452*XLOOKUP($F452,Settings!$I$15:$I$20,Settings!$M$15:$M$20,1),0))</f>
        <v>1</v>
      </c>
      <c r="AG452" s="12">
        <f t="array" ref="AG452">IF($A452="","",ROUND($Y452*XLOOKUP($F452,Settings!$I$15:$I$20,Settings!$N$15:$N$20,1.1),0))</f>
        <v>1</v>
      </c>
      <c r="AH452" s="12">
        <f t="array" ref="AH452">IF($A452="","",ROUND($Y452*XLOOKUP($F452,Settings!$I$15:$I$20,Settings!$O$15:$O$20,1.1)*Settings!$J$7,0))</f>
        <v>1</v>
      </c>
      <c r="AI452" s="12">
        <f t="array" ref="AI452">IF($A452="","",IF($AA452="Sold","",MIN($AH452,IFERROR(XLOOKUP(Settings!$B$12,Managers!$B$4:$B$15,Managers!$H$4:$H$15),$AH452))))</f>
        <v>1</v>
      </c>
      <c r="AJ452" s="12" t="str">
        <f t="shared" si="3"/>
        <v>Recommended</v>
      </c>
      <c r="AK452" s="12">
        <f t="shared" si="4"/>
        <v>26</v>
      </c>
      <c r="AL452" s="12" t="str">
        <f t="shared" si="5"/>
        <v/>
      </c>
    </row>
    <row r="453" ht="15.75" customHeight="1">
      <c r="A453" s="10" t="s">
        <v>1187</v>
      </c>
      <c r="B453" s="10" t="s">
        <v>1188</v>
      </c>
      <c r="C453" s="10" t="s">
        <v>215</v>
      </c>
      <c r="D453" s="10" t="s">
        <v>121</v>
      </c>
      <c r="E453" s="10" t="s">
        <v>121</v>
      </c>
      <c r="F453" s="10" t="s">
        <v>117</v>
      </c>
      <c r="G453" s="10">
        <v>5.0</v>
      </c>
      <c r="H453" s="10">
        <v>7.0</v>
      </c>
      <c r="I453" s="10" t="s">
        <v>2140</v>
      </c>
      <c r="J453" s="10" t="s">
        <v>2136</v>
      </c>
      <c r="K453" s="10"/>
      <c r="L453" s="10">
        <v>13.0</v>
      </c>
      <c r="M453" s="10">
        <v>1.86</v>
      </c>
      <c r="N453" s="10"/>
      <c r="O453" s="10"/>
      <c r="P453" s="12">
        <f>IF($A453="","",IFERROR((IF($O453="",0,$O453)*Settings!$J$4+IF($L453="",0,$L453)*Settings!$J$5+IF($N453="",0,$N453)*Settings!$J$6)/(IF($O453="",0,Settings!$J$4)+IF($L453="",0,Settings!$J$5)+IF($N453="",0,Settings!$J$6)),0))</f>
        <v>13</v>
      </c>
      <c r="Q453" s="12">
        <f t="array" ref="Q453">IF($A453="","",XLOOKUP($E453,Settings!$A$19:$A$22,Settings!$G$19:$G$22,0))</f>
        <v>206</v>
      </c>
      <c r="R453" s="12">
        <f t="shared" si="1"/>
        <v>0</v>
      </c>
      <c r="S453" s="12">
        <f>IF($A453="","",IF($R453&lt;=0,1,1+$R453/SUMIF($R$4:$R$923,"&gt;0",$R$4:$R$923)*(Settings!$B$5*(Settings!$B$6-Settings!$B$7))))</f>
        <v>1</v>
      </c>
      <c r="T453" s="12">
        <f t="array" ref="T453">IF($A453="","",XLOOKUP($F453,Settings!$I$15:$I$20,Settings!$J$15:$J$20,1))</f>
        <v>0.75</v>
      </c>
      <c r="U453" s="12">
        <f>IF($A453="","",1+(($G453-5)/5)*Settings!$J$8)</f>
        <v>1</v>
      </c>
      <c r="V453" s="12">
        <f>IF($A453="","",1+(($H453-5)/5)*Settings!$J$9)</f>
        <v>1.06</v>
      </c>
      <c r="W453" s="12">
        <f t="array" ref="W453">IF($A453="","",XLOOKUP($J453,Lists!$C$3:$C$7,Lists!$D$3:$D$7,1))</f>
        <v>1</v>
      </c>
      <c r="X453" s="12">
        <f>IF($A453="","",IF($I453="Yes",Settings!$J$10,1))</f>
        <v>1</v>
      </c>
      <c r="Y453" s="12">
        <f t="shared" si="2"/>
        <v>1</v>
      </c>
      <c r="Z453" s="12">
        <f>IF($A453="","",IFERROR(ROUND(AVERAGEIFS('Historical Drafts'!$G$4:$G$300,'Historical Drafts'!$D$4:$D$300,$E453,'Historical Drafts'!$J$4:$J$300,"&gt;="&amp;$L453*0.85,'Historical Drafts'!$J$4:$J$300,"&lt;="&amp;$L453*1.15),0),$Y453))</f>
        <v>1</v>
      </c>
      <c r="AA453" s="12" t="str">
        <f>IF($A453="","",IF(COUNTIF('Auction Log'!$B$3:$B$300,$A453)&gt;0,"Sold","Available"))</f>
        <v>Available</v>
      </c>
      <c r="AB453" s="12" t="str">
        <f t="array" ref="AB453">IF($A453="","",IFERROR(XLOOKUP($A453,'Auction Log'!$B$3:$B$300,'Auction Log'!$G$3:$G$300,""),""))</f>
        <v/>
      </c>
      <c r="AC453" s="12" t="str">
        <f t="array" ref="AC453">IF($A453="","",IFERROR(XLOOKUP($A453,'Auction Log'!$B$3:$B$300,'Auction Log'!$F$3:$F$300,""),""))</f>
        <v/>
      </c>
      <c r="AD453" s="12">
        <f t="array" ref="AD453">IF($A453="","",ROUND($Y453*XLOOKUP($F453,Settings!$I$15:$I$20,Settings!$K$15:$K$20,0.4),0))</f>
        <v>0</v>
      </c>
      <c r="AE453" s="12">
        <f t="array" ref="AE453">IF($A453="","",ROUND($Y453*XLOOKUP($F453,Settings!$I$15:$I$20,Settings!$L$15:$L$20,0.8),0))</f>
        <v>1</v>
      </c>
      <c r="AF453" s="12">
        <f t="array" ref="AF453">IF($A453="","",ROUND($Y453*XLOOKUP($F453,Settings!$I$15:$I$20,Settings!$M$15:$M$20,1),0))</f>
        <v>1</v>
      </c>
      <c r="AG453" s="12">
        <f t="array" ref="AG453">IF($A453="","",ROUND($Y453*XLOOKUP($F453,Settings!$I$15:$I$20,Settings!$N$15:$N$20,1.1),0))</f>
        <v>1</v>
      </c>
      <c r="AH453" s="12">
        <f t="array" ref="AH453">IF($A453="","",ROUND($Y453*XLOOKUP($F453,Settings!$I$15:$I$20,Settings!$O$15:$O$20,1.1)*Settings!$J$7,0))</f>
        <v>1</v>
      </c>
      <c r="AI453" s="12">
        <f t="array" ref="AI453">IF($A453="","",IF($AA453="Sold","",MIN($AH453,IFERROR(XLOOKUP(Settings!$B$12,Managers!$B$4:$B$15,Managers!$H$4:$H$15),$AH453))))</f>
        <v>1</v>
      </c>
      <c r="AJ453" s="12" t="str">
        <f t="shared" si="3"/>
        <v>Recommended</v>
      </c>
      <c r="AK453" s="12">
        <f t="shared" si="4"/>
        <v>26</v>
      </c>
      <c r="AL453" s="12" t="str">
        <f t="shared" si="5"/>
        <v/>
      </c>
    </row>
    <row r="454" ht="15.75" customHeight="1">
      <c r="A454" s="10" t="s">
        <v>1189</v>
      </c>
      <c r="B454" s="10" t="s">
        <v>1190</v>
      </c>
      <c r="C454" s="10" t="s">
        <v>177</v>
      </c>
      <c r="D454" s="10" t="s">
        <v>115</v>
      </c>
      <c r="E454" s="10" t="s">
        <v>115</v>
      </c>
      <c r="F454" s="10" t="s">
        <v>117</v>
      </c>
      <c r="G454" s="10">
        <v>5.0</v>
      </c>
      <c r="H454" s="10">
        <v>7.0</v>
      </c>
      <c r="I454" s="10" t="s">
        <v>2140</v>
      </c>
      <c r="J454" s="10" t="s">
        <v>2136</v>
      </c>
      <c r="K454" s="10"/>
      <c r="L454" s="10">
        <v>12.75</v>
      </c>
      <c r="M454" s="10">
        <v>4.25</v>
      </c>
      <c r="N454" s="10"/>
      <c r="O454" s="10"/>
      <c r="P454" s="12">
        <f>IF($A454="","",IFERROR((IF($O454="",0,$O454)*Settings!$J$4+IF($L454="",0,$L454)*Settings!$J$5+IF($N454="",0,$N454)*Settings!$J$6)/(IF($O454="",0,Settings!$J$4)+IF($L454="",0,Settings!$J$5)+IF($N454="",0,Settings!$J$6)),0))</f>
        <v>12.75</v>
      </c>
      <c r="Q454" s="12">
        <f t="array" ref="Q454">IF($A454="","",XLOOKUP($E454,Settings!$A$19:$A$22,Settings!$G$19:$G$22,0))</f>
        <v>249.25</v>
      </c>
      <c r="R454" s="12">
        <f t="shared" si="1"/>
        <v>0</v>
      </c>
      <c r="S454" s="12">
        <f>IF($A454="","",IF($R454&lt;=0,1,1+$R454/SUMIF($R$4:$R$923,"&gt;0",$R$4:$R$923)*(Settings!$B$5*(Settings!$B$6-Settings!$B$7))))</f>
        <v>1</v>
      </c>
      <c r="T454" s="12">
        <f t="array" ref="T454">IF($A454="","",XLOOKUP($F454,Settings!$I$15:$I$20,Settings!$J$15:$J$20,1))</f>
        <v>0.75</v>
      </c>
      <c r="U454" s="12">
        <f>IF($A454="","",1+(($G454-5)/5)*Settings!$J$8)</f>
        <v>1</v>
      </c>
      <c r="V454" s="12">
        <f>IF($A454="","",1+(($H454-5)/5)*Settings!$J$9)</f>
        <v>1.06</v>
      </c>
      <c r="W454" s="12">
        <f t="array" ref="W454">IF($A454="","",XLOOKUP($J454,Lists!$C$3:$C$7,Lists!$D$3:$D$7,1))</f>
        <v>1</v>
      </c>
      <c r="X454" s="12">
        <f>IF($A454="","",IF($I454="Yes",Settings!$J$10,1))</f>
        <v>1</v>
      </c>
      <c r="Y454" s="12">
        <f t="shared" si="2"/>
        <v>1</v>
      </c>
      <c r="Z454" s="12">
        <f>IF($A454="","",IFERROR(ROUND(AVERAGEIFS('Historical Drafts'!$G$4:$G$300,'Historical Drafts'!$D$4:$D$300,$E454,'Historical Drafts'!$J$4:$J$300,"&gt;="&amp;$L454*0.85,'Historical Drafts'!$J$4:$J$300,"&lt;="&amp;$L454*1.15),0),$Y454))</f>
        <v>1</v>
      </c>
      <c r="AA454" s="12" t="str">
        <f>IF($A454="","",IF(COUNTIF('Auction Log'!$B$3:$B$300,$A454)&gt;0,"Sold","Available"))</f>
        <v>Available</v>
      </c>
      <c r="AB454" s="12" t="str">
        <f t="array" ref="AB454">IF($A454="","",IFERROR(XLOOKUP($A454,'Auction Log'!$B$3:$B$300,'Auction Log'!$G$3:$G$300,""),""))</f>
        <v/>
      </c>
      <c r="AC454" s="12" t="str">
        <f t="array" ref="AC454">IF($A454="","",IFERROR(XLOOKUP($A454,'Auction Log'!$B$3:$B$300,'Auction Log'!$F$3:$F$300,""),""))</f>
        <v/>
      </c>
      <c r="AD454" s="12">
        <f t="array" ref="AD454">IF($A454="","",ROUND($Y454*XLOOKUP($F454,Settings!$I$15:$I$20,Settings!$K$15:$K$20,0.4),0))</f>
        <v>0</v>
      </c>
      <c r="AE454" s="12">
        <f t="array" ref="AE454">IF($A454="","",ROUND($Y454*XLOOKUP($F454,Settings!$I$15:$I$20,Settings!$L$15:$L$20,0.8),0))</f>
        <v>1</v>
      </c>
      <c r="AF454" s="12">
        <f t="array" ref="AF454">IF($A454="","",ROUND($Y454*XLOOKUP($F454,Settings!$I$15:$I$20,Settings!$M$15:$M$20,1),0))</f>
        <v>1</v>
      </c>
      <c r="AG454" s="12">
        <f t="array" ref="AG454">IF($A454="","",ROUND($Y454*XLOOKUP($F454,Settings!$I$15:$I$20,Settings!$N$15:$N$20,1.1),0))</f>
        <v>1</v>
      </c>
      <c r="AH454" s="12">
        <f t="array" ref="AH454">IF($A454="","",ROUND($Y454*XLOOKUP($F454,Settings!$I$15:$I$20,Settings!$O$15:$O$20,1.1)*Settings!$J$7,0))</f>
        <v>1</v>
      </c>
      <c r="AI454" s="12">
        <f t="array" ref="AI454">IF($A454="","",IF($AA454="Sold","",MIN($AH454,IFERROR(XLOOKUP(Settings!$B$12,Managers!$B$4:$B$15,Managers!$H$4:$H$15),$AH454))))</f>
        <v>1</v>
      </c>
      <c r="AJ454" s="12" t="str">
        <f t="shared" si="3"/>
        <v>Recommended</v>
      </c>
      <c r="AK454" s="12">
        <f t="shared" si="4"/>
        <v>26</v>
      </c>
      <c r="AL454" s="12" t="str">
        <f t="shared" si="5"/>
        <v/>
      </c>
    </row>
    <row r="455" ht="15.75" customHeight="1">
      <c r="A455" s="10" t="s">
        <v>1191</v>
      </c>
      <c r="B455" s="10" t="s">
        <v>1192</v>
      </c>
      <c r="C455" s="10" t="s">
        <v>387</v>
      </c>
      <c r="D455" s="10" t="s">
        <v>123</v>
      </c>
      <c r="E455" s="10" t="s">
        <v>123</v>
      </c>
      <c r="F455" s="10" t="s">
        <v>117</v>
      </c>
      <c r="G455" s="10">
        <v>5.0</v>
      </c>
      <c r="H455" s="10">
        <v>7.0</v>
      </c>
      <c r="I455" s="10" t="s">
        <v>2140</v>
      </c>
      <c r="J455" s="10" t="s">
        <v>2136</v>
      </c>
      <c r="K455" s="10"/>
      <c r="L455" s="10">
        <v>12.0</v>
      </c>
      <c r="M455" s="10">
        <v>4.0</v>
      </c>
      <c r="N455" s="10"/>
      <c r="O455" s="10"/>
      <c r="P455" s="12">
        <f>IF($A455="","",IFERROR((IF($O455="",0,$O455)*Settings!$J$4+IF($L455="",0,$L455)*Settings!$J$5+IF($N455="",0,$N455)*Settings!$J$6)/(IF($O455="",0,Settings!$J$4)+IF($L455="",0,Settings!$J$5)+IF($N455="",0,Settings!$J$6)),0))</f>
        <v>12</v>
      </c>
      <c r="Q455" s="12">
        <f t="array" ref="Q455">IF($A455="","",XLOOKUP($E455,Settings!$A$19:$A$22,Settings!$G$19:$G$22,0))</f>
        <v>203</v>
      </c>
      <c r="R455" s="12">
        <f t="shared" si="1"/>
        <v>0</v>
      </c>
      <c r="S455" s="12">
        <f>IF($A455="","",IF($R455&lt;=0,1,1+$R455/SUMIF($R$4:$R$923,"&gt;0",$R$4:$R$923)*(Settings!$B$5*(Settings!$B$6-Settings!$B$7))))</f>
        <v>1</v>
      </c>
      <c r="T455" s="12">
        <f t="array" ref="T455">IF($A455="","",XLOOKUP($F455,Settings!$I$15:$I$20,Settings!$J$15:$J$20,1))</f>
        <v>0.75</v>
      </c>
      <c r="U455" s="12">
        <f>IF($A455="","",1+(($G455-5)/5)*Settings!$J$8)</f>
        <v>1</v>
      </c>
      <c r="V455" s="12">
        <f>IF($A455="","",1+(($H455-5)/5)*Settings!$J$9)</f>
        <v>1.06</v>
      </c>
      <c r="W455" s="12">
        <f t="array" ref="W455">IF($A455="","",XLOOKUP($J455,Lists!$C$3:$C$7,Lists!$D$3:$D$7,1))</f>
        <v>1</v>
      </c>
      <c r="X455" s="12">
        <f>IF($A455="","",IF($I455="Yes",Settings!$J$10,1))</f>
        <v>1</v>
      </c>
      <c r="Y455" s="12">
        <f t="shared" si="2"/>
        <v>1</v>
      </c>
      <c r="Z455" s="12">
        <f>IF($A455="","",IFERROR(ROUND(AVERAGEIFS('Historical Drafts'!$G$4:$G$300,'Historical Drafts'!$D$4:$D$300,$E455,'Historical Drafts'!$J$4:$J$300,"&gt;="&amp;$L455*0.85,'Historical Drafts'!$J$4:$J$300,"&lt;="&amp;$L455*1.15),0),$Y455))</f>
        <v>1</v>
      </c>
      <c r="AA455" s="12" t="str">
        <f>IF($A455="","",IF(COUNTIF('Auction Log'!$B$3:$B$300,$A455)&gt;0,"Sold","Available"))</f>
        <v>Available</v>
      </c>
      <c r="AB455" s="12" t="str">
        <f t="array" ref="AB455">IF($A455="","",IFERROR(XLOOKUP($A455,'Auction Log'!$B$3:$B$300,'Auction Log'!$G$3:$G$300,""),""))</f>
        <v/>
      </c>
      <c r="AC455" s="12" t="str">
        <f t="array" ref="AC455">IF($A455="","",IFERROR(XLOOKUP($A455,'Auction Log'!$B$3:$B$300,'Auction Log'!$F$3:$F$300,""),""))</f>
        <v/>
      </c>
      <c r="AD455" s="12">
        <f t="array" ref="AD455">IF($A455="","",ROUND($Y455*XLOOKUP($F455,Settings!$I$15:$I$20,Settings!$K$15:$K$20,0.4),0))</f>
        <v>0</v>
      </c>
      <c r="AE455" s="12">
        <f t="array" ref="AE455">IF($A455="","",ROUND($Y455*XLOOKUP($F455,Settings!$I$15:$I$20,Settings!$L$15:$L$20,0.8),0))</f>
        <v>1</v>
      </c>
      <c r="AF455" s="12">
        <f t="array" ref="AF455">IF($A455="","",ROUND($Y455*XLOOKUP($F455,Settings!$I$15:$I$20,Settings!$M$15:$M$20,1),0))</f>
        <v>1</v>
      </c>
      <c r="AG455" s="12">
        <f t="array" ref="AG455">IF($A455="","",ROUND($Y455*XLOOKUP($F455,Settings!$I$15:$I$20,Settings!$N$15:$N$20,1.1),0))</f>
        <v>1</v>
      </c>
      <c r="AH455" s="12">
        <f t="array" ref="AH455">IF($A455="","",ROUND($Y455*XLOOKUP($F455,Settings!$I$15:$I$20,Settings!$O$15:$O$20,1.1)*Settings!$J$7,0))</f>
        <v>1</v>
      </c>
      <c r="AI455" s="12">
        <f t="array" ref="AI455">IF($A455="","",IF($AA455="Sold","",MIN($AH455,IFERROR(XLOOKUP(Settings!$B$12,Managers!$B$4:$B$15,Managers!$H$4:$H$15),$AH455))))</f>
        <v>1</v>
      </c>
      <c r="AJ455" s="12" t="str">
        <f t="shared" si="3"/>
        <v>Recommended</v>
      </c>
      <c r="AK455" s="12">
        <f t="shared" si="4"/>
        <v>26</v>
      </c>
      <c r="AL455" s="12" t="str">
        <f t="shared" si="5"/>
        <v/>
      </c>
    </row>
    <row r="456" ht="15.75" customHeight="1">
      <c r="A456" s="10" t="s">
        <v>1193</v>
      </c>
      <c r="B456" s="10" t="s">
        <v>1194</v>
      </c>
      <c r="C456" s="10" t="s">
        <v>285</v>
      </c>
      <c r="D456" s="10" t="s">
        <v>121</v>
      </c>
      <c r="E456" s="10" t="s">
        <v>121</v>
      </c>
      <c r="F456" s="10" t="s">
        <v>117</v>
      </c>
      <c r="G456" s="10">
        <v>5.0</v>
      </c>
      <c r="H456" s="10">
        <v>7.0</v>
      </c>
      <c r="I456" s="10" t="s">
        <v>2140</v>
      </c>
      <c r="J456" s="10" t="s">
        <v>2136</v>
      </c>
      <c r="K456" s="10"/>
      <c r="L456" s="10">
        <v>12.0</v>
      </c>
      <c r="M456" s="10">
        <v>1.33</v>
      </c>
      <c r="N456" s="10"/>
      <c r="O456" s="10"/>
      <c r="P456" s="12">
        <f>IF($A456="","",IFERROR((IF($O456="",0,$O456)*Settings!$J$4+IF($L456="",0,$L456)*Settings!$J$5+IF($N456="",0,$N456)*Settings!$J$6)/(IF($O456="",0,Settings!$J$4)+IF($L456="",0,Settings!$J$5)+IF($N456="",0,Settings!$J$6)),0))</f>
        <v>12</v>
      </c>
      <c r="Q456" s="12">
        <f t="array" ref="Q456">IF($A456="","",XLOOKUP($E456,Settings!$A$19:$A$22,Settings!$G$19:$G$22,0))</f>
        <v>206</v>
      </c>
      <c r="R456" s="12">
        <f t="shared" si="1"/>
        <v>0</v>
      </c>
      <c r="S456" s="12">
        <f>IF($A456="","",IF($R456&lt;=0,1,1+$R456/SUMIF($R$4:$R$923,"&gt;0",$R$4:$R$923)*(Settings!$B$5*(Settings!$B$6-Settings!$B$7))))</f>
        <v>1</v>
      </c>
      <c r="T456" s="12">
        <f t="array" ref="T456">IF($A456="","",XLOOKUP($F456,Settings!$I$15:$I$20,Settings!$J$15:$J$20,1))</f>
        <v>0.75</v>
      </c>
      <c r="U456" s="12">
        <f>IF($A456="","",1+(($G456-5)/5)*Settings!$J$8)</f>
        <v>1</v>
      </c>
      <c r="V456" s="12">
        <f>IF($A456="","",1+(($H456-5)/5)*Settings!$J$9)</f>
        <v>1.06</v>
      </c>
      <c r="W456" s="12">
        <f t="array" ref="W456">IF($A456="","",XLOOKUP($J456,Lists!$C$3:$C$7,Lists!$D$3:$D$7,1))</f>
        <v>1</v>
      </c>
      <c r="X456" s="12">
        <f>IF($A456="","",IF($I456="Yes",Settings!$J$10,1))</f>
        <v>1</v>
      </c>
      <c r="Y456" s="12">
        <f t="shared" si="2"/>
        <v>1</v>
      </c>
      <c r="Z456" s="12">
        <f>IF($A456="","",IFERROR(ROUND(AVERAGEIFS('Historical Drafts'!$G$4:$G$300,'Historical Drafts'!$D$4:$D$300,$E456,'Historical Drafts'!$J$4:$J$300,"&gt;="&amp;$L456*0.85,'Historical Drafts'!$J$4:$J$300,"&lt;="&amp;$L456*1.15),0),$Y456))</f>
        <v>1</v>
      </c>
      <c r="AA456" s="12" t="str">
        <f>IF($A456="","",IF(COUNTIF('Auction Log'!$B$3:$B$300,$A456)&gt;0,"Sold","Available"))</f>
        <v>Available</v>
      </c>
      <c r="AB456" s="12" t="str">
        <f t="array" ref="AB456">IF($A456="","",IFERROR(XLOOKUP($A456,'Auction Log'!$B$3:$B$300,'Auction Log'!$G$3:$G$300,""),""))</f>
        <v/>
      </c>
      <c r="AC456" s="12" t="str">
        <f t="array" ref="AC456">IF($A456="","",IFERROR(XLOOKUP($A456,'Auction Log'!$B$3:$B$300,'Auction Log'!$F$3:$F$300,""),""))</f>
        <v/>
      </c>
      <c r="AD456" s="12">
        <f t="array" ref="AD456">IF($A456="","",ROUND($Y456*XLOOKUP($F456,Settings!$I$15:$I$20,Settings!$K$15:$K$20,0.4),0))</f>
        <v>0</v>
      </c>
      <c r="AE456" s="12">
        <f t="array" ref="AE456">IF($A456="","",ROUND($Y456*XLOOKUP($F456,Settings!$I$15:$I$20,Settings!$L$15:$L$20,0.8),0))</f>
        <v>1</v>
      </c>
      <c r="AF456" s="12">
        <f t="array" ref="AF456">IF($A456="","",ROUND($Y456*XLOOKUP($F456,Settings!$I$15:$I$20,Settings!$M$15:$M$20,1),0))</f>
        <v>1</v>
      </c>
      <c r="AG456" s="12">
        <f t="array" ref="AG456">IF($A456="","",ROUND($Y456*XLOOKUP($F456,Settings!$I$15:$I$20,Settings!$N$15:$N$20,1.1),0))</f>
        <v>1</v>
      </c>
      <c r="AH456" s="12">
        <f t="array" ref="AH456">IF($A456="","",ROUND($Y456*XLOOKUP($F456,Settings!$I$15:$I$20,Settings!$O$15:$O$20,1.1)*Settings!$J$7,0))</f>
        <v>1</v>
      </c>
      <c r="AI456" s="12">
        <f t="array" ref="AI456">IF($A456="","",IF($AA456="Sold","",MIN($AH456,IFERROR(XLOOKUP(Settings!$B$12,Managers!$B$4:$B$15,Managers!$H$4:$H$15),$AH456))))</f>
        <v>1</v>
      </c>
      <c r="AJ456" s="12" t="str">
        <f t="shared" si="3"/>
        <v>Recommended</v>
      </c>
      <c r="AK456" s="12">
        <f t="shared" si="4"/>
        <v>26</v>
      </c>
      <c r="AL456" s="12" t="str">
        <f t="shared" si="5"/>
        <v/>
      </c>
    </row>
    <row r="457" ht="15.75" customHeight="1">
      <c r="A457" s="10" t="s">
        <v>1195</v>
      </c>
      <c r="B457" s="10" t="s">
        <v>1196</v>
      </c>
      <c r="C457" s="10" t="s">
        <v>221</v>
      </c>
      <c r="D457" s="10" t="s">
        <v>121</v>
      </c>
      <c r="E457" s="10" t="s">
        <v>121</v>
      </c>
      <c r="F457" s="10" t="s">
        <v>117</v>
      </c>
      <c r="G457" s="10">
        <v>5.0</v>
      </c>
      <c r="H457" s="10">
        <v>7.0</v>
      </c>
      <c r="I457" s="10" t="s">
        <v>2140</v>
      </c>
      <c r="J457" s="10" t="s">
        <v>2136</v>
      </c>
      <c r="K457" s="10"/>
      <c r="L457" s="10">
        <v>11.5</v>
      </c>
      <c r="M457" s="10">
        <v>0.82</v>
      </c>
      <c r="N457" s="10"/>
      <c r="O457" s="10"/>
      <c r="P457" s="12">
        <f>IF($A457="","",IFERROR((IF($O457="",0,$O457)*Settings!$J$4+IF($L457="",0,$L457)*Settings!$J$5+IF($N457="",0,$N457)*Settings!$J$6)/(IF($O457="",0,Settings!$J$4)+IF($L457="",0,Settings!$J$5)+IF($N457="",0,Settings!$J$6)),0))</f>
        <v>11.5</v>
      </c>
      <c r="Q457" s="12">
        <f t="array" ref="Q457">IF($A457="","",XLOOKUP($E457,Settings!$A$19:$A$22,Settings!$G$19:$G$22,0))</f>
        <v>206</v>
      </c>
      <c r="R457" s="12">
        <f t="shared" si="1"/>
        <v>0</v>
      </c>
      <c r="S457" s="12">
        <f>IF($A457="","",IF($R457&lt;=0,1,1+$R457/SUMIF($R$4:$R$923,"&gt;0",$R$4:$R$923)*(Settings!$B$5*(Settings!$B$6-Settings!$B$7))))</f>
        <v>1</v>
      </c>
      <c r="T457" s="12">
        <f t="array" ref="T457">IF($A457="","",XLOOKUP($F457,Settings!$I$15:$I$20,Settings!$J$15:$J$20,1))</f>
        <v>0.75</v>
      </c>
      <c r="U457" s="12">
        <f>IF($A457="","",1+(($G457-5)/5)*Settings!$J$8)</f>
        <v>1</v>
      </c>
      <c r="V457" s="12">
        <f>IF($A457="","",1+(($H457-5)/5)*Settings!$J$9)</f>
        <v>1.06</v>
      </c>
      <c r="W457" s="12">
        <f t="array" ref="W457">IF($A457="","",XLOOKUP($J457,Lists!$C$3:$C$7,Lists!$D$3:$D$7,1))</f>
        <v>1</v>
      </c>
      <c r="X457" s="12">
        <f>IF($A457="","",IF($I457="Yes",Settings!$J$10,1))</f>
        <v>1</v>
      </c>
      <c r="Y457" s="12">
        <f t="shared" si="2"/>
        <v>1</v>
      </c>
      <c r="Z457" s="12">
        <f>IF($A457="","",IFERROR(ROUND(AVERAGEIFS('Historical Drafts'!$G$4:$G$300,'Historical Drafts'!$D$4:$D$300,$E457,'Historical Drafts'!$J$4:$J$300,"&gt;="&amp;$L457*0.85,'Historical Drafts'!$J$4:$J$300,"&lt;="&amp;$L457*1.15),0),$Y457))</f>
        <v>1</v>
      </c>
      <c r="AA457" s="12" t="str">
        <f>IF($A457="","",IF(COUNTIF('Auction Log'!$B$3:$B$300,$A457)&gt;0,"Sold","Available"))</f>
        <v>Available</v>
      </c>
      <c r="AB457" s="12" t="str">
        <f t="array" ref="AB457">IF($A457="","",IFERROR(XLOOKUP($A457,'Auction Log'!$B$3:$B$300,'Auction Log'!$G$3:$G$300,""),""))</f>
        <v/>
      </c>
      <c r="AC457" s="12" t="str">
        <f t="array" ref="AC457">IF($A457="","",IFERROR(XLOOKUP($A457,'Auction Log'!$B$3:$B$300,'Auction Log'!$F$3:$F$300,""),""))</f>
        <v/>
      </c>
      <c r="AD457" s="12">
        <f t="array" ref="AD457">IF($A457="","",ROUND($Y457*XLOOKUP($F457,Settings!$I$15:$I$20,Settings!$K$15:$K$20,0.4),0))</f>
        <v>0</v>
      </c>
      <c r="AE457" s="12">
        <f t="array" ref="AE457">IF($A457="","",ROUND($Y457*XLOOKUP($F457,Settings!$I$15:$I$20,Settings!$L$15:$L$20,0.8),0))</f>
        <v>1</v>
      </c>
      <c r="AF457" s="12">
        <f t="array" ref="AF457">IF($A457="","",ROUND($Y457*XLOOKUP($F457,Settings!$I$15:$I$20,Settings!$M$15:$M$20,1),0))</f>
        <v>1</v>
      </c>
      <c r="AG457" s="12">
        <f t="array" ref="AG457">IF($A457="","",ROUND($Y457*XLOOKUP($F457,Settings!$I$15:$I$20,Settings!$N$15:$N$20,1.1),0))</f>
        <v>1</v>
      </c>
      <c r="AH457" s="12">
        <f t="array" ref="AH457">IF($A457="","",ROUND($Y457*XLOOKUP($F457,Settings!$I$15:$I$20,Settings!$O$15:$O$20,1.1)*Settings!$J$7,0))</f>
        <v>1</v>
      </c>
      <c r="AI457" s="12">
        <f t="array" ref="AI457">IF($A457="","",IF($AA457="Sold","",MIN($AH457,IFERROR(XLOOKUP(Settings!$B$12,Managers!$B$4:$B$15,Managers!$H$4:$H$15),$AH457))))</f>
        <v>1</v>
      </c>
      <c r="AJ457" s="12" t="str">
        <f t="shared" si="3"/>
        <v>Recommended</v>
      </c>
      <c r="AK457" s="12">
        <f t="shared" si="4"/>
        <v>26</v>
      </c>
      <c r="AL457" s="12" t="str">
        <f t="shared" si="5"/>
        <v/>
      </c>
    </row>
    <row r="458" ht="15.75" customHeight="1">
      <c r="A458" s="10" t="s">
        <v>1197</v>
      </c>
      <c r="B458" s="10" t="s">
        <v>1198</v>
      </c>
      <c r="C458" s="10" t="s">
        <v>188</v>
      </c>
      <c r="D458" s="10" t="s">
        <v>118</v>
      </c>
      <c r="E458" s="10" t="s">
        <v>118</v>
      </c>
      <c r="F458" s="10" t="s">
        <v>117</v>
      </c>
      <c r="G458" s="10">
        <v>5.0</v>
      </c>
      <c r="H458" s="10">
        <v>7.0</v>
      </c>
      <c r="I458" s="10" t="s">
        <v>2140</v>
      </c>
      <c r="J458" s="10" t="s">
        <v>2136</v>
      </c>
      <c r="K458" s="10"/>
      <c r="L458" s="10">
        <v>10.0</v>
      </c>
      <c r="M458" s="10">
        <v>3.33</v>
      </c>
      <c r="N458" s="10"/>
      <c r="O458" s="10"/>
      <c r="P458" s="12">
        <f>IF($A458="","",IFERROR((IF($O458="",0,$O458)*Settings!$J$4+IF($L458="",0,$L458)*Settings!$J$5+IF($N458="",0,$N458)*Settings!$J$6)/(IF($O458="",0,Settings!$J$4)+IF($L458="",0,Settings!$J$5)+IF($N458="",0,Settings!$J$6)),0))</f>
        <v>10</v>
      </c>
      <c r="Q458" s="12">
        <f t="array" ref="Q458">IF($A458="","",XLOOKUP($E458,Settings!$A$19:$A$22,Settings!$G$19:$G$22,0))</f>
        <v>196.25</v>
      </c>
      <c r="R458" s="12">
        <f t="shared" si="1"/>
        <v>0</v>
      </c>
      <c r="S458" s="12">
        <f>IF($A458="","",IF($R458&lt;=0,1,1+$R458/SUMIF($R$4:$R$923,"&gt;0",$R$4:$R$923)*(Settings!$B$5*(Settings!$B$6-Settings!$B$7))))</f>
        <v>1</v>
      </c>
      <c r="T458" s="12">
        <f t="array" ref="T458">IF($A458="","",XLOOKUP($F458,Settings!$I$15:$I$20,Settings!$J$15:$J$20,1))</f>
        <v>0.75</v>
      </c>
      <c r="U458" s="12">
        <f>IF($A458="","",1+(($G458-5)/5)*Settings!$J$8)</f>
        <v>1</v>
      </c>
      <c r="V458" s="12">
        <f>IF($A458="","",1+(($H458-5)/5)*Settings!$J$9)</f>
        <v>1.06</v>
      </c>
      <c r="W458" s="12">
        <f t="array" ref="W458">IF($A458="","",XLOOKUP($J458,Lists!$C$3:$C$7,Lists!$D$3:$D$7,1))</f>
        <v>1</v>
      </c>
      <c r="X458" s="12">
        <f>IF($A458="","",IF($I458="Yes",Settings!$J$10,1))</f>
        <v>1</v>
      </c>
      <c r="Y458" s="12">
        <f t="shared" si="2"/>
        <v>1</v>
      </c>
      <c r="Z458" s="12">
        <f>IF($A458="","",IFERROR(ROUND(AVERAGEIFS('Historical Drafts'!$G$4:$G$300,'Historical Drafts'!$D$4:$D$300,$E458,'Historical Drafts'!$J$4:$J$300,"&gt;="&amp;$L458*0.85,'Historical Drafts'!$J$4:$J$300,"&lt;="&amp;$L458*1.15),0),$Y458))</f>
        <v>1</v>
      </c>
      <c r="AA458" s="12" t="str">
        <f>IF($A458="","",IF(COUNTIF('Auction Log'!$B$3:$B$300,$A458)&gt;0,"Sold","Available"))</f>
        <v>Available</v>
      </c>
      <c r="AB458" s="12" t="str">
        <f t="array" ref="AB458">IF($A458="","",IFERROR(XLOOKUP($A458,'Auction Log'!$B$3:$B$300,'Auction Log'!$G$3:$G$300,""),""))</f>
        <v/>
      </c>
      <c r="AC458" s="12" t="str">
        <f t="array" ref="AC458">IF($A458="","",IFERROR(XLOOKUP($A458,'Auction Log'!$B$3:$B$300,'Auction Log'!$F$3:$F$300,""),""))</f>
        <v/>
      </c>
      <c r="AD458" s="12">
        <f t="array" ref="AD458">IF($A458="","",ROUND($Y458*XLOOKUP($F458,Settings!$I$15:$I$20,Settings!$K$15:$K$20,0.4),0))</f>
        <v>0</v>
      </c>
      <c r="AE458" s="12">
        <f t="array" ref="AE458">IF($A458="","",ROUND($Y458*XLOOKUP($F458,Settings!$I$15:$I$20,Settings!$L$15:$L$20,0.8),0))</f>
        <v>1</v>
      </c>
      <c r="AF458" s="12">
        <f t="array" ref="AF458">IF($A458="","",ROUND($Y458*XLOOKUP($F458,Settings!$I$15:$I$20,Settings!$M$15:$M$20,1),0))</f>
        <v>1</v>
      </c>
      <c r="AG458" s="12">
        <f t="array" ref="AG458">IF($A458="","",ROUND($Y458*XLOOKUP($F458,Settings!$I$15:$I$20,Settings!$N$15:$N$20,1.1),0))</f>
        <v>1</v>
      </c>
      <c r="AH458" s="12">
        <f t="array" ref="AH458">IF($A458="","",ROUND($Y458*XLOOKUP($F458,Settings!$I$15:$I$20,Settings!$O$15:$O$20,1.1)*Settings!$J$7,0))</f>
        <v>1</v>
      </c>
      <c r="AI458" s="12">
        <f t="array" ref="AI458">IF($A458="","",IF($AA458="Sold","",MIN($AH458,IFERROR(XLOOKUP(Settings!$B$12,Managers!$B$4:$B$15,Managers!$H$4:$H$15),$AH458))))</f>
        <v>1</v>
      </c>
      <c r="AJ458" s="12" t="str">
        <f t="shared" si="3"/>
        <v>Recommended</v>
      </c>
      <c r="AK458" s="12">
        <f t="shared" si="4"/>
        <v>26</v>
      </c>
      <c r="AL458" s="12" t="str">
        <f t="shared" si="5"/>
        <v/>
      </c>
    </row>
    <row r="459" ht="15.75" customHeight="1">
      <c r="A459" s="10" t="s">
        <v>1199</v>
      </c>
      <c r="B459" s="10" t="s">
        <v>1200</v>
      </c>
      <c r="C459" s="10" t="s">
        <v>236</v>
      </c>
      <c r="D459" s="10" t="s">
        <v>115</v>
      </c>
      <c r="E459" s="10" t="s">
        <v>115</v>
      </c>
      <c r="F459" s="10" t="s">
        <v>117</v>
      </c>
      <c r="G459" s="10">
        <v>5.0</v>
      </c>
      <c r="H459" s="10">
        <v>7.0</v>
      </c>
      <c r="I459" s="10" t="s">
        <v>2140</v>
      </c>
      <c r="J459" s="10" t="s">
        <v>2136</v>
      </c>
      <c r="K459" s="10"/>
      <c r="L459" s="10">
        <v>10.0</v>
      </c>
      <c r="M459" s="10">
        <v>2.0</v>
      </c>
      <c r="N459" s="10"/>
      <c r="O459" s="10"/>
      <c r="P459" s="12">
        <f>IF($A459="","",IFERROR((IF($O459="",0,$O459)*Settings!$J$4+IF($L459="",0,$L459)*Settings!$J$5+IF($N459="",0,$N459)*Settings!$J$6)/(IF($O459="",0,Settings!$J$4)+IF($L459="",0,Settings!$J$5)+IF($N459="",0,Settings!$J$6)),0))</f>
        <v>10</v>
      </c>
      <c r="Q459" s="12">
        <f t="array" ref="Q459">IF($A459="","",XLOOKUP($E459,Settings!$A$19:$A$22,Settings!$G$19:$G$22,0))</f>
        <v>249.25</v>
      </c>
      <c r="R459" s="12">
        <f t="shared" si="1"/>
        <v>0</v>
      </c>
      <c r="S459" s="12">
        <f>IF($A459="","",IF($R459&lt;=0,1,1+$R459/SUMIF($R$4:$R$923,"&gt;0",$R$4:$R$923)*(Settings!$B$5*(Settings!$B$6-Settings!$B$7))))</f>
        <v>1</v>
      </c>
      <c r="T459" s="12">
        <f t="array" ref="T459">IF($A459="","",XLOOKUP($F459,Settings!$I$15:$I$20,Settings!$J$15:$J$20,1))</f>
        <v>0.75</v>
      </c>
      <c r="U459" s="12">
        <f>IF($A459="","",1+(($G459-5)/5)*Settings!$J$8)</f>
        <v>1</v>
      </c>
      <c r="V459" s="12">
        <f>IF($A459="","",1+(($H459-5)/5)*Settings!$J$9)</f>
        <v>1.06</v>
      </c>
      <c r="W459" s="12">
        <f t="array" ref="W459">IF($A459="","",XLOOKUP($J459,Lists!$C$3:$C$7,Lists!$D$3:$D$7,1))</f>
        <v>1</v>
      </c>
      <c r="X459" s="12">
        <f>IF($A459="","",IF($I459="Yes",Settings!$J$10,1))</f>
        <v>1</v>
      </c>
      <c r="Y459" s="12">
        <f t="shared" si="2"/>
        <v>1</v>
      </c>
      <c r="Z459" s="12">
        <f>IF($A459="","",IFERROR(ROUND(AVERAGEIFS('Historical Drafts'!$G$4:$G$300,'Historical Drafts'!$D$4:$D$300,$E459,'Historical Drafts'!$J$4:$J$300,"&gt;="&amp;$L459*0.85,'Historical Drafts'!$J$4:$J$300,"&lt;="&amp;$L459*1.15),0),$Y459))</f>
        <v>1</v>
      </c>
      <c r="AA459" s="12" t="str">
        <f>IF($A459="","",IF(COUNTIF('Auction Log'!$B$3:$B$300,$A459)&gt;0,"Sold","Available"))</f>
        <v>Available</v>
      </c>
      <c r="AB459" s="12" t="str">
        <f t="array" ref="AB459">IF($A459="","",IFERROR(XLOOKUP($A459,'Auction Log'!$B$3:$B$300,'Auction Log'!$G$3:$G$300,""),""))</f>
        <v/>
      </c>
      <c r="AC459" s="12" t="str">
        <f t="array" ref="AC459">IF($A459="","",IFERROR(XLOOKUP($A459,'Auction Log'!$B$3:$B$300,'Auction Log'!$F$3:$F$300,""),""))</f>
        <v/>
      </c>
      <c r="AD459" s="12">
        <f t="array" ref="AD459">IF($A459="","",ROUND($Y459*XLOOKUP($F459,Settings!$I$15:$I$20,Settings!$K$15:$K$20,0.4),0))</f>
        <v>0</v>
      </c>
      <c r="AE459" s="12">
        <f t="array" ref="AE459">IF($A459="","",ROUND($Y459*XLOOKUP($F459,Settings!$I$15:$I$20,Settings!$L$15:$L$20,0.8),0))</f>
        <v>1</v>
      </c>
      <c r="AF459" s="12">
        <f t="array" ref="AF459">IF($A459="","",ROUND($Y459*XLOOKUP($F459,Settings!$I$15:$I$20,Settings!$M$15:$M$20,1),0))</f>
        <v>1</v>
      </c>
      <c r="AG459" s="12">
        <f t="array" ref="AG459">IF($A459="","",ROUND($Y459*XLOOKUP($F459,Settings!$I$15:$I$20,Settings!$N$15:$N$20,1.1),0))</f>
        <v>1</v>
      </c>
      <c r="AH459" s="12">
        <f t="array" ref="AH459">IF($A459="","",ROUND($Y459*XLOOKUP($F459,Settings!$I$15:$I$20,Settings!$O$15:$O$20,1.1)*Settings!$J$7,0))</f>
        <v>1</v>
      </c>
      <c r="AI459" s="12">
        <f t="array" ref="AI459">IF($A459="","",IF($AA459="Sold","",MIN($AH459,IFERROR(XLOOKUP(Settings!$B$12,Managers!$B$4:$B$15,Managers!$H$4:$H$15),$AH459))))</f>
        <v>1</v>
      </c>
      <c r="AJ459" s="12" t="str">
        <f t="shared" si="3"/>
        <v>Recommended</v>
      </c>
      <c r="AK459" s="12">
        <f t="shared" si="4"/>
        <v>26</v>
      </c>
      <c r="AL459" s="12" t="str">
        <f t="shared" si="5"/>
        <v/>
      </c>
    </row>
    <row r="460" ht="15.75" customHeight="1">
      <c r="A460" s="10" t="s">
        <v>1201</v>
      </c>
      <c r="B460" s="10" t="s">
        <v>1202</v>
      </c>
      <c r="C460" s="10" t="s">
        <v>221</v>
      </c>
      <c r="D460" s="10" t="s">
        <v>121</v>
      </c>
      <c r="E460" s="10" t="s">
        <v>121</v>
      </c>
      <c r="F460" s="10" t="s">
        <v>117</v>
      </c>
      <c r="G460" s="10">
        <v>5.0</v>
      </c>
      <c r="H460" s="10">
        <v>7.0</v>
      </c>
      <c r="I460" s="10" t="s">
        <v>2140</v>
      </c>
      <c r="J460" s="10" t="s">
        <v>2136</v>
      </c>
      <c r="K460" s="10"/>
      <c r="L460" s="10">
        <v>9.5</v>
      </c>
      <c r="M460" s="10">
        <v>9.5</v>
      </c>
      <c r="N460" s="10"/>
      <c r="O460" s="10"/>
      <c r="P460" s="12">
        <f>IF($A460="","",IFERROR((IF($O460="",0,$O460)*Settings!$J$4+IF($L460="",0,$L460)*Settings!$J$5+IF($N460="",0,$N460)*Settings!$J$6)/(IF($O460="",0,Settings!$J$4)+IF($L460="",0,Settings!$J$5)+IF($N460="",0,Settings!$J$6)),0))</f>
        <v>9.5</v>
      </c>
      <c r="Q460" s="12">
        <f t="array" ref="Q460">IF($A460="","",XLOOKUP($E460,Settings!$A$19:$A$22,Settings!$G$19:$G$22,0))</f>
        <v>206</v>
      </c>
      <c r="R460" s="12">
        <f t="shared" si="1"/>
        <v>0</v>
      </c>
      <c r="S460" s="12">
        <f>IF($A460="","",IF($R460&lt;=0,1,1+$R460/SUMIF($R$4:$R$923,"&gt;0",$R$4:$R$923)*(Settings!$B$5*(Settings!$B$6-Settings!$B$7))))</f>
        <v>1</v>
      </c>
      <c r="T460" s="12">
        <f t="array" ref="T460">IF($A460="","",XLOOKUP($F460,Settings!$I$15:$I$20,Settings!$J$15:$J$20,1))</f>
        <v>0.75</v>
      </c>
      <c r="U460" s="12">
        <f>IF($A460="","",1+(($G460-5)/5)*Settings!$J$8)</f>
        <v>1</v>
      </c>
      <c r="V460" s="12">
        <f>IF($A460="","",1+(($H460-5)/5)*Settings!$J$9)</f>
        <v>1.06</v>
      </c>
      <c r="W460" s="12">
        <f t="array" ref="W460">IF($A460="","",XLOOKUP($J460,Lists!$C$3:$C$7,Lists!$D$3:$D$7,1))</f>
        <v>1</v>
      </c>
      <c r="X460" s="12">
        <f>IF($A460="","",IF($I460="Yes",Settings!$J$10,1))</f>
        <v>1</v>
      </c>
      <c r="Y460" s="12">
        <f t="shared" si="2"/>
        <v>1</v>
      </c>
      <c r="Z460" s="12">
        <f>IF($A460="","",IFERROR(ROUND(AVERAGEIFS('Historical Drafts'!$G$4:$G$300,'Historical Drafts'!$D$4:$D$300,$E460,'Historical Drafts'!$J$4:$J$300,"&gt;="&amp;$L460*0.85,'Historical Drafts'!$J$4:$J$300,"&lt;="&amp;$L460*1.15),0),$Y460))</f>
        <v>1</v>
      </c>
      <c r="AA460" s="12" t="str">
        <f>IF($A460="","",IF(COUNTIF('Auction Log'!$B$3:$B$300,$A460)&gt;0,"Sold","Available"))</f>
        <v>Available</v>
      </c>
      <c r="AB460" s="12" t="str">
        <f t="array" ref="AB460">IF($A460="","",IFERROR(XLOOKUP($A460,'Auction Log'!$B$3:$B$300,'Auction Log'!$G$3:$G$300,""),""))</f>
        <v/>
      </c>
      <c r="AC460" s="12" t="str">
        <f t="array" ref="AC460">IF($A460="","",IFERROR(XLOOKUP($A460,'Auction Log'!$B$3:$B$300,'Auction Log'!$F$3:$F$300,""),""))</f>
        <v/>
      </c>
      <c r="AD460" s="12">
        <f t="array" ref="AD460">IF($A460="","",ROUND($Y460*XLOOKUP($F460,Settings!$I$15:$I$20,Settings!$K$15:$K$20,0.4),0))</f>
        <v>0</v>
      </c>
      <c r="AE460" s="12">
        <f t="array" ref="AE460">IF($A460="","",ROUND($Y460*XLOOKUP($F460,Settings!$I$15:$I$20,Settings!$L$15:$L$20,0.8),0))</f>
        <v>1</v>
      </c>
      <c r="AF460" s="12">
        <f t="array" ref="AF460">IF($A460="","",ROUND($Y460*XLOOKUP($F460,Settings!$I$15:$I$20,Settings!$M$15:$M$20,1),0))</f>
        <v>1</v>
      </c>
      <c r="AG460" s="12">
        <f t="array" ref="AG460">IF($A460="","",ROUND($Y460*XLOOKUP($F460,Settings!$I$15:$I$20,Settings!$N$15:$N$20,1.1),0))</f>
        <v>1</v>
      </c>
      <c r="AH460" s="12">
        <f t="array" ref="AH460">IF($A460="","",ROUND($Y460*XLOOKUP($F460,Settings!$I$15:$I$20,Settings!$O$15:$O$20,1.1)*Settings!$J$7,0))</f>
        <v>1</v>
      </c>
      <c r="AI460" s="12">
        <f t="array" ref="AI460">IF($A460="","",IF($AA460="Sold","",MIN($AH460,IFERROR(XLOOKUP(Settings!$B$12,Managers!$B$4:$B$15,Managers!$H$4:$H$15),$AH460))))</f>
        <v>1</v>
      </c>
      <c r="AJ460" s="12" t="str">
        <f t="shared" si="3"/>
        <v>Recommended</v>
      </c>
      <c r="AK460" s="12">
        <f t="shared" si="4"/>
        <v>26</v>
      </c>
      <c r="AL460" s="12" t="str">
        <f t="shared" si="5"/>
        <v/>
      </c>
    </row>
    <row r="461" ht="15.75" customHeight="1">
      <c r="A461" s="10" t="s">
        <v>1203</v>
      </c>
      <c r="B461" s="10" t="s">
        <v>1204</v>
      </c>
      <c r="C461" s="10" t="s">
        <v>236</v>
      </c>
      <c r="D461" s="10" t="s">
        <v>118</v>
      </c>
      <c r="E461" s="10" t="s">
        <v>118</v>
      </c>
      <c r="F461" s="10" t="s">
        <v>117</v>
      </c>
      <c r="G461" s="10">
        <v>5.0</v>
      </c>
      <c r="H461" s="10">
        <v>7.0</v>
      </c>
      <c r="I461" s="10" t="s">
        <v>2140</v>
      </c>
      <c r="J461" s="10" t="s">
        <v>2136</v>
      </c>
      <c r="K461" s="10"/>
      <c r="L461" s="10">
        <v>8.75</v>
      </c>
      <c r="M461" s="10">
        <v>2.92</v>
      </c>
      <c r="N461" s="10"/>
      <c r="O461" s="10"/>
      <c r="P461" s="12">
        <f>IF($A461="","",IFERROR((IF($O461="",0,$O461)*Settings!$J$4+IF($L461="",0,$L461)*Settings!$J$5+IF($N461="",0,$N461)*Settings!$J$6)/(IF($O461="",0,Settings!$J$4)+IF($L461="",0,Settings!$J$5)+IF($N461="",0,Settings!$J$6)),0))</f>
        <v>8.75</v>
      </c>
      <c r="Q461" s="12">
        <f t="array" ref="Q461">IF($A461="","",XLOOKUP($E461,Settings!$A$19:$A$22,Settings!$G$19:$G$22,0))</f>
        <v>196.25</v>
      </c>
      <c r="R461" s="12">
        <f t="shared" si="1"/>
        <v>0</v>
      </c>
      <c r="S461" s="12">
        <f>IF($A461="","",IF($R461&lt;=0,1,1+$R461/SUMIF($R$4:$R$923,"&gt;0",$R$4:$R$923)*(Settings!$B$5*(Settings!$B$6-Settings!$B$7))))</f>
        <v>1</v>
      </c>
      <c r="T461" s="12">
        <f t="array" ref="T461">IF($A461="","",XLOOKUP($F461,Settings!$I$15:$I$20,Settings!$J$15:$J$20,1))</f>
        <v>0.75</v>
      </c>
      <c r="U461" s="12">
        <f>IF($A461="","",1+(($G461-5)/5)*Settings!$J$8)</f>
        <v>1</v>
      </c>
      <c r="V461" s="12">
        <f>IF($A461="","",1+(($H461-5)/5)*Settings!$J$9)</f>
        <v>1.06</v>
      </c>
      <c r="W461" s="12">
        <f t="array" ref="W461">IF($A461="","",XLOOKUP($J461,Lists!$C$3:$C$7,Lists!$D$3:$D$7,1))</f>
        <v>1</v>
      </c>
      <c r="X461" s="12">
        <f>IF($A461="","",IF($I461="Yes",Settings!$J$10,1))</f>
        <v>1</v>
      </c>
      <c r="Y461" s="12">
        <f t="shared" si="2"/>
        <v>1</v>
      </c>
      <c r="Z461" s="12">
        <f>IF($A461="","",IFERROR(ROUND(AVERAGEIFS('Historical Drafts'!$G$4:$G$300,'Historical Drafts'!$D$4:$D$300,$E461,'Historical Drafts'!$J$4:$J$300,"&gt;="&amp;$L461*0.85,'Historical Drafts'!$J$4:$J$300,"&lt;="&amp;$L461*1.15),0),$Y461))</f>
        <v>1</v>
      </c>
      <c r="AA461" s="12" t="str">
        <f>IF($A461="","",IF(COUNTIF('Auction Log'!$B$3:$B$300,$A461)&gt;0,"Sold","Available"))</f>
        <v>Available</v>
      </c>
      <c r="AB461" s="12" t="str">
        <f t="array" ref="AB461">IF($A461="","",IFERROR(XLOOKUP($A461,'Auction Log'!$B$3:$B$300,'Auction Log'!$G$3:$G$300,""),""))</f>
        <v/>
      </c>
      <c r="AC461" s="12" t="str">
        <f t="array" ref="AC461">IF($A461="","",IFERROR(XLOOKUP($A461,'Auction Log'!$B$3:$B$300,'Auction Log'!$F$3:$F$300,""),""))</f>
        <v/>
      </c>
      <c r="AD461" s="12">
        <f t="array" ref="AD461">IF($A461="","",ROUND($Y461*XLOOKUP($F461,Settings!$I$15:$I$20,Settings!$K$15:$K$20,0.4),0))</f>
        <v>0</v>
      </c>
      <c r="AE461" s="12">
        <f t="array" ref="AE461">IF($A461="","",ROUND($Y461*XLOOKUP($F461,Settings!$I$15:$I$20,Settings!$L$15:$L$20,0.8),0))</f>
        <v>1</v>
      </c>
      <c r="AF461" s="12">
        <f t="array" ref="AF461">IF($A461="","",ROUND($Y461*XLOOKUP($F461,Settings!$I$15:$I$20,Settings!$M$15:$M$20,1),0))</f>
        <v>1</v>
      </c>
      <c r="AG461" s="12">
        <f t="array" ref="AG461">IF($A461="","",ROUND($Y461*XLOOKUP($F461,Settings!$I$15:$I$20,Settings!$N$15:$N$20,1.1),0))</f>
        <v>1</v>
      </c>
      <c r="AH461" s="12">
        <f t="array" ref="AH461">IF($A461="","",ROUND($Y461*XLOOKUP($F461,Settings!$I$15:$I$20,Settings!$O$15:$O$20,1.1)*Settings!$J$7,0))</f>
        <v>1</v>
      </c>
      <c r="AI461" s="12">
        <f t="array" ref="AI461">IF($A461="","",IF($AA461="Sold","",MIN($AH461,IFERROR(XLOOKUP(Settings!$B$12,Managers!$B$4:$B$15,Managers!$H$4:$H$15),$AH461))))</f>
        <v>1</v>
      </c>
      <c r="AJ461" s="12" t="str">
        <f t="shared" si="3"/>
        <v>Recommended</v>
      </c>
      <c r="AK461" s="12">
        <f t="shared" si="4"/>
        <v>26</v>
      </c>
      <c r="AL461" s="12" t="str">
        <f t="shared" si="5"/>
        <v/>
      </c>
    </row>
    <row r="462" ht="15.75" customHeight="1">
      <c r="A462" s="10" t="s">
        <v>1205</v>
      </c>
      <c r="B462" s="10" t="s">
        <v>1206</v>
      </c>
      <c r="C462" s="10" t="s">
        <v>188</v>
      </c>
      <c r="D462" s="10" t="s">
        <v>118</v>
      </c>
      <c r="E462" s="10" t="s">
        <v>118</v>
      </c>
      <c r="F462" s="10" t="s">
        <v>117</v>
      </c>
      <c r="G462" s="10">
        <v>5.0</v>
      </c>
      <c r="H462" s="10">
        <v>7.0</v>
      </c>
      <c r="I462" s="10" t="s">
        <v>2140</v>
      </c>
      <c r="J462" s="10" t="s">
        <v>2136</v>
      </c>
      <c r="K462" s="10"/>
      <c r="L462" s="10">
        <v>8.75</v>
      </c>
      <c r="M462" s="10">
        <v>1.09</v>
      </c>
      <c r="N462" s="10"/>
      <c r="O462" s="10"/>
      <c r="P462" s="12">
        <f>IF($A462="","",IFERROR((IF($O462="",0,$O462)*Settings!$J$4+IF($L462="",0,$L462)*Settings!$J$5+IF($N462="",0,$N462)*Settings!$J$6)/(IF($O462="",0,Settings!$J$4)+IF($L462="",0,Settings!$J$5)+IF($N462="",0,Settings!$J$6)),0))</f>
        <v>8.75</v>
      </c>
      <c r="Q462" s="12">
        <f t="array" ref="Q462">IF($A462="","",XLOOKUP($E462,Settings!$A$19:$A$22,Settings!$G$19:$G$22,0))</f>
        <v>196.25</v>
      </c>
      <c r="R462" s="12">
        <f t="shared" si="1"/>
        <v>0</v>
      </c>
      <c r="S462" s="12">
        <f>IF($A462="","",IF($R462&lt;=0,1,1+$R462/SUMIF($R$4:$R$923,"&gt;0",$R$4:$R$923)*(Settings!$B$5*(Settings!$B$6-Settings!$B$7))))</f>
        <v>1</v>
      </c>
      <c r="T462" s="12">
        <f t="array" ref="T462">IF($A462="","",XLOOKUP($F462,Settings!$I$15:$I$20,Settings!$J$15:$J$20,1))</f>
        <v>0.75</v>
      </c>
      <c r="U462" s="12">
        <f>IF($A462="","",1+(($G462-5)/5)*Settings!$J$8)</f>
        <v>1</v>
      </c>
      <c r="V462" s="12">
        <f>IF($A462="","",1+(($H462-5)/5)*Settings!$J$9)</f>
        <v>1.06</v>
      </c>
      <c r="W462" s="12">
        <f t="array" ref="W462">IF($A462="","",XLOOKUP($J462,Lists!$C$3:$C$7,Lists!$D$3:$D$7,1))</f>
        <v>1</v>
      </c>
      <c r="X462" s="12">
        <f>IF($A462="","",IF($I462="Yes",Settings!$J$10,1))</f>
        <v>1</v>
      </c>
      <c r="Y462" s="12">
        <f t="shared" si="2"/>
        <v>1</v>
      </c>
      <c r="Z462" s="12">
        <f>IF($A462="","",IFERROR(ROUND(AVERAGEIFS('Historical Drafts'!$G$4:$G$300,'Historical Drafts'!$D$4:$D$300,$E462,'Historical Drafts'!$J$4:$J$300,"&gt;="&amp;$L462*0.85,'Historical Drafts'!$J$4:$J$300,"&lt;="&amp;$L462*1.15),0),$Y462))</f>
        <v>1</v>
      </c>
      <c r="AA462" s="12" t="str">
        <f>IF($A462="","",IF(COUNTIF('Auction Log'!$B$3:$B$300,$A462)&gt;0,"Sold","Available"))</f>
        <v>Available</v>
      </c>
      <c r="AB462" s="12" t="str">
        <f t="array" ref="AB462">IF($A462="","",IFERROR(XLOOKUP($A462,'Auction Log'!$B$3:$B$300,'Auction Log'!$G$3:$G$300,""),""))</f>
        <v/>
      </c>
      <c r="AC462" s="12" t="str">
        <f t="array" ref="AC462">IF($A462="","",IFERROR(XLOOKUP($A462,'Auction Log'!$B$3:$B$300,'Auction Log'!$F$3:$F$300,""),""))</f>
        <v/>
      </c>
      <c r="AD462" s="12">
        <f t="array" ref="AD462">IF($A462="","",ROUND($Y462*XLOOKUP($F462,Settings!$I$15:$I$20,Settings!$K$15:$K$20,0.4),0))</f>
        <v>0</v>
      </c>
      <c r="AE462" s="12">
        <f t="array" ref="AE462">IF($A462="","",ROUND($Y462*XLOOKUP($F462,Settings!$I$15:$I$20,Settings!$L$15:$L$20,0.8),0))</f>
        <v>1</v>
      </c>
      <c r="AF462" s="12">
        <f t="array" ref="AF462">IF($A462="","",ROUND($Y462*XLOOKUP($F462,Settings!$I$15:$I$20,Settings!$M$15:$M$20,1),0))</f>
        <v>1</v>
      </c>
      <c r="AG462" s="12">
        <f t="array" ref="AG462">IF($A462="","",ROUND($Y462*XLOOKUP($F462,Settings!$I$15:$I$20,Settings!$N$15:$N$20,1.1),0))</f>
        <v>1</v>
      </c>
      <c r="AH462" s="12">
        <f t="array" ref="AH462">IF($A462="","",ROUND($Y462*XLOOKUP($F462,Settings!$I$15:$I$20,Settings!$O$15:$O$20,1.1)*Settings!$J$7,0))</f>
        <v>1</v>
      </c>
      <c r="AI462" s="12">
        <f t="array" ref="AI462">IF($A462="","",IF($AA462="Sold","",MIN($AH462,IFERROR(XLOOKUP(Settings!$B$12,Managers!$B$4:$B$15,Managers!$H$4:$H$15),$AH462))))</f>
        <v>1</v>
      </c>
      <c r="AJ462" s="12" t="str">
        <f t="shared" si="3"/>
        <v>Recommended</v>
      </c>
      <c r="AK462" s="12">
        <f t="shared" si="4"/>
        <v>26</v>
      </c>
      <c r="AL462" s="12" t="str">
        <f t="shared" si="5"/>
        <v/>
      </c>
    </row>
    <row r="463" ht="15.75" customHeight="1">
      <c r="A463" s="10" t="s">
        <v>1207</v>
      </c>
      <c r="B463" s="10" t="s">
        <v>1208</v>
      </c>
      <c r="C463" s="10" t="s">
        <v>387</v>
      </c>
      <c r="D463" s="10" t="s">
        <v>115</v>
      </c>
      <c r="E463" s="10" t="s">
        <v>115</v>
      </c>
      <c r="F463" s="10" t="s">
        <v>117</v>
      </c>
      <c r="G463" s="10">
        <v>5.0</v>
      </c>
      <c r="H463" s="10">
        <v>7.0</v>
      </c>
      <c r="I463" s="10" t="s">
        <v>2140</v>
      </c>
      <c r="J463" s="10" t="s">
        <v>2136</v>
      </c>
      <c r="K463" s="10"/>
      <c r="L463" s="10">
        <v>8.25</v>
      </c>
      <c r="M463" s="10">
        <v>2.75</v>
      </c>
      <c r="N463" s="10"/>
      <c r="O463" s="10"/>
      <c r="P463" s="12">
        <f>IF($A463="","",IFERROR((IF($O463="",0,$O463)*Settings!$J$4+IF($L463="",0,$L463)*Settings!$J$5+IF($N463="",0,$N463)*Settings!$J$6)/(IF($O463="",0,Settings!$J$4)+IF($L463="",0,Settings!$J$5)+IF($N463="",0,Settings!$J$6)),0))</f>
        <v>8.25</v>
      </c>
      <c r="Q463" s="12">
        <f t="array" ref="Q463">IF($A463="","",XLOOKUP($E463,Settings!$A$19:$A$22,Settings!$G$19:$G$22,0))</f>
        <v>249.25</v>
      </c>
      <c r="R463" s="12">
        <f t="shared" si="1"/>
        <v>0</v>
      </c>
      <c r="S463" s="12">
        <f>IF($A463="","",IF($R463&lt;=0,1,1+$R463/SUMIF($R$4:$R$923,"&gt;0",$R$4:$R$923)*(Settings!$B$5*(Settings!$B$6-Settings!$B$7))))</f>
        <v>1</v>
      </c>
      <c r="T463" s="12">
        <f t="array" ref="T463">IF($A463="","",XLOOKUP($F463,Settings!$I$15:$I$20,Settings!$J$15:$J$20,1))</f>
        <v>0.75</v>
      </c>
      <c r="U463" s="12">
        <f>IF($A463="","",1+(($G463-5)/5)*Settings!$J$8)</f>
        <v>1</v>
      </c>
      <c r="V463" s="12">
        <f>IF($A463="","",1+(($H463-5)/5)*Settings!$J$9)</f>
        <v>1.06</v>
      </c>
      <c r="W463" s="12">
        <f t="array" ref="W463">IF($A463="","",XLOOKUP($J463,Lists!$C$3:$C$7,Lists!$D$3:$D$7,1))</f>
        <v>1</v>
      </c>
      <c r="X463" s="12">
        <f>IF($A463="","",IF($I463="Yes",Settings!$J$10,1))</f>
        <v>1</v>
      </c>
      <c r="Y463" s="12">
        <f t="shared" si="2"/>
        <v>1</v>
      </c>
      <c r="Z463" s="12">
        <f>IF($A463="","",IFERROR(ROUND(AVERAGEIFS('Historical Drafts'!$G$4:$G$300,'Historical Drafts'!$D$4:$D$300,$E463,'Historical Drafts'!$J$4:$J$300,"&gt;="&amp;$L463*0.85,'Historical Drafts'!$J$4:$J$300,"&lt;="&amp;$L463*1.15),0),$Y463))</f>
        <v>1</v>
      </c>
      <c r="AA463" s="12" t="str">
        <f>IF($A463="","",IF(COUNTIF('Auction Log'!$B$3:$B$300,$A463)&gt;0,"Sold","Available"))</f>
        <v>Available</v>
      </c>
      <c r="AB463" s="12" t="str">
        <f t="array" ref="AB463">IF($A463="","",IFERROR(XLOOKUP($A463,'Auction Log'!$B$3:$B$300,'Auction Log'!$G$3:$G$300,""),""))</f>
        <v/>
      </c>
      <c r="AC463" s="12" t="str">
        <f t="array" ref="AC463">IF($A463="","",IFERROR(XLOOKUP($A463,'Auction Log'!$B$3:$B$300,'Auction Log'!$F$3:$F$300,""),""))</f>
        <v/>
      </c>
      <c r="AD463" s="12">
        <f t="array" ref="AD463">IF($A463="","",ROUND($Y463*XLOOKUP($F463,Settings!$I$15:$I$20,Settings!$K$15:$K$20,0.4),0))</f>
        <v>0</v>
      </c>
      <c r="AE463" s="12">
        <f t="array" ref="AE463">IF($A463="","",ROUND($Y463*XLOOKUP($F463,Settings!$I$15:$I$20,Settings!$L$15:$L$20,0.8),0))</f>
        <v>1</v>
      </c>
      <c r="AF463" s="12">
        <f t="array" ref="AF463">IF($A463="","",ROUND($Y463*XLOOKUP($F463,Settings!$I$15:$I$20,Settings!$M$15:$M$20,1),0))</f>
        <v>1</v>
      </c>
      <c r="AG463" s="12">
        <f t="array" ref="AG463">IF($A463="","",ROUND($Y463*XLOOKUP($F463,Settings!$I$15:$I$20,Settings!$N$15:$N$20,1.1),0))</f>
        <v>1</v>
      </c>
      <c r="AH463" s="12">
        <f t="array" ref="AH463">IF($A463="","",ROUND($Y463*XLOOKUP($F463,Settings!$I$15:$I$20,Settings!$O$15:$O$20,1.1)*Settings!$J$7,0))</f>
        <v>1</v>
      </c>
      <c r="AI463" s="12">
        <f t="array" ref="AI463">IF($A463="","",IF($AA463="Sold","",MIN($AH463,IFERROR(XLOOKUP(Settings!$B$12,Managers!$B$4:$B$15,Managers!$H$4:$H$15),$AH463))))</f>
        <v>1</v>
      </c>
      <c r="AJ463" s="12" t="str">
        <f t="shared" si="3"/>
        <v>Recommended</v>
      </c>
      <c r="AK463" s="12">
        <f t="shared" si="4"/>
        <v>26</v>
      </c>
      <c r="AL463" s="12" t="str">
        <f t="shared" si="5"/>
        <v/>
      </c>
    </row>
    <row r="464" ht="15.75" customHeight="1">
      <c r="A464" s="10" t="s">
        <v>1209</v>
      </c>
      <c r="B464" s="10" t="s">
        <v>1210</v>
      </c>
      <c r="C464" s="10" t="s">
        <v>327</v>
      </c>
      <c r="D464" s="10" t="s">
        <v>121</v>
      </c>
      <c r="E464" s="10" t="s">
        <v>121</v>
      </c>
      <c r="F464" s="10" t="s">
        <v>117</v>
      </c>
      <c r="G464" s="10">
        <v>5.0</v>
      </c>
      <c r="H464" s="10">
        <v>7.0</v>
      </c>
      <c r="I464" s="10" t="s">
        <v>2140</v>
      </c>
      <c r="J464" s="10" t="s">
        <v>2136</v>
      </c>
      <c r="K464" s="10"/>
      <c r="L464" s="10">
        <v>8.0</v>
      </c>
      <c r="M464" s="10">
        <v>2.0</v>
      </c>
      <c r="N464" s="10"/>
      <c r="O464" s="10"/>
      <c r="P464" s="12">
        <f>IF($A464="","",IFERROR((IF($O464="",0,$O464)*Settings!$J$4+IF($L464="",0,$L464)*Settings!$J$5+IF($N464="",0,$N464)*Settings!$J$6)/(IF($O464="",0,Settings!$J$4)+IF($L464="",0,Settings!$J$5)+IF($N464="",0,Settings!$J$6)),0))</f>
        <v>8</v>
      </c>
      <c r="Q464" s="12">
        <f t="array" ref="Q464">IF($A464="","",XLOOKUP($E464,Settings!$A$19:$A$22,Settings!$G$19:$G$22,0))</f>
        <v>206</v>
      </c>
      <c r="R464" s="12">
        <f t="shared" si="1"/>
        <v>0</v>
      </c>
      <c r="S464" s="12">
        <f>IF($A464="","",IF($R464&lt;=0,1,1+$R464/SUMIF($R$4:$R$923,"&gt;0",$R$4:$R$923)*(Settings!$B$5*(Settings!$B$6-Settings!$B$7))))</f>
        <v>1</v>
      </c>
      <c r="T464" s="12">
        <f t="array" ref="T464">IF($A464="","",XLOOKUP($F464,Settings!$I$15:$I$20,Settings!$J$15:$J$20,1))</f>
        <v>0.75</v>
      </c>
      <c r="U464" s="12">
        <f>IF($A464="","",1+(($G464-5)/5)*Settings!$J$8)</f>
        <v>1</v>
      </c>
      <c r="V464" s="12">
        <f>IF($A464="","",1+(($H464-5)/5)*Settings!$J$9)</f>
        <v>1.06</v>
      </c>
      <c r="W464" s="12">
        <f t="array" ref="W464">IF($A464="","",XLOOKUP($J464,Lists!$C$3:$C$7,Lists!$D$3:$D$7,1))</f>
        <v>1</v>
      </c>
      <c r="X464" s="12">
        <f>IF($A464="","",IF($I464="Yes",Settings!$J$10,1))</f>
        <v>1</v>
      </c>
      <c r="Y464" s="12">
        <f t="shared" si="2"/>
        <v>1</v>
      </c>
      <c r="Z464" s="12">
        <f>IF($A464="","",IFERROR(ROUND(AVERAGEIFS('Historical Drafts'!$G$4:$G$300,'Historical Drafts'!$D$4:$D$300,$E464,'Historical Drafts'!$J$4:$J$300,"&gt;="&amp;$L464*0.85,'Historical Drafts'!$J$4:$J$300,"&lt;="&amp;$L464*1.15),0),$Y464))</f>
        <v>1</v>
      </c>
      <c r="AA464" s="12" t="str">
        <f>IF($A464="","",IF(COUNTIF('Auction Log'!$B$3:$B$300,$A464)&gt;0,"Sold","Available"))</f>
        <v>Available</v>
      </c>
      <c r="AB464" s="12" t="str">
        <f t="array" ref="AB464">IF($A464="","",IFERROR(XLOOKUP($A464,'Auction Log'!$B$3:$B$300,'Auction Log'!$G$3:$G$300,""),""))</f>
        <v/>
      </c>
      <c r="AC464" s="12" t="str">
        <f t="array" ref="AC464">IF($A464="","",IFERROR(XLOOKUP($A464,'Auction Log'!$B$3:$B$300,'Auction Log'!$F$3:$F$300,""),""))</f>
        <v/>
      </c>
      <c r="AD464" s="12">
        <f t="array" ref="AD464">IF($A464="","",ROUND($Y464*XLOOKUP($F464,Settings!$I$15:$I$20,Settings!$K$15:$K$20,0.4),0))</f>
        <v>0</v>
      </c>
      <c r="AE464" s="12">
        <f t="array" ref="AE464">IF($A464="","",ROUND($Y464*XLOOKUP($F464,Settings!$I$15:$I$20,Settings!$L$15:$L$20,0.8),0))</f>
        <v>1</v>
      </c>
      <c r="AF464" s="12">
        <f t="array" ref="AF464">IF($A464="","",ROUND($Y464*XLOOKUP($F464,Settings!$I$15:$I$20,Settings!$M$15:$M$20,1),0))</f>
        <v>1</v>
      </c>
      <c r="AG464" s="12">
        <f t="array" ref="AG464">IF($A464="","",ROUND($Y464*XLOOKUP($F464,Settings!$I$15:$I$20,Settings!$N$15:$N$20,1.1),0))</f>
        <v>1</v>
      </c>
      <c r="AH464" s="12">
        <f t="array" ref="AH464">IF($A464="","",ROUND($Y464*XLOOKUP($F464,Settings!$I$15:$I$20,Settings!$O$15:$O$20,1.1)*Settings!$J$7,0))</f>
        <v>1</v>
      </c>
      <c r="AI464" s="12">
        <f t="array" ref="AI464">IF($A464="","",IF($AA464="Sold","",MIN($AH464,IFERROR(XLOOKUP(Settings!$B$12,Managers!$B$4:$B$15,Managers!$H$4:$H$15),$AH464))))</f>
        <v>1</v>
      </c>
      <c r="AJ464" s="12" t="str">
        <f t="shared" si="3"/>
        <v>Recommended</v>
      </c>
      <c r="AK464" s="12">
        <f t="shared" si="4"/>
        <v>26</v>
      </c>
      <c r="AL464" s="12" t="str">
        <f t="shared" si="5"/>
        <v/>
      </c>
    </row>
    <row r="465" ht="15.75" customHeight="1">
      <c r="A465" s="10" t="s">
        <v>1211</v>
      </c>
      <c r="B465" s="10" t="s">
        <v>1212</v>
      </c>
      <c r="C465" s="10" t="s">
        <v>285</v>
      </c>
      <c r="D465" s="10" t="s">
        <v>121</v>
      </c>
      <c r="E465" s="10" t="s">
        <v>121</v>
      </c>
      <c r="F465" s="10" t="s">
        <v>117</v>
      </c>
      <c r="G465" s="10">
        <v>5.0</v>
      </c>
      <c r="H465" s="10">
        <v>7.0</v>
      </c>
      <c r="I465" s="10" t="s">
        <v>2140</v>
      </c>
      <c r="J465" s="10" t="s">
        <v>2136</v>
      </c>
      <c r="K465" s="10"/>
      <c r="L465" s="10">
        <v>8.0</v>
      </c>
      <c r="M465" s="10">
        <v>8.0</v>
      </c>
      <c r="N465" s="10"/>
      <c r="O465" s="10"/>
      <c r="P465" s="12">
        <f>IF($A465="","",IFERROR((IF($O465="",0,$O465)*Settings!$J$4+IF($L465="",0,$L465)*Settings!$J$5+IF($N465="",0,$N465)*Settings!$J$6)/(IF($O465="",0,Settings!$J$4)+IF($L465="",0,Settings!$J$5)+IF($N465="",0,Settings!$J$6)),0))</f>
        <v>8</v>
      </c>
      <c r="Q465" s="12">
        <f t="array" ref="Q465">IF($A465="","",XLOOKUP($E465,Settings!$A$19:$A$22,Settings!$G$19:$G$22,0))</f>
        <v>206</v>
      </c>
      <c r="R465" s="12">
        <f t="shared" si="1"/>
        <v>0</v>
      </c>
      <c r="S465" s="12">
        <f>IF($A465="","",IF($R465&lt;=0,1,1+$R465/SUMIF($R$4:$R$923,"&gt;0",$R$4:$R$923)*(Settings!$B$5*(Settings!$B$6-Settings!$B$7))))</f>
        <v>1</v>
      </c>
      <c r="T465" s="12">
        <f t="array" ref="T465">IF($A465="","",XLOOKUP($F465,Settings!$I$15:$I$20,Settings!$J$15:$J$20,1))</f>
        <v>0.75</v>
      </c>
      <c r="U465" s="12">
        <f>IF($A465="","",1+(($G465-5)/5)*Settings!$J$8)</f>
        <v>1</v>
      </c>
      <c r="V465" s="12">
        <f>IF($A465="","",1+(($H465-5)/5)*Settings!$J$9)</f>
        <v>1.06</v>
      </c>
      <c r="W465" s="12">
        <f t="array" ref="W465">IF($A465="","",XLOOKUP($J465,Lists!$C$3:$C$7,Lists!$D$3:$D$7,1))</f>
        <v>1</v>
      </c>
      <c r="X465" s="12">
        <f>IF($A465="","",IF($I465="Yes",Settings!$J$10,1))</f>
        <v>1</v>
      </c>
      <c r="Y465" s="12">
        <f t="shared" si="2"/>
        <v>1</v>
      </c>
      <c r="Z465" s="12">
        <f>IF($A465="","",IFERROR(ROUND(AVERAGEIFS('Historical Drafts'!$G$4:$G$300,'Historical Drafts'!$D$4:$D$300,$E465,'Historical Drafts'!$J$4:$J$300,"&gt;="&amp;$L465*0.85,'Historical Drafts'!$J$4:$J$300,"&lt;="&amp;$L465*1.15),0),$Y465))</f>
        <v>1</v>
      </c>
      <c r="AA465" s="12" t="str">
        <f>IF($A465="","",IF(COUNTIF('Auction Log'!$B$3:$B$300,$A465)&gt;0,"Sold","Available"))</f>
        <v>Available</v>
      </c>
      <c r="AB465" s="12" t="str">
        <f t="array" ref="AB465">IF($A465="","",IFERROR(XLOOKUP($A465,'Auction Log'!$B$3:$B$300,'Auction Log'!$G$3:$G$300,""),""))</f>
        <v/>
      </c>
      <c r="AC465" s="12" t="str">
        <f t="array" ref="AC465">IF($A465="","",IFERROR(XLOOKUP($A465,'Auction Log'!$B$3:$B$300,'Auction Log'!$F$3:$F$300,""),""))</f>
        <v/>
      </c>
      <c r="AD465" s="12">
        <f t="array" ref="AD465">IF($A465="","",ROUND($Y465*XLOOKUP($F465,Settings!$I$15:$I$20,Settings!$K$15:$K$20,0.4),0))</f>
        <v>0</v>
      </c>
      <c r="AE465" s="12">
        <f t="array" ref="AE465">IF($A465="","",ROUND($Y465*XLOOKUP($F465,Settings!$I$15:$I$20,Settings!$L$15:$L$20,0.8),0))</f>
        <v>1</v>
      </c>
      <c r="AF465" s="12">
        <f t="array" ref="AF465">IF($A465="","",ROUND($Y465*XLOOKUP($F465,Settings!$I$15:$I$20,Settings!$M$15:$M$20,1),0))</f>
        <v>1</v>
      </c>
      <c r="AG465" s="12">
        <f t="array" ref="AG465">IF($A465="","",ROUND($Y465*XLOOKUP($F465,Settings!$I$15:$I$20,Settings!$N$15:$N$20,1.1),0))</f>
        <v>1</v>
      </c>
      <c r="AH465" s="12">
        <f t="array" ref="AH465">IF($A465="","",ROUND($Y465*XLOOKUP($F465,Settings!$I$15:$I$20,Settings!$O$15:$O$20,1.1)*Settings!$J$7,0))</f>
        <v>1</v>
      </c>
      <c r="AI465" s="12">
        <f t="array" ref="AI465">IF($A465="","",IF($AA465="Sold","",MIN($AH465,IFERROR(XLOOKUP(Settings!$B$12,Managers!$B$4:$B$15,Managers!$H$4:$H$15),$AH465))))</f>
        <v>1</v>
      </c>
      <c r="AJ465" s="12" t="str">
        <f t="shared" si="3"/>
        <v>Recommended</v>
      </c>
      <c r="AK465" s="12">
        <f t="shared" si="4"/>
        <v>26</v>
      </c>
      <c r="AL465" s="12" t="str">
        <f t="shared" si="5"/>
        <v/>
      </c>
    </row>
    <row r="466" ht="15.75" customHeight="1">
      <c r="A466" s="10" t="s">
        <v>1213</v>
      </c>
      <c r="B466" s="10" t="s">
        <v>1214</v>
      </c>
      <c r="C466" s="10" t="s">
        <v>243</v>
      </c>
      <c r="D466" s="10" t="s">
        <v>118</v>
      </c>
      <c r="E466" s="10" t="s">
        <v>118</v>
      </c>
      <c r="F466" s="10" t="s">
        <v>117</v>
      </c>
      <c r="G466" s="10">
        <v>5.0</v>
      </c>
      <c r="H466" s="10">
        <v>7.0</v>
      </c>
      <c r="I466" s="10" t="s">
        <v>2140</v>
      </c>
      <c r="J466" s="10" t="s">
        <v>2136</v>
      </c>
      <c r="K466" s="10"/>
      <c r="L466" s="10">
        <v>7.5</v>
      </c>
      <c r="M466" s="10">
        <v>1.88</v>
      </c>
      <c r="N466" s="10"/>
      <c r="O466" s="10"/>
      <c r="P466" s="12">
        <f>IF($A466="","",IFERROR((IF($O466="",0,$O466)*Settings!$J$4+IF($L466="",0,$L466)*Settings!$J$5+IF($N466="",0,$N466)*Settings!$J$6)/(IF($O466="",0,Settings!$J$4)+IF($L466="",0,Settings!$J$5)+IF($N466="",0,Settings!$J$6)),0))</f>
        <v>7.5</v>
      </c>
      <c r="Q466" s="12">
        <f t="array" ref="Q466">IF($A466="","",XLOOKUP($E466,Settings!$A$19:$A$22,Settings!$G$19:$G$22,0))</f>
        <v>196.25</v>
      </c>
      <c r="R466" s="12">
        <f t="shared" si="1"/>
        <v>0</v>
      </c>
      <c r="S466" s="12">
        <f>IF($A466="","",IF($R466&lt;=0,1,1+$R466/SUMIF($R$4:$R$923,"&gt;0",$R$4:$R$923)*(Settings!$B$5*(Settings!$B$6-Settings!$B$7))))</f>
        <v>1</v>
      </c>
      <c r="T466" s="12">
        <f t="array" ref="T466">IF($A466="","",XLOOKUP($F466,Settings!$I$15:$I$20,Settings!$J$15:$J$20,1))</f>
        <v>0.75</v>
      </c>
      <c r="U466" s="12">
        <f>IF($A466="","",1+(($G466-5)/5)*Settings!$J$8)</f>
        <v>1</v>
      </c>
      <c r="V466" s="12">
        <f>IF($A466="","",1+(($H466-5)/5)*Settings!$J$9)</f>
        <v>1.06</v>
      </c>
      <c r="W466" s="12">
        <f t="array" ref="W466">IF($A466="","",XLOOKUP($J466,Lists!$C$3:$C$7,Lists!$D$3:$D$7,1))</f>
        <v>1</v>
      </c>
      <c r="X466" s="12">
        <f>IF($A466="","",IF($I466="Yes",Settings!$J$10,1))</f>
        <v>1</v>
      </c>
      <c r="Y466" s="12">
        <f t="shared" si="2"/>
        <v>1</v>
      </c>
      <c r="Z466" s="12">
        <f>IF($A466="","",IFERROR(ROUND(AVERAGEIFS('Historical Drafts'!$G$4:$G$300,'Historical Drafts'!$D$4:$D$300,$E466,'Historical Drafts'!$J$4:$J$300,"&gt;="&amp;$L466*0.85,'Historical Drafts'!$J$4:$J$300,"&lt;="&amp;$L466*1.15),0),$Y466))</f>
        <v>1</v>
      </c>
      <c r="AA466" s="12" t="str">
        <f>IF($A466="","",IF(COUNTIF('Auction Log'!$B$3:$B$300,$A466)&gt;0,"Sold","Available"))</f>
        <v>Available</v>
      </c>
      <c r="AB466" s="12" t="str">
        <f t="array" ref="AB466">IF($A466="","",IFERROR(XLOOKUP($A466,'Auction Log'!$B$3:$B$300,'Auction Log'!$G$3:$G$300,""),""))</f>
        <v/>
      </c>
      <c r="AC466" s="12" t="str">
        <f t="array" ref="AC466">IF($A466="","",IFERROR(XLOOKUP($A466,'Auction Log'!$B$3:$B$300,'Auction Log'!$F$3:$F$300,""),""))</f>
        <v/>
      </c>
      <c r="AD466" s="12">
        <f t="array" ref="AD466">IF($A466="","",ROUND($Y466*XLOOKUP($F466,Settings!$I$15:$I$20,Settings!$K$15:$K$20,0.4),0))</f>
        <v>0</v>
      </c>
      <c r="AE466" s="12">
        <f t="array" ref="AE466">IF($A466="","",ROUND($Y466*XLOOKUP($F466,Settings!$I$15:$I$20,Settings!$L$15:$L$20,0.8),0))</f>
        <v>1</v>
      </c>
      <c r="AF466" s="12">
        <f t="array" ref="AF466">IF($A466="","",ROUND($Y466*XLOOKUP($F466,Settings!$I$15:$I$20,Settings!$M$15:$M$20,1),0))</f>
        <v>1</v>
      </c>
      <c r="AG466" s="12">
        <f t="array" ref="AG466">IF($A466="","",ROUND($Y466*XLOOKUP($F466,Settings!$I$15:$I$20,Settings!$N$15:$N$20,1.1),0))</f>
        <v>1</v>
      </c>
      <c r="AH466" s="12">
        <f t="array" ref="AH466">IF($A466="","",ROUND($Y466*XLOOKUP($F466,Settings!$I$15:$I$20,Settings!$O$15:$O$20,1.1)*Settings!$J$7,0))</f>
        <v>1</v>
      </c>
      <c r="AI466" s="12">
        <f t="array" ref="AI466">IF($A466="","",IF($AA466="Sold","",MIN($AH466,IFERROR(XLOOKUP(Settings!$B$12,Managers!$B$4:$B$15,Managers!$H$4:$H$15),$AH466))))</f>
        <v>1</v>
      </c>
      <c r="AJ466" s="12" t="str">
        <f t="shared" si="3"/>
        <v>Recommended</v>
      </c>
      <c r="AK466" s="12">
        <f t="shared" si="4"/>
        <v>26</v>
      </c>
      <c r="AL466" s="12" t="str">
        <f t="shared" si="5"/>
        <v/>
      </c>
    </row>
    <row r="467" ht="15.75" customHeight="1">
      <c r="A467" s="10" t="s">
        <v>1215</v>
      </c>
      <c r="B467" s="10" t="s">
        <v>1216</v>
      </c>
      <c r="C467" s="10" t="s">
        <v>236</v>
      </c>
      <c r="D467" s="10" t="s">
        <v>123</v>
      </c>
      <c r="E467" s="10" t="s">
        <v>123</v>
      </c>
      <c r="F467" s="10" t="s">
        <v>117</v>
      </c>
      <c r="G467" s="10">
        <v>5.0</v>
      </c>
      <c r="H467" s="10">
        <v>7.0</v>
      </c>
      <c r="I467" s="10" t="s">
        <v>2140</v>
      </c>
      <c r="J467" s="10" t="s">
        <v>2136</v>
      </c>
      <c r="K467" s="10"/>
      <c r="L467" s="10">
        <v>6.5</v>
      </c>
      <c r="M467" s="10">
        <v>0.72</v>
      </c>
      <c r="N467" s="10"/>
      <c r="O467" s="10"/>
      <c r="P467" s="12">
        <f>IF($A467="","",IFERROR((IF($O467="",0,$O467)*Settings!$J$4+IF($L467="",0,$L467)*Settings!$J$5+IF($N467="",0,$N467)*Settings!$J$6)/(IF($O467="",0,Settings!$J$4)+IF($L467="",0,Settings!$J$5)+IF($N467="",0,Settings!$J$6)),0))</f>
        <v>6.5</v>
      </c>
      <c r="Q467" s="12">
        <f t="array" ref="Q467">IF($A467="","",XLOOKUP($E467,Settings!$A$19:$A$22,Settings!$G$19:$G$22,0))</f>
        <v>203</v>
      </c>
      <c r="R467" s="12">
        <f t="shared" si="1"/>
        <v>0</v>
      </c>
      <c r="S467" s="12">
        <f>IF($A467="","",IF($R467&lt;=0,1,1+$R467/SUMIF($R$4:$R$923,"&gt;0",$R$4:$R$923)*(Settings!$B$5*(Settings!$B$6-Settings!$B$7))))</f>
        <v>1</v>
      </c>
      <c r="T467" s="12">
        <f t="array" ref="T467">IF($A467="","",XLOOKUP($F467,Settings!$I$15:$I$20,Settings!$J$15:$J$20,1))</f>
        <v>0.75</v>
      </c>
      <c r="U467" s="12">
        <f>IF($A467="","",1+(($G467-5)/5)*Settings!$J$8)</f>
        <v>1</v>
      </c>
      <c r="V467" s="12">
        <f>IF($A467="","",1+(($H467-5)/5)*Settings!$J$9)</f>
        <v>1.06</v>
      </c>
      <c r="W467" s="12">
        <f t="array" ref="W467">IF($A467="","",XLOOKUP($J467,Lists!$C$3:$C$7,Lists!$D$3:$D$7,1))</f>
        <v>1</v>
      </c>
      <c r="X467" s="12">
        <f>IF($A467="","",IF($I467="Yes",Settings!$J$10,1))</f>
        <v>1</v>
      </c>
      <c r="Y467" s="12">
        <f t="shared" si="2"/>
        <v>1</v>
      </c>
      <c r="Z467" s="12">
        <f>IF($A467="","",IFERROR(ROUND(AVERAGEIFS('Historical Drafts'!$G$4:$G$300,'Historical Drafts'!$D$4:$D$300,$E467,'Historical Drafts'!$J$4:$J$300,"&gt;="&amp;$L467*0.85,'Historical Drafts'!$J$4:$J$300,"&lt;="&amp;$L467*1.15),0),$Y467))</f>
        <v>1</v>
      </c>
      <c r="AA467" s="12" t="str">
        <f>IF($A467="","",IF(COUNTIF('Auction Log'!$B$3:$B$300,$A467)&gt;0,"Sold","Available"))</f>
        <v>Available</v>
      </c>
      <c r="AB467" s="12" t="str">
        <f t="array" ref="AB467">IF($A467="","",IFERROR(XLOOKUP($A467,'Auction Log'!$B$3:$B$300,'Auction Log'!$G$3:$G$300,""),""))</f>
        <v/>
      </c>
      <c r="AC467" s="12" t="str">
        <f t="array" ref="AC467">IF($A467="","",IFERROR(XLOOKUP($A467,'Auction Log'!$B$3:$B$300,'Auction Log'!$F$3:$F$300,""),""))</f>
        <v/>
      </c>
      <c r="AD467" s="12">
        <f t="array" ref="AD467">IF($A467="","",ROUND($Y467*XLOOKUP($F467,Settings!$I$15:$I$20,Settings!$K$15:$K$20,0.4),0))</f>
        <v>0</v>
      </c>
      <c r="AE467" s="12">
        <f t="array" ref="AE467">IF($A467="","",ROUND($Y467*XLOOKUP($F467,Settings!$I$15:$I$20,Settings!$L$15:$L$20,0.8),0))</f>
        <v>1</v>
      </c>
      <c r="AF467" s="12">
        <f t="array" ref="AF467">IF($A467="","",ROUND($Y467*XLOOKUP($F467,Settings!$I$15:$I$20,Settings!$M$15:$M$20,1),0))</f>
        <v>1</v>
      </c>
      <c r="AG467" s="12">
        <f t="array" ref="AG467">IF($A467="","",ROUND($Y467*XLOOKUP($F467,Settings!$I$15:$I$20,Settings!$N$15:$N$20,1.1),0))</f>
        <v>1</v>
      </c>
      <c r="AH467" s="12">
        <f t="array" ref="AH467">IF($A467="","",ROUND($Y467*XLOOKUP($F467,Settings!$I$15:$I$20,Settings!$O$15:$O$20,1.1)*Settings!$J$7,0))</f>
        <v>1</v>
      </c>
      <c r="AI467" s="12">
        <f t="array" ref="AI467">IF($A467="","",IF($AA467="Sold","",MIN($AH467,IFERROR(XLOOKUP(Settings!$B$12,Managers!$B$4:$B$15,Managers!$H$4:$H$15),$AH467))))</f>
        <v>1</v>
      </c>
      <c r="AJ467" s="12" t="str">
        <f t="shared" si="3"/>
        <v>Recommended</v>
      </c>
      <c r="AK467" s="12">
        <f t="shared" si="4"/>
        <v>26</v>
      </c>
      <c r="AL467" s="12" t="str">
        <f t="shared" si="5"/>
        <v/>
      </c>
    </row>
    <row r="468" ht="15.75" customHeight="1">
      <c r="A468" s="10" t="s">
        <v>1217</v>
      </c>
      <c r="B468" s="10" t="s">
        <v>1218</v>
      </c>
      <c r="C468" s="10" t="s">
        <v>314</v>
      </c>
      <c r="D468" s="10" t="s">
        <v>118</v>
      </c>
      <c r="E468" s="10" t="s">
        <v>118</v>
      </c>
      <c r="F468" s="10" t="s">
        <v>117</v>
      </c>
      <c r="G468" s="10">
        <v>5.0</v>
      </c>
      <c r="H468" s="10">
        <v>7.0</v>
      </c>
      <c r="I468" s="10" t="s">
        <v>2140</v>
      </c>
      <c r="J468" s="10" t="s">
        <v>2136</v>
      </c>
      <c r="K468" s="10"/>
      <c r="L468" s="10">
        <v>6.5</v>
      </c>
      <c r="M468" s="10">
        <v>2.17</v>
      </c>
      <c r="N468" s="10"/>
      <c r="O468" s="10"/>
      <c r="P468" s="12">
        <f>IF($A468="","",IFERROR((IF($O468="",0,$O468)*Settings!$J$4+IF($L468="",0,$L468)*Settings!$J$5+IF($N468="",0,$N468)*Settings!$J$6)/(IF($O468="",0,Settings!$J$4)+IF($L468="",0,Settings!$J$5)+IF($N468="",0,Settings!$J$6)),0))</f>
        <v>6.5</v>
      </c>
      <c r="Q468" s="12">
        <f t="array" ref="Q468">IF($A468="","",XLOOKUP($E468,Settings!$A$19:$A$22,Settings!$G$19:$G$22,0))</f>
        <v>196.25</v>
      </c>
      <c r="R468" s="12">
        <f t="shared" si="1"/>
        <v>0</v>
      </c>
      <c r="S468" s="12">
        <f>IF($A468="","",IF($R468&lt;=0,1,1+$R468/SUMIF($R$4:$R$923,"&gt;0",$R$4:$R$923)*(Settings!$B$5*(Settings!$B$6-Settings!$B$7))))</f>
        <v>1</v>
      </c>
      <c r="T468" s="12">
        <f t="array" ref="T468">IF($A468="","",XLOOKUP($F468,Settings!$I$15:$I$20,Settings!$J$15:$J$20,1))</f>
        <v>0.75</v>
      </c>
      <c r="U468" s="12">
        <f>IF($A468="","",1+(($G468-5)/5)*Settings!$J$8)</f>
        <v>1</v>
      </c>
      <c r="V468" s="12">
        <f>IF($A468="","",1+(($H468-5)/5)*Settings!$J$9)</f>
        <v>1.06</v>
      </c>
      <c r="W468" s="12">
        <f t="array" ref="W468">IF($A468="","",XLOOKUP($J468,Lists!$C$3:$C$7,Lists!$D$3:$D$7,1))</f>
        <v>1</v>
      </c>
      <c r="X468" s="12">
        <f>IF($A468="","",IF($I468="Yes",Settings!$J$10,1))</f>
        <v>1</v>
      </c>
      <c r="Y468" s="12">
        <f t="shared" si="2"/>
        <v>1</v>
      </c>
      <c r="Z468" s="12">
        <f>IF($A468="","",IFERROR(ROUND(AVERAGEIFS('Historical Drafts'!$G$4:$G$300,'Historical Drafts'!$D$4:$D$300,$E468,'Historical Drafts'!$J$4:$J$300,"&gt;="&amp;$L468*0.85,'Historical Drafts'!$J$4:$J$300,"&lt;="&amp;$L468*1.15),0),$Y468))</f>
        <v>1</v>
      </c>
      <c r="AA468" s="12" t="str">
        <f>IF($A468="","",IF(COUNTIF('Auction Log'!$B$3:$B$300,$A468)&gt;0,"Sold","Available"))</f>
        <v>Available</v>
      </c>
      <c r="AB468" s="12" t="str">
        <f t="array" ref="AB468">IF($A468="","",IFERROR(XLOOKUP($A468,'Auction Log'!$B$3:$B$300,'Auction Log'!$G$3:$G$300,""),""))</f>
        <v/>
      </c>
      <c r="AC468" s="12" t="str">
        <f t="array" ref="AC468">IF($A468="","",IFERROR(XLOOKUP($A468,'Auction Log'!$B$3:$B$300,'Auction Log'!$F$3:$F$300,""),""))</f>
        <v/>
      </c>
      <c r="AD468" s="12">
        <f t="array" ref="AD468">IF($A468="","",ROUND($Y468*XLOOKUP($F468,Settings!$I$15:$I$20,Settings!$K$15:$K$20,0.4),0))</f>
        <v>0</v>
      </c>
      <c r="AE468" s="12">
        <f t="array" ref="AE468">IF($A468="","",ROUND($Y468*XLOOKUP($F468,Settings!$I$15:$I$20,Settings!$L$15:$L$20,0.8),0))</f>
        <v>1</v>
      </c>
      <c r="AF468" s="12">
        <f t="array" ref="AF468">IF($A468="","",ROUND($Y468*XLOOKUP($F468,Settings!$I$15:$I$20,Settings!$M$15:$M$20,1),0))</f>
        <v>1</v>
      </c>
      <c r="AG468" s="12">
        <f t="array" ref="AG468">IF($A468="","",ROUND($Y468*XLOOKUP($F468,Settings!$I$15:$I$20,Settings!$N$15:$N$20,1.1),0))</f>
        <v>1</v>
      </c>
      <c r="AH468" s="12">
        <f t="array" ref="AH468">IF($A468="","",ROUND($Y468*XLOOKUP($F468,Settings!$I$15:$I$20,Settings!$O$15:$O$20,1.1)*Settings!$J$7,0))</f>
        <v>1</v>
      </c>
      <c r="AI468" s="12">
        <f t="array" ref="AI468">IF($A468="","",IF($AA468="Sold","",MIN($AH468,IFERROR(XLOOKUP(Settings!$B$12,Managers!$B$4:$B$15,Managers!$H$4:$H$15),$AH468))))</f>
        <v>1</v>
      </c>
      <c r="AJ468" s="12" t="str">
        <f t="shared" si="3"/>
        <v>Recommended</v>
      </c>
      <c r="AK468" s="12">
        <f t="shared" si="4"/>
        <v>26</v>
      </c>
      <c r="AL468" s="12" t="str">
        <f t="shared" si="5"/>
        <v/>
      </c>
    </row>
    <row r="469" ht="15.75" customHeight="1">
      <c r="A469" s="10" t="s">
        <v>1219</v>
      </c>
      <c r="B469" s="10" t="s">
        <v>1220</v>
      </c>
      <c r="C469" s="10" t="s">
        <v>191</v>
      </c>
      <c r="D469" s="10" t="s">
        <v>121</v>
      </c>
      <c r="E469" s="10" t="s">
        <v>121</v>
      </c>
      <c r="F469" s="10" t="s">
        <v>117</v>
      </c>
      <c r="G469" s="10">
        <v>5.0</v>
      </c>
      <c r="H469" s="10">
        <v>7.0</v>
      </c>
      <c r="I469" s="10" t="s">
        <v>2140</v>
      </c>
      <c r="J469" s="10" t="s">
        <v>2136</v>
      </c>
      <c r="K469" s="10"/>
      <c r="L469" s="10">
        <v>6.5</v>
      </c>
      <c r="M469" s="10">
        <v>1.08</v>
      </c>
      <c r="N469" s="10"/>
      <c r="O469" s="10"/>
      <c r="P469" s="12">
        <f>IF($A469="","",IFERROR((IF($O469="",0,$O469)*Settings!$J$4+IF($L469="",0,$L469)*Settings!$J$5+IF($N469="",0,$N469)*Settings!$J$6)/(IF($O469="",0,Settings!$J$4)+IF($L469="",0,Settings!$J$5)+IF($N469="",0,Settings!$J$6)),0))</f>
        <v>6.5</v>
      </c>
      <c r="Q469" s="12">
        <f t="array" ref="Q469">IF($A469="","",XLOOKUP($E469,Settings!$A$19:$A$22,Settings!$G$19:$G$22,0))</f>
        <v>206</v>
      </c>
      <c r="R469" s="12">
        <f t="shared" si="1"/>
        <v>0</v>
      </c>
      <c r="S469" s="12">
        <f>IF($A469="","",IF($R469&lt;=0,1,1+$R469/SUMIF($R$4:$R$923,"&gt;0",$R$4:$R$923)*(Settings!$B$5*(Settings!$B$6-Settings!$B$7))))</f>
        <v>1</v>
      </c>
      <c r="T469" s="12">
        <f t="array" ref="T469">IF($A469="","",XLOOKUP($F469,Settings!$I$15:$I$20,Settings!$J$15:$J$20,1))</f>
        <v>0.75</v>
      </c>
      <c r="U469" s="12">
        <f>IF($A469="","",1+(($G469-5)/5)*Settings!$J$8)</f>
        <v>1</v>
      </c>
      <c r="V469" s="12">
        <f>IF($A469="","",1+(($H469-5)/5)*Settings!$J$9)</f>
        <v>1.06</v>
      </c>
      <c r="W469" s="12">
        <f t="array" ref="W469">IF($A469="","",XLOOKUP($J469,Lists!$C$3:$C$7,Lists!$D$3:$D$7,1))</f>
        <v>1</v>
      </c>
      <c r="X469" s="12">
        <f>IF($A469="","",IF($I469="Yes",Settings!$J$10,1))</f>
        <v>1</v>
      </c>
      <c r="Y469" s="12">
        <f t="shared" si="2"/>
        <v>1</v>
      </c>
      <c r="Z469" s="12">
        <f>IF($A469="","",IFERROR(ROUND(AVERAGEIFS('Historical Drafts'!$G$4:$G$300,'Historical Drafts'!$D$4:$D$300,$E469,'Historical Drafts'!$J$4:$J$300,"&gt;="&amp;$L469*0.85,'Historical Drafts'!$J$4:$J$300,"&lt;="&amp;$L469*1.15),0),$Y469))</f>
        <v>1</v>
      </c>
      <c r="AA469" s="12" t="str">
        <f>IF($A469="","",IF(COUNTIF('Auction Log'!$B$3:$B$300,$A469)&gt;0,"Sold","Available"))</f>
        <v>Available</v>
      </c>
      <c r="AB469" s="12" t="str">
        <f t="array" ref="AB469">IF($A469="","",IFERROR(XLOOKUP($A469,'Auction Log'!$B$3:$B$300,'Auction Log'!$G$3:$G$300,""),""))</f>
        <v/>
      </c>
      <c r="AC469" s="12" t="str">
        <f t="array" ref="AC469">IF($A469="","",IFERROR(XLOOKUP($A469,'Auction Log'!$B$3:$B$300,'Auction Log'!$F$3:$F$300,""),""))</f>
        <v/>
      </c>
      <c r="AD469" s="12">
        <f t="array" ref="AD469">IF($A469="","",ROUND($Y469*XLOOKUP($F469,Settings!$I$15:$I$20,Settings!$K$15:$K$20,0.4),0))</f>
        <v>0</v>
      </c>
      <c r="AE469" s="12">
        <f t="array" ref="AE469">IF($A469="","",ROUND($Y469*XLOOKUP($F469,Settings!$I$15:$I$20,Settings!$L$15:$L$20,0.8),0))</f>
        <v>1</v>
      </c>
      <c r="AF469" s="12">
        <f t="array" ref="AF469">IF($A469="","",ROUND($Y469*XLOOKUP($F469,Settings!$I$15:$I$20,Settings!$M$15:$M$20,1),0))</f>
        <v>1</v>
      </c>
      <c r="AG469" s="12">
        <f t="array" ref="AG469">IF($A469="","",ROUND($Y469*XLOOKUP($F469,Settings!$I$15:$I$20,Settings!$N$15:$N$20,1.1),0))</f>
        <v>1</v>
      </c>
      <c r="AH469" s="12">
        <f t="array" ref="AH469">IF($A469="","",ROUND($Y469*XLOOKUP($F469,Settings!$I$15:$I$20,Settings!$O$15:$O$20,1.1)*Settings!$J$7,0))</f>
        <v>1</v>
      </c>
      <c r="AI469" s="12">
        <f t="array" ref="AI469">IF($A469="","",IF($AA469="Sold","",MIN($AH469,IFERROR(XLOOKUP(Settings!$B$12,Managers!$B$4:$B$15,Managers!$H$4:$H$15),$AH469))))</f>
        <v>1</v>
      </c>
      <c r="AJ469" s="12" t="str">
        <f t="shared" si="3"/>
        <v>Recommended</v>
      </c>
      <c r="AK469" s="12">
        <f t="shared" si="4"/>
        <v>26</v>
      </c>
      <c r="AL469" s="12" t="str">
        <f t="shared" si="5"/>
        <v/>
      </c>
    </row>
    <row r="470" ht="15.75" customHeight="1">
      <c r="A470" s="10" t="s">
        <v>1221</v>
      </c>
      <c r="B470" s="10" t="s">
        <v>1222</v>
      </c>
      <c r="C470" s="10" t="s">
        <v>191</v>
      </c>
      <c r="D470" s="10" t="s">
        <v>115</v>
      </c>
      <c r="E470" s="10" t="s">
        <v>115</v>
      </c>
      <c r="F470" s="10" t="s">
        <v>117</v>
      </c>
      <c r="G470" s="10">
        <v>5.0</v>
      </c>
      <c r="H470" s="10">
        <v>7.0</v>
      </c>
      <c r="I470" s="10" t="s">
        <v>2140</v>
      </c>
      <c r="J470" s="10" t="s">
        <v>2136</v>
      </c>
      <c r="K470" s="10"/>
      <c r="L470" s="10">
        <v>5.75</v>
      </c>
      <c r="M470" s="10">
        <v>5.75</v>
      </c>
      <c r="N470" s="10"/>
      <c r="O470" s="10"/>
      <c r="P470" s="12">
        <f>IF($A470="","",IFERROR((IF($O470="",0,$O470)*Settings!$J$4+IF($L470="",0,$L470)*Settings!$J$5+IF($N470="",0,$N470)*Settings!$J$6)/(IF($O470="",0,Settings!$J$4)+IF($L470="",0,Settings!$J$5)+IF($N470="",0,Settings!$J$6)),0))</f>
        <v>5.75</v>
      </c>
      <c r="Q470" s="12">
        <f t="array" ref="Q470">IF($A470="","",XLOOKUP($E470,Settings!$A$19:$A$22,Settings!$G$19:$G$22,0))</f>
        <v>249.25</v>
      </c>
      <c r="R470" s="12">
        <f t="shared" si="1"/>
        <v>0</v>
      </c>
      <c r="S470" s="12">
        <f>IF($A470="","",IF($R470&lt;=0,1,1+$R470/SUMIF($R$4:$R$923,"&gt;0",$R$4:$R$923)*(Settings!$B$5*(Settings!$B$6-Settings!$B$7))))</f>
        <v>1</v>
      </c>
      <c r="T470" s="12">
        <f t="array" ref="T470">IF($A470="","",XLOOKUP($F470,Settings!$I$15:$I$20,Settings!$J$15:$J$20,1))</f>
        <v>0.75</v>
      </c>
      <c r="U470" s="12">
        <f>IF($A470="","",1+(($G470-5)/5)*Settings!$J$8)</f>
        <v>1</v>
      </c>
      <c r="V470" s="12">
        <f>IF($A470="","",1+(($H470-5)/5)*Settings!$J$9)</f>
        <v>1.06</v>
      </c>
      <c r="W470" s="12">
        <f t="array" ref="W470">IF($A470="","",XLOOKUP($J470,Lists!$C$3:$C$7,Lists!$D$3:$D$7,1))</f>
        <v>1</v>
      </c>
      <c r="X470" s="12">
        <f>IF($A470="","",IF($I470="Yes",Settings!$J$10,1))</f>
        <v>1</v>
      </c>
      <c r="Y470" s="12">
        <f t="shared" si="2"/>
        <v>1</v>
      </c>
      <c r="Z470" s="12">
        <f>IF($A470="","",IFERROR(ROUND(AVERAGEIFS('Historical Drafts'!$G$4:$G$300,'Historical Drafts'!$D$4:$D$300,$E470,'Historical Drafts'!$J$4:$J$300,"&gt;="&amp;$L470*0.85,'Historical Drafts'!$J$4:$J$300,"&lt;="&amp;$L470*1.15),0),$Y470))</f>
        <v>1</v>
      </c>
      <c r="AA470" s="12" t="str">
        <f>IF($A470="","",IF(COUNTIF('Auction Log'!$B$3:$B$300,$A470)&gt;0,"Sold","Available"))</f>
        <v>Available</v>
      </c>
      <c r="AB470" s="12" t="str">
        <f t="array" ref="AB470">IF($A470="","",IFERROR(XLOOKUP($A470,'Auction Log'!$B$3:$B$300,'Auction Log'!$G$3:$G$300,""),""))</f>
        <v/>
      </c>
      <c r="AC470" s="12" t="str">
        <f t="array" ref="AC470">IF($A470="","",IFERROR(XLOOKUP($A470,'Auction Log'!$B$3:$B$300,'Auction Log'!$F$3:$F$300,""),""))</f>
        <v/>
      </c>
      <c r="AD470" s="12">
        <f t="array" ref="AD470">IF($A470="","",ROUND($Y470*XLOOKUP($F470,Settings!$I$15:$I$20,Settings!$K$15:$K$20,0.4),0))</f>
        <v>0</v>
      </c>
      <c r="AE470" s="12">
        <f t="array" ref="AE470">IF($A470="","",ROUND($Y470*XLOOKUP($F470,Settings!$I$15:$I$20,Settings!$L$15:$L$20,0.8),0))</f>
        <v>1</v>
      </c>
      <c r="AF470" s="12">
        <f t="array" ref="AF470">IF($A470="","",ROUND($Y470*XLOOKUP($F470,Settings!$I$15:$I$20,Settings!$M$15:$M$20,1),0))</f>
        <v>1</v>
      </c>
      <c r="AG470" s="12">
        <f t="array" ref="AG470">IF($A470="","",ROUND($Y470*XLOOKUP($F470,Settings!$I$15:$I$20,Settings!$N$15:$N$20,1.1),0))</f>
        <v>1</v>
      </c>
      <c r="AH470" s="12">
        <f t="array" ref="AH470">IF($A470="","",ROUND($Y470*XLOOKUP($F470,Settings!$I$15:$I$20,Settings!$O$15:$O$20,1.1)*Settings!$J$7,0))</f>
        <v>1</v>
      </c>
      <c r="AI470" s="12">
        <f t="array" ref="AI470">IF($A470="","",IF($AA470="Sold","",MIN($AH470,IFERROR(XLOOKUP(Settings!$B$12,Managers!$B$4:$B$15,Managers!$H$4:$H$15),$AH470))))</f>
        <v>1</v>
      </c>
      <c r="AJ470" s="12" t="str">
        <f t="shared" si="3"/>
        <v>Recommended</v>
      </c>
      <c r="AK470" s="12">
        <f t="shared" si="4"/>
        <v>26</v>
      </c>
      <c r="AL470" s="12" t="str">
        <f t="shared" si="5"/>
        <v/>
      </c>
    </row>
    <row r="471" ht="15.75" customHeight="1">
      <c r="A471" s="10" t="s">
        <v>1223</v>
      </c>
      <c r="B471" s="10" t="s">
        <v>1224</v>
      </c>
      <c r="C471" s="10" t="s">
        <v>1225</v>
      </c>
      <c r="D471" s="10" t="s">
        <v>121</v>
      </c>
      <c r="E471" s="10" t="s">
        <v>121</v>
      </c>
      <c r="F471" s="10" t="s">
        <v>117</v>
      </c>
      <c r="G471" s="10">
        <v>5.0</v>
      </c>
      <c r="H471" s="10">
        <v>7.0</v>
      </c>
      <c r="I471" s="10" t="s">
        <v>2140</v>
      </c>
      <c r="J471" s="10" t="s">
        <v>2136</v>
      </c>
      <c r="K471" s="10"/>
      <c r="L471" s="10">
        <v>5.5</v>
      </c>
      <c r="M471" s="10">
        <v>1.38</v>
      </c>
      <c r="N471" s="10"/>
      <c r="O471" s="10"/>
      <c r="P471" s="12">
        <f>IF($A471="","",IFERROR((IF($O471="",0,$O471)*Settings!$J$4+IF($L471="",0,$L471)*Settings!$J$5+IF($N471="",0,$N471)*Settings!$J$6)/(IF($O471="",0,Settings!$J$4)+IF($L471="",0,Settings!$J$5)+IF($N471="",0,Settings!$J$6)),0))</f>
        <v>5.5</v>
      </c>
      <c r="Q471" s="12">
        <f t="array" ref="Q471">IF($A471="","",XLOOKUP($E471,Settings!$A$19:$A$22,Settings!$G$19:$G$22,0))</f>
        <v>206</v>
      </c>
      <c r="R471" s="12">
        <f t="shared" si="1"/>
        <v>0</v>
      </c>
      <c r="S471" s="12">
        <f>IF($A471="","",IF($R471&lt;=0,1,1+$R471/SUMIF($R$4:$R$923,"&gt;0",$R$4:$R$923)*(Settings!$B$5*(Settings!$B$6-Settings!$B$7))))</f>
        <v>1</v>
      </c>
      <c r="T471" s="12">
        <f t="array" ref="T471">IF($A471="","",XLOOKUP($F471,Settings!$I$15:$I$20,Settings!$J$15:$J$20,1))</f>
        <v>0.75</v>
      </c>
      <c r="U471" s="12">
        <f>IF($A471="","",1+(($G471-5)/5)*Settings!$J$8)</f>
        <v>1</v>
      </c>
      <c r="V471" s="12">
        <f>IF($A471="","",1+(($H471-5)/5)*Settings!$J$9)</f>
        <v>1.06</v>
      </c>
      <c r="W471" s="12">
        <f t="array" ref="W471">IF($A471="","",XLOOKUP($J471,Lists!$C$3:$C$7,Lists!$D$3:$D$7,1))</f>
        <v>1</v>
      </c>
      <c r="X471" s="12">
        <f>IF($A471="","",IF($I471="Yes",Settings!$J$10,1))</f>
        <v>1</v>
      </c>
      <c r="Y471" s="12">
        <f t="shared" si="2"/>
        <v>1</v>
      </c>
      <c r="Z471" s="12">
        <f>IF($A471="","",IFERROR(ROUND(AVERAGEIFS('Historical Drafts'!$G$4:$G$300,'Historical Drafts'!$D$4:$D$300,$E471,'Historical Drafts'!$J$4:$J$300,"&gt;="&amp;$L471*0.85,'Historical Drafts'!$J$4:$J$300,"&lt;="&amp;$L471*1.15),0),$Y471))</f>
        <v>1</v>
      </c>
      <c r="AA471" s="12" t="str">
        <f>IF($A471="","",IF(COUNTIF('Auction Log'!$B$3:$B$300,$A471)&gt;0,"Sold","Available"))</f>
        <v>Available</v>
      </c>
      <c r="AB471" s="12" t="str">
        <f t="array" ref="AB471">IF($A471="","",IFERROR(XLOOKUP($A471,'Auction Log'!$B$3:$B$300,'Auction Log'!$G$3:$G$300,""),""))</f>
        <v/>
      </c>
      <c r="AC471" s="12" t="str">
        <f t="array" ref="AC471">IF($A471="","",IFERROR(XLOOKUP($A471,'Auction Log'!$B$3:$B$300,'Auction Log'!$F$3:$F$300,""),""))</f>
        <v/>
      </c>
      <c r="AD471" s="12">
        <f t="array" ref="AD471">IF($A471="","",ROUND($Y471*XLOOKUP($F471,Settings!$I$15:$I$20,Settings!$K$15:$K$20,0.4),0))</f>
        <v>0</v>
      </c>
      <c r="AE471" s="12">
        <f t="array" ref="AE471">IF($A471="","",ROUND($Y471*XLOOKUP($F471,Settings!$I$15:$I$20,Settings!$L$15:$L$20,0.8),0))</f>
        <v>1</v>
      </c>
      <c r="AF471" s="12">
        <f t="array" ref="AF471">IF($A471="","",ROUND($Y471*XLOOKUP($F471,Settings!$I$15:$I$20,Settings!$M$15:$M$20,1),0))</f>
        <v>1</v>
      </c>
      <c r="AG471" s="12">
        <f t="array" ref="AG471">IF($A471="","",ROUND($Y471*XLOOKUP($F471,Settings!$I$15:$I$20,Settings!$N$15:$N$20,1.1),0))</f>
        <v>1</v>
      </c>
      <c r="AH471" s="12">
        <f t="array" ref="AH471">IF($A471="","",ROUND($Y471*XLOOKUP($F471,Settings!$I$15:$I$20,Settings!$O$15:$O$20,1.1)*Settings!$J$7,0))</f>
        <v>1</v>
      </c>
      <c r="AI471" s="12">
        <f t="array" ref="AI471">IF($A471="","",IF($AA471="Sold","",MIN($AH471,IFERROR(XLOOKUP(Settings!$B$12,Managers!$B$4:$B$15,Managers!$H$4:$H$15),$AH471))))</f>
        <v>1</v>
      </c>
      <c r="AJ471" s="12" t="str">
        <f t="shared" si="3"/>
        <v>Recommended</v>
      </c>
      <c r="AK471" s="12">
        <f t="shared" si="4"/>
        <v>26</v>
      </c>
      <c r="AL471" s="12" t="str">
        <f t="shared" si="5"/>
        <v/>
      </c>
    </row>
    <row r="472" ht="15.75" customHeight="1">
      <c r="A472" s="10" t="s">
        <v>1226</v>
      </c>
      <c r="B472" s="10" t="s">
        <v>1227</v>
      </c>
      <c r="C472" s="10" t="s">
        <v>185</v>
      </c>
      <c r="D472" s="10" t="s">
        <v>121</v>
      </c>
      <c r="E472" s="10" t="s">
        <v>121</v>
      </c>
      <c r="F472" s="10" t="s">
        <v>117</v>
      </c>
      <c r="G472" s="10">
        <v>5.0</v>
      </c>
      <c r="H472" s="10">
        <v>7.0</v>
      </c>
      <c r="I472" s="10" t="s">
        <v>2140</v>
      </c>
      <c r="J472" s="10" t="s">
        <v>2136</v>
      </c>
      <c r="K472" s="10"/>
      <c r="L472" s="10">
        <v>5.5</v>
      </c>
      <c r="M472" s="10">
        <v>1.83</v>
      </c>
      <c r="N472" s="10"/>
      <c r="O472" s="10"/>
      <c r="P472" s="12">
        <f>IF($A472="","",IFERROR((IF($O472="",0,$O472)*Settings!$J$4+IF($L472="",0,$L472)*Settings!$J$5+IF($N472="",0,$N472)*Settings!$J$6)/(IF($O472="",0,Settings!$J$4)+IF($L472="",0,Settings!$J$5)+IF($N472="",0,Settings!$J$6)),0))</f>
        <v>5.5</v>
      </c>
      <c r="Q472" s="12">
        <f t="array" ref="Q472">IF($A472="","",XLOOKUP($E472,Settings!$A$19:$A$22,Settings!$G$19:$G$22,0))</f>
        <v>206</v>
      </c>
      <c r="R472" s="12">
        <f t="shared" si="1"/>
        <v>0</v>
      </c>
      <c r="S472" s="12">
        <f>IF($A472="","",IF($R472&lt;=0,1,1+$R472/SUMIF($R$4:$R$923,"&gt;0",$R$4:$R$923)*(Settings!$B$5*(Settings!$B$6-Settings!$B$7))))</f>
        <v>1</v>
      </c>
      <c r="T472" s="12">
        <f t="array" ref="T472">IF($A472="","",XLOOKUP($F472,Settings!$I$15:$I$20,Settings!$J$15:$J$20,1))</f>
        <v>0.75</v>
      </c>
      <c r="U472" s="12">
        <f>IF($A472="","",1+(($G472-5)/5)*Settings!$J$8)</f>
        <v>1</v>
      </c>
      <c r="V472" s="12">
        <f>IF($A472="","",1+(($H472-5)/5)*Settings!$J$9)</f>
        <v>1.06</v>
      </c>
      <c r="W472" s="12">
        <f t="array" ref="W472">IF($A472="","",XLOOKUP($J472,Lists!$C$3:$C$7,Lists!$D$3:$D$7,1))</f>
        <v>1</v>
      </c>
      <c r="X472" s="12">
        <f>IF($A472="","",IF($I472="Yes",Settings!$J$10,1))</f>
        <v>1</v>
      </c>
      <c r="Y472" s="12">
        <f t="shared" si="2"/>
        <v>1</v>
      </c>
      <c r="Z472" s="12">
        <f>IF($A472="","",IFERROR(ROUND(AVERAGEIFS('Historical Drafts'!$G$4:$G$300,'Historical Drafts'!$D$4:$D$300,$E472,'Historical Drafts'!$J$4:$J$300,"&gt;="&amp;$L472*0.85,'Historical Drafts'!$J$4:$J$300,"&lt;="&amp;$L472*1.15),0),$Y472))</f>
        <v>1</v>
      </c>
      <c r="AA472" s="12" t="str">
        <f>IF($A472="","",IF(COUNTIF('Auction Log'!$B$3:$B$300,$A472)&gt;0,"Sold","Available"))</f>
        <v>Available</v>
      </c>
      <c r="AB472" s="12" t="str">
        <f t="array" ref="AB472">IF($A472="","",IFERROR(XLOOKUP($A472,'Auction Log'!$B$3:$B$300,'Auction Log'!$G$3:$G$300,""),""))</f>
        <v/>
      </c>
      <c r="AC472" s="12" t="str">
        <f t="array" ref="AC472">IF($A472="","",IFERROR(XLOOKUP($A472,'Auction Log'!$B$3:$B$300,'Auction Log'!$F$3:$F$300,""),""))</f>
        <v/>
      </c>
      <c r="AD472" s="12">
        <f t="array" ref="AD472">IF($A472="","",ROUND($Y472*XLOOKUP($F472,Settings!$I$15:$I$20,Settings!$K$15:$K$20,0.4),0))</f>
        <v>0</v>
      </c>
      <c r="AE472" s="12">
        <f t="array" ref="AE472">IF($A472="","",ROUND($Y472*XLOOKUP($F472,Settings!$I$15:$I$20,Settings!$L$15:$L$20,0.8),0))</f>
        <v>1</v>
      </c>
      <c r="AF472" s="12">
        <f t="array" ref="AF472">IF($A472="","",ROUND($Y472*XLOOKUP($F472,Settings!$I$15:$I$20,Settings!$M$15:$M$20,1),0))</f>
        <v>1</v>
      </c>
      <c r="AG472" s="12">
        <f t="array" ref="AG472">IF($A472="","",ROUND($Y472*XLOOKUP($F472,Settings!$I$15:$I$20,Settings!$N$15:$N$20,1.1),0))</f>
        <v>1</v>
      </c>
      <c r="AH472" s="12">
        <f t="array" ref="AH472">IF($A472="","",ROUND($Y472*XLOOKUP($F472,Settings!$I$15:$I$20,Settings!$O$15:$O$20,1.1)*Settings!$J$7,0))</f>
        <v>1</v>
      </c>
      <c r="AI472" s="12">
        <f t="array" ref="AI472">IF($A472="","",IF($AA472="Sold","",MIN($AH472,IFERROR(XLOOKUP(Settings!$B$12,Managers!$B$4:$B$15,Managers!$H$4:$H$15),$AH472))))</f>
        <v>1</v>
      </c>
      <c r="AJ472" s="12" t="str">
        <f t="shared" si="3"/>
        <v>Recommended</v>
      </c>
      <c r="AK472" s="12">
        <f t="shared" si="4"/>
        <v>26</v>
      </c>
      <c r="AL472" s="12" t="str">
        <f t="shared" si="5"/>
        <v/>
      </c>
    </row>
    <row r="473" ht="15.75" customHeight="1">
      <c r="A473" s="10" t="s">
        <v>1228</v>
      </c>
      <c r="B473" s="10" t="s">
        <v>1229</v>
      </c>
      <c r="C473" s="10" t="s">
        <v>215</v>
      </c>
      <c r="D473" s="10" t="s">
        <v>118</v>
      </c>
      <c r="E473" s="10" t="s">
        <v>118</v>
      </c>
      <c r="F473" s="10" t="s">
        <v>117</v>
      </c>
      <c r="G473" s="10">
        <v>5.0</v>
      </c>
      <c r="H473" s="10">
        <v>7.0</v>
      </c>
      <c r="I473" s="10" t="s">
        <v>2140</v>
      </c>
      <c r="J473" s="10" t="s">
        <v>2136</v>
      </c>
      <c r="K473" s="10"/>
      <c r="L473" s="10">
        <v>5.5</v>
      </c>
      <c r="M473" s="10">
        <v>0.92</v>
      </c>
      <c r="N473" s="10"/>
      <c r="O473" s="10"/>
      <c r="P473" s="12">
        <f>IF($A473="","",IFERROR((IF($O473="",0,$O473)*Settings!$J$4+IF($L473="",0,$L473)*Settings!$J$5+IF($N473="",0,$N473)*Settings!$J$6)/(IF($O473="",0,Settings!$J$4)+IF($L473="",0,Settings!$J$5)+IF($N473="",0,Settings!$J$6)),0))</f>
        <v>5.5</v>
      </c>
      <c r="Q473" s="12">
        <f t="array" ref="Q473">IF($A473="","",XLOOKUP($E473,Settings!$A$19:$A$22,Settings!$G$19:$G$22,0))</f>
        <v>196.25</v>
      </c>
      <c r="R473" s="12">
        <f t="shared" si="1"/>
        <v>0</v>
      </c>
      <c r="S473" s="12">
        <f>IF($A473="","",IF($R473&lt;=0,1,1+$R473/SUMIF($R$4:$R$923,"&gt;0",$R$4:$R$923)*(Settings!$B$5*(Settings!$B$6-Settings!$B$7))))</f>
        <v>1</v>
      </c>
      <c r="T473" s="12">
        <f t="array" ref="T473">IF($A473="","",XLOOKUP($F473,Settings!$I$15:$I$20,Settings!$J$15:$J$20,1))</f>
        <v>0.75</v>
      </c>
      <c r="U473" s="12">
        <f>IF($A473="","",1+(($G473-5)/5)*Settings!$J$8)</f>
        <v>1</v>
      </c>
      <c r="V473" s="12">
        <f>IF($A473="","",1+(($H473-5)/5)*Settings!$J$9)</f>
        <v>1.06</v>
      </c>
      <c r="W473" s="12">
        <f t="array" ref="W473">IF($A473="","",XLOOKUP($J473,Lists!$C$3:$C$7,Lists!$D$3:$D$7,1))</f>
        <v>1</v>
      </c>
      <c r="X473" s="12">
        <f>IF($A473="","",IF($I473="Yes",Settings!$J$10,1))</f>
        <v>1</v>
      </c>
      <c r="Y473" s="12">
        <f t="shared" si="2"/>
        <v>1</v>
      </c>
      <c r="Z473" s="12">
        <f>IF($A473="","",IFERROR(ROUND(AVERAGEIFS('Historical Drafts'!$G$4:$G$300,'Historical Drafts'!$D$4:$D$300,$E473,'Historical Drafts'!$J$4:$J$300,"&gt;="&amp;$L473*0.85,'Historical Drafts'!$J$4:$J$300,"&lt;="&amp;$L473*1.15),0),$Y473))</f>
        <v>1</v>
      </c>
      <c r="AA473" s="12" t="str">
        <f>IF($A473="","",IF(COUNTIF('Auction Log'!$B$3:$B$300,$A473)&gt;0,"Sold","Available"))</f>
        <v>Available</v>
      </c>
      <c r="AB473" s="12" t="str">
        <f t="array" ref="AB473">IF($A473="","",IFERROR(XLOOKUP($A473,'Auction Log'!$B$3:$B$300,'Auction Log'!$G$3:$G$300,""),""))</f>
        <v/>
      </c>
      <c r="AC473" s="12" t="str">
        <f t="array" ref="AC473">IF($A473="","",IFERROR(XLOOKUP($A473,'Auction Log'!$B$3:$B$300,'Auction Log'!$F$3:$F$300,""),""))</f>
        <v/>
      </c>
      <c r="AD473" s="12">
        <f t="array" ref="AD473">IF($A473="","",ROUND($Y473*XLOOKUP($F473,Settings!$I$15:$I$20,Settings!$K$15:$K$20,0.4),0))</f>
        <v>0</v>
      </c>
      <c r="AE473" s="12">
        <f t="array" ref="AE473">IF($A473="","",ROUND($Y473*XLOOKUP($F473,Settings!$I$15:$I$20,Settings!$L$15:$L$20,0.8),0))</f>
        <v>1</v>
      </c>
      <c r="AF473" s="12">
        <f t="array" ref="AF473">IF($A473="","",ROUND($Y473*XLOOKUP($F473,Settings!$I$15:$I$20,Settings!$M$15:$M$20,1),0))</f>
        <v>1</v>
      </c>
      <c r="AG473" s="12">
        <f t="array" ref="AG473">IF($A473="","",ROUND($Y473*XLOOKUP($F473,Settings!$I$15:$I$20,Settings!$N$15:$N$20,1.1),0))</f>
        <v>1</v>
      </c>
      <c r="AH473" s="12">
        <f t="array" ref="AH473">IF($A473="","",ROUND($Y473*XLOOKUP($F473,Settings!$I$15:$I$20,Settings!$O$15:$O$20,1.1)*Settings!$J$7,0))</f>
        <v>1</v>
      </c>
      <c r="AI473" s="12">
        <f t="array" ref="AI473">IF($A473="","",IF($AA473="Sold","",MIN($AH473,IFERROR(XLOOKUP(Settings!$B$12,Managers!$B$4:$B$15,Managers!$H$4:$H$15),$AH473))))</f>
        <v>1</v>
      </c>
      <c r="AJ473" s="12" t="str">
        <f t="shared" si="3"/>
        <v>Recommended</v>
      </c>
      <c r="AK473" s="12">
        <f t="shared" si="4"/>
        <v>26</v>
      </c>
      <c r="AL473" s="12" t="str">
        <f t="shared" si="5"/>
        <v/>
      </c>
    </row>
    <row r="474" ht="15.75" customHeight="1">
      <c r="A474" s="10" t="s">
        <v>1230</v>
      </c>
      <c r="B474" s="10" t="s">
        <v>1231</v>
      </c>
      <c r="C474" s="10" t="s">
        <v>191</v>
      </c>
      <c r="D474" s="10" t="s">
        <v>121</v>
      </c>
      <c r="E474" s="10" t="s">
        <v>121</v>
      </c>
      <c r="F474" s="10" t="s">
        <v>117</v>
      </c>
      <c r="G474" s="10">
        <v>5.0</v>
      </c>
      <c r="H474" s="10">
        <v>7.0</v>
      </c>
      <c r="I474" s="10" t="s">
        <v>2140</v>
      </c>
      <c r="J474" s="10" t="s">
        <v>2136</v>
      </c>
      <c r="K474" s="10"/>
      <c r="L474" s="10">
        <v>5.5</v>
      </c>
      <c r="M474" s="10">
        <v>0.79</v>
      </c>
      <c r="N474" s="10"/>
      <c r="O474" s="10"/>
      <c r="P474" s="12">
        <f>IF($A474="","",IFERROR((IF($O474="",0,$O474)*Settings!$J$4+IF($L474="",0,$L474)*Settings!$J$5+IF($N474="",0,$N474)*Settings!$J$6)/(IF($O474="",0,Settings!$J$4)+IF($L474="",0,Settings!$J$5)+IF($N474="",0,Settings!$J$6)),0))</f>
        <v>5.5</v>
      </c>
      <c r="Q474" s="12">
        <f t="array" ref="Q474">IF($A474="","",XLOOKUP($E474,Settings!$A$19:$A$22,Settings!$G$19:$G$22,0))</f>
        <v>206</v>
      </c>
      <c r="R474" s="12">
        <f t="shared" si="1"/>
        <v>0</v>
      </c>
      <c r="S474" s="12">
        <f>IF($A474="","",IF($R474&lt;=0,1,1+$R474/SUMIF($R$4:$R$923,"&gt;0",$R$4:$R$923)*(Settings!$B$5*(Settings!$B$6-Settings!$B$7))))</f>
        <v>1</v>
      </c>
      <c r="T474" s="12">
        <f t="array" ref="T474">IF($A474="","",XLOOKUP($F474,Settings!$I$15:$I$20,Settings!$J$15:$J$20,1))</f>
        <v>0.75</v>
      </c>
      <c r="U474" s="12">
        <f>IF($A474="","",1+(($G474-5)/5)*Settings!$J$8)</f>
        <v>1</v>
      </c>
      <c r="V474" s="12">
        <f>IF($A474="","",1+(($H474-5)/5)*Settings!$J$9)</f>
        <v>1.06</v>
      </c>
      <c r="W474" s="12">
        <f t="array" ref="W474">IF($A474="","",XLOOKUP($J474,Lists!$C$3:$C$7,Lists!$D$3:$D$7,1))</f>
        <v>1</v>
      </c>
      <c r="X474" s="12">
        <f>IF($A474="","",IF($I474="Yes",Settings!$J$10,1))</f>
        <v>1</v>
      </c>
      <c r="Y474" s="12">
        <f t="shared" si="2"/>
        <v>1</v>
      </c>
      <c r="Z474" s="12">
        <f>IF($A474="","",IFERROR(ROUND(AVERAGEIFS('Historical Drafts'!$G$4:$G$300,'Historical Drafts'!$D$4:$D$300,$E474,'Historical Drafts'!$J$4:$J$300,"&gt;="&amp;$L474*0.85,'Historical Drafts'!$J$4:$J$300,"&lt;="&amp;$L474*1.15),0),$Y474))</f>
        <v>1</v>
      </c>
      <c r="AA474" s="12" t="str">
        <f>IF($A474="","",IF(COUNTIF('Auction Log'!$B$3:$B$300,$A474)&gt;0,"Sold","Available"))</f>
        <v>Available</v>
      </c>
      <c r="AB474" s="12" t="str">
        <f t="array" ref="AB474">IF($A474="","",IFERROR(XLOOKUP($A474,'Auction Log'!$B$3:$B$300,'Auction Log'!$G$3:$G$300,""),""))</f>
        <v/>
      </c>
      <c r="AC474" s="12" t="str">
        <f t="array" ref="AC474">IF($A474="","",IFERROR(XLOOKUP($A474,'Auction Log'!$B$3:$B$300,'Auction Log'!$F$3:$F$300,""),""))</f>
        <v/>
      </c>
      <c r="AD474" s="12">
        <f t="array" ref="AD474">IF($A474="","",ROUND($Y474*XLOOKUP($F474,Settings!$I$15:$I$20,Settings!$K$15:$K$20,0.4),0))</f>
        <v>0</v>
      </c>
      <c r="AE474" s="12">
        <f t="array" ref="AE474">IF($A474="","",ROUND($Y474*XLOOKUP($F474,Settings!$I$15:$I$20,Settings!$L$15:$L$20,0.8),0))</f>
        <v>1</v>
      </c>
      <c r="AF474" s="12">
        <f t="array" ref="AF474">IF($A474="","",ROUND($Y474*XLOOKUP($F474,Settings!$I$15:$I$20,Settings!$M$15:$M$20,1),0))</f>
        <v>1</v>
      </c>
      <c r="AG474" s="12">
        <f t="array" ref="AG474">IF($A474="","",ROUND($Y474*XLOOKUP($F474,Settings!$I$15:$I$20,Settings!$N$15:$N$20,1.1),0))</f>
        <v>1</v>
      </c>
      <c r="AH474" s="12">
        <f t="array" ref="AH474">IF($A474="","",ROUND($Y474*XLOOKUP($F474,Settings!$I$15:$I$20,Settings!$O$15:$O$20,1.1)*Settings!$J$7,0))</f>
        <v>1</v>
      </c>
      <c r="AI474" s="12">
        <f t="array" ref="AI474">IF($A474="","",IF($AA474="Sold","",MIN($AH474,IFERROR(XLOOKUP(Settings!$B$12,Managers!$B$4:$B$15,Managers!$H$4:$H$15),$AH474))))</f>
        <v>1</v>
      </c>
      <c r="AJ474" s="12" t="str">
        <f t="shared" si="3"/>
        <v>Recommended</v>
      </c>
      <c r="AK474" s="12">
        <f t="shared" si="4"/>
        <v>26</v>
      </c>
      <c r="AL474" s="12" t="str">
        <f t="shared" si="5"/>
        <v/>
      </c>
    </row>
    <row r="475" ht="15.75" customHeight="1">
      <c r="A475" s="10" t="s">
        <v>1232</v>
      </c>
      <c r="B475" s="10" t="s">
        <v>1233</v>
      </c>
      <c r="C475" s="10" t="s">
        <v>188</v>
      </c>
      <c r="D475" s="10" t="s">
        <v>123</v>
      </c>
      <c r="E475" s="10" t="s">
        <v>123</v>
      </c>
      <c r="F475" s="10" t="s">
        <v>117</v>
      </c>
      <c r="G475" s="10">
        <v>5.0</v>
      </c>
      <c r="H475" s="10">
        <v>7.0</v>
      </c>
      <c r="I475" s="10" t="s">
        <v>2140</v>
      </c>
      <c r="J475" s="10" t="s">
        <v>2136</v>
      </c>
      <c r="K475" s="10"/>
      <c r="L475" s="10">
        <v>5.0</v>
      </c>
      <c r="M475" s="10">
        <v>5.0</v>
      </c>
      <c r="N475" s="10"/>
      <c r="O475" s="10"/>
      <c r="P475" s="12">
        <f>IF($A475="","",IFERROR((IF($O475="",0,$O475)*Settings!$J$4+IF($L475="",0,$L475)*Settings!$J$5+IF($N475="",0,$N475)*Settings!$J$6)/(IF($O475="",0,Settings!$J$4)+IF($L475="",0,Settings!$J$5)+IF($N475="",0,Settings!$J$6)),0))</f>
        <v>5</v>
      </c>
      <c r="Q475" s="12">
        <f t="array" ref="Q475">IF($A475="","",XLOOKUP($E475,Settings!$A$19:$A$22,Settings!$G$19:$G$22,0))</f>
        <v>203</v>
      </c>
      <c r="R475" s="12">
        <f t="shared" si="1"/>
        <v>0</v>
      </c>
      <c r="S475" s="12">
        <f>IF($A475="","",IF($R475&lt;=0,1,1+$R475/SUMIF($R$4:$R$923,"&gt;0",$R$4:$R$923)*(Settings!$B$5*(Settings!$B$6-Settings!$B$7))))</f>
        <v>1</v>
      </c>
      <c r="T475" s="12">
        <f t="array" ref="T475">IF($A475="","",XLOOKUP($F475,Settings!$I$15:$I$20,Settings!$J$15:$J$20,1))</f>
        <v>0.75</v>
      </c>
      <c r="U475" s="12">
        <f>IF($A475="","",1+(($G475-5)/5)*Settings!$J$8)</f>
        <v>1</v>
      </c>
      <c r="V475" s="12">
        <f>IF($A475="","",1+(($H475-5)/5)*Settings!$J$9)</f>
        <v>1.06</v>
      </c>
      <c r="W475" s="12">
        <f t="array" ref="W475">IF($A475="","",XLOOKUP($J475,Lists!$C$3:$C$7,Lists!$D$3:$D$7,1))</f>
        <v>1</v>
      </c>
      <c r="X475" s="12">
        <f>IF($A475="","",IF($I475="Yes",Settings!$J$10,1))</f>
        <v>1</v>
      </c>
      <c r="Y475" s="12">
        <f t="shared" si="2"/>
        <v>1</v>
      </c>
      <c r="Z475" s="12">
        <f>IF($A475="","",IFERROR(ROUND(AVERAGEIFS('Historical Drafts'!$G$4:$G$300,'Historical Drafts'!$D$4:$D$300,$E475,'Historical Drafts'!$J$4:$J$300,"&gt;="&amp;$L475*0.85,'Historical Drafts'!$J$4:$J$300,"&lt;="&amp;$L475*1.15),0),$Y475))</f>
        <v>1</v>
      </c>
      <c r="AA475" s="12" t="str">
        <f>IF($A475="","",IF(COUNTIF('Auction Log'!$B$3:$B$300,$A475)&gt;0,"Sold","Available"))</f>
        <v>Available</v>
      </c>
      <c r="AB475" s="12" t="str">
        <f t="array" ref="AB475">IF($A475="","",IFERROR(XLOOKUP($A475,'Auction Log'!$B$3:$B$300,'Auction Log'!$G$3:$G$300,""),""))</f>
        <v/>
      </c>
      <c r="AC475" s="12" t="str">
        <f t="array" ref="AC475">IF($A475="","",IFERROR(XLOOKUP($A475,'Auction Log'!$B$3:$B$300,'Auction Log'!$F$3:$F$300,""),""))</f>
        <v/>
      </c>
      <c r="AD475" s="12">
        <f t="array" ref="AD475">IF($A475="","",ROUND($Y475*XLOOKUP($F475,Settings!$I$15:$I$20,Settings!$K$15:$K$20,0.4),0))</f>
        <v>0</v>
      </c>
      <c r="AE475" s="12">
        <f t="array" ref="AE475">IF($A475="","",ROUND($Y475*XLOOKUP($F475,Settings!$I$15:$I$20,Settings!$L$15:$L$20,0.8),0))</f>
        <v>1</v>
      </c>
      <c r="AF475" s="12">
        <f t="array" ref="AF475">IF($A475="","",ROUND($Y475*XLOOKUP($F475,Settings!$I$15:$I$20,Settings!$M$15:$M$20,1),0))</f>
        <v>1</v>
      </c>
      <c r="AG475" s="12">
        <f t="array" ref="AG475">IF($A475="","",ROUND($Y475*XLOOKUP($F475,Settings!$I$15:$I$20,Settings!$N$15:$N$20,1.1),0))</f>
        <v>1</v>
      </c>
      <c r="AH475" s="12">
        <f t="array" ref="AH475">IF($A475="","",ROUND($Y475*XLOOKUP($F475,Settings!$I$15:$I$20,Settings!$O$15:$O$20,1.1)*Settings!$J$7,0))</f>
        <v>1</v>
      </c>
      <c r="AI475" s="12">
        <f t="array" ref="AI475">IF($A475="","",IF($AA475="Sold","",MIN($AH475,IFERROR(XLOOKUP(Settings!$B$12,Managers!$B$4:$B$15,Managers!$H$4:$H$15),$AH475))))</f>
        <v>1</v>
      </c>
      <c r="AJ475" s="12" t="str">
        <f t="shared" si="3"/>
        <v>Recommended</v>
      </c>
      <c r="AK475" s="12">
        <f t="shared" si="4"/>
        <v>26</v>
      </c>
      <c r="AL475" s="12" t="str">
        <f t="shared" si="5"/>
        <v/>
      </c>
    </row>
    <row r="476" ht="15.75" customHeight="1">
      <c r="A476" s="10" t="s">
        <v>1234</v>
      </c>
      <c r="B476" s="10" t="s">
        <v>1235</v>
      </c>
      <c r="C476" s="10" t="s">
        <v>257</v>
      </c>
      <c r="D476" s="10" t="s">
        <v>118</v>
      </c>
      <c r="E476" s="10" t="s">
        <v>118</v>
      </c>
      <c r="F476" s="10" t="s">
        <v>117</v>
      </c>
      <c r="G476" s="10">
        <v>5.0</v>
      </c>
      <c r="H476" s="10">
        <v>7.0</v>
      </c>
      <c r="I476" s="10" t="s">
        <v>2140</v>
      </c>
      <c r="J476" s="10" t="s">
        <v>2136</v>
      </c>
      <c r="K476" s="10"/>
      <c r="L476" s="10">
        <v>4.5</v>
      </c>
      <c r="M476" s="10">
        <v>0.9</v>
      </c>
      <c r="N476" s="10"/>
      <c r="O476" s="10"/>
      <c r="P476" s="12">
        <f>IF($A476="","",IFERROR((IF($O476="",0,$O476)*Settings!$J$4+IF($L476="",0,$L476)*Settings!$J$5+IF($N476="",0,$N476)*Settings!$J$6)/(IF($O476="",0,Settings!$J$4)+IF($L476="",0,Settings!$J$5)+IF($N476="",0,Settings!$J$6)),0))</f>
        <v>4.5</v>
      </c>
      <c r="Q476" s="12">
        <f t="array" ref="Q476">IF($A476="","",XLOOKUP($E476,Settings!$A$19:$A$22,Settings!$G$19:$G$22,0))</f>
        <v>196.25</v>
      </c>
      <c r="R476" s="12">
        <f t="shared" si="1"/>
        <v>0</v>
      </c>
      <c r="S476" s="12">
        <f>IF($A476="","",IF($R476&lt;=0,1,1+$R476/SUMIF($R$4:$R$923,"&gt;0",$R$4:$R$923)*(Settings!$B$5*(Settings!$B$6-Settings!$B$7))))</f>
        <v>1</v>
      </c>
      <c r="T476" s="12">
        <f t="array" ref="T476">IF($A476="","",XLOOKUP($F476,Settings!$I$15:$I$20,Settings!$J$15:$J$20,1))</f>
        <v>0.75</v>
      </c>
      <c r="U476" s="12">
        <f>IF($A476="","",1+(($G476-5)/5)*Settings!$J$8)</f>
        <v>1</v>
      </c>
      <c r="V476" s="12">
        <f>IF($A476="","",1+(($H476-5)/5)*Settings!$J$9)</f>
        <v>1.06</v>
      </c>
      <c r="W476" s="12">
        <f t="array" ref="W476">IF($A476="","",XLOOKUP($J476,Lists!$C$3:$C$7,Lists!$D$3:$D$7,1))</f>
        <v>1</v>
      </c>
      <c r="X476" s="12">
        <f>IF($A476="","",IF($I476="Yes",Settings!$J$10,1))</f>
        <v>1</v>
      </c>
      <c r="Y476" s="12">
        <f t="shared" si="2"/>
        <v>1</v>
      </c>
      <c r="Z476" s="12">
        <f>IF($A476="","",IFERROR(ROUND(AVERAGEIFS('Historical Drafts'!$G$4:$G$300,'Historical Drafts'!$D$4:$D$300,$E476,'Historical Drafts'!$J$4:$J$300,"&gt;="&amp;$L476*0.85,'Historical Drafts'!$J$4:$J$300,"&lt;="&amp;$L476*1.15),0),$Y476))</f>
        <v>1</v>
      </c>
      <c r="AA476" s="12" t="str">
        <f>IF($A476="","",IF(COUNTIF('Auction Log'!$B$3:$B$300,$A476)&gt;0,"Sold","Available"))</f>
        <v>Available</v>
      </c>
      <c r="AB476" s="12" t="str">
        <f t="array" ref="AB476">IF($A476="","",IFERROR(XLOOKUP($A476,'Auction Log'!$B$3:$B$300,'Auction Log'!$G$3:$G$300,""),""))</f>
        <v/>
      </c>
      <c r="AC476" s="12" t="str">
        <f t="array" ref="AC476">IF($A476="","",IFERROR(XLOOKUP($A476,'Auction Log'!$B$3:$B$300,'Auction Log'!$F$3:$F$300,""),""))</f>
        <v/>
      </c>
      <c r="AD476" s="12">
        <f t="array" ref="AD476">IF($A476="","",ROUND($Y476*XLOOKUP($F476,Settings!$I$15:$I$20,Settings!$K$15:$K$20,0.4),0))</f>
        <v>0</v>
      </c>
      <c r="AE476" s="12">
        <f t="array" ref="AE476">IF($A476="","",ROUND($Y476*XLOOKUP($F476,Settings!$I$15:$I$20,Settings!$L$15:$L$20,0.8),0))</f>
        <v>1</v>
      </c>
      <c r="AF476" s="12">
        <f t="array" ref="AF476">IF($A476="","",ROUND($Y476*XLOOKUP($F476,Settings!$I$15:$I$20,Settings!$M$15:$M$20,1),0))</f>
        <v>1</v>
      </c>
      <c r="AG476" s="12">
        <f t="array" ref="AG476">IF($A476="","",ROUND($Y476*XLOOKUP($F476,Settings!$I$15:$I$20,Settings!$N$15:$N$20,1.1),0))</f>
        <v>1</v>
      </c>
      <c r="AH476" s="12">
        <f t="array" ref="AH476">IF($A476="","",ROUND($Y476*XLOOKUP($F476,Settings!$I$15:$I$20,Settings!$O$15:$O$20,1.1)*Settings!$J$7,0))</f>
        <v>1</v>
      </c>
      <c r="AI476" s="12">
        <f t="array" ref="AI476">IF($A476="","",IF($AA476="Sold","",MIN($AH476,IFERROR(XLOOKUP(Settings!$B$12,Managers!$B$4:$B$15,Managers!$H$4:$H$15),$AH476))))</f>
        <v>1</v>
      </c>
      <c r="AJ476" s="12" t="str">
        <f t="shared" si="3"/>
        <v>Recommended</v>
      </c>
      <c r="AK476" s="12">
        <f t="shared" si="4"/>
        <v>26</v>
      </c>
      <c r="AL476" s="12" t="str">
        <f t="shared" si="5"/>
        <v/>
      </c>
    </row>
    <row r="477" ht="15.75" customHeight="1">
      <c r="A477" s="10" t="s">
        <v>368</v>
      </c>
      <c r="B477" s="10" t="s">
        <v>369</v>
      </c>
      <c r="C477" s="10" t="s">
        <v>370</v>
      </c>
      <c r="D477" s="10" t="s">
        <v>121</v>
      </c>
      <c r="E477" s="10" t="s">
        <v>121</v>
      </c>
      <c r="F477" s="10" t="s">
        <v>117</v>
      </c>
      <c r="G477" s="10">
        <v>5.0</v>
      </c>
      <c r="H477" s="10">
        <v>7.0</v>
      </c>
      <c r="I477" s="10" t="s">
        <v>2140</v>
      </c>
      <c r="J477" s="10" t="s">
        <v>2136</v>
      </c>
      <c r="K477" s="10"/>
      <c r="L477" s="10">
        <v>4.5</v>
      </c>
      <c r="M477" s="10">
        <v>0.9</v>
      </c>
      <c r="N477" s="10"/>
      <c r="O477" s="10"/>
      <c r="P477" s="12">
        <f>IF($A477="","",IFERROR((IF($O477="",0,$O477)*Settings!$J$4+IF($L477="",0,$L477)*Settings!$J$5+IF($N477="",0,$N477)*Settings!$J$6)/(IF($O477="",0,Settings!$J$4)+IF($L477="",0,Settings!$J$5)+IF($N477="",0,Settings!$J$6)),0))</f>
        <v>4.5</v>
      </c>
      <c r="Q477" s="12">
        <f t="array" ref="Q477">IF($A477="","",XLOOKUP($E477,Settings!$A$19:$A$22,Settings!$G$19:$G$22,0))</f>
        <v>206</v>
      </c>
      <c r="R477" s="12">
        <f t="shared" si="1"/>
        <v>0</v>
      </c>
      <c r="S477" s="12">
        <f>IF($A477="","",IF($R477&lt;=0,1,1+$R477/SUMIF($R$4:$R$923,"&gt;0",$R$4:$R$923)*(Settings!$B$5*(Settings!$B$6-Settings!$B$7))))</f>
        <v>1</v>
      </c>
      <c r="T477" s="12">
        <f t="array" ref="T477">IF($A477="","",XLOOKUP($F477,Settings!$I$15:$I$20,Settings!$J$15:$J$20,1))</f>
        <v>0.75</v>
      </c>
      <c r="U477" s="12">
        <f>IF($A477="","",1+(($G477-5)/5)*Settings!$J$8)</f>
        <v>1</v>
      </c>
      <c r="V477" s="12">
        <f>IF($A477="","",1+(($H477-5)/5)*Settings!$J$9)</f>
        <v>1.06</v>
      </c>
      <c r="W477" s="12">
        <f t="array" ref="W477">IF($A477="","",XLOOKUP($J477,Lists!$C$3:$C$7,Lists!$D$3:$D$7,1))</f>
        <v>1</v>
      </c>
      <c r="X477" s="12">
        <f>IF($A477="","",IF($I477="Yes",Settings!$J$10,1))</f>
        <v>1</v>
      </c>
      <c r="Y477" s="12">
        <f t="shared" si="2"/>
        <v>1</v>
      </c>
      <c r="Z477" s="12">
        <f>IF($A477="","",IFERROR(ROUND(AVERAGEIFS('Historical Drafts'!$G$4:$G$300,'Historical Drafts'!$D$4:$D$300,$E477,'Historical Drafts'!$J$4:$J$300,"&gt;="&amp;$L477*0.85,'Historical Drafts'!$J$4:$J$300,"&lt;="&amp;$L477*1.15),0),$Y477))</f>
        <v>1</v>
      </c>
      <c r="AA477" s="12" t="str">
        <f>IF($A477="","",IF(COUNTIF('Auction Log'!$B$3:$B$300,$A477)&gt;0,"Sold","Available"))</f>
        <v>Available</v>
      </c>
      <c r="AB477" s="12" t="str">
        <f t="array" ref="AB477">IF($A477="","",IFERROR(XLOOKUP($A477,'Auction Log'!$B$3:$B$300,'Auction Log'!$G$3:$G$300,""),""))</f>
        <v/>
      </c>
      <c r="AC477" s="12" t="str">
        <f t="array" ref="AC477">IF($A477="","",IFERROR(XLOOKUP($A477,'Auction Log'!$B$3:$B$300,'Auction Log'!$F$3:$F$300,""),""))</f>
        <v/>
      </c>
      <c r="AD477" s="12">
        <f t="array" ref="AD477">IF($A477="","",ROUND($Y477*XLOOKUP($F477,Settings!$I$15:$I$20,Settings!$K$15:$K$20,0.4),0))</f>
        <v>0</v>
      </c>
      <c r="AE477" s="12">
        <f t="array" ref="AE477">IF($A477="","",ROUND($Y477*XLOOKUP($F477,Settings!$I$15:$I$20,Settings!$L$15:$L$20,0.8),0))</f>
        <v>1</v>
      </c>
      <c r="AF477" s="12">
        <f t="array" ref="AF477">IF($A477="","",ROUND($Y477*XLOOKUP($F477,Settings!$I$15:$I$20,Settings!$M$15:$M$20,1),0))</f>
        <v>1</v>
      </c>
      <c r="AG477" s="12">
        <f t="array" ref="AG477">IF($A477="","",ROUND($Y477*XLOOKUP($F477,Settings!$I$15:$I$20,Settings!$N$15:$N$20,1.1),0))</f>
        <v>1</v>
      </c>
      <c r="AH477" s="12">
        <f t="array" ref="AH477">IF($A477="","",ROUND($Y477*XLOOKUP($F477,Settings!$I$15:$I$20,Settings!$O$15:$O$20,1.1)*Settings!$J$7,0))</f>
        <v>1</v>
      </c>
      <c r="AI477" s="12">
        <f t="array" ref="AI477">IF($A477="","",IF($AA477="Sold","",MIN($AH477,IFERROR(XLOOKUP(Settings!$B$12,Managers!$B$4:$B$15,Managers!$H$4:$H$15),$AH477))))</f>
        <v>1</v>
      </c>
      <c r="AJ477" s="12" t="str">
        <f t="shared" si="3"/>
        <v>Recommended</v>
      </c>
      <c r="AK477" s="12">
        <f t="shared" si="4"/>
        <v>26</v>
      </c>
      <c r="AL477" s="12" t="str">
        <f t="shared" si="5"/>
        <v/>
      </c>
    </row>
    <row r="478" ht="15.75" customHeight="1">
      <c r="A478" s="10" t="s">
        <v>1236</v>
      </c>
      <c r="B478" s="10" t="s">
        <v>1237</v>
      </c>
      <c r="C478" s="10" t="s">
        <v>185</v>
      </c>
      <c r="D478" s="10" t="s">
        <v>123</v>
      </c>
      <c r="E478" s="10" t="s">
        <v>123</v>
      </c>
      <c r="F478" s="10" t="s">
        <v>117</v>
      </c>
      <c r="G478" s="10">
        <v>5.0</v>
      </c>
      <c r="H478" s="10">
        <v>7.0</v>
      </c>
      <c r="I478" s="10" t="s">
        <v>2140</v>
      </c>
      <c r="J478" s="10" t="s">
        <v>2136</v>
      </c>
      <c r="K478" s="10"/>
      <c r="L478" s="10">
        <v>3.5</v>
      </c>
      <c r="M478" s="10">
        <v>1.17</v>
      </c>
      <c r="N478" s="10"/>
      <c r="O478" s="10"/>
      <c r="P478" s="12">
        <f>IF($A478="","",IFERROR((IF($O478="",0,$O478)*Settings!$J$4+IF($L478="",0,$L478)*Settings!$J$5+IF($N478="",0,$N478)*Settings!$J$6)/(IF($O478="",0,Settings!$J$4)+IF($L478="",0,Settings!$J$5)+IF($N478="",0,Settings!$J$6)),0))</f>
        <v>3.5</v>
      </c>
      <c r="Q478" s="12">
        <f t="array" ref="Q478">IF($A478="","",XLOOKUP($E478,Settings!$A$19:$A$22,Settings!$G$19:$G$22,0))</f>
        <v>203</v>
      </c>
      <c r="R478" s="12">
        <f t="shared" si="1"/>
        <v>0</v>
      </c>
      <c r="S478" s="12">
        <f>IF($A478="","",IF($R478&lt;=0,1,1+$R478/SUMIF($R$4:$R$923,"&gt;0",$R$4:$R$923)*(Settings!$B$5*(Settings!$B$6-Settings!$B$7))))</f>
        <v>1</v>
      </c>
      <c r="T478" s="12">
        <f t="array" ref="T478">IF($A478="","",XLOOKUP($F478,Settings!$I$15:$I$20,Settings!$J$15:$J$20,1))</f>
        <v>0.75</v>
      </c>
      <c r="U478" s="12">
        <f>IF($A478="","",1+(($G478-5)/5)*Settings!$J$8)</f>
        <v>1</v>
      </c>
      <c r="V478" s="12">
        <f>IF($A478="","",1+(($H478-5)/5)*Settings!$J$9)</f>
        <v>1.06</v>
      </c>
      <c r="W478" s="12">
        <f t="array" ref="W478">IF($A478="","",XLOOKUP($J478,Lists!$C$3:$C$7,Lists!$D$3:$D$7,1))</f>
        <v>1</v>
      </c>
      <c r="X478" s="12">
        <f>IF($A478="","",IF($I478="Yes",Settings!$J$10,1))</f>
        <v>1</v>
      </c>
      <c r="Y478" s="12">
        <f t="shared" si="2"/>
        <v>1</v>
      </c>
      <c r="Z478" s="12">
        <f>IF($A478="","",IFERROR(ROUND(AVERAGEIFS('Historical Drafts'!$G$4:$G$300,'Historical Drafts'!$D$4:$D$300,$E478,'Historical Drafts'!$J$4:$J$300,"&gt;="&amp;$L478*0.85,'Historical Drafts'!$J$4:$J$300,"&lt;="&amp;$L478*1.15),0),$Y478))</f>
        <v>1</v>
      </c>
      <c r="AA478" s="12" t="str">
        <f>IF($A478="","",IF(COUNTIF('Auction Log'!$B$3:$B$300,$A478)&gt;0,"Sold","Available"))</f>
        <v>Available</v>
      </c>
      <c r="AB478" s="12" t="str">
        <f t="array" ref="AB478">IF($A478="","",IFERROR(XLOOKUP($A478,'Auction Log'!$B$3:$B$300,'Auction Log'!$G$3:$G$300,""),""))</f>
        <v/>
      </c>
      <c r="AC478" s="12" t="str">
        <f t="array" ref="AC478">IF($A478="","",IFERROR(XLOOKUP($A478,'Auction Log'!$B$3:$B$300,'Auction Log'!$F$3:$F$300,""),""))</f>
        <v/>
      </c>
      <c r="AD478" s="12">
        <f t="array" ref="AD478">IF($A478="","",ROUND($Y478*XLOOKUP($F478,Settings!$I$15:$I$20,Settings!$K$15:$K$20,0.4),0))</f>
        <v>0</v>
      </c>
      <c r="AE478" s="12">
        <f t="array" ref="AE478">IF($A478="","",ROUND($Y478*XLOOKUP($F478,Settings!$I$15:$I$20,Settings!$L$15:$L$20,0.8),0))</f>
        <v>1</v>
      </c>
      <c r="AF478" s="12">
        <f t="array" ref="AF478">IF($A478="","",ROUND($Y478*XLOOKUP($F478,Settings!$I$15:$I$20,Settings!$M$15:$M$20,1),0))</f>
        <v>1</v>
      </c>
      <c r="AG478" s="12">
        <f t="array" ref="AG478">IF($A478="","",ROUND($Y478*XLOOKUP($F478,Settings!$I$15:$I$20,Settings!$N$15:$N$20,1.1),0))</f>
        <v>1</v>
      </c>
      <c r="AH478" s="12">
        <f t="array" ref="AH478">IF($A478="","",ROUND($Y478*XLOOKUP($F478,Settings!$I$15:$I$20,Settings!$O$15:$O$20,1.1)*Settings!$J$7,0))</f>
        <v>1</v>
      </c>
      <c r="AI478" s="12">
        <f t="array" ref="AI478">IF($A478="","",IF($AA478="Sold","",MIN($AH478,IFERROR(XLOOKUP(Settings!$B$12,Managers!$B$4:$B$15,Managers!$H$4:$H$15),$AH478))))</f>
        <v>1</v>
      </c>
      <c r="AJ478" s="12" t="str">
        <f t="shared" si="3"/>
        <v>Recommended</v>
      </c>
      <c r="AK478" s="12">
        <f t="shared" si="4"/>
        <v>26</v>
      </c>
      <c r="AL478" s="12" t="str">
        <f t="shared" si="5"/>
        <v/>
      </c>
    </row>
    <row r="479" ht="15.75" customHeight="1">
      <c r="A479" s="10" t="s">
        <v>1238</v>
      </c>
      <c r="B479" s="10" t="s">
        <v>1239</v>
      </c>
      <c r="C479" s="10" t="s">
        <v>215</v>
      </c>
      <c r="D479" s="10" t="s">
        <v>121</v>
      </c>
      <c r="E479" s="10" t="s">
        <v>121</v>
      </c>
      <c r="F479" s="10" t="s">
        <v>117</v>
      </c>
      <c r="G479" s="10">
        <v>5.0</v>
      </c>
      <c r="H479" s="10">
        <v>7.0</v>
      </c>
      <c r="I479" s="10" t="s">
        <v>2140</v>
      </c>
      <c r="J479" s="10" t="s">
        <v>2136</v>
      </c>
      <c r="K479" s="10"/>
      <c r="L479" s="10">
        <v>3.5</v>
      </c>
      <c r="M479" s="10">
        <v>0.7</v>
      </c>
      <c r="N479" s="10"/>
      <c r="O479" s="10"/>
      <c r="P479" s="12">
        <f>IF($A479="","",IFERROR((IF($O479="",0,$O479)*Settings!$J$4+IF($L479="",0,$L479)*Settings!$J$5+IF($N479="",0,$N479)*Settings!$J$6)/(IF($O479="",0,Settings!$J$4)+IF($L479="",0,Settings!$J$5)+IF($N479="",0,Settings!$J$6)),0))</f>
        <v>3.5</v>
      </c>
      <c r="Q479" s="12">
        <f t="array" ref="Q479">IF($A479="","",XLOOKUP($E479,Settings!$A$19:$A$22,Settings!$G$19:$G$22,0))</f>
        <v>206</v>
      </c>
      <c r="R479" s="12">
        <f t="shared" si="1"/>
        <v>0</v>
      </c>
      <c r="S479" s="12">
        <f>IF($A479="","",IF($R479&lt;=0,1,1+$R479/SUMIF($R$4:$R$923,"&gt;0",$R$4:$R$923)*(Settings!$B$5*(Settings!$B$6-Settings!$B$7))))</f>
        <v>1</v>
      </c>
      <c r="T479" s="12">
        <f t="array" ref="T479">IF($A479="","",XLOOKUP($F479,Settings!$I$15:$I$20,Settings!$J$15:$J$20,1))</f>
        <v>0.75</v>
      </c>
      <c r="U479" s="12">
        <f>IF($A479="","",1+(($G479-5)/5)*Settings!$J$8)</f>
        <v>1</v>
      </c>
      <c r="V479" s="12">
        <f>IF($A479="","",1+(($H479-5)/5)*Settings!$J$9)</f>
        <v>1.06</v>
      </c>
      <c r="W479" s="12">
        <f t="array" ref="W479">IF($A479="","",XLOOKUP($J479,Lists!$C$3:$C$7,Lists!$D$3:$D$7,1))</f>
        <v>1</v>
      </c>
      <c r="X479" s="12">
        <f>IF($A479="","",IF($I479="Yes",Settings!$J$10,1))</f>
        <v>1</v>
      </c>
      <c r="Y479" s="12">
        <f t="shared" si="2"/>
        <v>1</v>
      </c>
      <c r="Z479" s="12">
        <f>IF($A479="","",IFERROR(ROUND(AVERAGEIFS('Historical Drafts'!$G$4:$G$300,'Historical Drafts'!$D$4:$D$300,$E479,'Historical Drafts'!$J$4:$J$300,"&gt;="&amp;$L479*0.85,'Historical Drafts'!$J$4:$J$300,"&lt;="&amp;$L479*1.15),0),$Y479))</f>
        <v>1</v>
      </c>
      <c r="AA479" s="12" t="str">
        <f>IF($A479="","",IF(COUNTIF('Auction Log'!$B$3:$B$300,$A479)&gt;0,"Sold","Available"))</f>
        <v>Available</v>
      </c>
      <c r="AB479" s="12" t="str">
        <f t="array" ref="AB479">IF($A479="","",IFERROR(XLOOKUP($A479,'Auction Log'!$B$3:$B$300,'Auction Log'!$G$3:$G$300,""),""))</f>
        <v/>
      </c>
      <c r="AC479" s="12" t="str">
        <f t="array" ref="AC479">IF($A479="","",IFERROR(XLOOKUP($A479,'Auction Log'!$B$3:$B$300,'Auction Log'!$F$3:$F$300,""),""))</f>
        <v/>
      </c>
      <c r="AD479" s="12">
        <f t="array" ref="AD479">IF($A479="","",ROUND($Y479*XLOOKUP($F479,Settings!$I$15:$I$20,Settings!$K$15:$K$20,0.4),0))</f>
        <v>0</v>
      </c>
      <c r="AE479" s="12">
        <f t="array" ref="AE479">IF($A479="","",ROUND($Y479*XLOOKUP($F479,Settings!$I$15:$I$20,Settings!$L$15:$L$20,0.8),0))</f>
        <v>1</v>
      </c>
      <c r="AF479" s="12">
        <f t="array" ref="AF479">IF($A479="","",ROUND($Y479*XLOOKUP($F479,Settings!$I$15:$I$20,Settings!$M$15:$M$20,1),0))</f>
        <v>1</v>
      </c>
      <c r="AG479" s="12">
        <f t="array" ref="AG479">IF($A479="","",ROUND($Y479*XLOOKUP($F479,Settings!$I$15:$I$20,Settings!$N$15:$N$20,1.1),0))</f>
        <v>1</v>
      </c>
      <c r="AH479" s="12">
        <f t="array" ref="AH479">IF($A479="","",ROUND($Y479*XLOOKUP($F479,Settings!$I$15:$I$20,Settings!$O$15:$O$20,1.1)*Settings!$J$7,0))</f>
        <v>1</v>
      </c>
      <c r="AI479" s="12">
        <f t="array" ref="AI479">IF($A479="","",IF($AA479="Sold","",MIN($AH479,IFERROR(XLOOKUP(Settings!$B$12,Managers!$B$4:$B$15,Managers!$H$4:$H$15),$AH479))))</f>
        <v>1</v>
      </c>
      <c r="AJ479" s="12" t="str">
        <f t="shared" si="3"/>
        <v>Recommended</v>
      </c>
      <c r="AK479" s="12">
        <f t="shared" si="4"/>
        <v>26</v>
      </c>
      <c r="AL479" s="12" t="str">
        <f t="shared" si="5"/>
        <v/>
      </c>
    </row>
    <row r="480" ht="15.75" customHeight="1">
      <c r="A480" s="10" t="s">
        <v>1240</v>
      </c>
      <c r="B480" s="10" t="s">
        <v>1241</v>
      </c>
      <c r="C480" s="10" t="s">
        <v>215</v>
      </c>
      <c r="D480" s="10" t="s">
        <v>121</v>
      </c>
      <c r="E480" s="10" t="s">
        <v>121</v>
      </c>
      <c r="F480" s="10" t="s">
        <v>117</v>
      </c>
      <c r="G480" s="10">
        <v>5.0</v>
      </c>
      <c r="H480" s="10">
        <v>7.0</v>
      </c>
      <c r="I480" s="10" t="s">
        <v>2140</v>
      </c>
      <c r="J480" s="10" t="s">
        <v>2136</v>
      </c>
      <c r="K480" s="10"/>
      <c r="L480" s="10">
        <v>3.5</v>
      </c>
      <c r="M480" s="10">
        <v>0.58</v>
      </c>
      <c r="N480" s="10"/>
      <c r="O480" s="10"/>
      <c r="P480" s="12">
        <f>IF($A480="","",IFERROR((IF($O480="",0,$O480)*Settings!$J$4+IF($L480="",0,$L480)*Settings!$J$5+IF($N480="",0,$N480)*Settings!$J$6)/(IF($O480="",0,Settings!$J$4)+IF($L480="",0,Settings!$J$5)+IF($N480="",0,Settings!$J$6)),0))</f>
        <v>3.5</v>
      </c>
      <c r="Q480" s="12">
        <f t="array" ref="Q480">IF($A480="","",XLOOKUP($E480,Settings!$A$19:$A$22,Settings!$G$19:$G$22,0))</f>
        <v>206</v>
      </c>
      <c r="R480" s="12">
        <f t="shared" si="1"/>
        <v>0</v>
      </c>
      <c r="S480" s="12">
        <f>IF($A480="","",IF($R480&lt;=0,1,1+$R480/SUMIF($R$4:$R$923,"&gt;0",$R$4:$R$923)*(Settings!$B$5*(Settings!$B$6-Settings!$B$7))))</f>
        <v>1</v>
      </c>
      <c r="T480" s="12">
        <f t="array" ref="T480">IF($A480="","",XLOOKUP($F480,Settings!$I$15:$I$20,Settings!$J$15:$J$20,1))</f>
        <v>0.75</v>
      </c>
      <c r="U480" s="12">
        <f>IF($A480="","",1+(($G480-5)/5)*Settings!$J$8)</f>
        <v>1</v>
      </c>
      <c r="V480" s="12">
        <f>IF($A480="","",1+(($H480-5)/5)*Settings!$J$9)</f>
        <v>1.06</v>
      </c>
      <c r="W480" s="12">
        <f t="array" ref="W480">IF($A480="","",XLOOKUP($J480,Lists!$C$3:$C$7,Lists!$D$3:$D$7,1))</f>
        <v>1</v>
      </c>
      <c r="X480" s="12">
        <f>IF($A480="","",IF($I480="Yes",Settings!$J$10,1))</f>
        <v>1</v>
      </c>
      <c r="Y480" s="12">
        <f t="shared" si="2"/>
        <v>1</v>
      </c>
      <c r="Z480" s="12">
        <f>IF($A480="","",IFERROR(ROUND(AVERAGEIFS('Historical Drafts'!$G$4:$G$300,'Historical Drafts'!$D$4:$D$300,$E480,'Historical Drafts'!$J$4:$J$300,"&gt;="&amp;$L480*0.85,'Historical Drafts'!$J$4:$J$300,"&lt;="&amp;$L480*1.15),0),$Y480))</f>
        <v>1</v>
      </c>
      <c r="AA480" s="12" t="str">
        <f>IF($A480="","",IF(COUNTIF('Auction Log'!$B$3:$B$300,$A480)&gt;0,"Sold","Available"))</f>
        <v>Available</v>
      </c>
      <c r="AB480" s="12" t="str">
        <f t="array" ref="AB480">IF($A480="","",IFERROR(XLOOKUP($A480,'Auction Log'!$B$3:$B$300,'Auction Log'!$G$3:$G$300,""),""))</f>
        <v/>
      </c>
      <c r="AC480" s="12" t="str">
        <f t="array" ref="AC480">IF($A480="","",IFERROR(XLOOKUP($A480,'Auction Log'!$B$3:$B$300,'Auction Log'!$F$3:$F$300,""),""))</f>
        <v/>
      </c>
      <c r="AD480" s="12">
        <f t="array" ref="AD480">IF($A480="","",ROUND($Y480*XLOOKUP($F480,Settings!$I$15:$I$20,Settings!$K$15:$K$20,0.4),0))</f>
        <v>0</v>
      </c>
      <c r="AE480" s="12">
        <f t="array" ref="AE480">IF($A480="","",ROUND($Y480*XLOOKUP($F480,Settings!$I$15:$I$20,Settings!$L$15:$L$20,0.8),0))</f>
        <v>1</v>
      </c>
      <c r="AF480" s="12">
        <f t="array" ref="AF480">IF($A480="","",ROUND($Y480*XLOOKUP($F480,Settings!$I$15:$I$20,Settings!$M$15:$M$20,1),0))</f>
        <v>1</v>
      </c>
      <c r="AG480" s="12">
        <f t="array" ref="AG480">IF($A480="","",ROUND($Y480*XLOOKUP($F480,Settings!$I$15:$I$20,Settings!$N$15:$N$20,1.1),0))</f>
        <v>1</v>
      </c>
      <c r="AH480" s="12">
        <f t="array" ref="AH480">IF($A480="","",ROUND($Y480*XLOOKUP($F480,Settings!$I$15:$I$20,Settings!$O$15:$O$20,1.1)*Settings!$J$7,0))</f>
        <v>1</v>
      </c>
      <c r="AI480" s="12">
        <f t="array" ref="AI480">IF($A480="","",IF($AA480="Sold","",MIN($AH480,IFERROR(XLOOKUP(Settings!$B$12,Managers!$B$4:$B$15,Managers!$H$4:$H$15),$AH480))))</f>
        <v>1</v>
      </c>
      <c r="AJ480" s="12" t="str">
        <f t="shared" si="3"/>
        <v>Recommended</v>
      </c>
      <c r="AK480" s="12">
        <f t="shared" si="4"/>
        <v>26</v>
      </c>
      <c r="AL480" s="12" t="str">
        <f t="shared" si="5"/>
        <v/>
      </c>
    </row>
    <row r="481" ht="15.75" customHeight="1">
      <c r="A481" s="10" t="s">
        <v>1242</v>
      </c>
      <c r="B481" s="10" t="s">
        <v>1243</v>
      </c>
      <c r="C481" s="10" t="s">
        <v>314</v>
      </c>
      <c r="D481" s="10" t="s">
        <v>118</v>
      </c>
      <c r="E481" s="10" t="s">
        <v>118</v>
      </c>
      <c r="F481" s="10" t="s">
        <v>117</v>
      </c>
      <c r="G481" s="10">
        <v>5.0</v>
      </c>
      <c r="H481" s="10">
        <v>7.0</v>
      </c>
      <c r="I481" s="10" t="s">
        <v>2140</v>
      </c>
      <c r="J481" s="10" t="s">
        <v>2136</v>
      </c>
      <c r="K481" s="10"/>
      <c r="L481" s="10">
        <v>3.25</v>
      </c>
      <c r="M481" s="10">
        <v>1.62</v>
      </c>
      <c r="N481" s="10"/>
      <c r="O481" s="10"/>
      <c r="P481" s="12">
        <f>IF($A481="","",IFERROR((IF($O481="",0,$O481)*Settings!$J$4+IF($L481="",0,$L481)*Settings!$J$5+IF($N481="",0,$N481)*Settings!$J$6)/(IF($O481="",0,Settings!$J$4)+IF($L481="",0,Settings!$J$5)+IF($N481="",0,Settings!$J$6)),0))</f>
        <v>3.25</v>
      </c>
      <c r="Q481" s="12">
        <f t="array" ref="Q481">IF($A481="","",XLOOKUP($E481,Settings!$A$19:$A$22,Settings!$G$19:$G$22,0))</f>
        <v>196.25</v>
      </c>
      <c r="R481" s="12">
        <f t="shared" si="1"/>
        <v>0</v>
      </c>
      <c r="S481" s="12">
        <f>IF($A481="","",IF($R481&lt;=0,1,1+$R481/SUMIF($R$4:$R$923,"&gt;0",$R$4:$R$923)*(Settings!$B$5*(Settings!$B$6-Settings!$B$7))))</f>
        <v>1</v>
      </c>
      <c r="T481" s="12">
        <f t="array" ref="T481">IF($A481="","",XLOOKUP($F481,Settings!$I$15:$I$20,Settings!$J$15:$J$20,1))</f>
        <v>0.75</v>
      </c>
      <c r="U481" s="12">
        <f>IF($A481="","",1+(($G481-5)/5)*Settings!$J$8)</f>
        <v>1</v>
      </c>
      <c r="V481" s="12">
        <f>IF($A481="","",1+(($H481-5)/5)*Settings!$J$9)</f>
        <v>1.06</v>
      </c>
      <c r="W481" s="12">
        <f t="array" ref="W481">IF($A481="","",XLOOKUP($J481,Lists!$C$3:$C$7,Lists!$D$3:$D$7,1))</f>
        <v>1</v>
      </c>
      <c r="X481" s="12">
        <f>IF($A481="","",IF($I481="Yes",Settings!$J$10,1))</f>
        <v>1</v>
      </c>
      <c r="Y481" s="12">
        <f t="shared" si="2"/>
        <v>1</v>
      </c>
      <c r="Z481" s="12">
        <f>IF($A481="","",IFERROR(ROUND(AVERAGEIFS('Historical Drafts'!$G$4:$G$300,'Historical Drafts'!$D$4:$D$300,$E481,'Historical Drafts'!$J$4:$J$300,"&gt;="&amp;$L481*0.85,'Historical Drafts'!$J$4:$J$300,"&lt;="&amp;$L481*1.15),0),$Y481))</f>
        <v>1</v>
      </c>
      <c r="AA481" s="12" t="str">
        <f>IF($A481="","",IF(COUNTIF('Auction Log'!$B$3:$B$300,$A481)&gt;0,"Sold","Available"))</f>
        <v>Available</v>
      </c>
      <c r="AB481" s="12" t="str">
        <f t="array" ref="AB481">IF($A481="","",IFERROR(XLOOKUP($A481,'Auction Log'!$B$3:$B$300,'Auction Log'!$G$3:$G$300,""),""))</f>
        <v/>
      </c>
      <c r="AC481" s="12" t="str">
        <f t="array" ref="AC481">IF($A481="","",IFERROR(XLOOKUP($A481,'Auction Log'!$B$3:$B$300,'Auction Log'!$F$3:$F$300,""),""))</f>
        <v/>
      </c>
      <c r="AD481" s="12">
        <f t="array" ref="AD481">IF($A481="","",ROUND($Y481*XLOOKUP($F481,Settings!$I$15:$I$20,Settings!$K$15:$K$20,0.4),0))</f>
        <v>0</v>
      </c>
      <c r="AE481" s="12">
        <f t="array" ref="AE481">IF($A481="","",ROUND($Y481*XLOOKUP($F481,Settings!$I$15:$I$20,Settings!$L$15:$L$20,0.8),0))</f>
        <v>1</v>
      </c>
      <c r="AF481" s="12">
        <f t="array" ref="AF481">IF($A481="","",ROUND($Y481*XLOOKUP($F481,Settings!$I$15:$I$20,Settings!$M$15:$M$20,1),0))</f>
        <v>1</v>
      </c>
      <c r="AG481" s="12">
        <f t="array" ref="AG481">IF($A481="","",ROUND($Y481*XLOOKUP($F481,Settings!$I$15:$I$20,Settings!$N$15:$N$20,1.1),0))</f>
        <v>1</v>
      </c>
      <c r="AH481" s="12">
        <f t="array" ref="AH481">IF($A481="","",ROUND($Y481*XLOOKUP($F481,Settings!$I$15:$I$20,Settings!$O$15:$O$20,1.1)*Settings!$J$7,0))</f>
        <v>1</v>
      </c>
      <c r="AI481" s="12">
        <f t="array" ref="AI481">IF($A481="","",IF($AA481="Sold","",MIN($AH481,IFERROR(XLOOKUP(Settings!$B$12,Managers!$B$4:$B$15,Managers!$H$4:$H$15),$AH481))))</f>
        <v>1</v>
      </c>
      <c r="AJ481" s="12" t="str">
        <f t="shared" si="3"/>
        <v>Recommended</v>
      </c>
      <c r="AK481" s="12">
        <f t="shared" si="4"/>
        <v>26</v>
      </c>
      <c r="AL481" s="12" t="str">
        <f t="shared" si="5"/>
        <v/>
      </c>
    </row>
    <row r="482" ht="15.75" customHeight="1">
      <c r="A482" s="10" t="s">
        <v>1244</v>
      </c>
      <c r="B482" s="10" t="s">
        <v>1245</v>
      </c>
      <c r="C482" s="10" t="s">
        <v>566</v>
      </c>
      <c r="D482" s="10" t="s">
        <v>123</v>
      </c>
      <c r="E482" s="10" t="s">
        <v>123</v>
      </c>
      <c r="F482" s="10" t="s">
        <v>117</v>
      </c>
      <c r="G482" s="10">
        <v>5.0</v>
      </c>
      <c r="H482" s="10">
        <v>7.0</v>
      </c>
      <c r="I482" s="10" t="s">
        <v>2140</v>
      </c>
      <c r="J482" s="10" t="s">
        <v>2136</v>
      </c>
      <c r="K482" s="10"/>
      <c r="L482" s="10">
        <v>3.0</v>
      </c>
      <c r="M482" s="10">
        <v>0.75</v>
      </c>
      <c r="N482" s="10"/>
      <c r="O482" s="10"/>
      <c r="P482" s="12">
        <f>IF($A482="","",IFERROR((IF($O482="",0,$O482)*Settings!$J$4+IF($L482="",0,$L482)*Settings!$J$5+IF($N482="",0,$N482)*Settings!$J$6)/(IF($O482="",0,Settings!$J$4)+IF($L482="",0,Settings!$J$5)+IF($N482="",0,Settings!$J$6)),0))</f>
        <v>3</v>
      </c>
      <c r="Q482" s="12">
        <f t="array" ref="Q482">IF($A482="","",XLOOKUP($E482,Settings!$A$19:$A$22,Settings!$G$19:$G$22,0))</f>
        <v>203</v>
      </c>
      <c r="R482" s="12">
        <f t="shared" si="1"/>
        <v>0</v>
      </c>
      <c r="S482" s="12">
        <f>IF($A482="","",IF($R482&lt;=0,1,1+$R482/SUMIF($R$4:$R$923,"&gt;0",$R$4:$R$923)*(Settings!$B$5*(Settings!$B$6-Settings!$B$7))))</f>
        <v>1</v>
      </c>
      <c r="T482" s="12">
        <f t="array" ref="T482">IF($A482="","",XLOOKUP($F482,Settings!$I$15:$I$20,Settings!$J$15:$J$20,1))</f>
        <v>0.75</v>
      </c>
      <c r="U482" s="12">
        <f>IF($A482="","",1+(($G482-5)/5)*Settings!$J$8)</f>
        <v>1</v>
      </c>
      <c r="V482" s="12">
        <f>IF($A482="","",1+(($H482-5)/5)*Settings!$J$9)</f>
        <v>1.06</v>
      </c>
      <c r="W482" s="12">
        <f t="array" ref="W482">IF($A482="","",XLOOKUP($J482,Lists!$C$3:$C$7,Lists!$D$3:$D$7,1))</f>
        <v>1</v>
      </c>
      <c r="X482" s="12">
        <f>IF($A482="","",IF($I482="Yes",Settings!$J$10,1))</f>
        <v>1</v>
      </c>
      <c r="Y482" s="12">
        <f t="shared" si="2"/>
        <v>1</v>
      </c>
      <c r="Z482" s="12">
        <f>IF($A482="","",IFERROR(ROUND(AVERAGEIFS('Historical Drafts'!$G$4:$G$300,'Historical Drafts'!$D$4:$D$300,$E482,'Historical Drafts'!$J$4:$J$300,"&gt;="&amp;$L482*0.85,'Historical Drafts'!$J$4:$J$300,"&lt;="&amp;$L482*1.15),0),$Y482))</f>
        <v>1</v>
      </c>
      <c r="AA482" s="12" t="str">
        <f>IF($A482="","",IF(COUNTIF('Auction Log'!$B$3:$B$300,$A482)&gt;0,"Sold","Available"))</f>
        <v>Available</v>
      </c>
      <c r="AB482" s="12" t="str">
        <f t="array" ref="AB482">IF($A482="","",IFERROR(XLOOKUP($A482,'Auction Log'!$B$3:$B$300,'Auction Log'!$G$3:$G$300,""),""))</f>
        <v/>
      </c>
      <c r="AC482" s="12" t="str">
        <f t="array" ref="AC482">IF($A482="","",IFERROR(XLOOKUP($A482,'Auction Log'!$B$3:$B$300,'Auction Log'!$F$3:$F$300,""),""))</f>
        <v/>
      </c>
      <c r="AD482" s="12">
        <f t="array" ref="AD482">IF($A482="","",ROUND($Y482*XLOOKUP($F482,Settings!$I$15:$I$20,Settings!$K$15:$K$20,0.4),0))</f>
        <v>0</v>
      </c>
      <c r="AE482" s="12">
        <f t="array" ref="AE482">IF($A482="","",ROUND($Y482*XLOOKUP($F482,Settings!$I$15:$I$20,Settings!$L$15:$L$20,0.8),0))</f>
        <v>1</v>
      </c>
      <c r="AF482" s="12">
        <f t="array" ref="AF482">IF($A482="","",ROUND($Y482*XLOOKUP($F482,Settings!$I$15:$I$20,Settings!$M$15:$M$20,1),0))</f>
        <v>1</v>
      </c>
      <c r="AG482" s="12">
        <f t="array" ref="AG482">IF($A482="","",ROUND($Y482*XLOOKUP($F482,Settings!$I$15:$I$20,Settings!$N$15:$N$20,1.1),0))</f>
        <v>1</v>
      </c>
      <c r="AH482" s="12">
        <f t="array" ref="AH482">IF($A482="","",ROUND($Y482*XLOOKUP($F482,Settings!$I$15:$I$20,Settings!$O$15:$O$20,1.1)*Settings!$J$7,0))</f>
        <v>1</v>
      </c>
      <c r="AI482" s="12">
        <f t="array" ref="AI482">IF($A482="","",IF($AA482="Sold","",MIN($AH482,IFERROR(XLOOKUP(Settings!$B$12,Managers!$B$4:$B$15,Managers!$H$4:$H$15),$AH482))))</f>
        <v>1</v>
      </c>
      <c r="AJ482" s="12" t="str">
        <f t="shared" si="3"/>
        <v>Recommended</v>
      </c>
      <c r="AK482" s="12">
        <f t="shared" si="4"/>
        <v>26</v>
      </c>
      <c r="AL482" s="12" t="str">
        <f t="shared" si="5"/>
        <v/>
      </c>
    </row>
    <row r="483" ht="15.75" customHeight="1">
      <c r="A483" s="10" t="s">
        <v>1246</v>
      </c>
      <c r="B483" s="10" t="s">
        <v>1247</v>
      </c>
      <c r="C483" s="10" t="s">
        <v>566</v>
      </c>
      <c r="D483" s="10" t="s">
        <v>123</v>
      </c>
      <c r="E483" s="10" t="s">
        <v>123</v>
      </c>
      <c r="F483" s="10" t="s">
        <v>117</v>
      </c>
      <c r="G483" s="10">
        <v>5.0</v>
      </c>
      <c r="H483" s="10">
        <v>7.0</v>
      </c>
      <c r="I483" s="10" t="s">
        <v>2140</v>
      </c>
      <c r="J483" s="10" t="s">
        <v>2136</v>
      </c>
      <c r="K483" s="10"/>
      <c r="L483" s="10">
        <v>3.0</v>
      </c>
      <c r="M483" s="10">
        <v>0.43</v>
      </c>
      <c r="N483" s="10"/>
      <c r="O483" s="10"/>
      <c r="P483" s="12">
        <f>IF($A483="","",IFERROR((IF($O483="",0,$O483)*Settings!$J$4+IF($L483="",0,$L483)*Settings!$J$5+IF($N483="",0,$N483)*Settings!$J$6)/(IF($O483="",0,Settings!$J$4)+IF($L483="",0,Settings!$J$5)+IF($N483="",0,Settings!$J$6)),0))</f>
        <v>3</v>
      </c>
      <c r="Q483" s="12">
        <f t="array" ref="Q483">IF($A483="","",XLOOKUP($E483,Settings!$A$19:$A$22,Settings!$G$19:$G$22,0))</f>
        <v>203</v>
      </c>
      <c r="R483" s="12">
        <f t="shared" si="1"/>
        <v>0</v>
      </c>
      <c r="S483" s="12">
        <f>IF($A483="","",IF($R483&lt;=0,1,1+$R483/SUMIF($R$4:$R$923,"&gt;0",$R$4:$R$923)*(Settings!$B$5*(Settings!$B$6-Settings!$B$7))))</f>
        <v>1</v>
      </c>
      <c r="T483" s="12">
        <f t="array" ref="T483">IF($A483="","",XLOOKUP($F483,Settings!$I$15:$I$20,Settings!$J$15:$J$20,1))</f>
        <v>0.75</v>
      </c>
      <c r="U483" s="12">
        <f>IF($A483="","",1+(($G483-5)/5)*Settings!$J$8)</f>
        <v>1</v>
      </c>
      <c r="V483" s="12">
        <f>IF($A483="","",1+(($H483-5)/5)*Settings!$J$9)</f>
        <v>1.06</v>
      </c>
      <c r="W483" s="12">
        <f t="array" ref="W483">IF($A483="","",XLOOKUP($J483,Lists!$C$3:$C$7,Lists!$D$3:$D$7,1))</f>
        <v>1</v>
      </c>
      <c r="X483" s="12">
        <f>IF($A483="","",IF($I483="Yes",Settings!$J$10,1))</f>
        <v>1</v>
      </c>
      <c r="Y483" s="12">
        <f t="shared" si="2"/>
        <v>1</v>
      </c>
      <c r="Z483" s="12">
        <f>IF($A483="","",IFERROR(ROUND(AVERAGEIFS('Historical Drafts'!$G$4:$G$300,'Historical Drafts'!$D$4:$D$300,$E483,'Historical Drafts'!$J$4:$J$300,"&gt;="&amp;$L483*0.85,'Historical Drafts'!$J$4:$J$300,"&lt;="&amp;$L483*1.15),0),$Y483))</f>
        <v>1</v>
      </c>
      <c r="AA483" s="12" t="str">
        <f>IF($A483="","",IF(COUNTIF('Auction Log'!$B$3:$B$300,$A483)&gt;0,"Sold","Available"))</f>
        <v>Available</v>
      </c>
      <c r="AB483" s="12" t="str">
        <f t="array" ref="AB483">IF($A483="","",IFERROR(XLOOKUP($A483,'Auction Log'!$B$3:$B$300,'Auction Log'!$G$3:$G$300,""),""))</f>
        <v/>
      </c>
      <c r="AC483" s="12" t="str">
        <f t="array" ref="AC483">IF($A483="","",IFERROR(XLOOKUP($A483,'Auction Log'!$B$3:$B$300,'Auction Log'!$F$3:$F$300,""),""))</f>
        <v/>
      </c>
      <c r="AD483" s="12">
        <f t="array" ref="AD483">IF($A483="","",ROUND($Y483*XLOOKUP($F483,Settings!$I$15:$I$20,Settings!$K$15:$K$20,0.4),0))</f>
        <v>0</v>
      </c>
      <c r="AE483" s="12">
        <f t="array" ref="AE483">IF($A483="","",ROUND($Y483*XLOOKUP($F483,Settings!$I$15:$I$20,Settings!$L$15:$L$20,0.8),0))</f>
        <v>1</v>
      </c>
      <c r="AF483" s="12">
        <f t="array" ref="AF483">IF($A483="","",ROUND($Y483*XLOOKUP($F483,Settings!$I$15:$I$20,Settings!$M$15:$M$20,1),0))</f>
        <v>1</v>
      </c>
      <c r="AG483" s="12">
        <f t="array" ref="AG483">IF($A483="","",ROUND($Y483*XLOOKUP($F483,Settings!$I$15:$I$20,Settings!$N$15:$N$20,1.1),0))</f>
        <v>1</v>
      </c>
      <c r="AH483" s="12">
        <f t="array" ref="AH483">IF($A483="","",ROUND($Y483*XLOOKUP($F483,Settings!$I$15:$I$20,Settings!$O$15:$O$20,1.1)*Settings!$J$7,0))</f>
        <v>1</v>
      </c>
      <c r="AI483" s="12">
        <f t="array" ref="AI483">IF($A483="","",IF($AA483="Sold","",MIN($AH483,IFERROR(XLOOKUP(Settings!$B$12,Managers!$B$4:$B$15,Managers!$H$4:$H$15),$AH483))))</f>
        <v>1</v>
      </c>
      <c r="AJ483" s="12" t="str">
        <f t="shared" si="3"/>
        <v>Recommended</v>
      </c>
      <c r="AK483" s="12">
        <f t="shared" si="4"/>
        <v>26</v>
      </c>
      <c r="AL483" s="12" t="str">
        <f t="shared" si="5"/>
        <v/>
      </c>
    </row>
    <row r="484" ht="15.75" customHeight="1">
      <c r="A484" s="10" t="s">
        <v>1248</v>
      </c>
      <c r="B484" s="10" t="s">
        <v>1249</v>
      </c>
      <c r="C484" s="10" t="s">
        <v>231</v>
      </c>
      <c r="D484" s="10" t="s">
        <v>658</v>
      </c>
      <c r="E484" s="10" t="s">
        <v>658</v>
      </c>
      <c r="F484" s="10" t="s">
        <v>117</v>
      </c>
      <c r="G484" s="10">
        <v>5.0</v>
      </c>
      <c r="H484" s="10">
        <v>7.0</v>
      </c>
      <c r="I484" s="10" t="s">
        <v>2140</v>
      </c>
      <c r="J484" s="10" t="s">
        <v>2136</v>
      </c>
      <c r="K484" s="10"/>
      <c r="L484" s="10">
        <v>3.0</v>
      </c>
      <c r="M484" s="10">
        <v>1.0</v>
      </c>
      <c r="N484" s="10"/>
      <c r="O484" s="10"/>
      <c r="P484" s="12">
        <f>IF($A484="","",IFERROR((IF($O484="",0,$O484)*Settings!$J$4+IF($L484="",0,$L484)*Settings!$J$5+IF($N484="",0,$N484)*Settings!$J$6)/(IF($O484="",0,Settings!$J$4)+IF($L484="",0,Settings!$J$5)+IF($N484="",0,Settings!$J$6)),0))</f>
        <v>3</v>
      </c>
      <c r="Q484" s="12">
        <f t="array" ref="Q484">IF($A484="","",XLOOKUP($E484,Settings!$A$19:$A$22,Settings!$G$19:$G$22,0))</f>
        <v>0</v>
      </c>
      <c r="R484" s="12">
        <f t="shared" si="1"/>
        <v>3</v>
      </c>
      <c r="S484" s="12">
        <f>IF($A484="","",IF($R484&lt;=0,1,1+$R484/SUMIF($R$4:$R$923,"&gt;0",$R$4:$R$923)*(Settings!$B$5*(Settings!$B$6-Settings!$B$7))))</f>
        <v>1.370411568</v>
      </c>
      <c r="T484" s="12">
        <f t="array" ref="T484">IF($A484="","",XLOOKUP($F484,Settings!$I$15:$I$20,Settings!$J$15:$J$20,1))</f>
        <v>0.75</v>
      </c>
      <c r="U484" s="12">
        <f>IF($A484="","",1+(($G484-5)/5)*Settings!$J$8)</f>
        <v>1</v>
      </c>
      <c r="V484" s="12">
        <f>IF($A484="","",1+(($H484-5)/5)*Settings!$J$9)</f>
        <v>1.06</v>
      </c>
      <c r="W484" s="12">
        <f t="array" ref="W484">IF($A484="","",XLOOKUP($J484,Lists!$C$3:$C$7,Lists!$D$3:$D$7,1))</f>
        <v>1</v>
      </c>
      <c r="X484" s="12">
        <f>IF($A484="","",IF($I484="Yes",Settings!$J$10,1))</f>
        <v>1</v>
      </c>
      <c r="Y484" s="12">
        <f t="shared" si="2"/>
        <v>1</v>
      </c>
      <c r="Z484" s="12">
        <f>IF($A484="","",IFERROR(ROUND(AVERAGEIFS('Historical Drafts'!$G$4:$G$300,'Historical Drafts'!$D$4:$D$300,$E484,'Historical Drafts'!$J$4:$J$300,"&gt;="&amp;$L484*0.85,'Historical Drafts'!$J$4:$J$300,"&lt;="&amp;$L484*1.15),0),$Y484))</f>
        <v>1</v>
      </c>
      <c r="AA484" s="12" t="str">
        <f>IF($A484="","",IF(COUNTIF('Auction Log'!$B$3:$B$300,$A484)&gt;0,"Sold","Available"))</f>
        <v>Available</v>
      </c>
      <c r="AB484" s="12" t="str">
        <f t="array" ref="AB484">IF($A484="","",IFERROR(XLOOKUP($A484,'Auction Log'!$B$3:$B$300,'Auction Log'!$G$3:$G$300,""),""))</f>
        <v/>
      </c>
      <c r="AC484" s="12" t="str">
        <f t="array" ref="AC484">IF($A484="","",IFERROR(XLOOKUP($A484,'Auction Log'!$B$3:$B$300,'Auction Log'!$F$3:$F$300,""),""))</f>
        <v/>
      </c>
      <c r="AD484" s="12">
        <f t="array" ref="AD484">IF($A484="","",ROUND($Y484*XLOOKUP($F484,Settings!$I$15:$I$20,Settings!$K$15:$K$20,0.4),0))</f>
        <v>0</v>
      </c>
      <c r="AE484" s="12">
        <f t="array" ref="AE484">IF($A484="","",ROUND($Y484*XLOOKUP($F484,Settings!$I$15:$I$20,Settings!$L$15:$L$20,0.8),0))</f>
        <v>1</v>
      </c>
      <c r="AF484" s="12">
        <f t="array" ref="AF484">IF($A484="","",ROUND($Y484*XLOOKUP($F484,Settings!$I$15:$I$20,Settings!$M$15:$M$20,1),0))</f>
        <v>1</v>
      </c>
      <c r="AG484" s="12">
        <f t="array" ref="AG484">IF($A484="","",ROUND($Y484*XLOOKUP($F484,Settings!$I$15:$I$20,Settings!$N$15:$N$20,1.1),0))</f>
        <v>1</v>
      </c>
      <c r="AH484" s="12">
        <f t="array" ref="AH484">IF($A484="","",ROUND($Y484*XLOOKUP($F484,Settings!$I$15:$I$20,Settings!$O$15:$O$20,1.1)*Settings!$J$7,0))</f>
        <v>1</v>
      </c>
      <c r="AI484" s="12">
        <f t="array" ref="AI484">IF($A484="","",IF($AA484="Sold","",MIN($AH484,IFERROR(XLOOKUP(Settings!$B$12,Managers!$B$4:$B$15,Managers!$H$4:$H$15),$AH484))))</f>
        <v>1</v>
      </c>
      <c r="AJ484" s="12" t="str">
        <f t="shared" si="3"/>
        <v>Recommended</v>
      </c>
      <c r="AK484" s="12">
        <f t="shared" si="4"/>
        <v>26</v>
      </c>
      <c r="AL484" s="12" t="str">
        <f t="shared" si="5"/>
        <v/>
      </c>
    </row>
    <row r="485" ht="15.75" customHeight="1">
      <c r="A485" s="10" t="s">
        <v>1250</v>
      </c>
      <c r="B485" s="10" t="s">
        <v>1251</v>
      </c>
      <c r="C485" s="10" t="s">
        <v>231</v>
      </c>
      <c r="D485" s="10" t="s">
        <v>121</v>
      </c>
      <c r="E485" s="10" t="s">
        <v>121</v>
      </c>
      <c r="F485" s="10" t="s">
        <v>117</v>
      </c>
      <c r="G485" s="10">
        <v>5.0</v>
      </c>
      <c r="H485" s="10">
        <v>7.0</v>
      </c>
      <c r="I485" s="10" t="s">
        <v>2140</v>
      </c>
      <c r="J485" s="10" t="s">
        <v>2136</v>
      </c>
      <c r="K485" s="10"/>
      <c r="L485" s="10">
        <v>3.0</v>
      </c>
      <c r="M485" s="10">
        <v>0.75</v>
      </c>
      <c r="N485" s="10"/>
      <c r="O485" s="10"/>
      <c r="P485" s="12">
        <f>IF($A485="","",IFERROR((IF($O485="",0,$O485)*Settings!$J$4+IF($L485="",0,$L485)*Settings!$J$5+IF($N485="",0,$N485)*Settings!$J$6)/(IF($O485="",0,Settings!$J$4)+IF($L485="",0,Settings!$J$5)+IF($N485="",0,Settings!$J$6)),0))</f>
        <v>3</v>
      </c>
      <c r="Q485" s="12">
        <f t="array" ref="Q485">IF($A485="","",XLOOKUP($E485,Settings!$A$19:$A$22,Settings!$G$19:$G$22,0))</f>
        <v>206</v>
      </c>
      <c r="R485" s="12">
        <f t="shared" si="1"/>
        <v>0</v>
      </c>
      <c r="S485" s="12">
        <f>IF($A485="","",IF($R485&lt;=0,1,1+$R485/SUMIF($R$4:$R$923,"&gt;0",$R$4:$R$923)*(Settings!$B$5*(Settings!$B$6-Settings!$B$7))))</f>
        <v>1</v>
      </c>
      <c r="T485" s="12">
        <f t="array" ref="T485">IF($A485="","",XLOOKUP($F485,Settings!$I$15:$I$20,Settings!$J$15:$J$20,1))</f>
        <v>0.75</v>
      </c>
      <c r="U485" s="12">
        <f>IF($A485="","",1+(($G485-5)/5)*Settings!$J$8)</f>
        <v>1</v>
      </c>
      <c r="V485" s="12">
        <f>IF($A485="","",1+(($H485-5)/5)*Settings!$J$9)</f>
        <v>1.06</v>
      </c>
      <c r="W485" s="12">
        <f t="array" ref="W485">IF($A485="","",XLOOKUP($J485,Lists!$C$3:$C$7,Lists!$D$3:$D$7,1))</f>
        <v>1</v>
      </c>
      <c r="X485" s="12">
        <f>IF($A485="","",IF($I485="Yes",Settings!$J$10,1))</f>
        <v>1</v>
      </c>
      <c r="Y485" s="12">
        <f t="shared" si="2"/>
        <v>1</v>
      </c>
      <c r="Z485" s="12">
        <f>IF($A485="","",IFERROR(ROUND(AVERAGEIFS('Historical Drafts'!$G$4:$G$300,'Historical Drafts'!$D$4:$D$300,$E485,'Historical Drafts'!$J$4:$J$300,"&gt;="&amp;$L485*0.85,'Historical Drafts'!$J$4:$J$300,"&lt;="&amp;$L485*1.15),0),$Y485))</f>
        <v>1</v>
      </c>
      <c r="AA485" s="12" t="str">
        <f>IF($A485="","",IF(COUNTIF('Auction Log'!$B$3:$B$300,$A485)&gt;0,"Sold","Available"))</f>
        <v>Available</v>
      </c>
      <c r="AB485" s="12" t="str">
        <f t="array" ref="AB485">IF($A485="","",IFERROR(XLOOKUP($A485,'Auction Log'!$B$3:$B$300,'Auction Log'!$G$3:$G$300,""),""))</f>
        <v/>
      </c>
      <c r="AC485" s="12" t="str">
        <f t="array" ref="AC485">IF($A485="","",IFERROR(XLOOKUP($A485,'Auction Log'!$B$3:$B$300,'Auction Log'!$F$3:$F$300,""),""))</f>
        <v/>
      </c>
      <c r="AD485" s="12">
        <f t="array" ref="AD485">IF($A485="","",ROUND($Y485*XLOOKUP($F485,Settings!$I$15:$I$20,Settings!$K$15:$K$20,0.4),0))</f>
        <v>0</v>
      </c>
      <c r="AE485" s="12">
        <f t="array" ref="AE485">IF($A485="","",ROUND($Y485*XLOOKUP($F485,Settings!$I$15:$I$20,Settings!$L$15:$L$20,0.8),0))</f>
        <v>1</v>
      </c>
      <c r="AF485" s="12">
        <f t="array" ref="AF485">IF($A485="","",ROUND($Y485*XLOOKUP($F485,Settings!$I$15:$I$20,Settings!$M$15:$M$20,1),0))</f>
        <v>1</v>
      </c>
      <c r="AG485" s="12">
        <f t="array" ref="AG485">IF($A485="","",ROUND($Y485*XLOOKUP($F485,Settings!$I$15:$I$20,Settings!$N$15:$N$20,1.1),0))</f>
        <v>1</v>
      </c>
      <c r="AH485" s="12">
        <f t="array" ref="AH485">IF($A485="","",ROUND($Y485*XLOOKUP($F485,Settings!$I$15:$I$20,Settings!$O$15:$O$20,1.1)*Settings!$J$7,0))</f>
        <v>1</v>
      </c>
      <c r="AI485" s="12">
        <f t="array" ref="AI485">IF($A485="","",IF($AA485="Sold","",MIN($AH485,IFERROR(XLOOKUP(Settings!$B$12,Managers!$B$4:$B$15,Managers!$H$4:$H$15),$AH485))))</f>
        <v>1</v>
      </c>
      <c r="AJ485" s="12" t="str">
        <f t="shared" si="3"/>
        <v>Recommended</v>
      </c>
      <c r="AK485" s="12">
        <f t="shared" si="4"/>
        <v>26</v>
      </c>
      <c r="AL485" s="12" t="str">
        <f t="shared" si="5"/>
        <v/>
      </c>
    </row>
    <row r="486" ht="15.75" customHeight="1">
      <c r="A486" s="10" t="s">
        <v>1252</v>
      </c>
      <c r="B486" s="10" t="s">
        <v>1253</v>
      </c>
      <c r="C486" s="10" t="s">
        <v>327</v>
      </c>
      <c r="D486" s="10" t="s">
        <v>121</v>
      </c>
      <c r="E486" s="10" t="s">
        <v>121</v>
      </c>
      <c r="F486" s="10" t="s">
        <v>117</v>
      </c>
      <c r="G486" s="10">
        <v>5.0</v>
      </c>
      <c r="H486" s="10">
        <v>7.0</v>
      </c>
      <c r="I486" s="10" t="s">
        <v>2140</v>
      </c>
      <c r="J486" s="10" t="s">
        <v>2136</v>
      </c>
      <c r="K486" s="10"/>
      <c r="L486" s="10">
        <v>3.0</v>
      </c>
      <c r="M486" s="10">
        <v>3.0</v>
      </c>
      <c r="N486" s="10"/>
      <c r="O486" s="10"/>
      <c r="P486" s="12">
        <f>IF($A486="","",IFERROR((IF($O486="",0,$O486)*Settings!$J$4+IF($L486="",0,$L486)*Settings!$J$5+IF($N486="",0,$N486)*Settings!$J$6)/(IF($O486="",0,Settings!$J$4)+IF($L486="",0,Settings!$J$5)+IF($N486="",0,Settings!$J$6)),0))</f>
        <v>3</v>
      </c>
      <c r="Q486" s="12">
        <f t="array" ref="Q486">IF($A486="","",XLOOKUP($E486,Settings!$A$19:$A$22,Settings!$G$19:$G$22,0))</f>
        <v>206</v>
      </c>
      <c r="R486" s="12">
        <f t="shared" si="1"/>
        <v>0</v>
      </c>
      <c r="S486" s="12">
        <f>IF($A486="","",IF($R486&lt;=0,1,1+$R486/SUMIF($R$4:$R$923,"&gt;0",$R$4:$R$923)*(Settings!$B$5*(Settings!$B$6-Settings!$B$7))))</f>
        <v>1</v>
      </c>
      <c r="T486" s="12">
        <f t="array" ref="T486">IF($A486="","",XLOOKUP($F486,Settings!$I$15:$I$20,Settings!$J$15:$J$20,1))</f>
        <v>0.75</v>
      </c>
      <c r="U486" s="12">
        <f>IF($A486="","",1+(($G486-5)/5)*Settings!$J$8)</f>
        <v>1</v>
      </c>
      <c r="V486" s="12">
        <f>IF($A486="","",1+(($H486-5)/5)*Settings!$J$9)</f>
        <v>1.06</v>
      </c>
      <c r="W486" s="12">
        <f t="array" ref="W486">IF($A486="","",XLOOKUP($J486,Lists!$C$3:$C$7,Lists!$D$3:$D$7,1))</f>
        <v>1</v>
      </c>
      <c r="X486" s="12">
        <f>IF($A486="","",IF($I486="Yes",Settings!$J$10,1))</f>
        <v>1</v>
      </c>
      <c r="Y486" s="12">
        <f t="shared" si="2"/>
        <v>1</v>
      </c>
      <c r="Z486" s="12">
        <f>IF($A486="","",IFERROR(ROUND(AVERAGEIFS('Historical Drafts'!$G$4:$G$300,'Historical Drafts'!$D$4:$D$300,$E486,'Historical Drafts'!$J$4:$J$300,"&gt;="&amp;$L486*0.85,'Historical Drafts'!$J$4:$J$300,"&lt;="&amp;$L486*1.15),0),$Y486))</f>
        <v>1</v>
      </c>
      <c r="AA486" s="12" t="str">
        <f>IF($A486="","",IF(COUNTIF('Auction Log'!$B$3:$B$300,$A486)&gt;0,"Sold","Available"))</f>
        <v>Available</v>
      </c>
      <c r="AB486" s="12" t="str">
        <f t="array" ref="AB486">IF($A486="","",IFERROR(XLOOKUP($A486,'Auction Log'!$B$3:$B$300,'Auction Log'!$G$3:$G$300,""),""))</f>
        <v/>
      </c>
      <c r="AC486" s="12" t="str">
        <f t="array" ref="AC486">IF($A486="","",IFERROR(XLOOKUP($A486,'Auction Log'!$B$3:$B$300,'Auction Log'!$F$3:$F$300,""),""))</f>
        <v/>
      </c>
      <c r="AD486" s="12">
        <f t="array" ref="AD486">IF($A486="","",ROUND($Y486*XLOOKUP($F486,Settings!$I$15:$I$20,Settings!$K$15:$K$20,0.4),0))</f>
        <v>0</v>
      </c>
      <c r="AE486" s="12">
        <f t="array" ref="AE486">IF($A486="","",ROUND($Y486*XLOOKUP($F486,Settings!$I$15:$I$20,Settings!$L$15:$L$20,0.8),0))</f>
        <v>1</v>
      </c>
      <c r="AF486" s="12">
        <f t="array" ref="AF486">IF($A486="","",ROUND($Y486*XLOOKUP($F486,Settings!$I$15:$I$20,Settings!$M$15:$M$20,1),0))</f>
        <v>1</v>
      </c>
      <c r="AG486" s="12">
        <f t="array" ref="AG486">IF($A486="","",ROUND($Y486*XLOOKUP($F486,Settings!$I$15:$I$20,Settings!$N$15:$N$20,1.1),0))</f>
        <v>1</v>
      </c>
      <c r="AH486" s="12">
        <f t="array" ref="AH486">IF($A486="","",ROUND($Y486*XLOOKUP($F486,Settings!$I$15:$I$20,Settings!$O$15:$O$20,1.1)*Settings!$J$7,0))</f>
        <v>1</v>
      </c>
      <c r="AI486" s="12">
        <f t="array" ref="AI486">IF($A486="","",IF($AA486="Sold","",MIN($AH486,IFERROR(XLOOKUP(Settings!$B$12,Managers!$B$4:$B$15,Managers!$H$4:$H$15),$AH486))))</f>
        <v>1</v>
      </c>
      <c r="AJ486" s="12" t="str">
        <f t="shared" si="3"/>
        <v>Recommended</v>
      </c>
      <c r="AK486" s="12">
        <f t="shared" si="4"/>
        <v>26</v>
      </c>
      <c r="AL486" s="12" t="str">
        <f t="shared" si="5"/>
        <v/>
      </c>
    </row>
    <row r="487" ht="15.75" customHeight="1">
      <c r="A487" s="10" t="s">
        <v>1254</v>
      </c>
      <c r="B487" s="10" t="s">
        <v>1255</v>
      </c>
      <c r="C487" s="10" t="s">
        <v>180</v>
      </c>
      <c r="D487" s="10" t="s">
        <v>121</v>
      </c>
      <c r="E487" s="10" t="s">
        <v>121</v>
      </c>
      <c r="F487" s="10" t="s">
        <v>117</v>
      </c>
      <c r="G487" s="10">
        <v>5.0</v>
      </c>
      <c r="H487" s="10">
        <v>7.0</v>
      </c>
      <c r="I487" s="10" t="s">
        <v>2140</v>
      </c>
      <c r="J487" s="10" t="s">
        <v>2136</v>
      </c>
      <c r="K487" s="10"/>
      <c r="L487" s="10">
        <v>3.0</v>
      </c>
      <c r="M487" s="10">
        <v>1.5</v>
      </c>
      <c r="N487" s="10"/>
      <c r="O487" s="10"/>
      <c r="P487" s="12">
        <f>IF($A487="","",IFERROR((IF($O487="",0,$O487)*Settings!$J$4+IF($L487="",0,$L487)*Settings!$J$5+IF($N487="",0,$N487)*Settings!$J$6)/(IF($O487="",0,Settings!$J$4)+IF($L487="",0,Settings!$J$5)+IF($N487="",0,Settings!$J$6)),0))</f>
        <v>3</v>
      </c>
      <c r="Q487" s="12">
        <f t="array" ref="Q487">IF($A487="","",XLOOKUP($E487,Settings!$A$19:$A$22,Settings!$G$19:$G$22,0))</f>
        <v>206</v>
      </c>
      <c r="R487" s="12">
        <f t="shared" si="1"/>
        <v>0</v>
      </c>
      <c r="S487" s="12">
        <f>IF($A487="","",IF($R487&lt;=0,1,1+$R487/SUMIF($R$4:$R$923,"&gt;0",$R$4:$R$923)*(Settings!$B$5*(Settings!$B$6-Settings!$B$7))))</f>
        <v>1</v>
      </c>
      <c r="T487" s="12">
        <f t="array" ref="T487">IF($A487="","",XLOOKUP($F487,Settings!$I$15:$I$20,Settings!$J$15:$J$20,1))</f>
        <v>0.75</v>
      </c>
      <c r="U487" s="12">
        <f>IF($A487="","",1+(($G487-5)/5)*Settings!$J$8)</f>
        <v>1</v>
      </c>
      <c r="V487" s="12">
        <f>IF($A487="","",1+(($H487-5)/5)*Settings!$J$9)</f>
        <v>1.06</v>
      </c>
      <c r="W487" s="12">
        <f t="array" ref="W487">IF($A487="","",XLOOKUP($J487,Lists!$C$3:$C$7,Lists!$D$3:$D$7,1))</f>
        <v>1</v>
      </c>
      <c r="X487" s="12">
        <f>IF($A487="","",IF($I487="Yes",Settings!$J$10,1))</f>
        <v>1</v>
      </c>
      <c r="Y487" s="12">
        <f t="shared" si="2"/>
        <v>1</v>
      </c>
      <c r="Z487" s="12">
        <f>IF($A487="","",IFERROR(ROUND(AVERAGEIFS('Historical Drafts'!$G$4:$G$300,'Historical Drafts'!$D$4:$D$300,$E487,'Historical Drafts'!$J$4:$J$300,"&gt;="&amp;$L487*0.85,'Historical Drafts'!$J$4:$J$300,"&lt;="&amp;$L487*1.15),0),$Y487))</f>
        <v>1</v>
      </c>
      <c r="AA487" s="12" t="str">
        <f>IF($A487="","",IF(COUNTIF('Auction Log'!$B$3:$B$300,$A487)&gt;0,"Sold","Available"))</f>
        <v>Available</v>
      </c>
      <c r="AB487" s="12" t="str">
        <f t="array" ref="AB487">IF($A487="","",IFERROR(XLOOKUP($A487,'Auction Log'!$B$3:$B$300,'Auction Log'!$G$3:$G$300,""),""))</f>
        <v/>
      </c>
      <c r="AC487" s="12" t="str">
        <f t="array" ref="AC487">IF($A487="","",IFERROR(XLOOKUP($A487,'Auction Log'!$B$3:$B$300,'Auction Log'!$F$3:$F$300,""),""))</f>
        <v/>
      </c>
      <c r="AD487" s="12">
        <f t="array" ref="AD487">IF($A487="","",ROUND($Y487*XLOOKUP($F487,Settings!$I$15:$I$20,Settings!$K$15:$K$20,0.4),0))</f>
        <v>0</v>
      </c>
      <c r="AE487" s="12">
        <f t="array" ref="AE487">IF($A487="","",ROUND($Y487*XLOOKUP($F487,Settings!$I$15:$I$20,Settings!$L$15:$L$20,0.8),0))</f>
        <v>1</v>
      </c>
      <c r="AF487" s="12">
        <f t="array" ref="AF487">IF($A487="","",ROUND($Y487*XLOOKUP($F487,Settings!$I$15:$I$20,Settings!$M$15:$M$20,1),0))</f>
        <v>1</v>
      </c>
      <c r="AG487" s="12">
        <f t="array" ref="AG487">IF($A487="","",ROUND($Y487*XLOOKUP($F487,Settings!$I$15:$I$20,Settings!$N$15:$N$20,1.1),0))</f>
        <v>1</v>
      </c>
      <c r="AH487" s="12">
        <f t="array" ref="AH487">IF($A487="","",ROUND($Y487*XLOOKUP($F487,Settings!$I$15:$I$20,Settings!$O$15:$O$20,1.1)*Settings!$J$7,0))</f>
        <v>1</v>
      </c>
      <c r="AI487" s="12">
        <f t="array" ref="AI487">IF($A487="","",IF($AA487="Sold","",MIN($AH487,IFERROR(XLOOKUP(Settings!$B$12,Managers!$B$4:$B$15,Managers!$H$4:$H$15),$AH487))))</f>
        <v>1</v>
      </c>
      <c r="AJ487" s="12" t="str">
        <f t="shared" si="3"/>
        <v>Recommended</v>
      </c>
      <c r="AK487" s="12">
        <f t="shared" si="4"/>
        <v>26</v>
      </c>
      <c r="AL487" s="12" t="str">
        <f t="shared" si="5"/>
        <v/>
      </c>
    </row>
    <row r="488" ht="15.75" customHeight="1">
      <c r="A488" s="10" t="s">
        <v>1256</v>
      </c>
      <c r="B488" s="10" t="s">
        <v>1257</v>
      </c>
      <c r="C488" s="10" t="s">
        <v>566</v>
      </c>
      <c r="D488" s="10" t="s">
        <v>123</v>
      </c>
      <c r="E488" s="10" t="s">
        <v>123</v>
      </c>
      <c r="F488" s="10" t="s">
        <v>117</v>
      </c>
      <c r="G488" s="10">
        <v>5.0</v>
      </c>
      <c r="H488" s="10">
        <v>7.0</v>
      </c>
      <c r="I488" s="10" t="s">
        <v>2140</v>
      </c>
      <c r="J488" s="10" t="s">
        <v>2136</v>
      </c>
      <c r="K488" s="10"/>
      <c r="L488" s="10">
        <v>3.0</v>
      </c>
      <c r="M488" s="10">
        <v>0.5</v>
      </c>
      <c r="N488" s="10"/>
      <c r="O488" s="10"/>
      <c r="P488" s="12">
        <f>IF($A488="","",IFERROR((IF($O488="",0,$O488)*Settings!$J$4+IF($L488="",0,$L488)*Settings!$J$5+IF($N488="",0,$N488)*Settings!$J$6)/(IF($O488="",0,Settings!$J$4)+IF($L488="",0,Settings!$J$5)+IF($N488="",0,Settings!$J$6)),0))</f>
        <v>3</v>
      </c>
      <c r="Q488" s="12">
        <f t="array" ref="Q488">IF($A488="","",XLOOKUP($E488,Settings!$A$19:$A$22,Settings!$G$19:$G$22,0))</f>
        <v>203</v>
      </c>
      <c r="R488" s="12">
        <f t="shared" si="1"/>
        <v>0</v>
      </c>
      <c r="S488" s="12">
        <f>IF($A488="","",IF($R488&lt;=0,1,1+$R488/SUMIF($R$4:$R$923,"&gt;0",$R$4:$R$923)*(Settings!$B$5*(Settings!$B$6-Settings!$B$7))))</f>
        <v>1</v>
      </c>
      <c r="T488" s="12">
        <f t="array" ref="T488">IF($A488="","",XLOOKUP($F488,Settings!$I$15:$I$20,Settings!$J$15:$J$20,1))</f>
        <v>0.75</v>
      </c>
      <c r="U488" s="12">
        <f>IF($A488="","",1+(($G488-5)/5)*Settings!$J$8)</f>
        <v>1</v>
      </c>
      <c r="V488" s="12">
        <f>IF($A488="","",1+(($H488-5)/5)*Settings!$J$9)</f>
        <v>1.06</v>
      </c>
      <c r="W488" s="12">
        <f t="array" ref="W488">IF($A488="","",XLOOKUP($J488,Lists!$C$3:$C$7,Lists!$D$3:$D$7,1))</f>
        <v>1</v>
      </c>
      <c r="X488" s="12">
        <f>IF($A488="","",IF($I488="Yes",Settings!$J$10,1))</f>
        <v>1</v>
      </c>
      <c r="Y488" s="12">
        <f t="shared" si="2"/>
        <v>1</v>
      </c>
      <c r="Z488" s="12">
        <f>IF($A488="","",IFERROR(ROUND(AVERAGEIFS('Historical Drafts'!$G$4:$G$300,'Historical Drafts'!$D$4:$D$300,$E488,'Historical Drafts'!$J$4:$J$300,"&gt;="&amp;$L488*0.85,'Historical Drafts'!$J$4:$J$300,"&lt;="&amp;$L488*1.15),0),$Y488))</f>
        <v>1</v>
      </c>
      <c r="AA488" s="12" t="str">
        <f>IF($A488="","",IF(COUNTIF('Auction Log'!$B$3:$B$300,$A488)&gt;0,"Sold","Available"))</f>
        <v>Available</v>
      </c>
      <c r="AB488" s="12" t="str">
        <f t="array" ref="AB488">IF($A488="","",IFERROR(XLOOKUP($A488,'Auction Log'!$B$3:$B$300,'Auction Log'!$G$3:$G$300,""),""))</f>
        <v/>
      </c>
      <c r="AC488" s="12" t="str">
        <f t="array" ref="AC488">IF($A488="","",IFERROR(XLOOKUP($A488,'Auction Log'!$B$3:$B$300,'Auction Log'!$F$3:$F$300,""),""))</f>
        <v/>
      </c>
      <c r="AD488" s="12">
        <f t="array" ref="AD488">IF($A488="","",ROUND($Y488*XLOOKUP($F488,Settings!$I$15:$I$20,Settings!$K$15:$K$20,0.4),0))</f>
        <v>0</v>
      </c>
      <c r="AE488" s="12">
        <f t="array" ref="AE488">IF($A488="","",ROUND($Y488*XLOOKUP($F488,Settings!$I$15:$I$20,Settings!$L$15:$L$20,0.8),0))</f>
        <v>1</v>
      </c>
      <c r="AF488" s="12">
        <f t="array" ref="AF488">IF($A488="","",ROUND($Y488*XLOOKUP($F488,Settings!$I$15:$I$20,Settings!$M$15:$M$20,1),0))</f>
        <v>1</v>
      </c>
      <c r="AG488" s="12">
        <f t="array" ref="AG488">IF($A488="","",ROUND($Y488*XLOOKUP($F488,Settings!$I$15:$I$20,Settings!$N$15:$N$20,1.1),0))</f>
        <v>1</v>
      </c>
      <c r="AH488" s="12">
        <f t="array" ref="AH488">IF($A488="","",ROUND($Y488*XLOOKUP($F488,Settings!$I$15:$I$20,Settings!$O$15:$O$20,1.1)*Settings!$J$7,0))</f>
        <v>1</v>
      </c>
      <c r="AI488" s="12">
        <f t="array" ref="AI488">IF($A488="","",IF($AA488="Sold","",MIN($AH488,IFERROR(XLOOKUP(Settings!$B$12,Managers!$B$4:$B$15,Managers!$H$4:$H$15),$AH488))))</f>
        <v>1</v>
      </c>
      <c r="AJ488" s="12" t="str">
        <f t="shared" si="3"/>
        <v>Recommended</v>
      </c>
      <c r="AK488" s="12">
        <f t="shared" si="4"/>
        <v>26</v>
      </c>
      <c r="AL488" s="12" t="str">
        <f t="shared" si="5"/>
        <v/>
      </c>
    </row>
    <row r="489" ht="15.75" customHeight="1">
      <c r="A489" s="10" t="s">
        <v>1258</v>
      </c>
      <c r="B489" s="10" t="s">
        <v>1259</v>
      </c>
      <c r="C489" s="10" t="s">
        <v>199</v>
      </c>
      <c r="D489" s="10" t="s">
        <v>123</v>
      </c>
      <c r="E489" s="10" t="s">
        <v>123</v>
      </c>
      <c r="F489" s="10" t="s">
        <v>117</v>
      </c>
      <c r="G489" s="10">
        <v>5.0</v>
      </c>
      <c r="H489" s="10">
        <v>7.0</v>
      </c>
      <c r="I489" s="10" t="s">
        <v>2140</v>
      </c>
      <c r="J489" s="10" t="s">
        <v>2136</v>
      </c>
      <c r="K489" s="10"/>
      <c r="L489" s="10">
        <v>3.0</v>
      </c>
      <c r="M489" s="10">
        <v>1.0</v>
      </c>
      <c r="N489" s="10"/>
      <c r="O489" s="10"/>
      <c r="P489" s="12">
        <f>IF($A489="","",IFERROR((IF($O489="",0,$O489)*Settings!$J$4+IF($L489="",0,$L489)*Settings!$J$5+IF($N489="",0,$N489)*Settings!$J$6)/(IF($O489="",0,Settings!$J$4)+IF($L489="",0,Settings!$J$5)+IF($N489="",0,Settings!$J$6)),0))</f>
        <v>3</v>
      </c>
      <c r="Q489" s="12">
        <f t="array" ref="Q489">IF($A489="","",XLOOKUP($E489,Settings!$A$19:$A$22,Settings!$G$19:$G$22,0))</f>
        <v>203</v>
      </c>
      <c r="R489" s="12">
        <f t="shared" si="1"/>
        <v>0</v>
      </c>
      <c r="S489" s="12">
        <f>IF($A489="","",IF($R489&lt;=0,1,1+$R489/SUMIF($R$4:$R$923,"&gt;0",$R$4:$R$923)*(Settings!$B$5*(Settings!$B$6-Settings!$B$7))))</f>
        <v>1</v>
      </c>
      <c r="T489" s="12">
        <f t="array" ref="T489">IF($A489="","",XLOOKUP($F489,Settings!$I$15:$I$20,Settings!$J$15:$J$20,1))</f>
        <v>0.75</v>
      </c>
      <c r="U489" s="12">
        <f>IF($A489="","",1+(($G489-5)/5)*Settings!$J$8)</f>
        <v>1</v>
      </c>
      <c r="V489" s="12">
        <f>IF($A489="","",1+(($H489-5)/5)*Settings!$J$9)</f>
        <v>1.06</v>
      </c>
      <c r="W489" s="12">
        <f t="array" ref="W489">IF($A489="","",XLOOKUP($J489,Lists!$C$3:$C$7,Lists!$D$3:$D$7,1))</f>
        <v>1</v>
      </c>
      <c r="X489" s="12">
        <f>IF($A489="","",IF($I489="Yes",Settings!$J$10,1))</f>
        <v>1</v>
      </c>
      <c r="Y489" s="12">
        <f t="shared" si="2"/>
        <v>1</v>
      </c>
      <c r="Z489" s="12">
        <f>IF($A489="","",IFERROR(ROUND(AVERAGEIFS('Historical Drafts'!$G$4:$G$300,'Historical Drafts'!$D$4:$D$300,$E489,'Historical Drafts'!$J$4:$J$300,"&gt;="&amp;$L489*0.85,'Historical Drafts'!$J$4:$J$300,"&lt;="&amp;$L489*1.15),0),$Y489))</f>
        <v>1</v>
      </c>
      <c r="AA489" s="12" t="str">
        <f>IF($A489="","",IF(COUNTIF('Auction Log'!$B$3:$B$300,$A489)&gt;0,"Sold","Available"))</f>
        <v>Available</v>
      </c>
      <c r="AB489" s="12" t="str">
        <f t="array" ref="AB489">IF($A489="","",IFERROR(XLOOKUP($A489,'Auction Log'!$B$3:$B$300,'Auction Log'!$G$3:$G$300,""),""))</f>
        <v/>
      </c>
      <c r="AC489" s="12" t="str">
        <f t="array" ref="AC489">IF($A489="","",IFERROR(XLOOKUP($A489,'Auction Log'!$B$3:$B$300,'Auction Log'!$F$3:$F$300,""),""))</f>
        <v/>
      </c>
      <c r="AD489" s="12">
        <f t="array" ref="AD489">IF($A489="","",ROUND($Y489*XLOOKUP($F489,Settings!$I$15:$I$20,Settings!$K$15:$K$20,0.4),0))</f>
        <v>0</v>
      </c>
      <c r="AE489" s="12">
        <f t="array" ref="AE489">IF($A489="","",ROUND($Y489*XLOOKUP($F489,Settings!$I$15:$I$20,Settings!$L$15:$L$20,0.8),0))</f>
        <v>1</v>
      </c>
      <c r="AF489" s="12">
        <f t="array" ref="AF489">IF($A489="","",ROUND($Y489*XLOOKUP($F489,Settings!$I$15:$I$20,Settings!$M$15:$M$20,1),0))</f>
        <v>1</v>
      </c>
      <c r="AG489" s="12">
        <f t="array" ref="AG489">IF($A489="","",ROUND($Y489*XLOOKUP($F489,Settings!$I$15:$I$20,Settings!$N$15:$N$20,1.1),0))</f>
        <v>1</v>
      </c>
      <c r="AH489" s="12">
        <f t="array" ref="AH489">IF($A489="","",ROUND($Y489*XLOOKUP($F489,Settings!$I$15:$I$20,Settings!$O$15:$O$20,1.1)*Settings!$J$7,0))</f>
        <v>1</v>
      </c>
      <c r="AI489" s="12">
        <f t="array" ref="AI489">IF($A489="","",IF($AA489="Sold","",MIN($AH489,IFERROR(XLOOKUP(Settings!$B$12,Managers!$B$4:$B$15,Managers!$H$4:$H$15),$AH489))))</f>
        <v>1</v>
      </c>
      <c r="AJ489" s="12" t="str">
        <f t="shared" si="3"/>
        <v>Recommended</v>
      </c>
      <c r="AK489" s="12">
        <f t="shared" si="4"/>
        <v>26</v>
      </c>
      <c r="AL489" s="12" t="str">
        <f t="shared" si="5"/>
        <v/>
      </c>
    </row>
    <row r="490" ht="15.75" customHeight="1">
      <c r="A490" s="10" t="s">
        <v>1260</v>
      </c>
      <c r="B490" s="10" t="s">
        <v>1261</v>
      </c>
      <c r="C490" s="10" t="s">
        <v>314</v>
      </c>
      <c r="D490" s="10" t="s">
        <v>123</v>
      </c>
      <c r="E490" s="10" t="s">
        <v>123</v>
      </c>
      <c r="F490" s="10" t="s">
        <v>117</v>
      </c>
      <c r="G490" s="10">
        <v>5.0</v>
      </c>
      <c r="H490" s="10">
        <v>7.0</v>
      </c>
      <c r="I490" s="10" t="s">
        <v>2140</v>
      </c>
      <c r="J490" s="10" t="s">
        <v>2136</v>
      </c>
      <c r="K490" s="10"/>
      <c r="L490" s="10">
        <v>2.5</v>
      </c>
      <c r="M490" s="10">
        <v>2.5</v>
      </c>
      <c r="N490" s="10"/>
      <c r="O490" s="10"/>
      <c r="P490" s="12">
        <f>IF($A490="","",IFERROR((IF($O490="",0,$O490)*Settings!$J$4+IF($L490="",0,$L490)*Settings!$J$5+IF($N490="",0,$N490)*Settings!$J$6)/(IF($O490="",0,Settings!$J$4)+IF($L490="",0,Settings!$J$5)+IF($N490="",0,Settings!$J$6)),0))</f>
        <v>2.5</v>
      </c>
      <c r="Q490" s="12">
        <f t="array" ref="Q490">IF($A490="","",XLOOKUP($E490,Settings!$A$19:$A$22,Settings!$G$19:$G$22,0))</f>
        <v>203</v>
      </c>
      <c r="R490" s="12">
        <f t="shared" si="1"/>
        <v>0</v>
      </c>
      <c r="S490" s="12">
        <f>IF($A490="","",IF($R490&lt;=0,1,1+$R490/SUMIF($R$4:$R$923,"&gt;0",$R$4:$R$923)*(Settings!$B$5*(Settings!$B$6-Settings!$B$7))))</f>
        <v>1</v>
      </c>
      <c r="T490" s="12">
        <f t="array" ref="T490">IF($A490="","",XLOOKUP($F490,Settings!$I$15:$I$20,Settings!$J$15:$J$20,1))</f>
        <v>0.75</v>
      </c>
      <c r="U490" s="12">
        <f>IF($A490="","",1+(($G490-5)/5)*Settings!$J$8)</f>
        <v>1</v>
      </c>
      <c r="V490" s="12">
        <f>IF($A490="","",1+(($H490-5)/5)*Settings!$J$9)</f>
        <v>1.06</v>
      </c>
      <c r="W490" s="12">
        <f t="array" ref="W490">IF($A490="","",XLOOKUP($J490,Lists!$C$3:$C$7,Lists!$D$3:$D$7,1))</f>
        <v>1</v>
      </c>
      <c r="X490" s="12">
        <f>IF($A490="","",IF($I490="Yes",Settings!$J$10,1))</f>
        <v>1</v>
      </c>
      <c r="Y490" s="12">
        <f t="shared" si="2"/>
        <v>1</v>
      </c>
      <c r="Z490" s="12">
        <f>IF($A490="","",IFERROR(ROUND(AVERAGEIFS('Historical Drafts'!$G$4:$G$300,'Historical Drafts'!$D$4:$D$300,$E490,'Historical Drafts'!$J$4:$J$300,"&gt;="&amp;$L490*0.85,'Historical Drafts'!$J$4:$J$300,"&lt;="&amp;$L490*1.15),0),$Y490))</f>
        <v>1</v>
      </c>
      <c r="AA490" s="12" t="str">
        <f>IF($A490="","",IF(COUNTIF('Auction Log'!$B$3:$B$300,$A490)&gt;0,"Sold","Available"))</f>
        <v>Available</v>
      </c>
      <c r="AB490" s="12" t="str">
        <f t="array" ref="AB490">IF($A490="","",IFERROR(XLOOKUP($A490,'Auction Log'!$B$3:$B$300,'Auction Log'!$G$3:$G$300,""),""))</f>
        <v/>
      </c>
      <c r="AC490" s="12" t="str">
        <f t="array" ref="AC490">IF($A490="","",IFERROR(XLOOKUP($A490,'Auction Log'!$B$3:$B$300,'Auction Log'!$F$3:$F$300,""),""))</f>
        <v/>
      </c>
      <c r="AD490" s="12">
        <f t="array" ref="AD490">IF($A490="","",ROUND($Y490*XLOOKUP($F490,Settings!$I$15:$I$20,Settings!$K$15:$K$20,0.4),0))</f>
        <v>0</v>
      </c>
      <c r="AE490" s="12">
        <f t="array" ref="AE490">IF($A490="","",ROUND($Y490*XLOOKUP($F490,Settings!$I$15:$I$20,Settings!$L$15:$L$20,0.8),0))</f>
        <v>1</v>
      </c>
      <c r="AF490" s="12">
        <f t="array" ref="AF490">IF($A490="","",ROUND($Y490*XLOOKUP($F490,Settings!$I$15:$I$20,Settings!$M$15:$M$20,1),0))</f>
        <v>1</v>
      </c>
      <c r="AG490" s="12">
        <f t="array" ref="AG490">IF($A490="","",ROUND($Y490*XLOOKUP($F490,Settings!$I$15:$I$20,Settings!$N$15:$N$20,1.1),0))</f>
        <v>1</v>
      </c>
      <c r="AH490" s="12">
        <f t="array" ref="AH490">IF($A490="","",ROUND($Y490*XLOOKUP($F490,Settings!$I$15:$I$20,Settings!$O$15:$O$20,1.1)*Settings!$J$7,0))</f>
        <v>1</v>
      </c>
      <c r="AI490" s="12">
        <f t="array" ref="AI490">IF($A490="","",IF($AA490="Sold","",MIN($AH490,IFERROR(XLOOKUP(Settings!$B$12,Managers!$B$4:$B$15,Managers!$H$4:$H$15),$AH490))))</f>
        <v>1</v>
      </c>
      <c r="AJ490" s="12" t="str">
        <f t="shared" si="3"/>
        <v>Recommended</v>
      </c>
      <c r="AK490" s="12">
        <f t="shared" si="4"/>
        <v>26</v>
      </c>
      <c r="AL490" s="12" t="str">
        <f t="shared" si="5"/>
        <v/>
      </c>
    </row>
    <row r="491" ht="15.75" customHeight="1">
      <c r="A491" s="10" t="s">
        <v>1262</v>
      </c>
      <c r="B491" s="10" t="s">
        <v>1263</v>
      </c>
      <c r="C491" s="10" t="s">
        <v>215</v>
      </c>
      <c r="D491" s="10" t="s">
        <v>123</v>
      </c>
      <c r="E491" s="10" t="s">
        <v>123</v>
      </c>
      <c r="F491" s="10" t="s">
        <v>117</v>
      </c>
      <c r="G491" s="10">
        <v>5.0</v>
      </c>
      <c r="H491" s="10">
        <v>7.0</v>
      </c>
      <c r="I491" s="10" t="s">
        <v>2140</v>
      </c>
      <c r="J491" s="10" t="s">
        <v>2136</v>
      </c>
      <c r="K491" s="10"/>
      <c r="L491" s="10">
        <v>2.5</v>
      </c>
      <c r="M491" s="10">
        <v>1.25</v>
      </c>
      <c r="N491" s="10"/>
      <c r="O491" s="10"/>
      <c r="P491" s="12">
        <f>IF($A491="","",IFERROR((IF($O491="",0,$O491)*Settings!$J$4+IF($L491="",0,$L491)*Settings!$J$5+IF($N491="",0,$N491)*Settings!$J$6)/(IF($O491="",0,Settings!$J$4)+IF($L491="",0,Settings!$J$5)+IF($N491="",0,Settings!$J$6)),0))</f>
        <v>2.5</v>
      </c>
      <c r="Q491" s="12">
        <f t="array" ref="Q491">IF($A491="","",XLOOKUP($E491,Settings!$A$19:$A$22,Settings!$G$19:$G$22,0))</f>
        <v>203</v>
      </c>
      <c r="R491" s="12">
        <f t="shared" si="1"/>
        <v>0</v>
      </c>
      <c r="S491" s="12">
        <f>IF($A491="","",IF($R491&lt;=0,1,1+$R491/SUMIF($R$4:$R$923,"&gt;0",$R$4:$R$923)*(Settings!$B$5*(Settings!$B$6-Settings!$B$7))))</f>
        <v>1</v>
      </c>
      <c r="T491" s="12">
        <f t="array" ref="T491">IF($A491="","",XLOOKUP($F491,Settings!$I$15:$I$20,Settings!$J$15:$J$20,1))</f>
        <v>0.75</v>
      </c>
      <c r="U491" s="12">
        <f>IF($A491="","",1+(($G491-5)/5)*Settings!$J$8)</f>
        <v>1</v>
      </c>
      <c r="V491" s="12">
        <f>IF($A491="","",1+(($H491-5)/5)*Settings!$J$9)</f>
        <v>1.06</v>
      </c>
      <c r="W491" s="12">
        <f t="array" ref="W491">IF($A491="","",XLOOKUP($J491,Lists!$C$3:$C$7,Lists!$D$3:$D$7,1))</f>
        <v>1</v>
      </c>
      <c r="X491" s="12">
        <f>IF($A491="","",IF($I491="Yes",Settings!$J$10,1))</f>
        <v>1</v>
      </c>
      <c r="Y491" s="12">
        <f t="shared" si="2"/>
        <v>1</v>
      </c>
      <c r="Z491" s="12">
        <f>IF($A491="","",IFERROR(ROUND(AVERAGEIFS('Historical Drafts'!$G$4:$G$300,'Historical Drafts'!$D$4:$D$300,$E491,'Historical Drafts'!$J$4:$J$300,"&gt;="&amp;$L491*0.85,'Historical Drafts'!$J$4:$J$300,"&lt;="&amp;$L491*1.15),0),$Y491))</f>
        <v>1</v>
      </c>
      <c r="AA491" s="12" t="str">
        <f>IF($A491="","",IF(COUNTIF('Auction Log'!$B$3:$B$300,$A491)&gt;0,"Sold","Available"))</f>
        <v>Available</v>
      </c>
      <c r="AB491" s="12" t="str">
        <f t="array" ref="AB491">IF($A491="","",IFERROR(XLOOKUP($A491,'Auction Log'!$B$3:$B$300,'Auction Log'!$G$3:$G$300,""),""))</f>
        <v/>
      </c>
      <c r="AC491" s="12" t="str">
        <f t="array" ref="AC491">IF($A491="","",IFERROR(XLOOKUP($A491,'Auction Log'!$B$3:$B$300,'Auction Log'!$F$3:$F$300,""),""))</f>
        <v/>
      </c>
      <c r="AD491" s="12">
        <f t="array" ref="AD491">IF($A491="","",ROUND($Y491*XLOOKUP($F491,Settings!$I$15:$I$20,Settings!$K$15:$K$20,0.4),0))</f>
        <v>0</v>
      </c>
      <c r="AE491" s="12">
        <f t="array" ref="AE491">IF($A491="","",ROUND($Y491*XLOOKUP($F491,Settings!$I$15:$I$20,Settings!$L$15:$L$20,0.8),0))</f>
        <v>1</v>
      </c>
      <c r="AF491" s="12">
        <f t="array" ref="AF491">IF($A491="","",ROUND($Y491*XLOOKUP($F491,Settings!$I$15:$I$20,Settings!$M$15:$M$20,1),0))</f>
        <v>1</v>
      </c>
      <c r="AG491" s="12">
        <f t="array" ref="AG491">IF($A491="","",ROUND($Y491*XLOOKUP($F491,Settings!$I$15:$I$20,Settings!$N$15:$N$20,1.1),0))</f>
        <v>1</v>
      </c>
      <c r="AH491" s="12">
        <f t="array" ref="AH491">IF($A491="","",ROUND($Y491*XLOOKUP($F491,Settings!$I$15:$I$20,Settings!$O$15:$O$20,1.1)*Settings!$J$7,0))</f>
        <v>1</v>
      </c>
      <c r="AI491" s="12">
        <f t="array" ref="AI491">IF($A491="","",IF($AA491="Sold","",MIN($AH491,IFERROR(XLOOKUP(Settings!$B$12,Managers!$B$4:$B$15,Managers!$H$4:$H$15),$AH491))))</f>
        <v>1</v>
      </c>
      <c r="AJ491" s="12" t="str">
        <f t="shared" si="3"/>
        <v>Recommended</v>
      </c>
      <c r="AK491" s="12">
        <f t="shared" si="4"/>
        <v>26</v>
      </c>
      <c r="AL491" s="12" t="str">
        <f t="shared" si="5"/>
        <v/>
      </c>
    </row>
    <row r="492" ht="15.75" customHeight="1">
      <c r="A492" s="10" t="s">
        <v>1264</v>
      </c>
      <c r="B492" s="10" t="s">
        <v>1265</v>
      </c>
      <c r="C492" s="10" t="s">
        <v>221</v>
      </c>
      <c r="D492" s="10" t="s">
        <v>118</v>
      </c>
      <c r="E492" s="10" t="s">
        <v>118</v>
      </c>
      <c r="F492" s="10" t="s">
        <v>117</v>
      </c>
      <c r="G492" s="10">
        <v>5.0</v>
      </c>
      <c r="H492" s="10">
        <v>7.0</v>
      </c>
      <c r="I492" s="10" t="s">
        <v>2140</v>
      </c>
      <c r="J492" s="10" t="s">
        <v>2136</v>
      </c>
      <c r="K492" s="10"/>
      <c r="L492" s="10">
        <v>2.5</v>
      </c>
      <c r="M492" s="10">
        <v>0.36</v>
      </c>
      <c r="N492" s="10"/>
      <c r="O492" s="10"/>
      <c r="P492" s="12">
        <f>IF($A492="","",IFERROR((IF($O492="",0,$O492)*Settings!$J$4+IF($L492="",0,$L492)*Settings!$J$5+IF($N492="",0,$N492)*Settings!$J$6)/(IF($O492="",0,Settings!$J$4)+IF($L492="",0,Settings!$J$5)+IF($N492="",0,Settings!$J$6)),0))</f>
        <v>2.5</v>
      </c>
      <c r="Q492" s="12">
        <f t="array" ref="Q492">IF($A492="","",XLOOKUP($E492,Settings!$A$19:$A$22,Settings!$G$19:$G$22,0))</f>
        <v>196.25</v>
      </c>
      <c r="R492" s="12">
        <f t="shared" si="1"/>
        <v>0</v>
      </c>
      <c r="S492" s="12">
        <f>IF($A492="","",IF($R492&lt;=0,1,1+$R492/SUMIF($R$4:$R$923,"&gt;0",$R$4:$R$923)*(Settings!$B$5*(Settings!$B$6-Settings!$B$7))))</f>
        <v>1</v>
      </c>
      <c r="T492" s="12">
        <f t="array" ref="T492">IF($A492="","",XLOOKUP($F492,Settings!$I$15:$I$20,Settings!$J$15:$J$20,1))</f>
        <v>0.75</v>
      </c>
      <c r="U492" s="12">
        <f>IF($A492="","",1+(($G492-5)/5)*Settings!$J$8)</f>
        <v>1</v>
      </c>
      <c r="V492" s="12">
        <f>IF($A492="","",1+(($H492-5)/5)*Settings!$J$9)</f>
        <v>1.06</v>
      </c>
      <c r="W492" s="12">
        <f t="array" ref="W492">IF($A492="","",XLOOKUP($J492,Lists!$C$3:$C$7,Lists!$D$3:$D$7,1))</f>
        <v>1</v>
      </c>
      <c r="X492" s="12">
        <f>IF($A492="","",IF($I492="Yes",Settings!$J$10,1))</f>
        <v>1</v>
      </c>
      <c r="Y492" s="12">
        <f t="shared" si="2"/>
        <v>1</v>
      </c>
      <c r="Z492" s="12">
        <f>IF($A492="","",IFERROR(ROUND(AVERAGEIFS('Historical Drafts'!$G$4:$G$300,'Historical Drafts'!$D$4:$D$300,$E492,'Historical Drafts'!$J$4:$J$300,"&gt;="&amp;$L492*0.85,'Historical Drafts'!$J$4:$J$300,"&lt;="&amp;$L492*1.15),0),$Y492))</f>
        <v>1</v>
      </c>
      <c r="AA492" s="12" t="str">
        <f>IF($A492="","",IF(COUNTIF('Auction Log'!$B$3:$B$300,$A492)&gt;0,"Sold","Available"))</f>
        <v>Available</v>
      </c>
      <c r="AB492" s="12" t="str">
        <f t="array" ref="AB492">IF($A492="","",IFERROR(XLOOKUP($A492,'Auction Log'!$B$3:$B$300,'Auction Log'!$G$3:$G$300,""),""))</f>
        <v/>
      </c>
      <c r="AC492" s="12" t="str">
        <f t="array" ref="AC492">IF($A492="","",IFERROR(XLOOKUP($A492,'Auction Log'!$B$3:$B$300,'Auction Log'!$F$3:$F$300,""),""))</f>
        <v/>
      </c>
      <c r="AD492" s="12">
        <f t="array" ref="AD492">IF($A492="","",ROUND($Y492*XLOOKUP($F492,Settings!$I$15:$I$20,Settings!$K$15:$K$20,0.4),0))</f>
        <v>0</v>
      </c>
      <c r="AE492" s="12">
        <f t="array" ref="AE492">IF($A492="","",ROUND($Y492*XLOOKUP($F492,Settings!$I$15:$I$20,Settings!$L$15:$L$20,0.8),0))</f>
        <v>1</v>
      </c>
      <c r="AF492" s="12">
        <f t="array" ref="AF492">IF($A492="","",ROUND($Y492*XLOOKUP($F492,Settings!$I$15:$I$20,Settings!$M$15:$M$20,1),0))</f>
        <v>1</v>
      </c>
      <c r="AG492" s="12">
        <f t="array" ref="AG492">IF($A492="","",ROUND($Y492*XLOOKUP($F492,Settings!$I$15:$I$20,Settings!$N$15:$N$20,1.1),0))</f>
        <v>1</v>
      </c>
      <c r="AH492" s="12">
        <f t="array" ref="AH492">IF($A492="","",ROUND($Y492*XLOOKUP($F492,Settings!$I$15:$I$20,Settings!$O$15:$O$20,1.1)*Settings!$J$7,0))</f>
        <v>1</v>
      </c>
      <c r="AI492" s="12">
        <f t="array" ref="AI492">IF($A492="","",IF($AA492="Sold","",MIN($AH492,IFERROR(XLOOKUP(Settings!$B$12,Managers!$B$4:$B$15,Managers!$H$4:$H$15),$AH492))))</f>
        <v>1</v>
      </c>
      <c r="AJ492" s="12" t="str">
        <f t="shared" si="3"/>
        <v>Recommended</v>
      </c>
      <c r="AK492" s="12">
        <f t="shared" si="4"/>
        <v>26</v>
      </c>
      <c r="AL492" s="12" t="str">
        <f t="shared" si="5"/>
        <v/>
      </c>
    </row>
    <row r="493" ht="15.75" customHeight="1">
      <c r="A493" s="10" t="s">
        <v>1266</v>
      </c>
      <c r="B493" s="10" t="s">
        <v>1267</v>
      </c>
      <c r="C493" s="10" t="s">
        <v>387</v>
      </c>
      <c r="D493" s="10" t="s">
        <v>121</v>
      </c>
      <c r="E493" s="10" t="s">
        <v>121</v>
      </c>
      <c r="F493" s="10" t="s">
        <v>117</v>
      </c>
      <c r="G493" s="10">
        <v>5.0</v>
      </c>
      <c r="H493" s="10">
        <v>7.0</v>
      </c>
      <c r="I493" s="10" t="s">
        <v>2140</v>
      </c>
      <c r="J493" s="10" t="s">
        <v>2136</v>
      </c>
      <c r="K493" s="10"/>
      <c r="L493" s="10">
        <v>2.0</v>
      </c>
      <c r="M493" s="10">
        <v>2.0</v>
      </c>
      <c r="N493" s="10"/>
      <c r="O493" s="10"/>
      <c r="P493" s="12">
        <f>IF($A493="","",IFERROR((IF($O493="",0,$O493)*Settings!$J$4+IF($L493="",0,$L493)*Settings!$J$5+IF($N493="",0,$N493)*Settings!$J$6)/(IF($O493="",0,Settings!$J$4)+IF($L493="",0,Settings!$J$5)+IF($N493="",0,Settings!$J$6)),0))</f>
        <v>2</v>
      </c>
      <c r="Q493" s="12">
        <f t="array" ref="Q493">IF($A493="","",XLOOKUP($E493,Settings!$A$19:$A$22,Settings!$G$19:$G$22,0))</f>
        <v>206</v>
      </c>
      <c r="R493" s="12">
        <f t="shared" si="1"/>
        <v>0</v>
      </c>
      <c r="S493" s="12">
        <f>IF($A493="","",IF($R493&lt;=0,1,1+$R493/SUMIF($R$4:$R$923,"&gt;0",$R$4:$R$923)*(Settings!$B$5*(Settings!$B$6-Settings!$B$7))))</f>
        <v>1</v>
      </c>
      <c r="T493" s="12">
        <f t="array" ref="T493">IF($A493="","",XLOOKUP($F493,Settings!$I$15:$I$20,Settings!$J$15:$J$20,1))</f>
        <v>0.75</v>
      </c>
      <c r="U493" s="12">
        <f>IF($A493="","",1+(($G493-5)/5)*Settings!$J$8)</f>
        <v>1</v>
      </c>
      <c r="V493" s="12">
        <f>IF($A493="","",1+(($H493-5)/5)*Settings!$J$9)</f>
        <v>1.06</v>
      </c>
      <c r="W493" s="12">
        <f t="array" ref="W493">IF($A493="","",XLOOKUP($J493,Lists!$C$3:$C$7,Lists!$D$3:$D$7,1))</f>
        <v>1</v>
      </c>
      <c r="X493" s="12">
        <f>IF($A493="","",IF($I493="Yes",Settings!$J$10,1))</f>
        <v>1</v>
      </c>
      <c r="Y493" s="12">
        <f t="shared" si="2"/>
        <v>1</v>
      </c>
      <c r="Z493" s="12">
        <f>IF($A493="","",IFERROR(ROUND(AVERAGEIFS('Historical Drafts'!$G$4:$G$300,'Historical Drafts'!$D$4:$D$300,$E493,'Historical Drafts'!$J$4:$J$300,"&gt;="&amp;$L493*0.85,'Historical Drafts'!$J$4:$J$300,"&lt;="&amp;$L493*1.15),0),$Y493))</f>
        <v>1</v>
      </c>
      <c r="AA493" s="12" t="str">
        <f>IF($A493="","",IF(COUNTIF('Auction Log'!$B$3:$B$300,$A493)&gt;0,"Sold","Available"))</f>
        <v>Available</v>
      </c>
      <c r="AB493" s="12" t="str">
        <f t="array" ref="AB493">IF($A493="","",IFERROR(XLOOKUP($A493,'Auction Log'!$B$3:$B$300,'Auction Log'!$G$3:$G$300,""),""))</f>
        <v/>
      </c>
      <c r="AC493" s="12" t="str">
        <f t="array" ref="AC493">IF($A493="","",IFERROR(XLOOKUP($A493,'Auction Log'!$B$3:$B$300,'Auction Log'!$F$3:$F$300,""),""))</f>
        <v/>
      </c>
      <c r="AD493" s="12">
        <f t="array" ref="AD493">IF($A493="","",ROUND($Y493*XLOOKUP($F493,Settings!$I$15:$I$20,Settings!$K$15:$K$20,0.4),0))</f>
        <v>0</v>
      </c>
      <c r="AE493" s="12">
        <f t="array" ref="AE493">IF($A493="","",ROUND($Y493*XLOOKUP($F493,Settings!$I$15:$I$20,Settings!$L$15:$L$20,0.8),0))</f>
        <v>1</v>
      </c>
      <c r="AF493" s="12">
        <f t="array" ref="AF493">IF($A493="","",ROUND($Y493*XLOOKUP($F493,Settings!$I$15:$I$20,Settings!$M$15:$M$20,1),0))</f>
        <v>1</v>
      </c>
      <c r="AG493" s="12">
        <f t="array" ref="AG493">IF($A493="","",ROUND($Y493*XLOOKUP($F493,Settings!$I$15:$I$20,Settings!$N$15:$N$20,1.1),0))</f>
        <v>1</v>
      </c>
      <c r="AH493" s="12">
        <f t="array" ref="AH493">IF($A493="","",ROUND($Y493*XLOOKUP($F493,Settings!$I$15:$I$20,Settings!$O$15:$O$20,1.1)*Settings!$J$7,0))</f>
        <v>1</v>
      </c>
      <c r="AI493" s="12">
        <f t="array" ref="AI493">IF($A493="","",IF($AA493="Sold","",MIN($AH493,IFERROR(XLOOKUP(Settings!$B$12,Managers!$B$4:$B$15,Managers!$H$4:$H$15),$AH493))))</f>
        <v>1</v>
      </c>
      <c r="AJ493" s="12" t="str">
        <f t="shared" si="3"/>
        <v>Recommended</v>
      </c>
      <c r="AK493" s="12">
        <f t="shared" si="4"/>
        <v>26</v>
      </c>
      <c r="AL493" s="12" t="str">
        <f t="shared" si="5"/>
        <v/>
      </c>
    </row>
    <row r="494" ht="15.75" customHeight="1">
      <c r="A494" s="10" t="s">
        <v>1268</v>
      </c>
      <c r="B494" s="10" t="s">
        <v>1269</v>
      </c>
      <c r="C494" s="10" t="s">
        <v>327</v>
      </c>
      <c r="D494" s="10" t="s">
        <v>121</v>
      </c>
      <c r="E494" s="10" t="s">
        <v>121</v>
      </c>
      <c r="F494" s="10" t="s">
        <v>117</v>
      </c>
      <c r="G494" s="10">
        <v>5.0</v>
      </c>
      <c r="H494" s="10">
        <v>7.0</v>
      </c>
      <c r="I494" s="10" t="s">
        <v>2140</v>
      </c>
      <c r="J494" s="10" t="s">
        <v>2136</v>
      </c>
      <c r="K494" s="10"/>
      <c r="L494" s="10">
        <v>2.0</v>
      </c>
      <c r="M494" s="10">
        <v>1.0</v>
      </c>
      <c r="N494" s="10"/>
      <c r="O494" s="10"/>
      <c r="P494" s="12">
        <f>IF($A494="","",IFERROR((IF($O494="",0,$O494)*Settings!$J$4+IF($L494="",0,$L494)*Settings!$J$5+IF($N494="",0,$N494)*Settings!$J$6)/(IF($O494="",0,Settings!$J$4)+IF($L494="",0,Settings!$J$5)+IF($N494="",0,Settings!$J$6)),0))</f>
        <v>2</v>
      </c>
      <c r="Q494" s="12">
        <f t="array" ref="Q494">IF($A494="","",XLOOKUP($E494,Settings!$A$19:$A$22,Settings!$G$19:$G$22,0))</f>
        <v>206</v>
      </c>
      <c r="R494" s="12">
        <f t="shared" si="1"/>
        <v>0</v>
      </c>
      <c r="S494" s="12">
        <f>IF($A494="","",IF($R494&lt;=0,1,1+$R494/SUMIF($R$4:$R$923,"&gt;0",$R$4:$R$923)*(Settings!$B$5*(Settings!$B$6-Settings!$B$7))))</f>
        <v>1</v>
      </c>
      <c r="T494" s="12">
        <f t="array" ref="T494">IF($A494="","",XLOOKUP($F494,Settings!$I$15:$I$20,Settings!$J$15:$J$20,1))</f>
        <v>0.75</v>
      </c>
      <c r="U494" s="12">
        <f>IF($A494="","",1+(($G494-5)/5)*Settings!$J$8)</f>
        <v>1</v>
      </c>
      <c r="V494" s="12">
        <f>IF($A494="","",1+(($H494-5)/5)*Settings!$J$9)</f>
        <v>1.06</v>
      </c>
      <c r="W494" s="12">
        <f t="array" ref="W494">IF($A494="","",XLOOKUP($J494,Lists!$C$3:$C$7,Lists!$D$3:$D$7,1))</f>
        <v>1</v>
      </c>
      <c r="X494" s="12">
        <f>IF($A494="","",IF($I494="Yes",Settings!$J$10,1))</f>
        <v>1</v>
      </c>
      <c r="Y494" s="12">
        <f t="shared" si="2"/>
        <v>1</v>
      </c>
      <c r="Z494" s="12">
        <f>IF($A494="","",IFERROR(ROUND(AVERAGEIFS('Historical Drafts'!$G$4:$G$300,'Historical Drafts'!$D$4:$D$300,$E494,'Historical Drafts'!$J$4:$J$300,"&gt;="&amp;$L494*0.85,'Historical Drafts'!$J$4:$J$300,"&lt;="&amp;$L494*1.15),0),$Y494))</f>
        <v>1</v>
      </c>
      <c r="AA494" s="12" t="str">
        <f>IF($A494="","",IF(COUNTIF('Auction Log'!$B$3:$B$300,$A494)&gt;0,"Sold","Available"))</f>
        <v>Available</v>
      </c>
      <c r="AB494" s="12" t="str">
        <f t="array" ref="AB494">IF($A494="","",IFERROR(XLOOKUP($A494,'Auction Log'!$B$3:$B$300,'Auction Log'!$G$3:$G$300,""),""))</f>
        <v/>
      </c>
      <c r="AC494" s="12" t="str">
        <f t="array" ref="AC494">IF($A494="","",IFERROR(XLOOKUP($A494,'Auction Log'!$B$3:$B$300,'Auction Log'!$F$3:$F$300,""),""))</f>
        <v/>
      </c>
      <c r="AD494" s="12">
        <f t="array" ref="AD494">IF($A494="","",ROUND($Y494*XLOOKUP($F494,Settings!$I$15:$I$20,Settings!$K$15:$K$20,0.4),0))</f>
        <v>0</v>
      </c>
      <c r="AE494" s="12">
        <f t="array" ref="AE494">IF($A494="","",ROUND($Y494*XLOOKUP($F494,Settings!$I$15:$I$20,Settings!$L$15:$L$20,0.8),0))</f>
        <v>1</v>
      </c>
      <c r="AF494" s="12">
        <f t="array" ref="AF494">IF($A494="","",ROUND($Y494*XLOOKUP($F494,Settings!$I$15:$I$20,Settings!$M$15:$M$20,1),0))</f>
        <v>1</v>
      </c>
      <c r="AG494" s="12">
        <f t="array" ref="AG494">IF($A494="","",ROUND($Y494*XLOOKUP($F494,Settings!$I$15:$I$20,Settings!$N$15:$N$20,1.1),0))</f>
        <v>1</v>
      </c>
      <c r="AH494" s="12">
        <f t="array" ref="AH494">IF($A494="","",ROUND($Y494*XLOOKUP($F494,Settings!$I$15:$I$20,Settings!$O$15:$O$20,1.1)*Settings!$J$7,0))</f>
        <v>1</v>
      </c>
      <c r="AI494" s="12">
        <f t="array" ref="AI494">IF($A494="","",IF($AA494="Sold","",MIN($AH494,IFERROR(XLOOKUP(Settings!$B$12,Managers!$B$4:$B$15,Managers!$H$4:$H$15),$AH494))))</f>
        <v>1</v>
      </c>
      <c r="AJ494" s="12" t="str">
        <f t="shared" si="3"/>
        <v>Recommended</v>
      </c>
      <c r="AK494" s="12">
        <f t="shared" si="4"/>
        <v>26</v>
      </c>
      <c r="AL494" s="12" t="str">
        <f t="shared" si="5"/>
        <v/>
      </c>
    </row>
    <row r="495" ht="15.75" customHeight="1">
      <c r="A495" s="10" t="s">
        <v>1270</v>
      </c>
      <c r="B495" s="10" t="s">
        <v>1271</v>
      </c>
      <c r="C495" s="10" t="s">
        <v>185</v>
      </c>
      <c r="D495" s="10" t="s">
        <v>658</v>
      </c>
      <c r="E495" s="10" t="s">
        <v>658</v>
      </c>
      <c r="F495" s="10" t="s">
        <v>117</v>
      </c>
      <c r="G495" s="10">
        <v>5.0</v>
      </c>
      <c r="H495" s="10">
        <v>7.0</v>
      </c>
      <c r="I495" s="10" t="s">
        <v>2140</v>
      </c>
      <c r="J495" s="10" t="s">
        <v>2136</v>
      </c>
      <c r="K495" s="10"/>
      <c r="L495" s="10">
        <v>2.0</v>
      </c>
      <c r="M495" s="10">
        <v>2.0</v>
      </c>
      <c r="N495" s="10"/>
      <c r="O495" s="10"/>
      <c r="P495" s="12">
        <f>IF($A495="","",IFERROR((IF($O495="",0,$O495)*Settings!$J$4+IF($L495="",0,$L495)*Settings!$J$5+IF($N495="",0,$N495)*Settings!$J$6)/(IF($O495="",0,Settings!$J$4)+IF($L495="",0,Settings!$J$5)+IF($N495="",0,Settings!$J$6)),0))</f>
        <v>2</v>
      </c>
      <c r="Q495" s="12">
        <f t="array" ref="Q495">IF($A495="","",XLOOKUP($E495,Settings!$A$19:$A$22,Settings!$G$19:$G$22,0))</f>
        <v>0</v>
      </c>
      <c r="R495" s="12">
        <f t="shared" si="1"/>
        <v>2</v>
      </c>
      <c r="S495" s="12">
        <f>IF($A495="","",IF($R495&lt;=0,1,1+$R495/SUMIF($R$4:$R$923,"&gt;0",$R$4:$R$923)*(Settings!$B$5*(Settings!$B$6-Settings!$B$7))))</f>
        <v>1.246941046</v>
      </c>
      <c r="T495" s="12">
        <f t="array" ref="T495">IF($A495="","",XLOOKUP($F495,Settings!$I$15:$I$20,Settings!$J$15:$J$20,1))</f>
        <v>0.75</v>
      </c>
      <c r="U495" s="12">
        <f>IF($A495="","",1+(($G495-5)/5)*Settings!$J$8)</f>
        <v>1</v>
      </c>
      <c r="V495" s="12">
        <f>IF($A495="","",1+(($H495-5)/5)*Settings!$J$9)</f>
        <v>1.06</v>
      </c>
      <c r="W495" s="12">
        <f t="array" ref="W495">IF($A495="","",XLOOKUP($J495,Lists!$C$3:$C$7,Lists!$D$3:$D$7,1))</f>
        <v>1</v>
      </c>
      <c r="X495" s="12">
        <f>IF($A495="","",IF($I495="Yes",Settings!$J$10,1))</f>
        <v>1</v>
      </c>
      <c r="Y495" s="12">
        <f t="shared" si="2"/>
        <v>1</v>
      </c>
      <c r="Z495" s="12">
        <f>IF($A495="","",IFERROR(ROUND(AVERAGEIFS('Historical Drafts'!$G$4:$G$300,'Historical Drafts'!$D$4:$D$300,$E495,'Historical Drafts'!$J$4:$J$300,"&gt;="&amp;$L495*0.85,'Historical Drafts'!$J$4:$J$300,"&lt;="&amp;$L495*1.15),0),$Y495))</f>
        <v>1</v>
      </c>
      <c r="AA495" s="12" t="str">
        <f>IF($A495="","",IF(COUNTIF('Auction Log'!$B$3:$B$300,$A495)&gt;0,"Sold","Available"))</f>
        <v>Available</v>
      </c>
      <c r="AB495" s="12" t="str">
        <f t="array" ref="AB495">IF($A495="","",IFERROR(XLOOKUP($A495,'Auction Log'!$B$3:$B$300,'Auction Log'!$G$3:$G$300,""),""))</f>
        <v/>
      </c>
      <c r="AC495" s="12" t="str">
        <f t="array" ref="AC495">IF($A495="","",IFERROR(XLOOKUP($A495,'Auction Log'!$B$3:$B$300,'Auction Log'!$F$3:$F$300,""),""))</f>
        <v/>
      </c>
      <c r="AD495" s="12">
        <f t="array" ref="AD495">IF($A495="","",ROUND($Y495*XLOOKUP($F495,Settings!$I$15:$I$20,Settings!$K$15:$K$20,0.4),0))</f>
        <v>0</v>
      </c>
      <c r="AE495" s="12">
        <f t="array" ref="AE495">IF($A495="","",ROUND($Y495*XLOOKUP($F495,Settings!$I$15:$I$20,Settings!$L$15:$L$20,0.8),0))</f>
        <v>1</v>
      </c>
      <c r="AF495" s="12">
        <f t="array" ref="AF495">IF($A495="","",ROUND($Y495*XLOOKUP($F495,Settings!$I$15:$I$20,Settings!$M$15:$M$20,1),0))</f>
        <v>1</v>
      </c>
      <c r="AG495" s="12">
        <f t="array" ref="AG495">IF($A495="","",ROUND($Y495*XLOOKUP($F495,Settings!$I$15:$I$20,Settings!$N$15:$N$20,1.1),0))</f>
        <v>1</v>
      </c>
      <c r="AH495" s="12">
        <f t="array" ref="AH495">IF($A495="","",ROUND($Y495*XLOOKUP($F495,Settings!$I$15:$I$20,Settings!$O$15:$O$20,1.1)*Settings!$J$7,0))</f>
        <v>1</v>
      </c>
      <c r="AI495" s="12">
        <f t="array" ref="AI495">IF($A495="","",IF($AA495="Sold","",MIN($AH495,IFERROR(XLOOKUP(Settings!$B$12,Managers!$B$4:$B$15,Managers!$H$4:$H$15),$AH495))))</f>
        <v>1</v>
      </c>
      <c r="AJ495" s="12" t="str">
        <f t="shared" si="3"/>
        <v>Recommended</v>
      </c>
      <c r="AK495" s="12">
        <f t="shared" si="4"/>
        <v>26</v>
      </c>
      <c r="AL495" s="12" t="str">
        <f t="shared" si="5"/>
        <v/>
      </c>
    </row>
    <row r="496" ht="15.75" customHeight="1">
      <c r="A496" s="10" t="s">
        <v>1272</v>
      </c>
      <c r="B496" s="10" t="s">
        <v>1273</v>
      </c>
      <c r="C496" s="10" t="s">
        <v>221</v>
      </c>
      <c r="D496" s="10" t="s">
        <v>121</v>
      </c>
      <c r="E496" s="10" t="s">
        <v>121</v>
      </c>
      <c r="F496" s="10" t="s">
        <v>117</v>
      </c>
      <c r="G496" s="10">
        <v>5.0</v>
      </c>
      <c r="H496" s="10">
        <v>7.0</v>
      </c>
      <c r="I496" s="10" t="s">
        <v>2140</v>
      </c>
      <c r="J496" s="10" t="s">
        <v>2136</v>
      </c>
      <c r="K496" s="10"/>
      <c r="L496" s="10">
        <v>1.5</v>
      </c>
      <c r="M496" s="10">
        <v>0.38</v>
      </c>
      <c r="N496" s="10"/>
      <c r="O496" s="10"/>
      <c r="P496" s="12">
        <f>IF($A496="","",IFERROR((IF($O496="",0,$O496)*Settings!$J$4+IF($L496="",0,$L496)*Settings!$J$5+IF($N496="",0,$N496)*Settings!$J$6)/(IF($O496="",0,Settings!$J$4)+IF($L496="",0,Settings!$J$5)+IF($N496="",0,Settings!$J$6)),0))</f>
        <v>1.5</v>
      </c>
      <c r="Q496" s="12">
        <f t="array" ref="Q496">IF($A496="","",XLOOKUP($E496,Settings!$A$19:$A$22,Settings!$G$19:$G$22,0))</f>
        <v>206</v>
      </c>
      <c r="R496" s="12">
        <f t="shared" si="1"/>
        <v>0</v>
      </c>
      <c r="S496" s="12">
        <f>IF($A496="","",IF($R496&lt;=0,1,1+$R496/SUMIF($R$4:$R$923,"&gt;0",$R$4:$R$923)*(Settings!$B$5*(Settings!$B$6-Settings!$B$7))))</f>
        <v>1</v>
      </c>
      <c r="T496" s="12">
        <f t="array" ref="T496">IF($A496="","",XLOOKUP($F496,Settings!$I$15:$I$20,Settings!$J$15:$J$20,1))</f>
        <v>0.75</v>
      </c>
      <c r="U496" s="12">
        <f>IF($A496="","",1+(($G496-5)/5)*Settings!$J$8)</f>
        <v>1</v>
      </c>
      <c r="V496" s="12">
        <f>IF($A496="","",1+(($H496-5)/5)*Settings!$J$9)</f>
        <v>1.06</v>
      </c>
      <c r="W496" s="12">
        <f t="array" ref="W496">IF($A496="","",XLOOKUP($J496,Lists!$C$3:$C$7,Lists!$D$3:$D$7,1))</f>
        <v>1</v>
      </c>
      <c r="X496" s="12">
        <f>IF($A496="","",IF($I496="Yes",Settings!$J$10,1))</f>
        <v>1</v>
      </c>
      <c r="Y496" s="12">
        <f t="shared" si="2"/>
        <v>1</v>
      </c>
      <c r="Z496" s="12">
        <f>IF($A496="","",IFERROR(ROUND(AVERAGEIFS('Historical Drafts'!$G$4:$G$300,'Historical Drafts'!$D$4:$D$300,$E496,'Historical Drafts'!$J$4:$J$300,"&gt;="&amp;$L496*0.85,'Historical Drafts'!$J$4:$J$300,"&lt;="&amp;$L496*1.15),0),$Y496))</f>
        <v>1</v>
      </c>
      <c r="AA496" s="12" t="str">
        <f>IF($A496="","",IF(COUNTIF('Auction Log'!$B$3:$B$300,$A496)&gt;0,"Sold","Available"))</f>
        <v>Available</v>
      </c>
      <c r="AB496" s="12" t="str">
        <f t="array" ref="AB496">IF($A496="","",IFERROR(XLOOKUP($A496,'Auction Log'!$B$3:$B$300,'Auction Log'!$G$3:$G$300,""),""))</f>
        <v/>
      </c>
      <c r="AC496" s="12" t="str">
        <f t="array" ref="AC496">IF($A496="","",IFERROR(XLOOKUP($A496,'Auction Log'!$B$3:$B$300,'Auction Log'!$F$3:$F$300,""),""))</f>
        <v/>
      </c>
      <c r="AD496" s="12">
        <f t="array" ref="AD496">IF($A496="","",ROUND($Y496*XLOOKUP($F496,Settings!$I$15:$I$20,Settings!$K$15:$K$20,0.4),0))</f>
        <v>0</v>
      </c>
      <c r="AE496" s="12">
        <f t="array" ref="AE496">IF($A496="","",ROUND($Y496*XLOOKUP($F496,Settings!$I$15:$I$20,Settings!$L$15:$L$20,0.8),0))</f>
        <v>1</v>
      </c>
      <c r="AF496" s="12">
        <f t="array" ref="AF496">IF($A496="","",ROUND($Y496*XLOOKUP($F496,Settings!$I$15:$I$20,Settings!$M$15:$M$20,1),0))</f>
        <v>1</v>
      </c>
      <c r="AG496" s="12">
        <f t="array" ref="AG496">IF($A496="","",ROUND($Y496*XLOOKUP($F496,Settings!$I$15:$I$20,Settings!$N$15:$N$20,1.1),0))</f>
        <v>1</v>
      </c>
      <c r="AH496" s="12">
        <f t="array" ref="AH496">IF($A496="","",ROUND($Y496*XLOOKUP($F496,Settings!$I$15:$I$20,Settings!$O$15:$O$20,1.1)*Settings!$J$7,0))</f>
        <v>1</v>
      </c>
      <c r="AI496" s="12">
        <f t="array" ref="AI496">IF($A496="","",IF($AA496="Sold","",MIN($AH496,IFERROR(XLOOKUP(Settings!$B$12,Managers!$B$4:$B$15,Managers!$H$4:$H$15),$AH496))))</f>
        <v>1</v>
      </c>
      <c r="AJ496" s="12" t="str">
        <f t="shared" si="3"/>
        <v>Recommended</v>
      </c>
      <c r="AK496" s="12">
        <f t="shared" si="4"/>
        <v>26</v>
      </c>
      <c r="AL496" s="12" t="str">
        <f t="shared" si="5"/>
        <v/>
      </c>
    </row>
    <row r="497" ht="15.75" customHeight="1">
      <c r="A497" s="10" t="s">
        <v>1274</v>
      </c>
      <c r="B497" s="10" t="s">
        <v>1275</v>
      </c>
      <c r="C497" s="10" t="s">
        <v>387</v>
      </c>
      <c r="D497" s="10" t="s">
        <v>123</v>
      </c>
      <c r="E497" s="10" t="s">
        <v>123</v>
      </c>
      <c r="F497" s="10" t="s">
        <v>117</v>
      </c>
      <c r="G497" s="10">
        <v>5.0</v>
      </c>
      <c r="H497" s="10">
        <v>7.0</v>
      </c>
      <c r="I497" s="10" t="s">
        <v>2140</v>
      </c>
      <c r="J497" s="10" t="s">
        <v>2136</v>
      </c>
      <c r="K497" s="10"/>
      <c r="L497" s="10">
        <v>1.5</v>
      </c>
      <c r="M497" s="10">
        <v>1.5</v>
      </c>
      <c r="N497" s="10"/>
      <c r="O497" s="10"/>
      <c r="P497" s="12">
        <f>IF($A497="","",IFERROR((IF($O497="",0,$O497)*Settings!$J$4+IF($L497="",0,$L497)*Settings!$J$5+IF($N497="",0,$N497)*Settings!$J$6)/(IF($O497="",0,Settings!$J$4)+IF($L497="",0,Settings!$J$5)+IF($N497="",0,Settings!$J$6)),0))</f>
        <v>1.5</v>
      </c>
      <c r="Q497" s="12">
        <f t="array" ref="Q497">IF($A497="","",XLOOKUP($E497,Settings!$A$19:$A$22,Settings!$G$19:$G$22,0))</f>
        <v>203</v>
      </c>
      <c r="R497" s="12">
        <f t="shared" si="1"/>
        <v>0</v>
      </c>
      <c r="S497" s="12">
        <f>IF($A497="","",IF($R497&lt;=0,1,1+$R497/SUMIF($R$4:$R$923,"&gt;0",$R$4:$R$923)*(Settings!$B$5*(Settings!$B$6-Settings!$B$7))))</f>
        <v>1</v>
      </c>
      <c r="T497" s="12">
        <f t="array" ref="T497">IF($A497="","",XLOOKUP($F497,Settings!$I$15:$I$20,Settings!$J$15:$J$20,1))</f>
        <v>0.75</v>
      </c>
      <c r="U497" s="12">
        <f>IF($A497="","",1+(($G497-5)/5)*Settings!$J$8)</f>
        <v>1</v>
      </c>
      <c r="V497" s="12">
        <f>IF($A497="","",1+(($H497-5)/5)*Settings!$J$9)</f>
        <v>1.06</v>
      </c>
      <c r="W497" s="12">
        <f t="array" ref="W497">IF($A497="","",XLOOKUP($J497,Lists!$C$3:$C$7,Lists!$D$3:$D$7,1))</f>
        <v>1</v>
      </c>
      <c r="X497" s="12">
        <f>IF($A497="","",IF($I497="Yes",Settings!$J$10,1))</f>
        <v>1</v>
      </c>
      <c r="Y497" s="12">
        <f t="shared" si="2"/>
        <v>1</v>
      </c>
      <c r="Z497" s="12">
        <f>IF($A497="","",IFERROR(ROUND(AVERAGEIFS('Historical Drafts'!$G$4:$G$300,'Historical Drafts'!$D$4:$D$300,$E497,'Historical Drafts'!$J$4:$J$300,"&gt;="&amp;$L497*0.85,'Historical Drafts'!$J$4:$J$300,"&lt;="&amp;$L497*1.15),0),$Y497))</f>
        <v>1</v>
      </c>
      <c r="AA497" s="12" t="str">
        <f>IF($A497="","",IF(COUNTIF('Auction Log'!$B$3:$B$300,$A497)&gt;0,"Sold","Available"))</f>
        <v>Available</v>
      </c>
      <c r="AB497" s="12" t="str">
        <f t="array" ref="AB497">IF($A497="","",IFERROR(XLOOKUP($A497,'Auction Log'!$B$3:$B$300,'Auction Log'!$G$3:$G$300,""),""))</f>
        <v/>
      </c>
      <c r="AC497" s="12" t="str">
        <f t="array" ref="AC497">IF($A497="","",IFERROR(XLOOKUP($A497,'Auction Log'!$B$3:$B$300,'Auction Log'!$F$3:$F$300,""),""))</f>
        <v/>
      </c>
      <c r="AD497" s="12">
        <f t="array" ref="AD497">IF($A497="","",ROUND($Y497*XLOOKUP($F497,Settings!$I$15:$I$20,Settings!$K$15:$K$20,0.4),0))</f>
        <v>0</v>
      </c>
      <c r="AE497" s="12">
        <f t="array" ref="AE497">IF($A497="","",ROUND($Y497*XLOOKUP($F497,Settings!$I$15:$I$20,Settings!$L$15:$L$20,0.8),0))</f>
        <v>1</v>
      </c>
      <c r="AF497" s="12">
        <f t="array" ref="AF497">IF($A497="","",ROUND($Y497*XLOOKUP($F497,Settings!$I$15:$I$20,Settings!$M$15:$M$20,1),0))</f>
        <v>1</v>
      </c>
      <c r="AG497" s="12">
        <f t="array" ref="AG497">IF($A497="","",ROUND($Y497*XLOOKUP($F497,Settings!$I$15:$I$20,Settings!$N$15:$N$20,1.1),0))</f>
        <v>1</v>
      </c>
      <c r="AH497" s="12">
        <f t="array" ref="AH497">IF($A497="","",ROUND($Y497*XLOOKUP($F497,Settings!$I$15:$I$20,Settings!$O$15:$O$20,1.1)*Settings!$J$7,0))</f>
        <v>1</v>
      </c>
      <c r="AI497" s="12">
        <f t="array" ref="AI497">IF($A497="","",IF($AA497="Sold","",MIN($AH497,IFERROR(XLOOKUP(Settings!$B$12,Managers!$B$4:$B$15,Managers!$H$4:$H$15),$AH497))))</f>
        <v>1</v>
      </c>
      <c r="AJ497" s="12" t="str">
        <f t="shared" si="3"/>
        <v>Recommended</v>
      </c>
      <c r="AK497" s="12">
        <f t="shared" si="4"/>
        <v>26</v>
      </c>
      <c r="AL497" s="12" t="str">
        <f t="shared" si="5"/>
        <v/>
      </c>
    </row>
    <row r="498" ht="15.75" customHeight="1">
      <c r="A498" s="10" t="s">
        <v>1276</v>
      </c>
      <c r="B498" s="10" t="s">
        <v>1277</v>
      </c>
      <c r="C498" s="10" t="s">
        <v>177</v>
      </c>
      <c r="D498" s="10" t="s">
        <v>121</v>
      </c>
      <c r="E498" s="10" t="s">
        <v>121</v>
      </c>
      <c r="F498" s="10" t="s">
        <v>117</v>
      </c>
      <c r="G498" s="10">
        <v>5.0</v>
      </c>
      <c r="H498" s="10">
        <v>7.0</v>
      </c>
      <c r="I498" s="10" t="s">
        <v>2140</v>
      </c>
      <c r="J498" s="10" t="s">
        <v>2136</v>
      </c>
      <c r="K498" s="10"/>
      <c r="L498" s="10">
        <v>1.5</v>
      </c>
      <c r="M498" s="10">
        <v>0.25</v>
      </c>
      <c r="N498" s="10"/>
      <c r="O498" s="10"/>
      <c r="P498" s="12">
        <f>IF($A498="","",IFERROR((IF($O498="",0,$O498)*Settings!$J$4+IF($L498="",0,$L498)*Settings!$J$5+IF($N498="",0,$N498)*Settings!$J$6)/(IF($O498="",0,Settings!$J$4)+IF($L498="",0,Settings!$J$5)+IF($N498="",0,Settings!$J$6)),0))</f>
        <v>1.5</v>
      </c>
      <c r="Q498" s="12">
        <f t="array" ref="Q498">IF($A498="","",XLOOKUP($E498,Settings!$A$19:$A$22,Settings!$G$19:$G$22,0))</f>
        <v>206</v>
      </c>
      <c r="R498" s="12">
        <f t="shared" si="1"/>
        <v>0</v>
      </c>
      <c r="S498" s="12">
        <f>IF($A498="","",IF($R498&lt;=0,1,1+$R498/SUMIF($R$4:$R$923,"&gt;0",$R$4:$R$923)*(Settings!$B$5*(Settings!$B$6-Settings!$B$7))))</f>
        <v>1</v>
      </c>
      <c r="T498" s="12">
        <f t="array" ref="T498">IF($A498="","",XLOOKUP($F498,Settings!$I$15:$I$20,Settings!$J$15:$J$20,1))</f>
        <v>0.75</v>
      </c>
      <c r="U498" s="12">
        <f>IF($A498="","",1+(($G498-5)/5)*Settings!$J$8)</f>
        <v>1</v>
      </c>
      <c r="V498" s="12">
        <f>IF($A498="","",1+(($H498-5)/5)*Settings!$J$9)</f>
        <v>1.06</v>
      </c>
      <c r="W498" s="12">
        <f t="array" ref="W498">IF($A498="","",XLOOKUP($J498,Lists!$C$3:$C$7,Lists!$D$3:$D$7,1))</f>
        <v>1</v>
      </c>
      <c r="X498" s="12">
        <f>IF($A498="","",IF($I498="Yes",Settings!$J$10,1))</f>
        <v>1</v>
      </c>
      <c r="Y498" s="12">
        <f t="shared" si="2"/>
        <v>1</v>
      </c>
      <c r="Z498" s="12">
        <f>IF($A498="","",IFERROR(ROUND(AVERAGEIFS('Historical Drafts'!$G$4:$G$300,'Historical Drafts'!$D$4:$D$300,$E498,'Historical Drafts'!$J$4:$J$300,"&gt;="&amp;$L498*0.85,'Historical Drafts'!$J$4:$J$300,"&lt;="&amp;$L498*1.15),0),$Y498))</f>
        <v>1</v>
      </c>
      <c r="AA498" s="12" t="str">
        <f>IF($A498="","",IF(COUNTIF('Auction Log'!$B$3:$B$300,$A498)&gt;0,"Sold","Available"))</f>
        <v>Available</v>
      </c>
      <c r="AB498" s="12" t="str">
        <f t="array" ref="AB498">IF($A498="","",IFERROR(XLOOKUP($A498,'Auction Log'!$B$3:$B$300,'Auction Log'!$G$3:$G$300,""),""))</f>
        <v/>
      </c>
      <c r="AC498" s="12" t="str">
        <f t="array" ref="AC498">IF($A498="","",IFERROR(XLOOKUP($A498,'Auction Log'!$B$3:$B$300,'Auction Log'!$F$3:$F$300,""),""))</f>
        <v/>
      </c>
      <c r="AD498" s="12">
        <f t="array" ref="AD498">IF($A498="","",ROUND($Y498*XLOOKUP($F498,Settings!$I$15:$I$20,Settings!$K$15:$K$20,0.4),0))</f>
        <v>0</v>
      </c>
      <c r="AE498" s="12">
        <f t="array" ref="AE498">IF($A498="","",ROUND($Y498*XLOOKUP($F498,Settings!$I$15:$I$20,Settings!$L$15:$L$20,0.8),0))</f>
        <v>1</v>
      </c>
      <c r="AF498" s="12">
        <f t="array" ref="AF498">IF($A498="","",ROUND($Y498*XLOOKUP($F498,Settings!$I$15:$I$20,Settings!$M$15:$M$20,1),0))</f>
        <v>1</v>
      </c>
      <c r="AG498" s="12">
        <f t="array" ref="AG498">IF($A498="","",ROUND($Y498*XLOOKUP($F498,Settings!$I$15:$I$20,Settings!$N$15:$N$20,1.1),0))</f>
        <v>1</v>
      </c>
      <c r="AH498" s="12">
        <f t="array" ref="AH498">IF($A498="","",ROUND($Y498*XLOOKUP($F498,Settings!$I$15:$I$20,Settings!$O$15:$O$20,1.1)*Settings!$J$7,0))</f>
        <v>1</v>
      </c>
      <c r="AI498" s="12">
        <f t="array" ref="AI498">IF($A498="","",IF($AA498="Sold","",MIN($AH498,IFERROR(XLOOKUP(Settings!$B$12,Managers!$B$4:$B$15,Managers!$H$4:$H$15),$AH498))))</f>
        <v>1</v>
      </c>
      <c r="AJ498" s="12" t="str">
        <f t="shared" si="3"/>
        <v>Recommended</v>
      </c>
      <c r="AK498" s="12">
        <f t="shared" si="4"/>
        <v>26</v>
      </c>
      <c r="AL498" s="12" t="str">
        <f t="shared" si="5"/>
        <v/>
      </c>
    </row>
    <row r="499" ht="15.75" customHeight="1">
      <c r="A499" s="10" t="s">
        <v>1278</v>
      </c>
      <c r="B499" s="10" t="s">
        <v>1279</v>
      </c>
      <c r="C499" s="10" t="s">
        <v>236</v>
      </c>
      <c r="D499" s="10" t="s">
        <v>115</v>
      </c>
      <c r="E499" s="10" t="s">
        <v>115</v>
      </c>
      <c r="F499" s="10" t="s">
        <v>117</v>
      </c>
      <c r="G499" s="10">
        <v>5.0</v>
      </c>
      <c r="H499" s="10">
        <v>7.0</v>
      </c>
      <c r="I499" s="10" t="s">
        <v>2140</v>
      </c>
      <c r="J499" s="10" t="s">
        <v>2136</v>
      </c>
      <c r="K499" s="10"/>
      <c r="L499" s="10">
        <v>1.25</v>
      </c>
      <c r="M499" s="10">
        <v>1.25</v>
      </c>
      <c r="N499" s="10"/>
      <c r="O499" s="10"/>
      <c r="P499" s="12">
        <f>IF($A499="","",IFERROR((IF($O499="",0,$O499)*Settings!$J$4+IF($L499="",0,$L499)*Settings!$J$5+IF($N499="",0,$N499)*Settings!$J$6)/(IF($O499="",0,Settings!$J$4)+IF($L499="",0,Settings!$J$5)+IF($N499="",0,Settings!$J$6)),0))</f>
        <v>1.25</v>
      </c>
      <c r="Q499" s="12">
        <f t="array" ref="Q499">IF($A499="","",XLOOKUP($E499,Settings!$A$19:$A$22,Settings!$G$19:$G$22,0))</f>
        <v>249.25</v>
      </c>
      <c r="R499" s="12">
        <f t="shared" si="1"/>
        <v>0</v>
      </c>
      <c r="S499" s="12">
        <f>IF($A499="","",IF($R499&lt;=0,1,1+$R499/SUMIF($R$4:$R$923,"&gt;0",$R$4:$R$923)*(Settings!$B$5*(Settings!$B$6-Settings!$B$7))))</f>
        <v>1</v>
      </c>
      <c r="T499" s="12">
        <f t="array" ref="T499">IF($A499="","",XLOOKUP($F499,Settings!$I$15:$I$20,Settings!$J$15:$J$20,1))</f>
        <v>0.75</v>
      </c>
      <c r="U499" s="12">
        <f>IF($A499="","",1+(($G499-5)/5)*Settings!$J$8)</f>
        <v>1</v>
      </c>
      <c r="V499" s="12">
        <f>IF($A499="","",1+(($H499-5)/5)*Settings!$J$9)</f>
        <v>1.06</v>
      </c>
      <c r="W499" s="12">
        <f t="array" ref="W499">IF($A499="","",XLOOKUP($J499,Lists!$C$3:$C$7,Lists!$D$3:$D$7,1))</f>
        <v>1</v>
      </c>
      <c r="X499" s="12">
        <f>IF($A499="","",IF($I499="Yes",Settings!$J$10,1))</f>
        <v>1</v>
      </c>
      <c r="Y499" s="12">
        <f t="shared" si="2"/>
        <v>1</v>
      </c>
      <c r="Z499" s="12">
        <f>IF($A499="","",IFERROR(ROUND(AVERAGEIFS('Historical Drafts'!$G$4:$G$300,'Historical Drafts'!$D$4:$D$300,$E499,'Historical Drafts'!$J$4:$J$300,"&gt;="&amp;$L499*0.85,'Historical Drafts'!$J$4:$J$300,"&lt;="&amp;$L499*1.15),0),$Y499))</f>
        <v>1</v>
      </c>
      <c r="AA499" s="12" t="str">
        <f>IF($A499="","",IF(COUNTIF('Auction Log'!$B$3:$B$300,$A499)&gt;0,"Sold","Available"))</f>
        <v>Available</v>
      </c>
      <c r="AB499" s="12" t="str">
        <f t="array" ref="AB499">IF($A499="","",IFERROR(XLOOKUP($A499,'Auction Log'!$B$3:$B$300,'Auction Log'!$G$3:$G$300,""),""))</f>
        <v/>
      </c>
      <c r="AC499" s="12" t="str">
        <f t="array" ref="AC499">IF($A499="","",IFERROR(XLOOKUP($A499,'Auction Log'!$B$3:$B$300,'Auction Log'!$F$3:$F$300,""),""))</f>
        <v/>
      </c>
      <c r="AD499" s="12">
        <f t="array" ref="AD499">IF($A499="","",ROUND($Y499*XLOOKUP($F499,Settings!$I$15:$I$20,Settings!$K$15:$K$20,0.4),0))</f>
        <v>0</v>
      </c>
      <c r="AE499" s="12">
        <f t="array" ref="AE499">IF($A499="","",ROUND($Y499*XLOOKUP($F499,Settings!$I$15:$I$20,Settings!$L$15:$L$20,0.8),0))</f>
        <v>1</v>
      </c>
      <c r="AF499" s="12">
        <f t="array" ref="AF499">IF($A499="","",ROUND($Y499*XLOOKUP($F499,Settings!$I$15:$I$20,Settings!$M$15:$M$20,1),0))</f>
        <v>1</v>
      </c>
      <c r="AG499" s="12">
        <f t="array" ref="AG499">IF($A499="","",ROUND($Y499*XLOOKUP($F499,Settings!$I$15:$I$20,Settings!$N$15:$N$20,1.1),0))</f>
        <v>1</v>
      </c>
      <c r="AH499" s="12">
        <f t="array" ref="AH499">IF($A499="","",ROUND($Y499*XLOOKUP($F499,Settings!$I$15:$I$20,Settings!$O$15:$O$20,1.1)*Settings!$J$7,0))</f>
        <v>1</v>
      </c>
      <c r="AI499" s="12">
        <f t="array" ref="AI499">IF($A499="","",IF($AA499="Sold","",MIN($AH499,IFERROR(XLOOKUP(Settings!$B$12,Managers!$B$4:$B$15,Managers!$H$4:$H$15),$AH499))))</f>
        <v>1</v>
      </c>
      <c r="AJ499" s="12" t="str">
        <f t="shared" si="3"/>
        <v>Recommended</v>
      </c>
      <c r="AK499" s="12">
        <f t="shared" si="4"/>
        <v>26</v>
      </c>
      <c r="AL499" s="12" t="str">
        <f t="shared" si="5"/>
        <v/>
      </c>
    </row>
    <row r="500" ht="15.75" customHeight="1">
      <c r="A500" s="10" t="s">
        <v>1280</v>
      </c>
      <c r="B500" s="10" t="s">
        <v>1281</v>
      </c>
      <c r="C500" s="10" t="s">
        <v>243</v>
      </c>
      <c r="D500" s="10" t="s">
        <v>118</v>
      </c>
      <c r="E500" s="10" t="s">
        <v>118</v>
      </c>
      <c r="F500" s="10" t="s">
        <v>117</v>
      </c>
      <c r="G500" s="10">
        <v>5.0</v>
      </c>
      <c r="H500" s="10">
        <v>7.0</v>
      </c>
      <c r="I500" s="10" t="s">
        <v>2140</v>
      </c>
      <c r="J500" s="10" t="s">
        <v>2136</v>
      </c>
      <c r="K500" s="10"/>
      <c r="L500" s="10">
        <v>1.0</v>
      </c>
      <c r="M500" s="10">
        <v>1.0</v>
      </c>
      <c r="N500" s="10"/>
      <c r="O500" s="10"/>
      <c r="P500" s="12">
        <f>IF($A500="","",IFERROR((IF($O500="",0,$O500)*Settings!$J$4+IF($L500="",0,$L500)*Settings!$J$5+IF($N500="",0,$N500)*Settings!$J$6)/(IF($O500="",0,Settings!$J$4)+IF($L500="",0,Settings!$J$5)+IF($N500="",0,Settings!$J$6)),0))</f>
        <v>1</v>
      </c>
      <c r="Q500" s="12">
        <f t="array" ref="Q500">IF($A500="","",XLOOKUP($E500,Settings!$A$19:$A$22,Settings!$G$19:$G$22,0))</f>
        <v>196.25</v>
      </c>
      <c r="R500" s="12">
        <f t="shared" si="1"/>
        <v>0</v>
      </c>
      <c r="S500" s="12">
        <f>IF($A500="","",IF($R500&lt;=0,1,1+$R500/SUMIF($R$4:$R$923,"&gt;0",$R$4:$R$923)*(Settings!$B$5*(Settings!$B$6-Settings!$B$7))))</f>
        <v>1</v>
      </c>
      <c r="T500" s="12">
        <f t="array" ref="T500">IF($A500="","",XLOOKUP($F500,Settings!$I$15:$I$20,Settings!$J$15:$J$20,1))</f>
        <v>0.75</v>
      </c>
      <c r="U500" s="12">
        <f>IF($A500="","",1+(($G500-5)/5)*Settings!$J$8)</f>
        <v>1</v>
      </c>
      <c r="V500" s="12">
        <f>IF($A500="","",1+(($H500-5)/5)*Settings!$J$9)</f>
        <v>1.06</v>
      </c>
      <c r="W500" s="12">
        <f t="array" ref="W500">IF($A500="","",XLOOKUP($J500,Lists!$C$3:$C$7,Lists!$D$3:$D$7,1))</f>
        <v>1</v>
      </c>
      <c r="X500" s="12">
        <f>IF($A500="","",IF($I500="Yes",Settings!$J$10,1))</f>
        <v>1</v>
      </c>
      <c r="Y500" s="12">
        <f t="shared" si="2"/>
        <v>1</v>
      </c>
      <c r="Z500" s="12">
        <f>IF($A500="","",IFERROR(ROUND(AVERAGEIFS('Historical Drafts'!$G$4:$G$300,'Historical Drafts'!$D$4:$D$300,$E500,'Historical Drafts'!$J$4:$J$300,"&gt;="&amp;$L500*0.85,'Historical Drafts'!$J$4:$J$300,"&lt;="&amp;$L500*1.15),0),$Y500))</f>
        <v>1</v>
      </c>
      <c r="AA500" s="12" t="str">
        <f>IF($A500="","",IF(COUNTIF('Auction Log'!$B$3:$B$300,$A500)&gt;0,"Sold","Available"))</f>
        <v>Available</v>
      </c>
      <c r="AB500" s="12" t="str">
        <f t="array" ref="AB500">IF($A500="","",IFERROR(XLOOKUP($A500,'Auction Log'!$B$3:$B$300,'Auction Log'!$G$3:$G$300,""),""))</f>
        <v/>
      </c>
      <c r="AC500" s="12" t="str">
        <f t="array" ref="AC500">IF($A500="","",IFERROR(XLOOKUP($A500,'Auction Log'!$B$3:$B$300,'Auction Log'!$F$3:$F$300,""),""))</f>
        <v/>
      </c>
      <c r="AD500" s="12">
        <f t="array" ref="AD500">IF($A500="","",ROUND($Y500*XLOOKUP($F500,Settings!$I$15:$I$20,Settings!$K$15:$K$20,0.4),0))</f>
        <v>0</v>
      </c>
      <c r="AE500" s="12">
        <f t="array" ref="AE500">IF($A500="","",ROUND($Y500*XLOOKUP($F500,Settings!$I$15:$I$20,Settings!$L$15:$L$20,0.8),0))</f>
        <v>1</v>
      </c>
      <c r="AF500" s="12">
        <f t="array" ref="AF500">IF($A500="","",ROUND($Y500*XLOOKUP($F500,Settings!$I$15:$I$20,Settings!$M$15:$M$20,1),0))</f>
        <v>1</v>
      </c>
      <c r="AG500" s="12">
        <f t="array" ref="AG500">IF($A500="","",ROUND($Y500*XLOOKUP($F500,Settings!$I$15:$I$20,Settings!$N$15:$N$20,1.1),0))</f>
        <v>1</v>
      </c>
      <c r="AH500" s="12">
        <f t="array" ref="AH500">IF($A500="","",ROUND($Y500*XLOOKUP($F500,Settings!$I$15:$I$20,Settings!$O$15:$O$20,1.1)*Settings!$J$7,0))</f>
        <v>1</v>
      </c>
      <c r="AI500" s="12">
        <f t="array" ref="AI500">IF($A500="","",IF($AA500="Sold","",MIN($AH500,IFERROR(XLOOKUP(Settings!$B$12,Managers!$B$4:$B$15,Managers!$H$4:$H$15),$AH500))))</f>
        <v>1</v>
      </c>
      <c r="AJ500" s="12" t="str">
        <f t="shared" si="3"/>
        <v>Recommended</v>
      </c>
      <c r="AK500" s="12">
        <f t="shared" si="4"/>
        <v>26</v>
      </c>
      <c r="AL500" s="12" t="str">
        <f t="shared" si="5"/>
        <v/>
      </c>
    </row>
    <row r="501" ht="15.75" customHeight="1">
      <c r="A501" s="10" t="s">
        <v>1282</v>
      </c>
      <c r="B501" s="10" t="s">
        <v>1283</v>
      </c>
      <c r="C501" s="10" t="s">
        <v>221</v>
      </c>
      <c r="D501" s="10" t="s">
        <v>123</v>
      </c>
      <c r="E501" s="10" t="s">
        <v>123</v>
      </c>
      <c r="F501" s="10" t="s">
        <v>117</v>
      </c>
      <c r="G501" s="10">
        <v>5.0</v>
      </c>
      <c r="H501" s="10">
        <v>7.0</v>
      </c>
      <c r="I501" s="10" t="s">
        <v>2140</v>
      </c>
      <c r="J501" s="10" t="s">
        <v>2136</v>
      </c>
      <c r="K501" s="10"/>
      <c r="L501" s="10">
        <v>1.0</v>
      </c>
      <c r="M501" s="10">
        <v>0.5</v>
      </c>
      <c r="N501" s="10"/>
      <c r="O501" s="10"/>
      <c r="P501" s="12">
        <f>IF($A501="","",IFERROR((IF($O501="",0,$O501)*Settings!$J$4+IF($L501="",0,$L501)*Settings!$J$5+IF($N501="",0,$N501)*Settings!$J$6)/(IF($O501="",0,Settings!$J$4)+IF($L501="",0,Settings!$J$5)+IF($N501="",0,Settings!$J$6)),0))</f>
        <v>1</v>
      </c>
      <c r="Q501" s="12">
        <f t="array" ref="Q501">IF($A501="","",XLOOKUP($E501,Settings!$A$19:$A$22,Settings!$G$19:$G$22,0))</f>
        <v>203</v>
      </c>
      <c r="R501" s="12">
        <f t="shared" si="1"/>
        <v>0</v>
      </c>
      <c r="S501" s="12">
        <f>IF($A501="","",IF($R501&lt;=0,1,1+$R501/SUMIF($R$4:$R$923,"&gt;0",$R$4:$R$923)*(Settings!$B$5*(Settings!$B$6-Settings!$B$7))))</f>
        <v>1</v>
      </c>
      <c r="T501" s="12">
        <f t="array" ref="T501">IF($A501="","",XLOOKUP($F501,Settings!$I$15:$I$20,Settings!$J$15:$J$20,1))</f>
        <v>0.75</v>
      </c>
      <c r="U501" s="12">
        <f>IF($A501="","",1+(($G501-5)/5)*Settings!$J$8)</f>
        <v>1</v>
      </c>
      <c r="V501" s="12">
        <f>IF($A501="","",1+(($H501-5)/5)*Settings!$J$9)</f>
        <v>1.06</v>
      </c>
      <c r="W501" s="12">
        <f t="array" ref="W501">IF($A501="","",XLOOKUP($J501,Lists!$C$3:$C$7,Lists!$D$3:$D$7,1))</f>
        <v>1</v>
      </c>
      <c r="X501" s="12">
        <f>IF($A501="","",IF($I501="Yes",Settings!$J$10,1))</f>
        <v>1</v>
      </c>
      <c r="Y501" s="12">
        <f t="shared" si="2"/>
        <v>1</v>
      </c>
      <c r="Z501" s="12">
        <f>IF($A501="","",IFERROR(ROUND(AVERAGEIFS('Historical Drafts'!$G$4:$G$300,'Historical Drafts'!$D$4:$D$300,$E501,'Historical Drafts'!$J$4:$J$300,"&gt;="&amp;$L501*0.85,'Historical Drafts'!$J$4:$J$300,"&lt;="&amp;$L501*1.15),0),$Y501))</f>
        <v>1</v>
      </c>
      <c r="AA501" s="12" t="str">
        <f>IF($A501="","",IF(COUNTIF('Auction Log'!$B$3:$B$300,$A501)&gt;0,"Sold","Available"))</f>
        <v>Available</v>
      </c>
      <c r="AB501" s="12" t="str">
        <f t="array" ref="AB501">IF($A501="","",IFERROR(XLOOKUP($A501,'Auction Log'!$B$3:$B$300,'Auction Log'!$G$3:$G$300,""),""))</f>
        <v/>
      </c>
      <c r="AC501" s="12" t="str">
        <f t="array" ref="AC501">IF($A501="","",IFERROR(XLOOKUP($A501,'Auction Log'!$B$3:$B$300,'Auction Log'!$F$3:$F$300,""),""))</f>
        <v/>
      </c>
      <c r="AD501" s="12">
        <f t="array" ref="AD501">IF($A501="","",ROUND($Y501*XLOOKUP($F501,Settings!$I$15:$I$20,Settings!$K$15:$K$20,0.4),0))</f>
        <v>0</v>
      </c>
      <c r="AE501" s="12">
        <f t="array" ref="AE501">IF($A501="","",ROUND($Y501*XLOOKUP($F501,Settings!$I$15:$I$20,Settings!$L$15:$L$20,0.8),0))</f>
        <v>1</v>
      </c>
      <c r="AF501" s="12">
        <f t="array" ref="AF501">IF($A501="","",ROUND($Y501*XLOOKUP($F501,Settings!$I$15:$I$20,Settings!$M$15:$M$20,1),0))</f>
        <v>1</v>
      </c>
      <c r="AG501" s="12">
        <f t="array" ref="AG501">IF($A501="","",ROUND($Y501*XLOOKUP($F501,Settings!$I$15:$I$20,Settings!$N$15:$N$20,1.1),0))</f>
        <v>1</v>
      </c>
      <c r="AH501" s="12">
        <f t="array" ref="AH501">IF($A501="","",ROUND($Y501*XLOOKUP($F501,Settings!$I$15:$I$20,Settings!$O$15:$O$20,1.1)*Settings!$J$7,0))</f>
        <v>1</v>
      </c>
      <c r="AI501" s="12">
        <f t="array" ref="AI501">IF($A501="","",IF($AA501="Sold","",MIN($AH501,IFERROR(XLOOKUP(Settings!$B$12,Managers!$B$4:$B$15,Managers!$H$4:$H$15),$AH501))))</f>
        <v>1</v>
      </c>
      <c r="AJ501" s="12" t="str">
        <f t="shared" si="3"/>
        <v>Recommended</v>
      </c>
      <c r="AK501" s="12">
        <f t="shared" si="4"/>
        <v>26</v>
      </c>
      <c r="AL501" s="12" t="str">
        <f t="shared" si="5"/>
        <v/>
      </c>
    </row>
    <row r="502" ht="15.75" customHeight="1">
      <c r="A502" s="10" t="s">
        <v>1284</v>
      </c>
      <c r="B502" s="10" t="s">
        <v>1285</v>
      </c>
      <c r="C502" s="10" t="s">
        <v>221</v>
      </c>
      <c r="D502" s="10" t="s">
        <v>123</v>
      </c>
      <c r="E502" s="10" t="s">
        <v>123</v>
      </c>
      <c r="F502" s="10" t="s">
        <v>117</v>
      </c>
      <c r="G502" s="10">
        <v>5.0</v>
      </c>
      <c r="H502" s="10">
        <v>7.0</v>
      </c>
      <c r="I502" s="10" t="s">
        <v>2140</v>
      </c>
      <c r="J502" s="10" t="s">
        <v>2136</v>
      </c>
      <c r="K502" s="10"/>
      <c r="L502" s="10">
        <v>1.0</v>
      </c>
      <c r="M502" s="10">
        <v>1.0</v>
      </c>
      <c r="N502" s="10"/>
      <c r="O502" s="10"/>
      <c r="P502" s="12">
        <f>IF($A502="","",IFERROR((IF($O502="",0,$O502)*Settings!$J$4+IF($L502="",0,$L502)*Settings!$J$5+IF($N502="",0,$N502)*Settings!$J$6)/(IF($O502="",0,Settings!$J$4)+IF($L502="",0,Settings!$J$5)+IF($N502="",0,Settings!$J$6)),0))</f>
        <v>1</v>
      </c>
      <c r="Q502" s="12">
        <f t="array" ref="Q502">IF($A502="","",XLOOKUP($E502,Settings!$A$19:$A$22,Settings!$G$19:$G$22,0))</f>
        <v>203</v>
      </c>
      <c r="R502" s="12">
        <f t="shared" si="1"/>
        <v>0</v>
      </c>
      <c r="S502" s="12">
        <f>IF($A502="","",IF($R502&lt;=0,1,1+$R502/SUMIF($R$4:$R$923,"&gt;0",$R$4:$R$923)*(Settings!$B$5*(Settings!$B$6-Settings!$B$7))))</f>
        <v>1</v>
      </c>
      <c r="T502" s="12">
        <f t="array" ref="T502">IF($A502="","",XLOOKUP($F502,Settings!$I$15:$I$20,Settings!$J$15:$J$20,1))</f>
        <v>0.75</v>
      </c>
      <c r="U502" s="12">
        <f>IF($A502="","",1+(($G502-5)/5)*Settings!$J$8)</f>
        <v>1</v>
      </c>
      <c r="V502" s="12">
        <f>IF($A502="","",1+(($H502-5)/5)*Settings!$J$9)</f>
        <v>1.06</v>
      </c>
      <c r="W502" s="12">
        <f t="array" ref="W502">IF($A502="","",XLOOKUP($J502,Lists!$C$3:$C$7,Lists!$D$3:$D$7,1))</f>
        <v>1</v>
      </c>
      <c r="X502" s="12">
        <f>IF($A502="","",IF($I502="Yes",Settings!$J$10,1))</f>
        <v>1</v>
      </c>
      <c r="Y502" s="12">
        <f t="shared" si="2"/>
        <v>1</v>
      </c>
      <c r="Z502" s="12">
        <f>IF($A502="","",IFERROR(ROUND(AVERAGEIFS('Historical Drafts'!$G$4:$G$300,'Historical Drafts'!$D$4:$D$300,$E502,'Historical Drafts'!$J$4:$J$300,"&gt;="&amp;$L502*0.85,'Historical Drafts'!$J$4:$J$300,"&lt;="&amp;$L502*1.15),0),$Y502))</f>
        <v>1</v>
      </c>
      <c r="AA502" s="12" t="str">
        <f>IF($A502="","",IF(COUNTIF('Auction Log'!$B$3:$B$300,$A502)&gt;0,"Sold","Available"))</f>
        <v>Available</v>
      </c>
      <c r="AB502" s="12" t="str">
        <f t="array" ref="AB502">IF($A502="","",IFERROR(XLOOKUP($A502,'Auction Log'!$B$3:$B$300,'Auction Log'!$G$3:$G$300,""),""))</f>
        <v/>
      </c>
      <c r="AC502" s="12" t="str">
        <f t="array" ref="AC502">IF($A502="","",IFERROR(XLOOKUP($A502,'Auction Log'!$B$3:$B$300,'Auction Log'!$F$3:$F$300,""),""))</f>
        <v/>
      </c>
      <c r="AD502" s="12">
        <f t="array" ref="AD502">IF($A502="","",ROUND($Y502*XLOOKUP($F502,Settings!$I$15:$I$20,Settings!$K$15:$K$20,0.4),0))</f>
        <v>0</v>
      </c>
      <c r="AE502" s="12">
        <f t="array" ref="AE502">IF($A502="","",ROUND($Y502*XLOOKUP($F502,Settings!$I$15:$I$20,Settings!$L$15:$L$20,0.8),0))</f>
        <v>1</v>
      </c>
      <c r="AF502" s="12">
        <f t="array" ref="AF502">IF($A502="","",ROUND($Y502*XLOOKUP($F502,Settings!$I$15:$I$20,Settings!$M$15:$M$20,1),0))</f>
        <v>1</v>
      </c>
      <c r="AG502" s="12">
        <f t="array" ref="AG502">IF($A502="","",ROUND($Y502*XLOOKUP($F502,Settings!$I$15:$I$20,Settings!$N$15:$N$20,1.1),0))</f>
        <v>1</v>
      </c>
      <c r="AH502" s="12">
        <f t="array" ref="AH502">IF($A502="","",ROUND($Y502*XLOOKUP($F502,Settings!$I$15:$I$20,Settings!$O$15:$O$20,1.1)*Settings!$J$7,0))</f>
        <v>1</v>
      </c>
      <c r="AI502" s="12">
        <f t="array" ref="AI502">IF($A502="","",IF($AA502="Sold","",MIN($AH502,IFERROR(XLOOKUP(Settings!$B$12,Managers!$B$4:$B$15,Managers!$H$4:$H$15),$AH502))))</f>
        <v>1</v>
      </c>
      <c r="AJ502" s="12" t="str">
        <f t="shared" si="3"/>
        <v>Recommended</v>
      </c>
      <c r="AK502" s="12">
        <f t="shared" si="4"/>
        <v>26</v>
      </c>
      <c r="AL502" s="12" t="str">
        <f t="shared" si="5"/>
        <v/>
      </c>
    </row>
    <row r="503" ht="15.75" customHeight="1">
      <c r="A503" s="10" t="s">
        <v>1286</v>
      </c>
      <c r="B503" s="10" t="s">
        <v>1287</v>
      </c>
      <c r="C503" s="10" t="s">
        <v>236</v>
      </c>
      <c r="D503" s="10" t="s">
        <v>123</v>
      </c>
      <c r="E503" s="10" t="s">
        <v>123</v>
      </c>
      <c r="F503" s="10" t="s">
        <v>117</v>
      </c>
      <c r="G503" s="10">
        <v>5.0</v>
      </c>
      <c r="H503" s="10">
        <v>7.0</v>
      </c>
      <c r="I503" s="10" t="s">
        <v>2140</v>
      </c>
      <c r="J503" s="10" t="s">
        <v>2136</v>
      </c>
      <c r="K503" s="10"/>
      <c r="L503" s="10">
        <v>1.0</v>
      </c>
      <c r="M503" s="10">
        <v>1.0</v>
      </c>
      <c r="N503" s="10"/>
      <c r="O503" s="10"/>
      <c r="P503" s="12">
        <f>IF($A503="","",IFERROR((IF($O503="",0,$O503)*Settings!$J$4+IF($L503="",0,$L503)*Settings!$J$5+IF($N503="",0,$N503)*Settings!$J$6)/(IF($O503="",0,Settings!$J$4)+IF($L503="",0,Settings!$J$5)+IF($N503="",0,Settings!$J$6)),0))</f>
        <v>1</v>
      </c>
      <c r="Q503" s="12">
        <f t="array" ref="Q503">IF($A503="","",XLOOKUP($E503,Settings!$A$19:$A$22,Settings!$G$19:$G$22,0))</f>
        <v>203</v>
      </c>
      <c r="R503" s="12">
        <f t="shared" si="1"/>
        <v>0</v>
      </c>
      <c r="S503" s="12">
        <f>IF($A503="","",IF($R503&lt;=0,1,1+$R503/SUMIF($R$4:$R$923,"&gt;0",$R$4:$R$923)*(Settings!$B$5*(Settings!$B$6-Settings!$B$7))))</f>
        <v>1</v>
      </c>
      <c r="T503" s="12">
        <f t="array" ref="T503">IF($A503="","",XLOOKUP($F503,Settings!$I$15:$I$20,Settings!$J$15:$J$20,1))</f>
        <v>0.75</v>
      </c>
      <c r="U503" s="12">
        <f>IF($A503="","",1+(($G503-5)/5)*Settings!$J$8)</f>
        <v>1</v>
      </c>
      <c r="V503" s="12">
        <f>IF($A503="","",1+(($H503-5)/5)*Settings!$J$9)</f>
        <v>1.06</v>
      </c>
      <c r="W503" s="12">
        <f t="array" ref="W503">IF($A503="","",XLOOKUP($J503,Lists!$C$3:$C$7,Lists!$D$3:$D$7,1))</f>
        <v>1</v>
      </c>
      <c r="X503" s="12">
        <f>IF($A503="","",IF($I503="Yes",Settings!$J$10,1))</f>
        <v>1</v>
      </c>
      <c r="Y503" s="12">
        <f t="shared" si="2"/>
        <v>1</v>
      </c>
      <c r="Z503" s="12">
        <f>IF($A503="","",IFERROR(ROUND(AVERAGEIFS('Historical Drafts'!$G$4:$G$300,'Historical Drafts'!$D$4:$D$300,$E503,'Historical Drafts'!$J$4:$J$300,"&gt;="&amp;$L503*0.85,'Historical Drafts'!$J$4:$J$300,"&lt;="&amp;$L503*1.15),0),$Y503))</f>
        <v>1</v>
      </c>
      <c r="AA503" s="12" t="str">
        <f>IF($A503="","",IF(COUNTIF('Auction Log'!$B$3:$B$300,$A503)&gt;0,"Sold","Available"))</f>
        <v>Available</v>
      </c>
      <c r="AB503" s="12" t="str">
        <f t="array" ref="AB503">IF($A503="","",IFERROR(XLOOKUP($A503,'Auction Log'!$B$3:$B$300,'Auction Log'!$G$3:$G$300,""),""))</f>
        <v/>
      </c>
      <c r="AC503" s="12" t="str">
        <f t="array" ref="AC503">IF($A503="","",IFERROR(XLOOKUP($A503,'Auction Log'!$B$3:$B$300,'Auction Log'!$F$3:$F$300,""),""))</f>
        <v/>
      </c>
      <c r="AD503" s="12">
        <f t="array" ref="AD503">IF($A503="","",ROUND($Y503*XLOOKUP($F503,Settings!$I$15:$I$20,Settings!$K$15:$K$20,0.4),0))</f>
        <v>0</v>
      </c>
      <c r="AE503" s="12">
        <f t="array" ref="AE503">IF($A503="","",ROUND($Y503*XLOOKUP($F503,Settings!$I$15:$I$20,Settings!$L$15:$L$20,0.8),0))</f>
        <v>1</v>
      </c>
      <c r="AF503" s="12">
        <f t="array" ref="AF503">IF($A503="","",ROUND($Y503*XLOOKUP($F503,Settings!$I$15:$I$20,Settings!$M$15:$M$20,1),0))</f>
        <v>1</v>
      </c>
      <c r="AG503" s="12">
        <f t="array" ref="AG503">IF($A503="","",ROUND($Y503*XLOOKUP($F503,Settings!$I$15:$I$20,Settings!$N$15:$N$20,1.1),0))</f>
        <v>1</v>
      </c>
      <c r="AH503" s="12">
        <f t="array" ref="AH503">IF($A503="","",ROUND($Y503*XLOOKUP($F503,Settings!$I$15:$I$20,Settings!$O$15:$O$20,1.1)*Settings!$J$7,0))</f>
        <v>1</v>
      </c>
      <c r="AI503" s="12">
        <f t="array" ref="AI503">IF($A503="","",IF($AA503="Sold","",MIN($AH503,IFERROR(XLOOKUP(Settings!$B$12,Managers!$B$4:$B$15,Managers!$H$4:$H$15),$AH503))))</f>
        <v>1</v>
      </c>
      <c r="AJ503" s="12" t="str">
        <f t="shared" si="3"/>
        <v>Recommended</v>
      </c>
      <c r="AK503" s="12">
        <f t="shared" si="4"/>
        <v>26</v>
      </c>
      <c r="AL503" s="12" t="str">
        <f t="shared" si="5"/>
        <v/>
      </c>
    </row>
    <row r="504" ht="15.75" customHeight="1">
      <c r="A504" s="10" t="s">
        <v>1288</v>
      </c>
      <c r="B504" s="10" t="s">
        <v>1289</v>
      </c>
      <c r="C504" s="10" t="s">
        <v>314</v>
      </c>
      <c r="D504" s="10" t="s">
        <v>121</v>
      </c>
      <c r="E504" s="10" t="s">
        <v>121</v>
      </c>
      <c r="F504" s="10" t="s">
        <v>117</v>
      </c>
      <c r="G504" s="10">
        <v>5.0</v>
      </c>
      <c r="H504" s="10">
        <v>7.0</v>
      </c>
      <c r="I504" s="10" t="s">
        <v>2140</v>
      </c>
      <c r="J504" s="10" t="s">
        <v>2136</v>
      </c>
      <c r="K504" s="10"/>
      <c r="L504" s="10">
        <v>1.0</v>
      </c>
      <c r="M504" s="10">
        <v>0.33</v>
      </c>
      <c r="N504" s="10"/>
      <c r="O504" s="10"/>
      <c r="P504" s="12">
        <f>IF($A504="","",IFERROR((IF($O504="",0,$O504)*Settings!$J$4+IF($L504="",0,$L504)*Settings!$J$5+IF($N504="",0,$N504)*Settings!$J$6)/(IF($O504="",0,Settings!$J$4)+IF($L504="",0,Settings!$J$5)+IF($N504="",0,Settings!$J$6)),0))</f>
        <v>1</v>
      </c>
      <c r="Q504" s="12">
        <f t="array" ref="Q504">IF($A504="","",XLOOKUP($E504,Settings!$A$19:$A$22,Settings!$G$19:$G$22,0))</f>
        <v>206</v>
      </c>
      <c r="R504" s="12">
        <f t="shared" si="1"/>
        <v>0</v>
      </c>
      <c r="S504" s="12">
        <f>IF($A504="","",IF($R504&lt;=0,1,1+$R504/SUMIF($R$4:$R$923,"&gt;0",$R$4:$R$923)*(Settings!$B$5*(Settings!$B$6-Settings!$B$7))))</f>
        <v>1</v>
      </c>
      <c r="T504" s="12">
        <f t="array" ref="T504">IF($A504="","",XLOOKUP($F504,Settings!$I$15:$I$20,Settings!$J$15:$J$20,1))</f>
        <v>0.75</v>
      </c>
      <c r="U504" s="12">
        <f>IF($A504="","",1+(($G504-5)/5)*Settings!$J$8)</f>
        <v>1</v>
      </c>
      <c r="V504" s="12">
        <f>IF($A504="","",1+(($H504-5)/5)*Settings!$J$9)</f>
        <v>1.06</v>
      </c>
      <c r="W504" s="12">
        <f t="array" ref="W504">IF($A504="","",XLOOKUP($J504,Lists!$C$3:$C$7,Lists!$D$3:$D$7,1))</f>
        <v>1</v>
      </c>
      <c r="X504" s="12">
        <f>IF($A504="","",IF($I504="Yes",Settings!$J$10,1))</f>
        <v>1</v>
      </c>
      <c r="Y504" s="12">
        <f t="shared" si="2"/>
        <v>1</v>
      </c>
      <c r="Z504" s="12">
        <f>IF($A504="","",IFERROR(ROUND(AVERAGEIFS('Historical Drafts'!$G$4:$G$300,'Historical Drafts'!$D$4:$D$300,$E504,'Historical Drafts'!$J$4:$J$300,"&gt;="&amp;$L504*0.85,'Historical Drafts'!$J$4:$J$300,"&lt;="&amp;$L504*1.15),0),$Y504))</f>
        <v>1</v>
      </c>
      <c r="AA504" s="12" t="str">
        <f>IF($A504="","",IF(COUNTIF('Auction Log'!$B$3:$B$300,$A504)&gt;0,"Sold","Available"))</f>
        <v>Available</v>
      </c>
      <c r="AB504" s="12" t="str">
        <f t="array" ref="AB504">IF($A504="","",IFERROR(XLOOKUP($A504,'Auction Log'!$B$3:$B$300,'Auction Log'!$G$3:$G$300,""),""))</f>
        <v/>
      </c>
      <c r="AC504" s="12" t="str">
        <f t="array" ref="AC504">IF($A504="","",IFERROR(XLOOKUP($A504,'Auction Log'!$B$3:$B$300,'Auction Log'!$F$3:$F$300,""),""))</f>
        <v/>
      </c>
      <c r="AD504" s="12">
        <f t="array" ref="AD504">IF($A504="","",ROUND($Y504*XLOOKUP($F504,Settings!$I$15:$I$20,Settings!$K$15:$K$20,0.4),0))</f>
        <v>0</v>
      </c>
      <c r="AE504" s="12">
        <f t="array" ref="AE504">IF($A504="","",ROUND($Y504*XLOOKUP($F504,Settings!$I$15:$I$20,Settings!$L$15:$L$20,0.8),0))</f>
        <v>1</v>
      </c>
      <c r="AF504" s="12">
        <f t="array" ref="AF504">IF($A504="","",ROUND($Y504*XLOOKUP($F504,Settings!$I$15:$I$20,Settings!$M$15:$M$20,1),0))</f>
        <v>1</v>
      </c>
      <c r="AG504" s="12">
        <f t="array" ref="AG504">IF($A504="","",ROUND($Y504*XLOOKUP($F504,Settings!$I$15:$I$20,Settings!$N$15:$N$20,1.1),0))</f>
        <v>1</v>
      </c>
      <c r="AH504" s="12">
        <f t="array" ref="AH504">IF($A504="","",ROUND($Y504*XLOOKUP($F504,Settings!$I$15:$I$20,Settings!$O$15:$O$20,1.1)*Settings!$J$7,0))</f>
        <v>1</v>
      </c>
      <c r="AI504" s="12">
        <f t="array" ref="AI504">IF($A504="","",IF($AA504="Sold","",MIN($AH504,IFERROR(XLOOKUP(Settings!$B$12,Managers!$B$4:$B$15,Managers!$H$4:$H$15),$AH504))))</f>
        <v>1</v>
      </c>
      <c r="AJ504" s="12" t="str">
        <f t="shared" si="3"/>
        <v>Recommended</v>
      </c>
      <c r="AK504" s="12">
        <f t="shared" si="4"/>
        <v>26</v>
      </c>
      <c r="AL504" s="12" t="str">
        <f t="shared" si="5"/>
        <v/>
      </c>
    </row>
    <row r="505" ht="15.75" customHeight="1">
      <c r="A505" s="10" t="s">
        <v>1290</v>
      </c>
      <c r="B505" s="10" t="s">
        <v>1291</v>
      </c>
      <c r="C505" s="10" t="s">
        <v>314</v>
      </c>
      <c r="D505" s="10" t="s">
        <v>121</v>
      </c>
      <c r="E505" s="10" t="s">
        <v>121</v>
      </c>
      <c r="F505" s="10" t="s">
        <v>117</v>
      </c>
      <c r="G505" s="10">
        <v>5.0</v>
      </c>
      <c r="H505" s="10">
        <v>7.0</v>
      </c>
      <c r="I505" s="10" t="s">
        <v>2140</v>
      </c>
      <c r="J505" s="10" t="s">
        <v>2136</v>
      </c>
      <c r="K505" s="10"/>
      <c r="L505" s="10">
        <v>1.0</v>
      </c>
      <c r="M505" s="10">
        <v>1.0</v>
      </c>
      <c r="N505" s="10"/>
      <c r="O505" s="10"/>
      <c r="P505" s="12">
        <f>IF($A505="","",IFERROR((IF($O505="",0,$O505)*Settings!$J$4+IF($L505="",0,$L505)*Settings!$J$5+IF($N505="",0,$N505)*Settings!$J$6)/(IF($O505="",0,Settings!$J$4)+IF($L505="",0,Settings!$J$5)+IF($N505="",0,Settings!$J$6)),0))</f>
        <v>1</v>
      </c>
      <c r="Q505" s="12">
        <f t="array" ref="Q505">IF($A505="","",XLOOKUP($E505,Settings!$A$19:$A$22,Settings!$G$19:$G$22,0))</f>
        <v>206</v>
      </c>
      <c r="R505" s="12">
        <f t="shared" si="1"/>
        <v>0</v>
      </c>
      <c r="S505" s="12">
        <f>IF($A505="","",IF($R505&lt;=0,1,1+$R505/SUMIF($R$4:$R$923,"&gt;0",$R$4:$R$923)*(Settings!$B$5*(Settings!$B$6-Settings!$B$7))))</f>
        <v>1</v>
      </c>
      <c r="T505" s="12">
        <f t="array" ref="T505">IF($A505="","",XLOOKUP($F505,Settings!$I$15:$I$20,Settings!$J$15:$J$20,1))</f>
        <v>0.75</v>
      </c>
      <c r="U505" s="12">
        <f>IF($A505="","",1+(($G505-5)/5)*Settings!$J$8)</f>
        <v>1</v>
      </c>
      <c r="V505" s="12">
        <f>IF($A505="","",1+(($H505-5)/5)*Settings!$J$9)</f>
        <v>1.06</v>
      </c>
      <c r="W505" s="12">
        <f t="array" ref="W505">IF($A505="","",XLOOKUP($J505,Lists!$C$3:$C$7,Lists!$D$3:$D$7,1))</f>
        <v>1</v>
      </c>
      <c r="X505" s="12">
        <f>IF($A505="","",IF($I505="Yes",Settings!$J$10,1))</f>
        <v>1</v>
      </c>
      <c r="Y505" s="12">
        <f t="shared" si="2"/>
        <v>1</v>
      </c>
      <c r="Z505" s="12">
        <f>IF($A505="","",IFERROR(ROUND(AVERAGEIFS('Historical Drafts'!$G$4:$G$300,'Historical Drafts'!$D$4:$D$300,$E505,'Historical Drafts'!$J$4:$J$300,"&gt;="&amp;$L505*0.85,'Historical Drafts'!$J$4:$J$300,"&lt;="&amp;$L505*1.15),0),$Y505))</f>
        <v>1</v>
      </c>
      <c r="AA505" s="12" t="str">
        <f>IF($A505="","",IF(COUNTIF('Auction Log'!$B$3:$B$300,$A505)&gt;0,"Sold","Available"))</f>
        <v>Available</v>
      </c>
      <c r="AB505" s="12" t="str">
        <f t="array" ref="AB505">IF($A505="","",IFERROR(XLOOKUP($A505,'Auction Log'!$B$3:$B$300,'Auction Log'!$G$3:$G$300,""),""))</f>
        <v/>
      </c>
      <c r="AC505" s="12" t="str">
        <f t="array" ref="AC505">IF($A505="","",IFERROR(XLOOKUP($A505,'Auction Log'!$B$3:$B$300,'Auction Log'!$F$3:$F$300,""),""))</f>
        <v/>
      </c>
      <c r="AD505" s="12">
        <f t="array" ref="AD505">IF($A505="","",ROUND($Y505*XLOOKUP($F505,Settings!$I$15:$I$20,Settings!$K$15:$K$20,0.4),0))</f>
        <v>0</v>
      </c>
      <c r="AE505" s="12">
        <f t="array" ref="AE505">IF($A505="","",ROUND($Y505*XLOOKUP($F505,Settings!$I$15:$I$20,Settings!$L$15:$L$20,0.8),0))</f>
        <v>1</v>
      </c>
      <c r="AF505" s="12">
        <f t="array" ref="AF505">IF($A505="","",ROUND($Y505*XLOOKUP($F505,Settings!$I$15:$I$20,Settings!$M$15:$M$20,1),0))</f>
        <v>1</v>
      </c>
      <c r="AG505" s="12">
        <f t="array" ref="AG505">IF($A505="","",ROUND($Y505*XLOOKUP($F505,Settings!$I$15:$I$20,Settings!$N$15:$N$20,1.1),0))</f>
        <v>1</v>
      </c>
      <c r="AH505" s="12">
        <f t="array" ref="AH505">IF($A505="","",ROUND($Y505*XLOOKUP($F505,Settings!$I$15:$I$20,Settings!$O$15:$O$20,1.1)*Settings!$J$7,0))</f>
        <v>1</v>
      </c>
      <c r="AI505" s="12">
        <f t="array" ref="AI505">IF($A505="","",IF($AA505="Sold","",MIN($AH505,IFERROR(XLOOKUP(Settings!$B$12,Managers!$B$4:$B$15,Managers!$H$4:$H$15),$AH505))))</f>
        <v>1</v>
      </c>
      <c r="AJ505" s="12" t="str">
        <f t="shared" si="3"/>
        <v>Recommended</v>
      </c>
      <c r="AK505" s="12">
        <f t="shared" si="4"/>
        <v>26</v>
      </c>
      <c r="AL505" s="12" t="str">
        <f t="shared" si="5"/>
        <v/>
      </c>
    </row>
    <row r="506" ht="15.75" customHeight="1">
      <c r="A506" s="10" t="s">
        <v>1292</v>
      </c>
      <c r="B506" s="10" t="s">
        <v>1293</v>
      </c>
      <c r="C506" s="10" t="s">
        <v>185</v>
      </c>
      <c r="D506" s="10" t="s">
        <v>118</v>
      </c>
      <c r="E506" s="10" t="s">
        <v>118</v>
      </c>
      <c r="F506" s="10" t="s">
        <v>117</v>
      </c>
      <c r="G506" s="10">
        <v>5.0</v>
      </c>
      <c r="H506" s="10">
        <v>7.0</v>
      </c>
      <c r="I506" s="10" t="s">
        <v>2140</v>
      </c>
      <c r="J506" s="10" t="s">
        <v>2136</v>
      </c>
      <c r="K506" s="10"/>
      <c r="L506" s="10">
        <v>0.5</v>
      </c>
      <c r="M506" s="10">
        <v>0.5</v>
      </c>
      <c r="N506" s="10"/>
      <c r="O506" s="10"/>
      <c r="P506" s="12">
        <f>IF($A506="","",IFERROR((IF($O506="",0,$O506)*Settings!$J$4+IF($L506="",0,$L506)*Settings!$J$5+IF($N506="",0,$N506)*Settings!$J$6)/(IF($O506="",0,Settings!$J$4)+IF($L506="",0,Settings!$J$5)+IF($N506="",0,Settings!$J$6)),0))</f>
        <v>0.5</v>
      </c>
      <c r="Q506" s="12">
        <f t="array" ref="Q506">IF($A506="","",XLOOKUP($E506,Settings!$A$19:$A$22,Settings!$G$19:$G$22,0))</f>
        <v>196.25</v>
      </c>
      <c r="R506" s="12">
        <f t="shared" si="1"/>
        <v>0</v>
      </c>
      <c r="S506" s="12">
        <f>IF($A506="","",IF($R506&lt;=0,1,1+$R506/SUMIF($R$4:$R$923,"&gt;0",$R$4:$R$923)*(Settings!$B$5*(Settings!$B$6-Settings!$B$7))))</f>
        <v>1</v>
      </c>
      <c r="T506" s="12">
        <f t="array" ref="T506">IF($A506="","",XLOOKUP($F506,Settings!$I$15:$I$20,Settings!$J$15:$J$20,1))</f>
        <v>0.75</v>
      </c>
      <c r="U506" s="12">
        <f>IF($A506="","",1+(($G506-5)/5)*Settings!$J$8)</f>
        <v>1</v>
      </c>
      <c r="V506" s="12">
        <f>IF($A506="","",1+(($H506-5)/5)*Settings!$J$9)</f>
        <v>1.06</v>
      </c>
      <c r="W506" s="12">
        <f t="array" ref="W506">IF($A506="","",XLOOKUP($J506,Lists!$C$3:$C$7,Lists!$D$3:$D$7,1))</f>
        <v>1</v>
      </c>
      <c r="X506" s="12">
        <f>IF($A506="","",IF($I506="Yes",Settings!$J$10,1))</f>
        <v>1</v>
      </c>
      <c r="Y506" s="12">
        <f t="shared" si="2"/>
        <v>1</v>
      </c>
      <c r="Z506" s="12">
        <f>IF($A506="","",IFERROR(ROUND(AVERAGEIFS('Historical Drafts'!$G$4:$G$300,'Historical Drafts'!$D$4:$D$300,$E506,'Historical Drafts'!$J$4:$J$300,"&gt;="&amp;$L506*0.85,'Historical Drafts'!$J$4:$J$300,"&lt;="&amp;$L506*1.15),0),$Y506))</f>
        <v>1</v>
      </c>
      <c r="AA506" s="12" t="str">
        <f>IF($A506="","",IF(COUNTIF('Auction Log'!$B$3:$B$300,$A506)&gt;0,"Sold","Available"))</f>
        <v>Available</v>
      </c>
      <c r="AB506" s="12" t="str">
        <f t="array" ref="AB506">IF($A506="","",IFERROR(XLOOKUP($A506,'Auction Log'!$B$3:$B$300,'Auction Log'!$G$3:$G$300,""),""))</f>
        <v/>
      </c>
      <c r="AC506" s="12" t="str">
        <f t="array" ref="AC506">IF($A506="","",IFERROR(XLOOKUP($A506,'Auction Log'!$B$3:$B$300,'Auction Log'!$F$3:$F$300,""),""))</f>
        <v/>
      </c>
      <c r="AD506" s="12">
        <f t="array" ref="AD506">IF($A506="","",ROUND($Y506*XLOOKUP($F506,Settings!$I$15:$I$20,Settings!$K$15:$K$20,0.4),0))</f>
        <v>0</v>
      </c>
      <c r="AE506" s="12">
        <f t="array" ref="AE506">IF($A506="","",ROUND($Y506*XLOOKUP($F506,Settings!$I$15:$I$20,Settings!$L$15:$L$20,0.8),0))</f>
        <v>1</v>
      </c>
      <c r="AF506" s="12">
        <f t="array" ref="AF506">IF($A506="","",ROUND($Y506*XLOOKUP($F506,Settings!$I$15:$I$20,Settings!$M$15:$M$20,1),0))</f>
        <v>1</v>
      </c>
      <c r="AG506" s="12">
        <f t="array" ref="AG506">IF($A506="","",ROUND($Y506*XLOOKUP($F506,Settings!$I$15:$I$20,Settings!$N$15:$N$20,1.1),0))</f>
        <v>1</v>
      </c>
      <c r="AH506" s="12">
        <f t="array" ref="AH506">IF($A506="","",ROUND($Y506*XLOOKUP($F506,Settings!$I$15:$I$20,Settings!$O$15:$O$20,1.1)*Settings!$J$7,0))</f>
        <v>1</v>
      </c>
      <c r="AI506" s="12">
        <f t="array" ref="AI506">IF($A506="","",IF($AA506="Sold","",MIN($AH506,IFERROR(XLOOKUP(Settings!$B$12,Managers!$B$4:$B$15,Managers!$H$4:$H$15),$AH506))))</f>
        <v>1</v>
      </c>
      <c r="AJ506" s="12" t="str">
        <f t="shared" si="3"/>
        <v>Recommended</v>
      </c>
      <c r="AK506" s="12">
        <f t="shared" si="4"/>
        <v>26</v>
      </c>
      <c r="AL506" s="12" t="str">
        <f t="shared" si="5"/>
        <v/>
      </c>
    </row>
    <row r="507" ht="15.75" customHeight="1">
      <c r="A507" s="10" t="s">
        <v>1294</v>
      </c>
      <c r="B507" s="10" t="s">
        <v>1295</v>
      </c>
      <c r="C507" s="10" t="s">
        <v>305</v>
      </c>
      <c r="D507" s="10" t="s">
        <v>123</v>
      </c>
      <c r="E507" s="10" t="s">
        <v>123</v>
      </c>
      <c r="F507" s="10" t="s">
        <v>117</v>
      </c>
      <c r="G507" s="10">
        <v>5.0</v>
      </c>
      <c r="H507" s="10">
        <v>7.0</v>
      </c>
      <c r="I507" s="10" t="s">
        <v>2140</v>
      </c>
      <c r="J507" s="10" t="s">
        <v>2136</v>
      </c>
      <c r="K507" s="10"/>
      <c r="L507" s="10">
        <v>0.5</v>
      </c>
      <c r="M507" s="10">
        <v>0.07</v>
      </c>
      <c r="N507" s="10"/>
      <c r="O507" s="10"/>
      <c r="P507" s="12">
        <f>IF($A507="","",IFERROR((IF($O507="",0,$O507)*Settings!$J$4+IF($L507="",0,$L507)*Settings!$J$5+IF($N507="",0,$N507)*Settings!$J$6)/(IF($O507="",0,Settings!$J$4)+IF($L507="",0,Settings!$J$5)+IF($N507="",0,Settings!$J$6)),0))</f>
        <v>0.5</v>
      </c>
      <c r="Q507" s="12">
        <f t="array" ref="Q507">IF($A507="","",XLOOKUP($E507,Settings!$A$19:$A$22,Settings!$G$19:$G$22,0))</f>
        <v>203</v>
      </c>
      <c r="R507" s="12">
        <f t="shared" si="1"/>
        <v>0</v>
      </c>
      <c r="S507" s="12">
        <f>IF($A507="","",IF($R507&lt;=0,1,1+$R507/SUMIF($R$4:$R$923,"&gt;0",$R$4:$R$923)*(Settings!$B$5*(Settings!$B$6-Settings!$B$7))))</f>
        <v>1</v>
      </c>
      <c r="T507" s="12">
        <f t="array" ref="T507">IF($A507="","",XLOOKUP($F507,Settings!$I$15:$I$20,Settings!$J$15:$J$20,1))</f>
        <v>0.75</v>
      </c>
      <c r="U507" s="12">
        <f>IF($A507="","",1+(($G507-5)/5)*Settings!$J$8)</f>
        <v>1</v>
      </c>
      <c r="V507" s="12">
        <f>IF($A507="","",1+(($H507-5)/5)*Settings!$J$9)</f>
        <v>1.06</v>
      </c>
      <c r="W507" s="12">
        <f t="array" ref="W507">IF($A507="","",XLOOKUP($J507,Lists!$C$3:$C$7,Lists!$D$3:$D$7,1))</f>
        <v>1</v>
      </c>
      <c r="X507" s="12">
        <f>IF($A507="","",IF($I507="Yes",Settings!$J$10,1))</f>
        <v>1</v>
      </c>
      <c r="Y507" s="12">
        <f t="shared" si="2"/>
        <v>1</v>
      </c>
      <c r="Z507" s="12">
        <f>IF($A507="","",IFERROR(ROUND(AVERAGEIFS('Historical Drafts'!$G$4:$G$300,'Historical Drafts'!$D$4:$D$300,$E507,'Historical Drafts'!$J$4:$J$300,"&gt;="&amp;$L507*0.85,'Historical Drafts'!$J$4:$J$300,"&lt;="&amp;$L507*1.15),0),$Y507))</f>
        <v>1</v>
      </c>
      <c r="AA507" s="12" t="str">
        <f>IF($A507="","",IF(COUNTIF('Auction Log'!$B$3:$B$300,$A507)&gt;0,"Sold","Available"))</f>
        <v>Available</v>
      </c>
      <c r="AB507" s="12" t="str">
        <f t="array" ref="AB507">IF($A507="","",IFERROR(XLOOKUP($A507,'Auction Log'!$B$3:$B$300,'Auction Log'!$G$3:$G$300,""),""))</f>
        <v/>
      </c>
      <c r="AC507" s="12" t="str">
        <f t="array" ref="AC507">IF($A507="","",IFERROR(XLOOKUP($A507,'Auction Log'!$B$3:$B$300,'Auction Log'!$F$3:$F$300,""),""))</f>
        <v/>
      </c>
      <c r="AD507" s="12">
        <f t="array" ref="AD507">IF($A507="","",ROUND($Y507*XLOOKUP($F507,Settings!$I$15:$I$20,Settings!$K$15:$K$20,0.4),0))</f>
        <v>0</v>
      </c>
      <c r="AE507" s="12">
        <f t="array" ref="AE507">IF($A507="","",ROUND($Y507*XLOOKUP($F507,Settings!$I$15:$I$20,Settings!$L$15:$L$20,0.8),0))</f>
        <v>1</v>
      </c>
      <c r="AF507" s="12">
        <f t="array" ref="AF507">IF($A507="","",ROUND($Y507*XLOOKUP($F507,Settings!$I$15:$I$20,Settings!$M$15:$M$20,1),0))</f>
        <v>1</v>
      </c>
      <c r="AG507" s="12">
        <f t="array" ref="AG507">IF($A507="","",ROUND($Y507*XLOOKUP($F507,Settings!$I$15:$I$20,Settings!$N$15:$N$20,1.1),0))</f>
        <v>1</v>
      </c>
      <c r="AH507" s="12">
        <f t="array" ref="AH507">IF($A507="","",ROUND($Y507*XLOOKUP($F507,Settings!$I$15:$I$20,Settings!$O$15:$O$20,1.1)*Settings!$J$7,0))</f>
        <v>1</v>
      </c>
      <c r="AI507" s="12">
        <f t="array" ref="AI507">IF($A507="","",IF($AA507="Sold","",MIN($AH507,IFERROR(XLOOKUP(Settings!$B$12,Managers!$B$4:$B$15,Managers!$H$4:$H$15),$AH507))))</f>
        <v>1</v>
      </c>
      <c r="AJ507" s="12" t="str">
        <f t="shared" si="3"/>
        <v>Recommended</v>
      </c>
      <c r="AK507" s="12">
        <f t="shared" si="4"/>
        <v>26</v>
      </c>
      <c r="AL507" s="12" t="str">
        <f t="shared" si="5"/>
        <v/>
      </c>
    </row>
    <row r="508" ht="15.75" customHeight="1">
      <c r="A508" s="10" t="s">
        <v>1296</v>
      </c>
      <c r="B508" s="10" t="s">
        <v>1297</v>
      </c>
      <c r="C508" s="10" t="s">
        <v>243</v>
      </c>
      <c r="D508" s="10" t="s">
        <v>121</v>
      </c>
      <c r="E508" s="10" t="s">
        <v>121</v>
      </c>
      <c r="F508" s="10" t="s">
        <v>117</v>
      </c>
      <c r="G508" s="10">
        <v>5.0</v>
      </c>
      <c r="H508" s="10">
        <v>7.0</v>
      </c>
      <c r="I508" s="10" t="s">
        <v>2140</v>
      </c>
      <c r="J508" s="10" t="s">
        <v>2136</v>
      </c>
      <c r="K508" s="10"/>
      <c r="L508" s="10">
        <v>0.5</v>
      </c>
      <c r="M508" s="10">
        <v>0.17</v>
      </c>
      <c r="N508" s="10"/>
      <c r="O508" s="10"/>
      <c r="P508" s="12">
        <f>IF($A508="","",IFERROR((IF($O508="",0,$O508)*Settings!$J$4+IF($L508="",0,$L508)*Settings!$J$5+IF($N508="",0,$N508)*Settings!$J$6)/(IF($O508="",0,Settings!$J$4)+IF($L508="",0,Settings!$J$5)+IF($N508="",0,Settings!$J$6)),0))</f>
        <v>0.5</v>
      </c>
      <c r="Q508" s="12">
        <f t="array" ref="Q508">IF($A508="","",XLOOKUP($E508,Settings!$A$19:$A$22,Settings!$G$19:$G$22,0))</f>
        <v>206</v>
      </c>
      <c r="R508" s="12">
        <f t="shared" si="1"/>
        <v>0</v>
      </c>
      <c r="S508" s="12">
        <f>IF($A508="","",IF($R508&lt;=0,1,1+$R508/SUMIF($R$4:$R$923,"&gt;0",$R$4:$R$923)*(Settings!$B$5*(Settings!$B$6-Settings!$B$7))))</f>
        <v>1</v>
      </c>
      <c r="T508" s="12">
        <f t="array" ref="T508">IF($A508="","",XLOOKUP($F508,Settings!$I$15:$I$20,Settings!$J$15:$J$20,1))</f>
        <v>0.75</v>
      </c>
      <c r="U508" s="12">
        <f>IF($A508="","",1+(($G508-5)/5)*Settings!$J$8)</f>
        <v>1</v>
      </c>
      <c r="V508" s="12">
        <f>IF($A508="","",1+(($H508-5)/5)*Settings!$J$9)</f>
        <v>1.06</v>
      </c>
      <c r="W508" s="12">
        <f t="array" ref="W508">IF($A508="","",XLOOKUP($J508,Lists!$C$3:$C$7,Lists!$D$3:$D$7,1))</f>
        <v>1</v>
      </c>
      <c r="X508" s="12">
        <f>IF($A508="","",IF($I508="Yes",Settings!$J$10,1))</f>
        <v>1</v>
      </c>
      <c r="Y508" s="12">
        <f t="shared" si="2"/>
        <v>1</v>
      </c>
      <c r="Z508" s="12">
        <f>IF($A508="","",IFERROR(ROUND(AVERAGEIFS('Historical Drafts'!$G$4:$G$300,'Historical Drafts'!$D$4:$D$300,$E508,'Historical Drafts'!$J$4:$J$300,"&gt;="&amp;$L508*0.85,'Historical Drafts'!$J$4:$J$300,"&lt;="&amp;$L508*1.15),0),$Y508))</f>
        <v>1</v>
      </c>
      <c r="AA508" s="12" t="str">
        <f>IF($A508="","",IF(COUNTIF('Auction Log'!$B$3:$B$300,$A508)&gt;0,"Sold","Available"))</f>
        <v>Available</v>
      </c>
      <c r="AB508" s="12" t="str">
        <f t="array" ref="AB508">IF($A508="","",IFERROR(XLOOKUP($A508,'Auction Log'!$B$3:$B$300,'Auction Log'!$G$3:$G$300,""),""))</f>
        <v/>
      </c>
      <c r="AC508" s="12" t="str">
        <f t="array" ref="AC508">IF($A508="","",IFERROR(XLOOKUP($A508,'Auction Log'!$B$3:$B$300,'Auction Log'!$F$3:$F$300,""),""))</f>
        <v/>
      </c>
      <c r="AD508" s="12">
        <f t="array" ref="AD508">IF($A508="","",ROUND($Y508*XLOOKUP($F508,Settings!$I$15:$I$20,Settings!$K$15:$K$20,0.4),0))</f>
        <v>0</v>
      </c>
      <c r="AE508" s="12">
        <f t="array" ref="AE508">IF($A508="","",ROUND($Y508*XLOOKUP($F508,Settings!$I$15:$I$20,Settings!$L$15:$L$20,0.8),0))</f>
        <v>1</v>
      </c>
      <c r="AF508" s="12">
        <f t="array" ref="AF508">IF($A508="","",ROUND($Y508*XLOOKUP($F508,Settings!$I$15:$I$20,Settings!$M$15:$M$20,1),0))</f>
        <v>1</v>
      </c>
      <c r="AG508" s="12">
        <f t="array" ref="AG508">IF($A508="","",ROUND($Y508*XLOOKUP($F508,Settings!$I$15:$I$20,Settings!$N$15:$N$20,1.1),0))</f>
        <v>1</v>
      </c>
      <c r="AH508" s="12">
        <f t="array" ref="AH508">IF($A508="","",ROUND($Y508*XLOOKUP($F508,Settings!$I$15:$I$20,Settings!$O$15:$O$20,1.1)*Settings!$J$7,0))</f>
        <v>1</v>
      </c>
      <c r="AI508" s="12">
        <f t="array" ref="AI508">IF($A508="","",IF($AA508="Sold","",MIN($AH508,IFERROR(XLOOKUP(Settings!$B$12,Managers!$B$4:$B$15,Managers!$H$4:$H$15),$AH508))))</f>
        <v>1</v>
      </c>
      <c r="AJ508" s="12" t="str">
        <f t="shared" si="3"/>
        <v>Recommended</v>
      </c>
      <c r="AK508" s="12">
        <f t="shared" si="4"/>
        <v>26</v>
      </c>
      <c r="AL508" s="12" t="str">
        <f t="shared" si="5"/>
        <v/>
      </c>
    </row>
    <row r="509" ht="15.75" customHeight="1">
      <c r="A509" s="10" t="s">
        <v>1298</v>
      </c>
      <c r="B509" s="10" t="s">
        <v>1299</v>
      </c>
      <c r="C509" s="10" t="s">
        <v>1300</v>
      </c>
      <c r="D509" s="10" t="s">
        <v>118</v>
      </c>
      <c r="E509" s="10" t="s">
        <v>118</v>
      </c>
      <c r="F509" s="10" t="s">
        <v>117</v>
      </c>
      <c r="G509" s="10">
        <v>5.0</v>
      </c>
      <c r="H509" s="10">
        <v>7.0</v>
      </c>
      <c r="I509" s="10" t="s">
        <v>2140</v>
      </c>
      <c r="J509" s="10" t="s">
        <v>2136</v>
      </c>
      <c r="K509" s="10"/>
      <c r="L509" s="10">
        <v>0.5</v>
      </c>
      <c r="M509" s="10">
        <v>0.12</v>
      </c>
      <c r="N509" s="10"/>
      <c r="O509" s="10"/>
      <c r="P509" s="12">
        <f>IF($A509="","",IFERROR((IF($O509="",0,$O509)*Settings!$J$4+IF($L509="",0,$L509)*Settings!$J$5+IF($N509="",0,$N509)*Settings!$J$6)/(IF($O509="",0,Settings!$J$4)+IF($L509="",0,Settings!$J$5)+IF($N509="",0,Settings!$J$6)),0))</f>
        <v>0.5</v>
      </c>
      <c r="Q509" s="12">
        <f t="array" ref="Q509">IF($A509="","",XLOOKUP($E509,Settings!$A$19:$A$22,Settings!$G$19:$G$22,0))</f>
        <v>196.25</v>
      </c>
      <c r="R509" s="12">
        <f t="shared" si="1"/>
        <v>0</v>
      </c>
      <c r="S509" s="12">
        <f>IF($A509="","",IF($R509&lt;=0,1,1+$R509/SUMIF($R$4:$R$923,"&gt;0",$R$4:$R$923)*(Settings!$B$5*(Settings!$B$6-Settings!$B$7))))</f>
        <v>1</v>
      </c>
      <c r="T509" s="12">
        <f t="array" ref="T509">IF($A509="","",XLOOKUP($F509,Settings!$I$15:$I$20,Settings!$J$15:$J$20,1))</f>
        <v>0.75</v>
      </c>
      <c r="U509" s="12">
        <f>IF($A509="","",1+(($G509-5)/5)*Settings!$J$8)</f>
        <v>1</v>
      </c>
      <c r="V509" s="12">
        <f>IF($A509="","",1+(($H509-5)/5)*Settings!$J$9)</f>
        <v>1.06</v>
      </c>
      <c r="W509" s="12">
        <f t="array" ref="W509">IF($A509="","",XLOOKUP($J509,Lists!$C$3:$C$7,Lists!$D$3:$D$7,1))</f>
        <v>1</v>
      </c>
      <c r="X509" s="12">
        <f>IF($A509="","",IF($I509="Yes",Settings!$J$10,1))</f>
        <v>1</v>
      </c>
      <c r="Y509" s="12">
        <f t="shared" si="2"/>
        <v>1</v>
      </c>
      <c r="Z509" s="12">
        <f>IF($A509="","",IFERROR(ROUND(AVERAGEIFS('Historical Drafts'!$G$4:$G$300,'Historical Drafts'!$D$4:$D$300,$E509,'Historical Drafts'!$J$4:$J$300,"&gt;="&amp;$L509*0.85,'Historical Drafts'!$J$4:$J$300,"&lt;="&amp;$L509*1.15),0),$Y509))</f>
        <v>1</v>
      </c>
      <c r="AA509" s="12" t="str">
        <f>IF($A509="","",IF(COUNTIF('Auction Log'!$B$3:$B$300,$A509)&gt;0,"Sold","Available"))</f>
        <v>Available</v>
      </c>
      <c r="AB509" s="12" t="str">
        <f t="array" ref="AB509">IF($A509="","",IFERROR(XLOOKUP($A509,'Auction Log'!$B$3:$B$300,'Auction Log'!$G$3:$G$300,""),""))</f>
        <v/>
      </c>
      <c r="AC509" s="12" t="str">
        <f t="array" ref="AC509">IF($A509="","",IFERROR(XLOOKUP($A509,'Auction Log'!$B$3:$B$300,'Auction Log'!$F$3:$F$300,""),""))</f>
        <v/>
      </c>
      <c r="AD509" s="12">
        <f t="array" ref="AD509">IF($A509="","",ROUND($Y509*XLOOKUP($F509,Settings!$I$15:$I$20,Settings!$K$15:$K$20,0.4),0))</f>
        <v>0</v>
      </c>
      <c r="AE509" s="12">
        <f t="array" ref="AE509">IF($A509="","",ROUND($Y509*XLOOKUP($F509,Settings!$I$15:$I$20,Settings!$L$15:$L$20,0.8),0))</f>
        <v>1</v>
      </c>
      <c r="AF509" s="12">
        <f t="array" ref="AF509">IF($A509="","",ROUND($Y509*XLOOKUP($F509,Settings!$I$15:$I$20,Settings!$M$15:$M$20,1),0))</f>
        <v>1</v>
      </c>
      <c r="AG509" s="12">
        <f t="array" ref="AG509">IF($A509="","",ROUND($Y509*XLOOKUP($F509,Settings!$I$15:$I$20,Settings!$N$15:$N$20,1.1),0))</f>
        <v>1</v>
      </c>
      <c r="AH509" s="12">
        <f t="array" ref="AH509">IF($A509="","",ROUND($Y509*XLOOKUP($F509,Settings!$I$15:$I$20,Settings!$O$15:$O$20,1.1)*Settings!$J$7,0))</f>
        <v>1</v>
      </c>
      <c r="AI509" s="12">
        <f t="array" ref="AI509">IF($A509="","",IF($AA509="Sold","",MIN($AH509,IFERROR(XLOOKUP(Settings!$B$12,Managers!$B$4:$B$15,Managers!$H$4:$H$15),$AH509))))</f>
        <v>1</v>
      </c>
      <c r="AJ509" s="12" t="str">
        <f t="shared" si="3"/>
        <v>Recommended</v>
      </c>
      <c r="AK509" s="12">
        <f t="shared" si="4"/>
        <v>26</v>
      </c>
      <c r="AL509" s="12" t="str">
        <f t="shared" si="5"/>
        <v/>
      </c>
    </row>
    <row r="510" ht="15.75" customHeight="1">
      <c r="A510" s="10" t="s">
        <v>1301</v>
      </c>
      <c r="B510" s="10" t="s">
        <v>1302</v>
      </c>
      <c r="C510" s="10" t="s">
        <v>243</v>
      </c>
      <c r="D510" s="10" t="s">
        <v>121</v>
      </c>
      <c r="E510" s="10" t="s">
        <v>121</v>
      </c>
      <c r="F510" s="10" t="s">
        <v>117</v>
      </c>
      <c r="G510" s="10">
        <v>5.0</v>
      </c>
      <c r="H510" s="10">
        <v>7.0</v>
      </c>
      <c r="I510" s="10" t="s">
        <v>2140</v>
      </c>
      <c r="J510" s="10" t="s">
        <v>2136</v>
      </c>
      <c r="K510" s="10"/>
      <c r="L510" s="10">
        <v>0.0</v>
      </c>
      <c r="M510" s="10">
        <v>0.0</v>
      </c>
      <c r="N510" s="10"/>
      <c r="O510" s="10"/>
      <c r="P510" s="12">
        <f>IF($A510="","",IFERROR((IF($O510="",0,$O510)*Settings!$J$4+IF($L510="",0,$L510)*Settings!$J$5+IF($N510="",0,$N510)*Settings!$J$6)/(IF($O510="",0,Settings!$J$4)+IF($L510="",0,Settings!$J$5)+IF($N510="",0,Settings!$J$6)),0))</f>
        <v>0</v>
      </c>
      <c r="Q510" s="12">
        <f t="array" ref="Q510">IF($A510="","",XLOOKUP($E510,Settings!$A$19:$A$22,Settings!$G$19:$G$22,0))</f>
        <v>206</v>
      </c>
      <c r="R510" s="12">
        <f t="shared" si="1"/>
        <v>0</v>
      </c>
      <c r="S510" s="12">
        <f>IF($A510="","",IF($R510&lt;=0,1,1+$R510/SUMIF($R$4:$R$923,"&gt;0",$R$4:$R$923)*(Settings!$B$5*(Settings!$B$6-Settings!$B$7))))</f>
        <v>1</v>
      </c>
      <c r="T510" s="12">
        <f t="array" ref="T510">IF($A510="","",XLOOKUP($F510,Settings!$I$15:$I$20,Settings!$J$15:$J$20,1))</f>
        <v>0.75</v>
      </c>
      <c r="U510" s="12">
        <f>IF($A510="","",1+(($G510-5)/5)*Settings!$J$8)</f>
        <v>1</v>
      </c>
      <c r="V510" s="12">
        <f>IF($A510="","",1+(($H510-5)/5)*Settings!$J$9)</f>
        <v>1.06</v>
      </c>
      <c r="W510" s="12">
        <f t="array" ref="W510">IF($A510="","",XLOOKUP($J510,Lists!$C$3:$C$7,Lists!$D$3:$D$7,1))</f>
        <v>1</v>
      </c>
      <c r="X510" s="12">
        <f>IF($A510="","",IF($I510="Yes",Settings!$J$10,1))</f>
        <v>1</v>
      </c>
      <c r="Y510" s="12">
        <f t="shared" si="2"/>
        <v>1</v>
      </c>
      <c r="Z510" s="12">
        <f>IF($A510="","",IFERROR(ROUND(AVERAGEIFS('Historical Drafts'!$G$4:$G$300,'Historical Drafts'!$D$4:$D$300,$E510,'Historical Drafts'!$J$4:$J$300,"&gt;="&amp;$L510*0.85,'Historical Drafts'!$J$4:$J$300,"&lt;="&amp;$L510*1.15),0),$Y510))</f>
        <v>3</v>
      </c>
      <c r="AA510" s="12" t="str">
        <f>IF($A510="","",IF(COUNTIF('Auction Log'!$B$3:$B$300,$A510)&gt;0,"Sold","Available"))</f>
        <v>Available</v>
      </c>
      <c r="AB510" s="12" t="str">
        <f t="array" ref="AB510">IF($A510="","",IFERROR(XLOOKUP($A510,'Auction Log'!$B$3:$B$300,'Auction Log'!$G$3:$G$300,""),""))</f>
        <v/>
      </c>
      <c r="AC510" s="12" t="str">
        <f t="array" ref="AC510">IF($A510="","",IFERROR(XLOOKUP($A510,'Auction Log'!$B$3:$B$300,'Auction Log'!$F$3:$F$300,""),""))</f>
        <v/>
      </c>
      <c r="AD510" s="12">
        <f t="array" ref="AD510">IF($A510="","",ROUND($Y510*XLOOKUP($F510,Settings!$I$15:$I$20,Settings!$K$15:$K$20,0.4),0))</f>
        <v>0</v>
      </c>
      <c r="AE510" s="12">
        <f t="array" ref="AE510">IF($A510="","",ROUND($Y510*XLOOKUP($F510,Settings!$I$15:$I$20,Settings!$L$15:$L$20,0.8),0))</f>
        <v>1</v>
      </c>
      <c r="AF510" s="12">
        <f t="array" ref="AF510">IF($A510="","",ROUND($Y510*XLOOKUP($F510,Settings!$I$15:$I$20,Settings!$M$15:$M$20,1),0))</f>
        <v>1</v>
      </c>
      <c r="AG510" s="12">
        <f t="array" ref="AG510">IF($A510="","",ROUND($Y510*XLOOKUP($F510,Settings!$I$15:$I$20,Settings!$N$15:$N$20,1.1),0))</f>
        <v>1</v>
      </c>
      <c r="AH510" s="12">
        <f t="array" ref="AH510">IF($A510="","",ROUND($Y510*XLOOKUP($F510,Settings!$I$15:$I$20,Settings!$O$15:$O$20,1.1)*Settings!$J$7,0))</f>
        <v>1</v>
      </c>
      <c r="AI510" s="12">
        <f t="array" ref="AI510">IF($A510="","",IF($AA510="Sold","",MIN($AH510,IFERROR(XLOOKUP(Settings!$B$12,Managers!$B$4:$B$15,Managers!$H$4:$H$15),$AH510))))</f>
        <v>1</v>
      </c>
      <c r="AJ510" s="12" t="str">
        <f t="shared" si="3"/>
        <v>Budget Drainer</v>
      </c>
      <c r="AK510" s="12">
        <f t="shared" si="4"/>
        <v>28</v>
      </c>
      <c r="AL510" s="12" t="str">
        <f t="shared" si="5"/>
        <v/>
      </c>
    </row>
    <row r="511" ht="15.75" customHeight="1">
      <c r="A511" s="10" t="s">
        <v>1303</v>
      </c>
      <c r="B511" s="10" t="s">
        <v>1304</v>
      </c>
      <c r="C511" s="10" t="s">
        <v>314</v>
      </c>
      <c r="D511" s="10" t="s">
        <v>123</v>
      </c>
      <c r="E511" s="10" t="s">
        <v>123</v>
      </c>
      <c r="F511" s="10" t="s">
        <v>117</v>
      </c>
      <c r="G511" s="10">
        <v>5.0</v>
      </c>
      <c r="H511" s="10">
        <v>7.0</v>
      </c>
      <c r="I511" s="10" t="s">
        <v>2140</v>
      </c>
      <c r="J511" s="10" t="s">
        <v>2136</v>
      </c>
      <c r="K511" s="10"/>
      <c r="L511" s="10">
        <v>0.0</v>
      </c>
      <c r="M511" s="10">
        <v>0.0</v>
      </c>
      <c r="N511" s="10"/>
      <c r="O511" s="10"/>
      <c r="P511" s="12">
        <f>IF($A511="","",IFERROR((IF($O511="",0,$O511)*Settings!$J$4+IF($L511="",0,$L511)*Settings!$J$5+IF($N511="",0,$N511)*Settings!$J$6)/(IF($O511="",0,Settings!$J$4)+IF($L511="",0,Settings!$J$5)+IF($N511="",0,Settings!$J$6)),0))</f>
        <v>0</v>
      </c>
      <c r="Q511" s="12">
        <f t="array" ref="Q511">IF($A511="","",XLOOKUP($E511,Settings!$A$19:$A$22,Settings!$G$19:$G$22,0))</f>
        <v>203</v>
      </c>
      <c r="R511" s="12">
        <f t="shared" si="1"/>
        <v>0</v>
      </c>
      <c r="S511" s="12">
        <f>IF($A511="","",IF($R511&lt;=0,1,1+$R511/SUMIF($R$4:$R$923,"&gt;0",$R$4:$R$923)*(Settings!$B$5*(Settings!$B$6-Settings!$B$7))))</f>
        <v>1</v>
      </c>
      <c r="T511" s="12">
        <f t="array" ref="T511">IF($A511="","",XLOOKUP($F511,Settings!$I$15:$I$20,Settings!$J$15:$J$20,1))</f>
        <v>0.75</v>
      </c>
      <c r="U511" s="12">
        <f>IF($A511="","",1+(($G511-5)/5)*Settings!$J$8)</f>
        <v>1</v>
      </c>
      <c r="V511" s="12">
        <f>IF($A511="","",1+(($H511-5)/5)*Settings!$J$9)</f>
        <v>1.06</v>
      </c>
      <c r="W511" s="12">
        <f t="array" ref="W511">IF($A511="","",XLOOKUP($J511,Lists!$C$3:$C$7,Lists!$D$3:$D$7,1))</f>
        <v>1</v>
      </c>
      <c r="X511" s="12">
        <f>IF($A511="","",IF($I511="Yes",Settings!$J$10,1))</f>
        <v>1</v>
      </c>
      <c r="Y511" s="12">
        <f t="shared" si="2"/>
        <v>1</v>
      </c>
      <c r="Z511" s="12">
        <f>IF($A511="","",IFERROR(ROUND(AVERAGEIFS('Historical Drafts'!$G$4:$G$300,'Historical Drafts'!$D$4:$D$300,$E511,'Historical Drafts'!$J$4:$J$300,"&gt;="&amp;$L511*0.85,'Historical Drafts'!$J$4:$J$300,"&lt;="&amp;$L511*1.15),0),$Y511))</f>
        <v>3</v>
      </c>
      <c r="AA511" s="12" t="str">
        <f>IF($A511="","",IF(COUNTIF('Auction Log'!$B$3:$B$300,$A511)&gt;0,"Sold","Available"))</f>
        <v>Available</v>
      </c>
      <c r="AB511" s="12" t="str">
        <f t="array" ref="AB511">IF($A511="","",IFERROR(XLOOKUP($A511,'Auction Log'!$B$3:$B$300,'Auction Log'!$G$3:$G$300,""),""))</f>
        <v/>
      </c>
      <c r="AC511" s="12" t="str">
        <f t="array" ref="AC511">IF($A511="","",IFERROR(XLOOKUP($A511,'Auction Log'!$B$3:$B$300,'Auction Log'!$F$3:$F$300,""),""))</f>
        <v/>
      </c>
      <c r="AD511" s="12">
        <f t="array" ref="AD511">IF($A511="","",ROUND($Y511*XLOOKUP($F511,Settings!$I$15:$I$20,Settings!$K$15:$K$20,0.4),0))</f>
        <v>0</v>
      </c>
      <c r="AE511" s="12">
        <f t="array" ref="AE511">IF($A511="","",ROUND($Y511*XLOOKUP($F511,Settings!$I$15:$I$20,Settings!$L$15:$L$20,0.8),0))</f>
        <v>1</v>
      </c>
      <c r="AF511" s="12">
        <f t="array" ref="AF511">IF($A511="","",ROUND($Y511*XLOOKUP($F511,Settings!$I$15:$I$20,Settings!$M$15:$M$20,1),0))</f>
        <v>1</v>
      </c>
      <c r="AG511" s="12">
        <f t="array" ref="AG511">IF($A511="","",ROUND($Y511*XLOOKUP($F511,Settings!$I$15:$I$20,Settings!$N$15:$N$20,1.1),0))</f>
        <v>1</v>
      </c>
      <c r="AH511" s="12">
        <f t="array" ref="AH511">IF($A511="","",ROUND($Y511*XLOOKUP($F511,Settings!$I$15:$I$20,Settings!$O$15:$O$20,1.1)*Settings!$J$7,0))</f>
        <v>1</v>
      </c>
      <c r="AI511" s="12">
        <f t="array" ref="AI511">IF($A511="","",IF($AA511="Sold","",MIN($AH511,IFERROR(XLOOKUP(Settings!$B$12,Managers!$B$4:$B$15,Managers!$H$4:$H$15),$AH511))))</f>
        <v>1</v>
      </c>
      <c r="AJ511" s="12" t="str">
        <f t="shared" si="3"/>
        <v>Budget Drainer</v>
      </c>
      <c r="AK511" s="12">
        <f t="shared" si="4"/>
        <v>28</v>
      </c>
      <c r="AL511" s="12" t="str">
        <f t="shared" si="5"/>
        <v/>
      </c>
    </row>
    <row r="512" ht="15.75" customHeight="1">
      <c r="A512" s="10" t="s">
        <v>1305</v>
      </c>
      <c r="B512" s="10" t="s">
        <v>1306</v>
      </c>
      <c r="C512" s="10" t="s">
        <v>221</v>
      </c>
      <c r="D512" s="10" t="s">
        <v>118</v>
      </c>
      <c r="E512" s="10" t="s">
        <v>118</v>
      </c>
      <c r="F512" s="10" t="s">
        <v>117</v>
      </c>
      <c r="G512" s="10">
        <v>5.0</v>
      </c>
      <c r="H512" s="10">
        <v>7.0</v>
      </c>
      <c r="I512" s="10" t="s">
        <v>2140</v>
      </c>
      <c r="J512" s="10" t="s">
        <v>2136</v>
      </c>
      <c r="K512" s="10"/>
      <c r="L512" s="10">
        <v>0.0</v>
      </c>
      <c r="M512" s="10">
        <v>0.0</v>
      </c>
      <c r="N512" s="10"/>
      <c r="O512" s="10"/>
      <c r="P512" s="12">
        <f>IF($A512="","",IFERROR((IF($O512="",0,$O512)*Settings!$J$4+IF($L512="",0,$L512)*Settings!$J$5+IF($N512="",0,$N512)*Settings!$J$6)/(IF($O512="",0,Settings!$J$4)+IF($L512="",0,Settings!$J$5)+IF($N512="",0,Settings!$J$6)),0))</f>
        <v>0</v>
      </c>
      <c r="Q512" s="12">
        <f t="array" ref="Q512">IF($A512="","",XLOOKUP($E512,Settings!$A$19:$A$22,Settings!$G$19:$G$22,0))</f>
        <v>196.25</v>
      </c>
      <c r="R512" s="12">
        <f t="shared" si="1"/>
        <v>0</v>
      </c>
      <c r="S512" s="12">
        <f>IF($A512="","",IF($R512&lt;=0,1,1+$R512/SUMIF($R$4:$R$923,"&gt;0",$R$4:$R$923)*(Settings!$B$5*(Settings!$B$6-Settings!$B$7))))</f>
        <v>1</v>
      </c>
      <c r="T512" s="12">
        <f t="array" ref="T512">IF($A512="","",XLOOKUP($F512,Settings!$I$15:$I$20,Settings!$J$15:$J$20,1))</f>
        <v>0.75</v>
      </c>
      <c r="U512" s="12">
        <f>IF($A512="","",1+(($G512-5)/5)*Settings!$J$8)</f>
        <v>1</v>
      </c>
      <c r="V512" s="12">
        <f>IF($A512="","",1+(($H512-5)/5)*Settings!$J$9)</f>
        <v>1.06</v>
      </c>
      <c r="W512" s="12">
        <f t="array" ref="W512">IF($A512="","",XLOOKUP($J512,Lists!$C$3:$C$7,Lists!$D$3:$D$7,1))</f>
        <v>1</v>
      </c>
      <c r="X512" s="12">
        <f>IF($A512="","",IF($I512="Yes",Settings!$J$10,1))</f>
        <v>1</v>
      </c>
      <c r="Y512" s="12">
        <f t="shared" si="2"/>
        <v>1</v>
      </c>
      <c r="Z512" s="12">
        <f>IF($A512="","",IFERROR(ROUND(AVERAGEIFS('Historical Drafts'!$G$4:$G$300,'Historical Drafts'!$D$4:$D$300,$E512,'Historical Drafts'!$J$4:$J$300,"&gt;="&amp;$L512*0.85,'Historical Drafts'!$J$4:$J$300,"&lt;="&amp;$L512*1.15),0),$Y512))</f>
        <v>1</v>
      </c>
      <c r="AA512" s="12" t="str">
        <f>IF($A512="","",IF(COUNTIF('Auction Log'!$B$3:$B$300,$A512)&gt;0,"Sold","Available"))</f>
        <v>Available</v>
      </c>
      <c r="AB512" s="12" t="str">
        <f t="array" ref="AB512">IF($A512="","",IFERROR(XLOOKUP($A512,'Auction Log'!$B$3:$B$300,'Auction Log'!$G$3:$G$300,""),""))</f>
        <v/>
      </c>
      <c r="AC512" s="12" t="str">
        <f t="array" ref="AC512">IF($A512="","",IFERROR(XLOOKUP($A512,'Auction Log'!$B$3:$B$300,'Auction Log'!$F$3:$F$300,""),""))</f>
        <v/>
      </c>
      <c r="AD512" s="12">
        <f t="array" ref="AD512">IF($A512="","",ROUND($Y512*XLOOKUP($F512,Settings!$I$15:$I$20,Settings!$K$15:$K$20,0.4),0))</f>
        <v>0</v>
      </c>
      <c r="AE512" s="12">
        <f t="array" ref="AE512">IF($A512="","",ROUND($Y512*XLOOKUP($F512,Settings!$I$15:$I$20,Settings!$L$15:$L$20,0.8),0))</f>
        <v>1</v>
      </c>
      <c r="AF512" s="12">
        <f t="array" ref="AF512">IF($A512="","",ROUND($Y512*XLOOKUP($F512,Settings!$I$15:$I$20,Settings!$M$15:$M$20,1),0))</f>
        <v>1</v>
      </c>
      <c r="AG512" s="12">
        <f t="array" ref="AG512">IF($A512="","",ROUND($Y512*XLOOKUP($F512,Settings!$I$15:$I$20,Settings!$N$15:$N$20,1.1),0))</f>
        <v>1</v>
      </c>
      <c r="AH512" s="12">
        <f t="array" ref="AH512">IF($A512="","",ROUND($Y512*XLOOKUP($F512,Settings!$I$15:$I$20,Settings!$O$15:$O$20,1.1)*Settings!$J$7,0))</f>
        <v>1</v>
      </c>
      <c r="AI512" s="12">
        <f t="array" ref="AI512">IF($A512="","",IF($AA512="Sold","",MIN($AH512,IFERROR(XLOOKUP(Settings!$B$12,Managers!$B$4:$B$15,Managers!$H$4:$H$15),$AH512))))</f>
        <v>1</v>
      </c>
      <c r="AJ512" s="12" t="str">
        <f t="shared" si="3"/>
        <v>Recommended</v>
      </c>
      <c r="AK512" s="12">
        <f t="shared" si="4"/>
        <v>26</v>
      </c>
      <c r="AL512" s="12" t="str">
        <f t="shared" si="5"/>
        <v/>
      </c>
    </row>
    <row r="513" ht="15.75" customHeight="1">
      <c r="A513" s="10" t="s">
        <v>1307</v>
      </c>
      <c r="B513" s="10" t="s">
        <v>1308</v>
      </c>
      <c r="C513" s="10" t="s">
        <v>566</v>
      </c>
      <c r="D513" s="10" t="s">
        <v>121</v>
      </c>
      <c r="E513" s="10" t="s">
        <v>121</v>
      </c>
      <c r="F513" s="10" t="s">
        <v>117</v>
      </c>
      <c r="G513" s="10">
        <v>5.0</v>
      </c>
      <c r="H513" s="10">
        <v>7.0</v>
      </c>
      <c r="I513" s="10" t="s">
        <v>2140</v>
      </c>
      <c r="J513" s="10" t="s">
        <v>2136</v>
      </c>
      <c r="K513" s="10"/>
      <c r="L513" s="10">
        <v>0.0</v>
      </c>
      <c r="M513" s="10">
        <v>0.0</v>
      </c>
      <c r="N513" s="10"/>
      <c r="O513" s="10"/>
      <c r="P513" s="12">
        <f>IF($A513="","",IFERROR((IF($O513="",0,$O513)*Settings!$J$4+IF($L513="",0,$L513)*Settings!$J$5+IF($N513="",0,$N513)*Settings!$J$6)/(IF($O513="",0,Settings!$J$4)+IF($L513="",0,Settings!$J$5)+IF($N513="",0,Settings!$J$6)),0))</f>
        <v>0</v>
      </c>
      <c r="Q513" s="12">
        <f t="array" ref="Q513">IF($A513="","",XLOOKUP($E513,Settings!$A$19:$A$22,Settings!$G$19:$G$22,0))</f>
        <v>206</v>
      </c>
      <c r="R513" s="12">
        <f t="shared" si="1"/>
        <v>0</v>
      </c>
      <c r="S513" s="12">
        <f>IF($A513="","",IF($R513&lt;=0,1,1+$R513/SUMIF($R$4:$R$923,"&gt;0",$R$4:$R$923)*(Settings!$B$5*(Settings!$B$6-Settings!$B$7))))</f>
        <v>1</v>
      </c>
      <c r="T513" s="12">
        <f t="array" ref="T513">IF($A513="","",XLOOKUP($F513,Settings!$I$15:$I$20,Settings!$J$15:$J$20,1))</f>
        <v>0.75</v>
      </c>
      <c r="U513" s="12">
        <f>IF($A513="","",1+(($G513-5)/5)*Settings!$J$8)</f>
        <v>1</v>
      </c>
      <c r="V513" s="12">
        <f>IF($A513="","",1+(($H513-5)/5)*Settings!$J$9)</f>
        <v>1.06</v>
      </c>
      <c r="W513" s="12">
        <f t="array" ref="W513">IF($A513="","",XLOOKUP($J513,Lists!$C$3:$C$7,Lists!$D$3:$D$7,1))</f>
        <v>1</v>
      </c>
      <c r="X513" s="12">
        <f>IF($A513="","",IF($I513="Yes",Settings!$J$10,1))</f>
        <v>1</v>
      </c>
      <c r="Y513" s="12">
        <f t="shared" si="2"/>
        <v>1</v>
      </c>
      <c r="Z513" s="12">
        <f>IF($A513="","",IFERROR(ROUND(AVERAGEIFS('Historical Drafts'!$G$4:$G$300,'Historical Drafts'!$D$4:$D$300,$E513,'Historical Drafts'!$J$4:$J$300,"&gt;="&amp;$L513*0.85,'Historical Drafts'!$J$4:$J$300,"&lt;="&amp;$L513*1.15),0),$Y513))</f>
        <v>3</v>
      </c>
      <c r="AA513" s="12" t="str">
        <f>IF($A513="","",IF(COUNTIF('Auction Log'!$B$3:$B$300,$A513)&gt;0,"Sold","Available"))</f>
        <v>Available</v>
      </c>
      <c r="AB513" s="12" t="str">
        <f t="array" ref="AB513">IF($A513="","",IFERROR(XLOOKUP($A513,'Auction Log'!$B$3:$B$300,'Auction Log'!$G$3:$G$300,""),""))</f>
        <v/>
      </c>
      <c r="AC513" s="12" t="str">
        <f t="array" ref="AC513">IF($A513="","",IFERROR(XLOOKUP($A513,'Auction Log'!$B$3:$B$300,'Auction Log'!$F$3:$F$300,""),""))</f>
        <v/>
      </c>
      <c r="AD513" s="12">
        <f t="array" ref="AD513">IF($A513="","",ROUND($Y513*XLOOKUP($F513,Settings!$I$15:$I$20,Settings!$K$15:$K$20,0.4),0))</f>
        <v>0</v>
      </c>
      <c r="AE513" s="12">
        <f t="array" ref="AE513">IF($A513="","",ROUND($Y513*XLOOKUP($F513,Settings!$I$15:$I$20,Settings!$L$15:$L$20,0.8),0))</f>
        <v>1</v>
      </c>
      <c r="AF513" s="12">
        <f t="array" ref="AF513">IF($A513="","",ROUND($Y513*XLOOKUP($F513,Settings!$I$15:$I$20,Settings!$M$15:$M$20,1),0))</f>
        <v>1</v>
      </c>
      <c r="AG513" s="12">
        <f t="array" ref="AG513">IF($A513="","",ROUND($Y513*XLOOKUP($F513,Settings!$I$15:$I$20,Settings!$N$15:$N$20,1.1),0))</f>
        <v>1</v>
      </c>
      <c r="AH513" s="12">
        <f t="array" ref="AH513">IF($A513="","",ROUND($Y513*XLOOKUP($F513,Settings!$I$15:$I$20,Settings!$O$15:$O$20,1.1)*Settings!$J$7,0))</f>
        <v>1</v>
      </c>
      <c r="AI513" s="12">
        <f t="array" ref="AI513">IF($A513="","",IF($AA513="Sold","",MIN($AH513,IFERROR(XLOOKUP(Settings!$B$12,Managers!$B$4:$B$15,Managers!$H$4:$H$15),$AH513))))</f>
        <v>1</v>
      </c>
      <c r="AJ513" s="12" t="str">
        <f t="shared" si="3"/>
        <v>Budget Drainer</v>
      </c>
      <c r="AK513" s="12">
        <f t="shared" si="4"/>
        <v>28</v>
      </c>
      <c r="AL513" s="12" t="str">
        <f t="shared" si="5"/>
        <v/>
      </c>
    </row>
    <row r="514" ht="15.75" customHeight="1">
      <c r="A514" s="10" t="s">
        <v>1309</v>
      </c>
      <c r="B514" s="10" t="s">
        <v>1310</v>
      </c>
      <c r="C514" s="10" t="s">
        <v>285</v>
      </c>
      <c r="D514" s="10" t="s">
        <v>123</v>
      </c>
      <c r="E514" s="10" t="s">
        <v>123</v>
      </c>
      <c r="F514" s="10" t="s">
        <v>117</v>
      </c>
      <c r="G514" s="10">
        <v>5.0</v>
      </c>
      <c r="H514" s="10">
        <v>7.0</v>
      </c>
      <c r="I514" s="10" t="s">
        <v>2140</v>
      </c>
      <c r="J514" s="10" t="s">
        <v>2136</v>
      </c>
      <c r="K514" s="10"/>
      <c r="L514" s="10">
        <v>0.0</v>
      </c>
      <c r="M514" s="10">
        <v>0.0</v>
      </c>
      <c r="N514" s="10"/>
      <c r="O514" s="10"/>
      <c r="P514" s="12">
        <f>IF($A514="","",IFERROR((IF($O514="",0,$O514)*Settings!$J$4+IF($L514="",0,$L514)*Settings!$J$5+IF($N514="",0,$N514)*Settings!$J$6)/(IF($O514="",0,Settings!$J$4)+IF($L514="",0,Settings!$J$5)+IF($N514="",0,Settings!$J$6)),0))</f>
        <v>0</v>
      </c>
      <c r="Q514" s="12">
        <f t="array" ref="Q514">IF($A514="","",XLOOKUP($E514,Settings!$A$19:$A$22,Settings!$G$19:$G$22,0))</f>
        <v>203</v>
      </c>
      <c r="R514" s="12">
        <f t="shared" si="1"/>
        <v>0</v>
      </c>
      <c r="S514" s="12">
        <f>IF($A514="","",IF($R514&lt;=0,1,1+$R514/SUMIF($R$4:$R$923,"&gt;0",$R$4:$R$923)*(Settings!$B$5*(Settings!$B$6-Settings!$B$7))))</f>
        <v>1</v>
      </c>
      <c r="T514" s="12">
        <f t="array" ref="T514">IF($A514="","",XLOOKUP($F514,Settings!$I$15:$I$20,Settings!$J$15:$J$20,1))</f>
        <v>0.75</v>
      </c>
      <c r="U514" s="12">
        <f>IF($A514="","",1+(($G514-5)/5)*Settings!$J$8)</f>
        <v>1</v>
      </c>
      <c r="V514" s="12">
        <f>IF($A514="","",1+(($H514-5)/5)*Settings!$J$9)</f>
        <v>1.06</v>
      </c>
      <c r="W514" s="12">
        <f t="array" ref="W514">IF($A514="","",XLOOKUP($J514,Lists!$C$3:$C$7,Lists!$D$3:$D$7,1))</f>
        <v>1</v>
      </c>
      <c r="X514" s="12">
        <f>IF($A514="","",IF($I514="Yes",Settings!$J$10,1))</f>
        <v>1</v>
      </c>
      <c r="Y514" s="12">
        <f t="shared" si="2"/>
        <v>1</v>
      </c>
      <c r="Z514" s="12">
        <f>IF($A514="","",IFERROR(ROUND(AVERAGEIFS('Historical Drafts'!$G$4:$G$300,'Historical Drafts'!$D$4:$D$300,$E514,'Historical Drafts'!$J$4:$J$300,"&gt;="&amp;$L514*0.85,'Historical Drafts'!$J$4:$J$300,"&lt;="&amp;$L514*1.15),0),$Y514))</f>
        <v>3</v>
      </c>
      <c r="AA514" s="12" t="str">
        <f>IF($A514="","",IF(COUNTIF('Auction Log'!$B$3:$B$300,$A514)&gt;0,"Sold","Available"))</f>
        <v>Available</v>
      </c>
      <c r="AB514" s="12" t="str">
        <f t="array" ref="AB514">IF($A514="","",IFERROR(XLOOKUP($A514,'Auction Log'!$B$3:$B$300,'Auction Log'!$G$3:$G$300,""),""))</f>
        <v/>
      </c>
      <c r="AC514" s="12" t="str">
        <f t="array" ref="AC514">IF($A514="","",IFERROR(XLOOKUP($A514,'Auction Log'!$B$3:$B$300,'Auction Log'!$F$3:$F$300,""),""))</f>
        <v/>
      </c>
      <c r="AD514" s="12">
        <f t="array" ref="AD514">IF($A514="","",ROUND($Y514*XLOOKUP($F514,Settings!$I$15:$I$20,Settings!$K$15:$K$20,0.4),0))</f>
        <v>0</v>
      </c>
      <c r="AE514" s="12">
        <f t="array" ref="AE514">IF($A514="","",ROUND($Y514*XLOOKUP($F514,Settings!$I$15:$I$20,Settings!$L$15:$L$20,0.8),0))</f>
        <v>1</v>
      </c>
      <c r="AF514" s="12">
        <f t="array" ref="AF514">IF($A514="","",ROUND($Y514*XLOOKUP($F514,Settings!$I$15:$I$20,Settings!$M$15:$M$20,1),0))</f>
        <v>1</v>
      </c>
      <c r="AG514" s="12">
        <f t="array" ref="AG514">IF($A514="","",ROUND($Y514*XLOOKUP($F514,Settings!$I$15:$I$20,Settings!$N$15:$N$20,1.1),0))</f>
        <v>1</v>
      </c>
      <c r="AH514" s="12">
        <f t="array" ref="AH514">IF($A514="","",ROUND($Y514*XLOOKUP($F514,Settings!$I$15:$I$20,Settings!$O$15:$O$20,1.1)*Settings!$J$7,0))</f>
        <v>1</v>
      </c>
      <c r="AI514" s="12">
        <f t="array" ref="AI514">IF($A514="","",IF($AA514="Sold","",MIN($AH514,IFERROR(XLOOKUP(Settings!$B$12,Managers!$B$4:$B$15,Managers!$H$4:$H$15),$AH514))))</f>
        <v>1</v>
      </c>
      <c r="AJ514" s="12" t="str">
        <f t="shared" si="3"/>
        <v>Budget Drainer</v>
      </c>
      <c r="AK514" s="12">
        <f t="shared" si="4"/>
        <v>28</v>
      </c>
      <c r="AL514" s="12" t="str">
        <f t="shared" si="5"/>
        <v/>
      </c>
    </row>
    <row r="515" ht="15.75" customHeight="1">
      <c r="A515" s="10" t="s">
        <v>1311</v>
      </c>
      <c r="B515" s="10" t="s">
        <v>1312</v>
      </c>
      <c r="C515" s="10" t="s">
        <v>221</v>
      </c>
      <c r="D515" s="10" t="s">
        <v>121</v>
      </c>
      <c r="E515" s="10" t="s">
        <v>121</v>
      </c>
      <c r="F515" s="10" t="s">
        <v>117</v>
      </c>
      <c r="G515" s="10">
        <v>5.0</v>
      </c>
      <c r="H515" s="10">
        <v>7.0</v>
      </c>
      <c r="I515" s="10" t="s">
        <v>2140</v>
      </c>
      <c r="J515" s="10" t="s">
        <v>2136</v>
      </c>
      <c r="K515" s="10"/>
      <c r="L515" s="10">
        <v>0.0</v>
      </c>
      <c r="M515" s="10">
        <v>0.0</v>
      </c>
      <c r="N515" s="10"/>
      <c r="O515" s="10"/>
      <c r="P515" s="12">
        <f>IF($A515="","",IFERROR((IF($O515="",0,$O515)*Settings!$J$4+IF($L515="",0,$L515)*Settings!$J$5+IF($N515="",0,$N515)*Settings!$J$6)/(IF($O515="",0,Settings!$J$4)+IF($L515="",0,Settings!$J$5)+IF($N515="",0,Settings!$J$6)),0))</f>
        <v>0</v>
      </c>
      <c r="Q515" s="12">
        <f t="array" ref="Q515">IF($A515="","",XLOOKUP($E515,Settings!$A$19:$A$22,Settings!$G$19:$G$22,0))</f>
        <v>206</v>
      </c>
      <c r="R515" s="12">
        <f t="shared" si="1"/>
        <v>0</v>
      </c>
      <c r="S515" s="12">
        <f>IF($A515="","",IF($R515&lt;=0,1,1+$R515/SUMIF($R$4:$R$923,"&gt;0",$R$4:$R$923)*(Settings!$B$5*(Settings!$B$6-Settings!$B$7))))</f>
        <v>1</v>
      </c>
      <c r="T515" s="12">
        <f t="array" ref="T515">IF($A515="","",XLOOKUP($F515,Settings!$I$15:$I$20,Settings!$J$15:$J$20,1))</f>
        <v>0.75</v>
      </c>
      <c r="U515" s="12">
        <f>IF($A515="","",1+(($G515-5)/5)*Settings!$J$8)</f>
        <v>1</v>
      </c>
      <c r="V515" s="12">
        <f>IF($A515="","",1+(($H515-5)/5)*Settings!$J$9)</f>
        <v>1.06</v>
      </c>
      <c r="W515" s="12">
        <f t="array" ref="W515">IF($A515="","",XLOOKUP($J515,Lists!$C$3:$C$7,Lists!$D$3:$D$7,1))</f>
        <v>1</v>
      </c>
      <c r="X515" s="12">
        <f>IF($A515="","",IF($I515="Yes",Settings!$J$10,1))</f>
        <v>1</v>
      </c>
      <c r="Y515" s="12">
        <f t="shared" si="2"/>
        <v>1</v>
      </c>
      <c r="Z515" s="12">
        <f>IF($A515="","",IFERROR(ROUND(AVERAGEIFS('Historical Drafts'!$G$4:$G$300,'Historical Drafts'!$D$4:$D$300,$E515,'Historical Drafts'!$J$4:$J$300,"&gt;="&amp;$L515*0.85,'Historical Drafts'!$J$4:$J$300,"&lt;="&amp;$L515*1.15),0),$Y515))</f>
        <v>3</v>
      </c>
      <c r="AA515" s="12" t="str">
        <f>IF($A515="","",IF(COUNTIF('Auction Log'!$B$3:$B$300,$A515)&gt;0,"Sold","Available"))</f>
        <v>Available</v>
      </c>
      <c r="AB515" s="12" t="str">
        <f t="array" ref="AB515">IF($A515="","",IFERROR(XLOOKUP($A515,'Auction Log'!$B$3:$B$300,'Auction Log'!$G$3:$G$300,""),""))</f>
        <v/>
      </c>
      <c r="AC515" s="12" t="str">
        <f t="array" ref="AC515">IF($A515="","",IFERROR(XLOOKUP($A515,'Auction Log'!$B$3:$B$300,'Auction Log'!$F$3:$F$300,""),""))</f>
        <v/>
      </c>
      <c r="AD515" s="12">
        <f t="array" ref="AD515">IF($A515="","",ROUND($Y515*XLOOKUP($F515,Settings!$I$15:$I$20,Settings!$K$15:$K$20,0.4),0))</f>
        <v>0</v>
      </c>
      <c r="AE515" s="12">
        <f t="array" ref="AE515">IF($A515="","",ROUND($Y515*XLOOKUP($F515,Settings!$I$15:$I$20,Settings!$L$15:$L$20,0.8),0))</f>
        <v>1</v>
      </c>
      <c r="AF515" s="12">
        <f t="array" ref="AF515">IF($A515="","",ROUND($Y515*XLOOKUP($F515,Settings!$I$15:$I$20,Settings!$M$15:$M$20,1),0))</f>
        <v>1</v>
      </c>
      <c r="AG515" s="12">
        <f t="array" ref="AG515">IF($A515="","",ROUND($Y515*XLOOKUP($F515,Settings!$I$15:$I$20,Settings!$N$15:$N$20,1.1),0))</f>
        <v>1</v>
      </c>
      <c r="AH515" s="12">
        <f t="array" ref="AH515">IF($A515="","",ROUND($Y515*XLOOKUP($F515,Settings!$I$15:$I$20,Settings!$O$15:$O$20,1.1)*Settings!$J$7,0))</f>
        <v>1</v>
      </c>
      <c r="AI515" s="12">
        <f t="array" ref="AI515">IF($A515="","",IF($AA515="Sold","",MIN($AH515,IFERROR(XLOOKUP(Settings!$B$12,Managers!$B$4:$B$15,Managers!$H$4:$H$15),$AH515))))</f>
        <v>1</v>
      </c>
      <c r="AJ515" s="12" t="str">
        <f t="shared" si="3"/>
        <v>Budget Drainer</v>
      </c>
      <c r="AK515" s="12">
        <f t="shared" si="4"/>
        <v>28</v>
      </c>
      <c r="AL515" s="12" t="str">
        <f t="shared" si="5"/>
        <v/>
      </c>
    </row>
    <row r="516" ht="15.75" customHeight="1">
      <c r="A516" s="10" t="s">
        <v>1313</v>
      </c>
      <c r="B516" s="10" t="s">
        <v>1314</v>
      </c>
      <c r="C516" s="10" t="s">
        <v>566</v>
      </c>
      <c r="D516" s="10" t="s">
        <v>123</v>
      </c>
      <c r="E516" s="10" t="s">
        <v>123</v>
      </c>
      <c r="F516" s="10" t="s">
        <v>117</v>
      </c>
      <c r="G516" s="10">
        <v>5.0</v>
      </c>
      <c r="H516" s="10">
        <v>7.0</v>
      </c>
      <c r="I516" s="10" t="s">
        <v>2140</v>
      </c>
      <c r="J516" s="10" t="s">
        <v>2136</v>
      </c>
      <c r="K516" s="10"/>
      <c r="L516" s="10">
        <v>0.0</v>
      </c>
      <c r="M516" s="10">
        <v>0.0</v>
      </c>
      <c r="N516" s="10"/>
      <c r="O516" s="10"/>
      <c r="P516" s="12">
        <f>IF($A516="","",IFERROR((IF($O516="",0,$O516)*Settings!$J$4+IF($L516="",0,$L516)*Settings!$J$5+IF($N516="",0,$N516)*Settings!$J$6)/(IF($O516="",0,Settings!$J$4)+IF($L516="",0,Settings!$J$5)+IF($N516="",0,Settings!$J$6)),0))</f>
        <v>0</v>
      </c>
      <c r="Q516" s="12">
        <f t="array" ref="Q516">IF($A516="","",XLOOKUP($E516,Settings!$A$19:$A$22,Settings!$G$19:$G$22,0))</f>
        <v>203</v>
      </c>
      <c r="R516" s="12">
        <f t="shared" si="1"/>
        <v>0</v>
      </c>
      <c r="S516" s="12">
        <f>IF($A516="","",IF($R516&lt;=0,1,1+$R516/SUMIF($R$4:$R$923,"&gt;0",$R$4:$R$923)*(Settings!$B$5*(Settings!$B$6-Settings!$B$7))))</f>
        <v>1</v>
      </c>
      <c r="T516" s="12">
        <f t="array" ref="T516">IF($A516="","",XLOOKUP($F516,Settings!$I$15:$I$20,Settings!$J$15:$J$20,1))</f>
        <v>0.75</v>
      </c>
      <c r="U516" s="12">
        <f>IF($A516="","",1+(($G516-5)/5)*Settings!$J$8)</f>
        <v>1</v>
      </c>
      <c r="V516" s="12">
        <f>IF($A516="","",1+(($H516-5)/5)*Settings!$J$9)</f>
        <v>1.06</v>
      </c>
      <c r="W516" s="12">
        <f t="array" ref="W516">IF($A516="","",XLOOKUP($J516,Lists!$C$3:$C$7,Lists!$D$3:$D$7,1))</f>
        <v>1</v>
      </c>
      <c r="X516" s="12">
        <f>IF($A516="","",IF($I516="Yes",Settings!$J$10,1))</f>
        <v>1</v>
      </c>
      <c r="Y516" s="12">
        <f t="shared" si="2"/>
        <v>1</v>
      </c>
      <c r="Z516" s="12">
        <f>IF($A516="","",IFERROR(ROUND(AVERAGEIFS('Historical Drafts'!$G$4:$G$300,'Historical Drafts'!$D$4:$D$300,$E516,'Historical Drafts'!$J$4:$J$300,"&gt;="&amp;$L516*0.85,'Historical Drafts'!$J$4:$J$300,"&lt;="&amp;$L516*1.15),0),$Y516))</f>
        <v>3</v>
      </c>
      <c r="AA516" s="12" t="str">
        <f>IF($A516="","",IF(COUNTIF('Auction Log'!$B$3:$B$300,$A516)&gt;0,"Sold","Available"))</f>
        <v>Available</v>
      </c>
      <c r="AB516" s="12" t="str">
        <f t="array" ref="AB516">IF($A516="","",IFERROR(XLOOKUP($A516,'Auction Log'!$B$3:$B$300,'Auction Log'!$G$3:$G$300,""),""))</f>
        <v/>
      </c>
      <c r="AC516" s="12" t="str">
        <f t="array" ref="AC516">IF($A516="","",IFERROR(XLOOKUP($A516,'Auction Log'!$B$3:$B$300,'Auction Log'!$F$3:$F$300,""),""))</f>
        <v/>
      </c>
      <c r="AD516" s="12">
        <f t="array" ref="AD516">IF($A516="","",ROUND($Y516*XLOOKUP($F516,Settings!$I$15:$I$20,Settings!$K$15:$K$20,0.4),0))</f>
        <v>0</v>
      </c>
      <c r="AE516" s="12">
        <f t="array" ref="AE516">IF($A516="","",ROUND($Y516*XLOOKUP($F516,Settings!$I$15:$I$20,Settings!$L$15:$L$20,0.8),0))</f>
        <v>1</v>
      </c>
      <c r="AF516" s="12">
        <f t="array" ref="AF516">IF($A516="","",ROUND($Y516*XLOOKUP($F516,Settings!$I$15:$I$20,Settings!$M$15:$M$20,1),0))</f>
        <v>1</v>
      </c>
      <c r="AG516" s="12">
        <f t="array" ref="AG516">IF($A516="","",ROUND($Y516*XLOOKUP($F516,Settings!$I$15:$I$20,Settings!$N$15:$N$20,1.1),0))</f>
        <v>1</v>
      </c>
      <c r="AH516" s="12">
        <f t="array" ref="AH516">IF($A516="","",ROUND($Y516*XLOOKUP($F516,Settings!$I$15:$I$20,Settings!$O$15:$O$20,1.1)*Settings!$J$7,0))</f>
        <v>1</v>
      </c>
      <c r="AI516" s="12">
        <f t="array" ref="AI516">IF($A516="","",IF($AA516="Sold","",MIN($AH516,IFERROR(XLOOKUP(Settings!$B$12,Managers!$B$4:$B$15,Managers!$H$4:$H$15),$AH516))))</f>
        <v>1</v>
      </c>
      <c r="AJ516" s="12" t="str">
        <f t="shared" si="3"/>
        <v>Budget Drainer</v>
      </c>
      <c r="AK516" s="12">
        <f t="shared" si="4"/>
        <v>28</v>
      </c>
      <c r="AL516" s="12" t="str">
        <f t="shared" si="5"/>
        <v/>
      </c>
    </row>
    <row r="517" ht="15.75" customHeight="1">
      <c r="A517" s="10" t="s">
        <v>1315</v>
      </c>
      <c r="B517" s="10" t="s">
        <v>1316</v>
      </c>
      <c r="C517" s="10" t="s">
        <v>221</v>
      </c>
      <c r="D517" s="10" t="s">
        <v>121</v>
      </c>
      <c r="E517" s="10" t="s">
        <v>121</v>
      </c>
      <c r="F517" s="10" t="s">
        <v>117</v>
      </c>
      <c r="G517" s="10">
        <v>5.0</v>
      </c>
      <c r="H517" s="10">
        <v>7.0</v>
      </c>
      <c r="I517" s="10" t="s">
        <v>2140</v>
      </c>
      <c r="J517" s="10" t="s">
        <v>2136</v>
      </c>
      <c r="K517" s="10"/>
      <c r="L517" s="10">
        <v>0.0</v>
      </c>
      <c r="M517" s="10">
        <v>0.0</v>
      </c>
      <c r="N517" s="10"/>
      <c r="O517" s="10"/>
      <c r="P517" s="12">
        <f>IF($A517="","",IFERROR((IF($O517="",0,$O517)*Settings!$J$4+IF($L517="",0,$L517)*Settings!$J$5+IF($N517="",0,$N517)*Settings!$J$6)/(IF($O517="",0,Settings!$J$4)+IF($L517="",0,Settings!$J$5)+IF($N517="",0,Settings!$J$6)),0))</f>
        <v>0</v>
      </c>
      <c r="Q517" s="12">
        <f t="array" ref="Q517">IF($A517="","",XLOOKUP($E517,Settings!$A$19:$A$22,Settings!$G$19:$G$22,0))</f>
        <v>206</v>
      </c>
      <c r="R517" s="12">
        <f t="shared" si="1"/>
        <v>0</v>
      </c>
      <c r="S517" s="12">
        <f>IF($A517="","",IF($R517&lt;=0,1,1+$R517/SUMIF($R$4:$R$923,"&gt;0",$R$4:$R$923)*(Settings!$B$5*(Settings!$B$6-Settings!$B$7))))</f>
        <v>1</v>
      </c>
      <c r="T517" s="12">
        <f t="array" ref="T517">IF($A517="","",XLOOKUP($F517,Settings!$I$15:$I$20,Settings!$J$15:$J$20,1))</f>
        <v>0.75</v>
      </c>
      <c r="U517" s="12">
        <f>IF($A517="","",1+(($G517-5)/5)*Settings!$J$8)</f>
        <v>1</v>
      </c>
      <c r="V517" s="12">
        <f>IF($A517="","",1+(($H517-5)/5)*Settings!$J$9)</f>
        <v>1.06</v>
      </c>
      <c r="W517" s="12">
        <f t="array" ref="W517">IF($A517="","",XLOOKUP($J517,Lists!$C$3:$C$7,Lists!$D$3:$D$7,1))</f>
        <v>1</v>
      </c>
      <c r="X517" s="12">
        <f>IF($A517="","",IF($I517="Yes",Settings!$J$10,1))</f>
        <v>1</v>
      </c>
      <c r="Y517" s="12">
        <f t="shared" si="2"/>
        <v>1</v>
      </c>
      <c r="Z517" s="12">
        <f>IF($A517="","",IFERROR(ROUND(AVERAGEIFS('Historical Drafts'!$G$4:$G$300,'Historical Drafts'!$D$4:$D$300,$E517,'Historical Drafts'!$J$4:$J$300,"&gt;="&amp;$L517*0.85,'Historical Drafts'!$J$4:$J$300,"&lt;="&amp;$L517*1.15),0),$Y517))</f>
        <v>3</v>
      </c>
      <c r="AA517" s="12" t="str">
        <f>IF($A517="","",IF(COUNTIF('Auction Log'!$B$3:$B$300,$A517)&gt;0,"Sold","Available"))</f>
        <v>Available</v>
      </c>
      <c r="AB517" s="12" t="str">
        <f t="array" ref="AB517">IF($A517="","",IFERROR(XLOOKUP($A517,'Auction Log'!$B$3:$B$300,'Auction Log'!$G$3:$G$300,""),""))</f>
        <v/>
      </c>
      <c r="AC517" s="12" t="str">
        <f t="array" ref="AC517">IF($A517="","",IFERROR(XLOOKUP($A517,'Auction Log'!$B$3:$B$300,'Auction Log'!$F$3:$F$300,""),""))</f>
        <v/>
      </c>
      <c r="AD517" s="12">
        <f t="array" ref="AD517">IF($A517="","",ROUND($Y517*XLOOKUP($F517,Settings!$I$15:$I$20,Settings!$K$15:$K$20,0.4),0))</f>
        <v>0</v>
      </c>
      <c r="AE517" s="12">
        <f t="array" ref="AE517">IF($A517="","",ROUND($Y517*XLOOKUP($F517,Settings!$I$15:$I$20,Settings!$L$15:$L$20,0.8),0))</f>
        <v>1</v>
      </c>
      <c r="AF517" s="12">
        <f t="array" ref="AF517">IF($A517="","",ROUND($Y517*XLOOKUP($F517,Settings!$I$15:$I$20,Settings!$M$15:$M$20,1),0))</f>
        <v>1</v>
      </c>
      <c r="AG517" s="12">
        <f t="array" ref="AG517">IF($A517="","",ROUND($Y517*XLOOKUP($F517,Settings!$I$15:$I$20,Settings!$N$15:$N$20,1.1),0))</f>
        <v>1</v>
      </c>
      <c r="AH517" s="12">
        <f t="array" ref="AH517">IF($A517="","",ROUND($Y517*XLOOKUP($F517,Settings!$I$15:$I$20,Settings!$O$15:$O$20,1.1)*Settings!$J$7,0))</f>
        <v>1</v>
      </c>
      <c r="AI517" s="12">
        <f t="array" ref="AI517">IF($A517="","",IF($AA517="Sold","",MIN($AH517,IFERROR(XLOOKUP(Settings!$B$12,Managers!$B$4:$B$15,Managers!$H$4:$H$15),$AH517))))</f>
        <v>1</v>
      </c>
      <c r="AJ517" s="12" t="str">
        <f t="shared" si="3"/>
        <v>Budget Drainer</v>
      </c>
      <c r="AK517" s="12">
        <f t="shared" si="4"/>
        <v>28</v>
      </c>
      <c r="AL517" s="12" t="str">
        <f t="shared" si="5"/>
        <v/>
      </c>
    </row>
    <row r="518" ht="15.75" customHeight="1">
      <c r="A518" s="10" t="s">
        <v>1317</v>
      </c>
      <c r="B518" s="10" t="s">
        <v>1318</v>
      </c>
      <c r="C518" s="10" t="s">
        <v>215</v>
      </c>
      <c r="D518" s="10" t="s">
        <v>123</v>
      </c>
      <c r="E518" s="10" t="s">
        <v>123</v>
      </c>
      <c r="F518" s="10" t="s">
        <v>117</v>
      </c>
      <c r="G518" s="10">
        <v>5.0</v>
      </c>
      <c r="H518" s="10">
        <v>7.0</v>
      </c>
      <c r="I518" s="10" t="s">
        <v>2140</v>
      </c>
      <c r="J518" s="10" t="s">
        <v>2136</v>
      </c>
      <c r="K518" s="10"/>
      <c r="L518" s="10">
        <v>0.0</v>
      </c>
      <c r="M518" s="10">
        <v>0.0</v>
      </c>
      <c r="N518" s="10"/>
      <c r="O518" s="10"/>
      <c r="P518" s="12">
        <f>IF($A518="","",IFERROR((IF($O518="",0,$O518)*Settings!$J$4+IF($L518="",0,$L518)*Settings!$J$5+IF($N518="",0,$N518)*Settings!$J$6)/(IF($O518="",0,Settings!$J$4)+IF($L518="",0,Settings!$J$5)+IF($N518="",0,Settings!$J$6)),0))</f>
        <v>0</v>
      </c>
      <c r="Q518" s="12">
        <f t="array" ref="Q518">IF($A518="","",XLOOKUP($E518,Settings!$A$19:$A$22,Settings!$G$19:$G$22,0))</f>
        <v>203</v>
      </c>
      <c r="R518" s="12">
        <f t="shared" si="1"/>
        <v>0</v>
      </c>
      <c r="S518" s="12">
        <f>IF($A518="","",IF($R518&lt;=0,1,1+$R518/SUMIF($R$4:$R$923,"&gt;0",$R$4:$R$923)*(Settings!$B$5*(Settings!$B$6-Settings!$B$7))))</f>
        <v>1</v>
      </c>
      <c r="T518" s="12">
        <f t="array" ref="T518">IF($A518="","",XLOOKUP($F518,Settings!$I$15:$I$20,Settings!$J$15:$J$20,1))</f>
        <v>0.75</v>
      </c>
      <c r="U518" s="12">
        <f>IF($A518="","",1+(($G518-5)/5)*Settings!$J$8)</f>
        <v>1</v>
      </c>
      <c r="V518" s="12">
        <f>IF($A518="","",1+(($H518-5)/5)*Settings!$J$9)</f>
        <v>1.06</v>
      </c>
      <c r="W518" s="12">
        <f t="array" ref="W518">IF($A518="","",XLOOKUP($J518,Lists!$C$3:$C$7,Lists!$D$3:$D$7,1))</f>
        <v>1</v>
      </c>
      <c r="X518" s="12">
        <f>IF($A518="","",IF($I518="Yes",Settings!$J$10,1))</f>
        <v>1</v>
      </c>
      <c r="Y518" s="12">
        <f t="shared" si="2"/>
        <v>1</v>
      </c>
      <c r="Z518" s="12">
        <f>IF($A518="","",IFERROR(ROUND(AVERAGEIFS('Historical Drafts'!$G$4:$G$300,'Historical Drafts'!$D$4:$D$300,$E518,'Historical Drafts'!$J$4:$J$300,"&gt;="&amp;$L518*0.85,'Historical Drafts'!$J$4:$J$300,"&lt;="&amp;$L518*1.15),0),$Y518))</f>
        <v>3</v>
      </c>
      <c r="AA518" s="12" t="str">
        <f>IF($A518="","",IF(COUNTIF('Auction Log'!$B$3:$B$300,$A518)&gt;0,"Sold","Available"))</f>
        <v>Available</v>
      </c>
      <c r="AB518" s="12" t="str">
        <f t="array" ref="AB518">IF($A518="","",IFERROR(XLOOKUP($A518,'Auction Log'!$B$3:$B$300,'Auction Log'!$G$3:$G$300,""),""))</f>
        <v/>
      </c>
      <c r="AC518" s="12" t="str">
        <f t="array" ref="AC518">IF($A518="","",IFERROR(XLOOKUP($A518,'Auction Log'!$B$3:$B$300,'Auction Log'!$F$3:$F$300,""),""))</f>
        <v/>
      </c>
      <c r="AD518" s="12">
        <f t="array" ref="AD518">IF($A518="","",ROUND($Y518*XLOOKUP($F518,Settings!$I$15:$I$20,Settings!$K$15:$K$20,0.4),0))</f>
        <v>0</v>
      </c>
      <c r="AE518" s="12">
        <f t="array" ref="AE518">IF($A518="","",ROUND($Y518*XLOOKUP($F518,Settings!$I$15:$I$20,Settings!$L$15:$L$20,0.8),0))</f>
        <v>1</v>
      </c>
      <c r="AF518" s="12">
        <f t="array" ref="AF518">IF($A518="","",ROUND($Y518*XLOOKUP($F518,Settings!$I$15:$I$20,Settings!$M$15:$M$20,1),0))</f>
        <v>1</v>
      </c>
      <c r="AG518" s="12">
        <f t="array" ref="AG518">IF($A518="","",ROUND($Y518*XLOOKUP($F518,Settings!$I$15:$I$20,Settings!$N$15:$N$20,1.1),0))</f>
        <v>1</v>
      </c>
      <c r="AH518" s="12">
        <f t="array" ref="AH518">IF($A518="","",ROUND($Y518*XLOOKUP($F518,Settings!$I$15:$I$20,Settings!$O$15:$O$20,1.1)*Settings!$J$7,0))</f>
        <v>1</v>
      </c>
      <c r="AI518" s="12">
        <f t="array" ref="AI518">IF($A518="","",IF($AA518="Sold","",MIN($AH518,IFERROR(XLOOKUP(Settings!$B$12,Managers!$B$4:$B$15,Managers!$H$4:$H$15),$AH518))))</f>
        <v>1</v>
      </c>
      <c r="AJ518" s="12" t="str">
        <f t="shared" si="3"/>
        <v>Budget Drainer</v>
      </c>
      <c r="AK518" s="12">
        <f t="shared" si="4"/>
        <v>28</v>
      </c>
      <c r="AL518" s="12" t="str">
        <f t="shared" si="5"/>
        <v/>
      </c>
    </row>
    <row r="519" ht="15.75" customHeight="1">
      <c r="A519" s="10" t="s">
        <v>1319</v>
      </c>
      <c r="B519" s="10" t="s">
        <v>1320</v>
      </c>
      <c r="C519" s="10" t="s">
        <v>180</v>
      </c>
      <c r="D519" s="10" t="s">
        <v>118</v>
      </c>
      <c r="E519" s="10" t="s">
        <v>118</v>
      </c>
      <c r="F519" s="10" t="s">
        <v>117</v>
      </c>
      <c r="G519" s="10">
        <v>5.0</v>
      </c>
      <c r="H519" s="10">
        <v>7.0</v>
      </c>
      <c r="I519" s="10" t="s">
        <v>2140</v>
      </c>
      <c r="J519" s="10" t="s">
        <v>2136</v>
      </c>
      <c r="K519" s="10"/>
      <c r="L519" s="10">
        <v>0.0</v>
      </c>
      <c r="M519" s="10">
        <v>0.0</v>
      </c>
      <c r="N519" s="10"/>
      <c r="O519" s="10"/>
      <c r="P519" s="12">
        <f>IF($A519="","",IFERROR((IF($O519="",0,$O519)*Settings!$J$4+IF($L519="",0,$L519)*Settings!$J$5+IF($N519="",0,$N519)*Settings!$J$6)/(IF($O519="",0,Settings!$J$4)+IF($L519="",0,Settings!$J$5)+IF($N519="",0,Settings!$J$6)),0))</f>
        <v>0</v>
      </c>
      <c r="Q519" s="12">
        <f t="array" ref="Q519">IF($A519="","",XLOOKUP($E519,Settings!$A$19:$A$22,Settings!$G$19:$G$22,0))</f>
        <v>196.25</v>
      </c>
      <c r="R519" s="12">
        <f t="shared" si="1"/>
        <v>0</v>
      </c>
      <c r="S519" s="12">
        <f>IF($A519="","",IF($R519&lt;=0,1,1+$R519/SUMIF($R$4:$R$923,"&gt;0",$R$4:$R$923)*(Settings!$B$5*(Settings!$B$6-Settings!$B$7))))</f>
        <v>1</v>
      </c>
      <c r="T519" s="12">
        <f t="array" ref="T519">IF($A519="","",XLOOKUP($F519,Settings!$I$15:$I$20,Settings!$J$15:$J$20,1))</f>
        <v>0.75</v>
      </c>
      <c r="U519" s="12">
        <f>IF($A519="","",1+(($G519-5)/5)*Settings!$J$8)</f>
        <v>1</v>
      </c>
      <c r="V519" s="12">
        <f>IF($A519="","",1+(($H519-5)/5)*Settings!$J$9)</f>
        <v>1.06</v>
      </c>
      <c r="W519" s="12">
        <f t="array" ref="W519">IF($A519="","",XLOOKUP($J519,Lists!$C$3:$C$7,Lists!$D$3:$D$7,1))</f>
        <v>1</v>
      </c>
      <c r="X519" s="12">
        <f>IF($A519="","",IF($I519="Yes",Settings!$J$10,1))</f>
        <v>1</v>
      </c>
      <c r="Y519" s="12">
        <f t="shared" si="2"/>
        <v>1</v>
      </c>
      <c r="Z519" s="12">
        <f>IF($A519="","",IFERROR(ROUND(AVERAGEIFS('Historical Drafts'!$G$4:$G$300,'Historical Drafts'!$D$4:$D$300,$E519,'Historical Drafts'!$J$4:$J$300,"&gt;="&amp;$L519*0.85,'Historical Drafts'!$J$4:$J$300,"&lt;="&amp;$L519*1.15),0),$Y519))</f>
        <v>1</v>
      </c>
      <c r="AA519" s="12" t="str">
        <f>IF($A519="","",IF(COUNTIF('Auction Log'!$B$3:$B$300,$A519)&gt;0,"Sold","Available"))</f>
        <v>Available</v>
      </c>
      <c r="AB519" s="12" t="str">
        <f t="array" ref="AB519">IF($A519="","",IFERROR(XLOOKUP($A519,'Auction Log'!$B$3:$B$300,'Auction Log'!$G$3:$G$300,""),""))</f>
        <v/>
      </c>
      <c r="AC519" s="12" t="str">
        <f t="array" ref="AC519">IF($A519="","",IFERROR(XLOOKUP($A519,'Auction Log'!$B$3:$B$300,'Auction Log'!$F$3:$F$300,""),""))</f>
        <v/>
      </c>
      <c r="AD519" s="12">
        <f t="array" ref="AD519">IF($A519="","",ROUND($Y519*XLOOKUP($F519,Settings!$I$15:$I$20,Settings!$K$15:$K$20,0.4),0))</f>
        <v>0</v>
      </c>
      <c r="AE519" s="12">
        <f t="array" ref="AE519">IF($A519="","",ROUND($Y519*XLOOKUP($F519,Settings!$I$15:$I$20,Settings!$L$15:$L$20,0.8),0))</f>
        <v>1</v>
      </c>
      <c r="AF519" s="12">
        <f t="array" ref="AF519">IF($A519="","",ROUND($Y519*XLOOKUP($F519,Settings!$I$15:$I$20,Settings!$M$15:$M$20,1),0))</f>
        <v>1</v>
      </c>
      <c r="AG519" s="12">
        <f t="array" ref="AG519">IF($A519="","",ROUND($Y519*XLOOKUP($F519,Settings!$I$15:$I$20,Settings!$N$15:$N$20,1.1),0))</f>
        <v>1</v>
      </c>
      <c r="AH519" s="12">
        <f t="array" ref="AH519">IF($A519="","",ROUND($Y519*XLOOKUP($F519,Settings!$I$15:$I$20,Settings!$O$15:$O$20,1.1)*Settings!$J$7,0))</f>
        <v>1</v>
      </c>
      <c r="AI519" s="12">
        <f t="array" ref="AI519">IF($A519="","",IF($AA519="Sold","",MIN($AH519,IFERROR(XLOOKUP(Settings!$B$12,Managers!$B$4:$B$15,Managers!$H$4:$H$15),$AH519))))</f>
        <v>1</v>
      </c>
      <c r="AJ519" s="12" t="str">
        <f t="shared" si="3"/>
        <v>Recommended</v>
      </c>
      <c r="AK519" s="12">
        <f t="shared" si="4"/>
        <v>26</v>
      </c>
      <c r="AL519" s="12" t="str">
        <f t="shared" si="5"/>
        <v/>
      </c>
    </row>
    <row r="520" ht="15.75" customHeight="1">
      <c r="A520" s="10" t="s">
        <v>1321</v>
      </c>
      <c r="B520" s="10" t="s">
        <v>1322</v>
      </c>
      <c r="C520" s="10" t="s">
        <v>243</v>
      </c>
      <c r="D520" s="10" t="s">
        <v>123</v>
      </c>
      <c r="E520" s="10" t="s">
        <v>123</v>
      </c>
      <c r="F520" s="10" t="s">
        <v>117</v>
      </c>
      <c r="G520" s="10">
        <v>5.0</v>
      </c>
      <c r="H520" s="10">
        <v>7.0</v>
      </c>
      <c r="I520" s="10" t="s">
        <v>2140</v>
      </c>
      <c r="J520" s="10" t="s">
        <v>2136</v>
      </c>
      <c r="K520" s="10"/>
      <c r="L520" s="10">
        <v>0.0</v>
      </c>
      <c r="M520" s="10">
        <v>0.0</v>
      </c>
      <c r="N520" s="10"/>
      <c r="O520" s="10"/>
      <c r="P520" s="12">
        <f>IF($A520="","",IFERROR((IF($O520="",0,$O520)*Settings!$J$4+IF($L520="",0,$L520)*Settings!$J$5+IF($N520="",0,$N520)*Settings!$J$6)/(IF($O520="",0,Settings!$J$4)+IF($L520="",0,Settings!$J$5)+IF($N520="",0,Settings!$J$6)),0))</f>
        <v>0</v>
      </c>
      <c r="Q520" s="12">
        <f t="array" ref="Q520">IF($A520="","",XLOOKUP($E520,Settings!$A$19:$A$22,Settings!$G$19:$G$22,0))</f>
        <v>203</v>
      </c>
      <c r="R520" s="12">
        <f t="shared" si="1"/>
        <v>0</v>
      </c>
      <c r="S520" s="12">
        <f>IF($A520="","",IF($R520&lt;=0,1,1+$R520/SUMIF($R$4:$R$923,"&gt;0",$R$4:$R$923)*(Settings!$B$5*(Settings!$B$6-Settings!$B$7))))</f>
        <v>1</v>
      </c>
      <c r="T520" s="12">
        <f t="array" ref="T520">IF($A520="","",XLOOKUP($F520,Settings!$I$15:$I$20,Settings!$J$15:$J$20,1))</f>
        <v>0.75</v>
      </c>
      <c r="U520" s="12">
        <f>IF($A520="","",1+(($G520-5)/5)*Settings!$J$8)</f>
        <v>1</v>
      </c>
      <c r="V520" s="12">
        <f>IF($A520="","",1+(($H520-5)/5)*Settings!$J$9)</f>
        <v>1.06</v>
      </c>
      <c r="W520" s="12">
        <f t="array" ref="W520">IF($A520="","",XLOOKUP($J520,Lists!$C$3:$C$7,Lists!$D$3:$D$7,1))</f>
        <v>1</v>
      </c>
      <c r="X520" s="12">
        <f>IF($A520="","",IF($I520="Yes",Settings!$J$10,1))</f>
        <v>1</v>
      </c>
      <c r="Y520" s="12">
        <f t="shared" si="2"/>
        <v>1</v>
      </c>
      <c r="Z520" s="12">
        <f>IF($A520="","",IFERROR(ROUND(AVERAGEIFS('Historical Drafts'!$G$4:$G$300,'Historical Drafts'!$D$4:$D$300,$E520,'Historical Drafts'!$J$4:$J$300,"&gt;="&amp;$L520*0.85,'Historical Drafts'!$J$4:$J$300,"&lt;="&amp;$L520*1.15),0),$Y520))</f>
        <v>3</v>
      </c>
      <c r="AA520" s="12" t="str">
        <f>IF($A520="","",IF(COUNTIF('Auction Log'!$B$3:$B$300,$A520)&gt;0,"Sold","Available"))</f>
        <v>Available</v>
      </c>
      <c r="AB520" s="12" t="str">
        <f t="array" ref="AB520">IF($A520="","",IFERROR(XLOOKUP($A520,'Auction Log'!$B$3:$B$300,'Auction Log'!$G$3:$G$300,""),""))</f>
        <v/>
      </c>
      <c r="AC520" s="12" t="str">
        <f t="array" ref="AC520">IF($A520="","",IFERROR(XLOOKUP($A520,'Auction Log'!$B$3:$B$300,'Auction Log'!$F$3:$F$300,""),""))</f>
        <v/>
      </c>
      <c r="AD520" s="12">
        <f t="array" ref="AD520">IF($A520="","",ROUND($Y520*XLOOKUP($F520,Settings!$I$15:$I$20,Settings!$K$15:$K$20,0.4),0))</f>
        <v>0</v>
      </c>
      <c r="AE520" s="12">
        <f t="array" ref="AE520">IF($A520="","",ROUND($Y520*XLOOKUP($F520,Settings!$I$15:$I$20,Settings!$L$15:$L$20,0.8),0))</f>
        <v>1</v>
      </c>
      <c r="AF520" s="12">
        <f t="array" ref="AF520">IF($A520="","",ROUND($Y520*XLOOKUP($F520,Settings!$I$15:$I$20,Settings!$M$15:$M$20,1),0))</f>
        <v>1</v>
      </c>
      <c r="AG520" s="12">
        <f t="array" ref="AG520">IF($A520="","",ROUND($Y520*XLOOKUP($F520,Settings!$I$15:$I$20,Settings!$N$15:$N$20,1.1),0))</f>
        <v>1</v>
      </c>
      <c r="AH520" s="12">
        <f t="array" ref="AH520">IF($A520="","",ROUND($Y520*XLOOKUP($F520,Settings!$I$15:$I$20,Settings!$O$15:$O$20,1.1)*Settings!$J$7,0))</f>
        <v>1</v>
      </c>
      <c r="AI520" s="12">
        <f t="array" ref="AI520">IF($A520="","",IF($AA520="Sold","",MIN($AH520,IFERROR(XLOOKUP(Settings!$B$12,Managers!$B$4:$B$15,Managers!$H$4:$H$15),$AH520))))</f>
        <v>1</v>
      </c>
      <c r="AJ520" s="12" t="str">
        <f t="shared" si="3"/>
        <v>Budget Drainer</v>
      </c>
      <c r="AK520" s="12">
        <f t="shared" si="4"/>
        <v>28</v>
      </c>
      <c r="AL520" s="12" t="str">
        <f t="shared" si="5"/>
        <v/>
      </c>
    </row>
    <row r="521" ht="15.75" customHeight="1">
      <c r="A521" s="10" t="s">
        <v>1323</v>
      </c>
      <c r="B521" s="10" t="s">
        <v>1324</v>
      </c>
      <c r="C521" s="10" t="s">
        <v>285</v>
      </c>
      <c r="D521" s="10" t="s">
        <v>118</v>
      </c>
      <c r="E521" s="10" t="s">
        <v>118</v>
      </c>
      <c r="F521" s="10" t="s">
        <v>117</v>
      </c>
      <c r="G521" s="10">
        <v>5.0</v>
      </c>
      <c r="H521" s="10">
        <v>7.0</v>
      </c>
      <c r="I521" s="10" t="s">
        <v>2140</v>
      </c>
      <c r="J521" s="10" t="s">
        <v>2136</v>
      </c>
      <c r="K521" s="10"/>
      <c r="L521" s="10">
        <v>0.0</v>
      </c>
      <c r="M521" s="10">
        <v>0.0</v>
      </c>
      <c r="N521" s="10"/>
      <c r="O521" s="10"/>
      <c r="P521" s="12">
        <f>IF($A521="","",IFERROR((IF($O521="",0,$O521)*Settings!$J$4+IF($L521="",0,$L521)*Settings!$J$5+IF($N521="",0,$N521)*Settings!$J$6)/(IF($O521="",0,Settings!$J$4)+IF($L521="",0,Settings!$J$5)+IF($N521="",0,Settings!$J$6)),0))</f>
        <v>0</v>
      </c>
      <c r="Q521" s="12">
        <f t="array" ref="Q521">IF($A521="","",XLOOKUP($E521,Settings!$A$19:$A$22,Settings!$G$19:$G$22,0))</f>
        <v>196.25</v>
      </c>
      <c r="R521" s="12">
        <f t="shared" si="1"/>
        <v>0</v>
      </c>
      <c r="S521" s="12">
        <f>IF($A521="","",IF($R521&lt;=0,1,1+$R521/SUMIF($R$4:$R$923,"&gt;0",$R$4:$R$923)*(Settings!$B$5*(Settings!$B$6-Settings!$B$7))))</f>
        <v>1</v>
      </c>
      <c r="T521" s="12">
        <f t="array" ref="T521">IF($A521="","",XLOOKUP($F521,Settings!$I$15:$I$20,Settings!$J$15:$J$20,1))</f>
        <v>0.75</v>
      </c>
      <c r="U521" s="12">
        <f>IF($A521="","",1+(($G521-5)/5)*Settings!$J$8)</f>
        <v>1</v>
      </c>
      <c r="V521" s="12">
        <f>IF($A521="","",1+(($H521-5)/5)*Settings!$J$9)</f>
        <v>1.06</v>
      </c>
      <c r="W521" s="12">
        <f t="array" ref="W521">IF($A521="","",XLOOKUP($J521,Lists!$C$3:$C$7,Lists!$D$3:$D$7,1))</f>
        <v>1</v>
      </c>
      <c r="X521" s="12">
        <f>IF($A521="","",IF($I521="Yes",Settings!$J$10,1))</f>
        <v>1</v>
      </c>
      <c r="Y521" s="12">
        <f t="shared" si="2"/>
        <v>1</v>
      </c>
      <c r="Z521" s="12">
        <f>IF($A521="","",IFERROR(ROUND(AVERAGEIFS('Historical Drafts'!$G$4:$G$300,'Historical Drafts'!$D$4:$D$300,$E521,'Historical Drafts'!$J$4:$J$300,"&gt;="&amp;$L521*0.85,'Historical Drafts'!$J$4:$J$300,"&lt;="&amp;$L521*1.15),0),$Y521))</f>
        <v>1</v>
      </c>
      <c r="AA521" s="12" t="str">
        <f>IF($A521="","",IF(COUNTIF('Auction Log'!$B$3:$B$300,$A521)&gt;0,"Sold","Available"))</f>
        <v>Available</v>
      </c>
      <c r="AB521" s="12" t="str">
        <f t="array" ref="AB521">IF($A521="","",IFERROR(XLOOKUP($A521,'Auction Log'!$B$3:$B$300,'Auction Log'!$G$3:$G$300,""),""))</f>
        <v/>
      </c>
      <c r="AC521" s="12" t="str">
        <f t="array" ref="AC521">IF($A521="","",IFERROR(XLOOKUP($A521,'Auction Log'!$B$3:$B$300,'Auction Log'!$F$3:$F$300,""),""))</f>
        <v/>
      </c>
      <c r="AD521" s="12">
        <f t="array" ref="AD521">IF($A521="","",ROUND($Y521*XLOOKUP($F521,Settings!$I$15:$I$20,Settings!$K$15:$K$20,0.4),0))</f>
        <v>0</v>
      </c>
      <c r="AE521" s="12">
        <f t="array" ref="AE521">IF($A521="","",ROUND($Y521*XLOOKUP($F521,Settings!$I$15:$I$20,Settings!$L$15:$L$20,0.8),0))</f>
        <v>1</v>
      </c>
      <c r="AF521" s="12">
        <f t="array" ref="AF521">IF($A521="","",ROUND($Y521*XLOOKUP($F521,Settings!$I$15:$I$20,Settings!$M$15:$M$20,1),0))</f>
        <v>1</v>
      </c>
      <c r="AG521" s="12">
        <f t="array" ref="AG521">IF($A521="","",ROUND($Y521*XLOOKUP($F521,Settings!$I$15:$I$20,Settings!$N$15:$N$20,1.1),0))</f>
        <v>1</v>
      </c>
      <c r="AH521" s="12">
        <f t="array" ref="AH521">IF($A521="","",ROUND($Y521*XLOOKUP($F521,Settings!$I$15:$I$20,Settings!$O$15:$O$20,1.1)*Settings!$J$7,0))</f>
        <v>1</v>
      </c>
      <c r="AI521" s="12">
        <f t="array" ref="AI521">IF($A521="","",IF($AA521="Sold","",MIN($AH521,IFERROR(XLOOKUP(Settings!$B$12,Managers!$B$4:$B$15,Managers!$H$4:$H$15),$AH521))))</f>
        <v>1</v>
      </c>
      <c r="AJ521" s="12" t="str">
        <f t="shared" si="3"/>
        <v>Recommended</v>
      </c>
      <c r="AK521" s="12">
        <f t="shared" si="4"/>
        <v>26</v>
      </c>
      <c r="AL521" s="12" t="str">
        <f t="shared" si="5"/>
        <v/>
      </c>
    </row>
    <row r="522" ht="15.75" customHeight="1">
      <c r="A522" s="10" t="s">
        <v>1325</v>
      </c>
      <c r="B522" s="10" t="s">
        <v>1326</v>
      </c>
      <c r="C522" s="10" t="s">
        <v>226</v>
      </c>
      <c r="D522" s="10" t="s">
        <v>121</v>
      </c>
      <c r="E522" s="10" t="s">
        <v>121</v>
      </c>
      <c r="F522" s="10" t="s">
        <v>117</v>
      </c>
      <c r="G522" s="10">
        <v>5.0</v>
      </c>
      <c r="H522" s="10">
        <v>7.0</v>
      </c>
      <c r="I522" s="10" t="s">
        <v>2140</v>
      </c>
      <c r="J522" s="10" t="s">
        <v>2136</v>
      </c>
      <c r="K522" s="10"/>
      <c r="L522" s="10">
        <v>0.0</v>
      </c>
      <c r="M522" s="10">
        <v>0.0</v>
      </c>
      <c r="N522" s="10"/>
      <c r="O522" s="10"/>
      <c r="P522" s="12">
        <f>IF($A522="","",IFERROR((IF($O522="",0,$O522)*Settings!$J$4+IF($L522="",0,$L522)*Settings!$J$5+IF($N522="",0,$N522)*Settings!$J$6)/(IF($O522="",0,Settings!$J$4)+IF($L522="",0,Settings!$J$5)+IF($N522="",0,Settings!$J$6)),0))</f>
        <v>0</v>
      </c>
      <c r="Q522" s="12">
        <f t="array" ref="Q522">IF($A522="","",XLOOKUP($E522,Settings!$A$19:$A$22,Settings!$G$19:$G$22,0))</f>
        <v>206</v>
      </c>
      <c r="R522" s="12">
        <f t="shared" si="1"/>
        <v>0</v>
      </c>
      <c r="S522" s="12">
        <f>IF($A522="","",IF($R522&lt;=0,1,1+$R522/SUMIF($R$4:$R$923,"&gt;0",$R$4:$R$923)*(Settings!$B$5*(Settings!$B$6-Settings!$B$7))))</f>
        <v>1</v>
      </c>
      <c r="T522" s="12">
        <f t="array" ref="T522">IF($A522="","",XLOOKUP($F522,Settings!$I$15:$I$20,Settings!$J$15:$J$20,1))</f>
        <v>0.75</v>
      </c>
      <c r="U522" s="12">
        <f>IF($A522="","",1+(($G522-5)/5)*Settings!$J$8)</f>
        <v>1</v>
      </c>
      <c r="V522" s="12">
        <f>IF($A522="","",1+(($H522-5)/5)*Settings!$J$9)</f>
        <v>1.06</v>
      </c>
      <c r="W522" s="12">
        <f t="array" ref="W522">IF($A522="","",XLOOKUP($J522,Lists!$C$3:$C$7,Lists!$D$3:$D$7,1))</f>
        <v>1</v>
      </c>
      <c r="X522" s="12">
        <f>IF($A522="","",IF($I522="Yes",Settings!$J$10,1))</f>
        <v>1</v>
      </c>
      <c r="Y522" s="12">
        <f t="shared" si="2"/>
        <v>1</v>
      </c>
      <c r="Z522" s="12">
        <f>IF($A522="","",IFERROR(ROUND(AVERAGEIFS('Historical Drafts'!$G$4:$G$300,'Historical Drafts'!$D$4:$D$300,$E522,'Historical Drafts'!$J$4:$J$300,"&gt;="&amp;$L522*0.85,'Historical Drafts'!$J$4:$J$300,"&lt;="&amp;$L522*1.15),0),$Y522))</f>
        <v>3</v>
      </c>
      <c r="AA522" s="12" t="str">
        <f>IF($A522="","",IF(COUNTIF('Auction Log'!$B$3:$B$300,$A522)&gt;0,"Sold","Available"))</f>
        <v>Available</v>
      </c>
      <c r="AB522" s="12" t="str">
        <f t="array" ref="AB522">IF($A522="","",IFERROR(XLOOKUP($A522,'Auction Log'!$B$3:$B$300,'Auction Log'!$G$3:$G$300,""),""))</f>
        <v/>
      </c>
      <c r="AC522" s="12" t="str">
        <f t="array" ref="AC522">IF($A522="","",IFERROR(XLOOKUP($A522,'Auction Log'!$B$3:$B$300,'Auction Log'!$F$3:$F$300,""),""))</f>
        <v/>
      </c>
      <c r="AD522" s="12">
        <f t="array" ref="AD522">IF($A522="","",ROUND($Y522*XLOOKUP($F522,Settings!$I$15:$I$20,Settings!$K$15:$K$20,0.4),0))</f>
        <v>0</v>
      </c>
      <c r="AE522" s="12">
        <f t="array" ref="AE522">IF($A522="","",ROUND($Y522*XLOOKUP($F522,Settings!$I$15:$I$20,Settings!$L$15:$L$20,0.8),0))</f>
        <v>1</v>
      </c>
      <c r="AF522" s="12">
        <f t="array" ref="AF522">IF($A522="","",ROUND($Y522*XLOOKUP($F522,Settings!$I$15:$I$20,Settings!$M$15:$M$20,1),0))</f>
        <v>1</v>
      </c>
      <c r="AG522" s="12">
        <f t="array" ref="AG522">IF($A522="","",ROUND($Y522*XLOOKUP($F522,Settings!$I$15:$I$20,Settings!$N$15:$N$20,1.1),0))</f>
        <v>1</v>
      </c>
      <c r="AH522" s="12">
        <f t="array" ref="AH522">IF($A522="","",ROUND($Y522*XLOOKUP($F522,Settings!$I$15:$I$20,Settings!$O$15:$O$20,1.1)*Settings!$J$7,0))</f>
        <v>1</v>
      </c>
      <c r="AI522" s="12">
        <f t="array" ref="AI522">IF($A522="","",IF($AA522="Sold","",MIN($AH522,IFERROR(XLOOKUP(Settings!$B$12,Managers!$B$4:$B$15,Managers!$H$4:$H$15),$AH522))))</f>
        <v>1</v>
      </c>
      <c r="AJ522" s="12" t="str">
        <f t="shared" si="3"/>
        <v>Budget Drainer</v>
      </c>
      <c r="AK522" s="12">
        <f t="shared" si="4"/>
        <v>28</v>
      </c>
      <c r="AL522" s="12" t="str">
        <f t="shared" si="5"/>
        <v/>
      </c>
    </row>
    <row r="523" ht="15.75" customHeight="1">
      <c r="A523" s="10" t="s">
        <v>1327</v>
      </c>
      <c r="B523" s="10" t="s">
        <v>1328</v>
      </c>
      <c r="C523" s="10" t="s">
        <v>314</v>
      </c>
      <c r="D523" s="10" t="s">
        <v>658</v>
      </c>
      <c r="E523" s="10" t="s">
        <v>658</v>
      </c>
      <c r="F523" s="10" t="s">
        <v>117</v>
      </c>
      <c r="G523" s="10">
        <v>5.0</v>
      </c>
      <c r="H523" s="10">
        <v>7.0</v>
      </c>
      <c r="I523" s="10" t="s">
        <v>2140</v>
      </c>
      <c r="J523" s="10" t="s">
        <v>2136</v>
      </c>
      <c r="K523" s="10"/>
      <c r="L523" s="10">
        <v>0.0</v>
      </c>
      <c r="M523" s="10">
        <v>0.0</v>
      </c>
      <c r="N523" s="10"/>
      <c r="O523" s="10"/>
      <c r="P523" s="12">
        <f>IF($A523="","",IFERROR((IF($O523="",0,$O523)*Settings!$J$4+IF($L523="",0,$L523)*Settings!$J$5+IF($N523="",0,$N523)*Settings!$J$6)/(IF($O523="",0,Settings!$J$4)+IF($L523="",0,Settings!$J$5)+IF($N523="",0,Settings!$J$6)),0))</f>
        <v>0</v>
      </c>
      <c r="Q523" s="12">
        <f t="array" ref="Q523">IF($A523="","",XLOOKUP($E523,Settings!$A$19:$A$22,Settings!$G$19:$G$22,0))</f>
        <v>0</v>
      </c>
      <c r="R523" s="12">
        <f t="shared" si="1"/>
        <v>0</v>
      </c>
      <c r="S523" s="12">
        <f>IF($A523="","",IF($R523&lt;=0,1,1+$R523/SUMIF($R$4:$R$923,"&gt;0",$R$4:$R$923)*(Settings!$B$5*(Settings!$B$6-Settings!$B$7))))</f>
        <v>1</v>
      </c>
      <c r="T523" s="12">
        <f t="array" ref="T523">IF($A523="","",XLOOKUP($F523,Settings!$I$15:$I$20,Settings!$J$15:$J$20,1))</f>
        <v>0.75</v>
      </c>
      <c r="U523" s="12">
        <f>IF($A523="","",1+(($G523-5)/5)*Settings!$J$8)</f>
        <v>1</v>
      </c>
      <c r="V523" s="12">
        <f>IF($A523="","",1+(($H523-5)/5)*Settings!$J$9)</f>
        <v>1.06</v>
      </c>
      <c r="W523" s="12">
        <f t="array" ref="W523">IF($A523="","",XLOOKUP($J523,Lists!$C$3:$C$7,Lists!$D$3:$D$7,1))</f>
        <v>1</v>
      </c>
      <c r="X523" s="12">
        <f>IF($A523="","",IF($I523="Yes",Settings!$J$10,1))</f>
        <v>1</v>
      </c>
      <c r="Y523" s="12">
        <f t="shared" si="2"/>
        <v>1</v>
      </c>
      <c r="Z523" s="12">
        <f>IF($A523="","",IFERROR(ROUND(AVERAGEIFS('Historical Drafts'!$G$4:$G$300,'Historical Drafts'!$D$4:$D$300,$E523,'Historical Drafts'!$J$4:$J$300,"&gt;="&amp;$L523*0.85,'Historical Drafts'!$J$4:$J$300,"&lt;="&amp;$L523*1.15),0),$Y523))</f>
        <v>1</v>
      </c>
      <c r="AA523" s="12" t="str">
        <f>IF($A523="","",IF(COUNTIF('Auction Log'!$B$3:$B$300,$A523)&gt;0,"Sold","Available"))</f>
        <v>Available</v>
      </c>
      <c r="AB523" s="12" t="str">
        <f t="array" ref="AB523">IF($A523="","",IFERROR(XLOOKUP($A523,'Auction Log'!$B$3:$B$300,'Auction Log'!$G$3:$G$300,""),""))</f>
        <v/>
      </c>
      <c r="AC523" s="12" t="str">
        <f t="array" ref="AC523">IF($A523="","",IFERROR(XLOOKUP($A523,'Auction Log'!$B$3:$B$300,'Auction Log'!$F$3:$F$300,""),""))</f>
        <v/>
      </c>
      <c r="AD523" s="12">
        <f t="array" ref="AD523">IF($A523="","",ROUND($Y523*XLOOKUP($F523,Settings!$I$15:$I$20,Settings!$K$15:$K$20,0.4),0))</f>
        <v>0</v>
      </c>
      <c r="AE523" s="12">
        <f t="array" ref="AE523">IF($A523="","",ROUND($Y523*XLOOKUP($F523,Settings!$I$15:$I$20,Settings!$L$15:$L$20,0.8),0))</f>
        <v>1</v>
      </c>
      <c r="AF523" s="12">
        <f t="array" ref="AF523">IF($A523="","",ROUND($Y523*XLOOKUP($F523,Settings!$I$15:$I$20,Settings!$M$15:$M$20,1),0))</f>
        <v>1</v>
      </c>
      <c r="AG523" s="12">
        <f t="array" ref="AG523">IF($A523="","",ROUND($Y523*XLOOKUP($F523,Settings!$I$15:$I$20,Settings!$N$15:$N$20,1.1),0))</f>
        <v>1</v>
      </c>
      <c r="AH523" s="12">
        <f t="array" ref="AH523">IF($A523="","",ROUND($Y523*XLOOKUP($F523,Settings!$I$15:$I$20,Settings!$O$15:$O$20,1.1)*Settings!$J$7,0))</f>
        <v>1</v>
      </c>
      <c r="AI523" s="12">
        <f t="array" ref="AI523">IF($A523="","",IF($AA523="Sold","",MIN($AH523,IFERROR(XLOOKUP(Settings!$B$12,Managers!$B$4:$B$15,Managers!$H$4:$H$15),$AH523))))</f>
        <v>1</v>
      </c>
      <c r="AJ523" s="12" t="str">
        <f t="shared" si="3"/>
        <v>Recommended</v>
      </c>
      <c r="AK523" s="12">
        <f t="shared" si="4"/>
        <v>26</v>
      </c>
      <c r="AL523" s="12" t="str">
        <f t="shared" si="5"/>
        <v/>
      </c>
    </row>
    <row r="524" ht="15.75" customHeight="1">
      <c r="A524" s="10" t="s">
        <v>1329</v>
      </c>
      <c r="B524" s="10" t="s">
        <v>1330</v>
      </c>
      <c r="C524" s="10" t="s">
        <v>314</v>
      </c>
      <c r="D524" s="10" t="s">
        <v>118</v>
      </c>
      <c r="E524" s="10" t="s">
        <v>118</v>
      </c>
      <c r="F524" s="10" t="s">
        <v>117</v>
      </c>
      <c r="G524" s="10">
        <v>5.0</v>
      </c>
      <c r="H524" s="10">
        <v>7.0</v>
      </c>
      <c r="I524" s="10" t="s">
        <v>2140</v>
      </c>
      <c r="J524" s="10" t="s">
        <v>2136</v>
      </c>
      <c r="K524" s="10"/>
      <c r="L524" s="10">
        <v>0.0</v>
      </c>
      <c r="M524" s="10">
        <v>0.0</v>
      </c>
      <c r="N524" s="10"/>
      <c r="O524" s="10"/>
      <c r="P524" s="12">
        <f>IF($A524="","",IFERROR((IF($O524="",0,$O524)*Settings!$J$4+IF($L524="",0,$L524)*Settings!$J$5+IF($N524="",0,$N524)*Settings!$J$6)/(IF($O524="",0,Settings!$J$4)+IF($L524="",0,Settings!$J$5)+IF($N524="",0,Settings!$J$6)),0))</f>
        <v>0</v>
      </c>
      <c r="Q524" s="12">
        <f t="array" ref="Q524">IF($A524="","",XLOOKUP($E524,Settings!$A$19:$A$22,Settings!$G$19:$G$22,0))</f>
        <v>196.25</v>
      </c>
      <c r="R524" s="12">
        <f t="shared" si="1"/>
        <v>0</v>
      </c>
      <c r="S524" s="12">
        <f>IF($A524="","",IF($R524&lt;=0,1,1+$R524/SUMIF($R$4:$R$923,"&gt;0",$R$4:$R$923)*(Settings!$B$5*(Settings!$B$6-Settings!$B$7))))</f>
        <v>1</v>
      </c>
      <c r="T524" s="12">
        <f t="array" ref="T524">IF($A524="","",XLOOKUP($F524,Settings!$I$15:$I$20,Settings!$J$15:$J$20,1))</f>
        <v>0.75</v>
      </c>
      <c r="U524" s="12">
        <f>IF($A524="","",1+(($G524-5)/5)*Settings!$J$8)</f>
        <v>1</v>
      </c>
      <c r="V524" s="12">
        <f>IF($A524="","",1+(($H524-5)/5)*Settings!$J$9)</f>
        <v>1.06</v>
      </c>
      <c r="W524" s="12">
        <f t="array" ref="W524">IF($A524="","",XLOOKUP($J524,Lists!$C$3:$C$7,Lists!$D$3:$D$7,1))</f>
        <v>1</v>
      </c>
      <c r="X524" s="12">
        <f>IF($A524="","",IF($I524="Yes",Settings!$J$10,1))</f>
        <v>1</v>
      </c>
      <c r="Y524" s="12">
        <f t="shared" si="2"/>
        <v>1</v>
      </c>
      <c r="Z524" s="12">
        <f>IF($A524="","",IFERROR(ROUND(AVERAGEIFS('Historical Drafts'!$G$4:$G$300,'Historical Drafts'!$D$4:$D$300,$E524,'Historical Drafts'!$J$4:$J$300,"&gt;="&amp;$L524*0.85,'Historical Drafts'!$J$4:$J$300,"&lt;="&amp;$L524*1.15),0),$Y524))</f>
        <v>1</v>
      </c>
      <c r="AA524" s="12" t="str">
        <f>IF($A524="","",IF(COUNTIF('Auction Log'!$B$3:$B$300,$A524)&gt;0,"Sold","Available"))</f>
        <v>Available</v>
      </c>
      <c r="AB524" s="12" t="str">
        <f t="array" ref="AB524">IF($A524="","",IFERROR(XLOOKUP($A524,'Auction Log'!$B$3:$B$300,'Auction Log'!$G$3:$G$300,""),""))</f>
        <v/>
      </c>
      <c r="AC524" s="12" t="str">
        <f t="array" ref="AC524">IF($A524="","",IFERROR(XLOOKUP($A524,'Auction Log'!$B$3:$B$300,'Auction Log'!$F$3:$F$300,""),""))</f>
        <v/>
      </c>
      <c r="AD524" s="12">
        <f t="array" ref="AD524">IF($A524="","",ROUND($Y524*XLOOKUP($F524,Settings!$I$15:$I$20,Settings!$K$15:$K$20,0.4),0))</f>
        <v>0</v>
      </c>
      <c r="AE524" s="12">
        <f t="array" ref="AE524">IF($A524="","",ROUND($Y524*XLOOKUP($F524,Settings!$I$15:$I$20,Settings!$L$15:$L$20,0.8),0))</f>
        <v>1</v>
      </c>
      <c r="AF524" s="12">
        <f t="array" ref="AF524">IF($A524="","",ROUND($Y524*XLOOKUP($F524,Settings!$I$15:$I$20,Settings!$M$15:$M$20,1),0))</f>
        <v>1</v>
      </c>
      <c r="AG524" s="12">
        <f t="array" ref="AG524">IF($A524="","",ROUND($Y524*XLOOKUP($F524,Settings!$I$15:$I$20,Settings!$N$15:$N$20,1.1),0))</f>
        <v>1</v>
      </c>
      <c r="AH524" s="12">
        <f t="array" ref="AH524">IF($A524="","",ROUND($Y524*XLOOKUP($F524,Settings!$I$15:$I$20,Settings!$O$15:$O$20,1.1)*Settings!$J$7,0))</f>
        <v>1</v>
      </c>
      <c r="AI524" s="12">
        <f t="array" ref="AI524">IF($A524="","",IF($AA524="Sold","",MIN($AH524,IFERROR(XLOOKUP(Settings!$B$12,Managers!$B$4:$B$15,Managers!$H$4:$H$15),$AH524))))</f>
        <v>1</v>
      </c>
      <c r="AJ524" s="12" t="str">
        <f t="shared" si="3"/>
        <v>Recommended</v>
      </c>
      <c r="AK524" s="12">
        <f t="shared" si="4"/>
        <v>26</v>
      </c>
      <c r="AL524" s="12" t="str">
        <f t="shared" si="5"/>
        <v/>
      </c>
    </row>
    <row r="525" ht="15.75" customHeight="1">
      <c r="A525" s="10" t="s">
        <v>1331</v>
      </c>
      <c r="B525" s="10" t="s">
        <v>1332</v>
      </c>
      <c r="C525" s="10" t="s">
        <v>215</v>
      </c>
      <c r="D525" s="10" t="s">
        <v>121</v>
      </c>
      <c r="E525" s="10" t="s">
        <v>121</v>
      </c>
      <c r="F525" s="10" t="s">
        <v>117</v>
      </c>
      <c r="G525" s="10">
        <v>5.0</v>
      </c>
      <c r="H525" s="10">
        <v>7.0</v>
      </c>
      <c r="I525" s="10" t="s">
        <v>2140</v>
      </c>
      <c r="J525" s="10" t="s">
        <v>2136</v>
      </c>
      <c r="K525" s="10"/>
      <c r="L525" s="10">
        <v>0.0</v>
      </c>
      <c r="M525" s="10">
        <v>0.0</v>
      </c>
      <c r="N525" s="10"/>
      <c r="O525" s="10"/>
      <c r="P525" s="12">
        <f>IF($A525="","",IFERROR((IF($O525="",0,$O525)*Settings!$J$4+IF($L525="",0,$L525)*Settings!$J$5+IF($N525="",0,$N525)*Settings!$J$6)/(IF($O525="",0,Settings!$J$4)+IF($L525="",0,Settings!$J$5)+IF($N525="",0,Settings!$J$6)),0))</f>
        <v>0</v>
      </c>
      <c r="Q525" s="12">
        <f t="array" ref="Q525">IF($A525="","",XLOOKUP($E525,Settings!$A$19:$A$22,Settings!$G$19:$G$22,0))</f>
        <v>206</v>
      </c>
      <c r="R525" s="12">
        <f t="shared" si="1"/>
        <v>0</v>
      </c>
      <c r="S525" s="12">
        <f>IF($A525="","",IF($R525&lt;=0,1,1+$R525/SUMIF($R$4:$R$923,"&gt;0",$R$4:$R$923)*(Settings!$B$5*(Settings!$B$6-Settings!$B$7))))</f>
        <v>1</v>
      </c>
      <c r="T525" s="12">
        <f t="array" ref="T525">IF($A525="","",XLOOKUP($F525,Settings!$I$15:$I$20,Settings!$J$15:$J$20,1))</f>
        <v>0.75</v>
      </c>
      <c r="U525" s="12">
        <f>IF($A525="","",1+(($G525-5)/5)*Settings!$J$8)</f>
        <v>1</v>
      </c>
      <c r="V525" s="12">
        <f>IF($A525="","",1+(($H525-5)/5)*Settings!$J$9)</f>
        <v>1.06</v>
      </c>
      <c r="W525" s="12">
        <f t="array" ref="W525">IF($A525="","",XLOOKUP($J525,Lists!$C$3:$C$7,Lists!$D$3:$D$7,1))</f>
        <v>1</v>
      </c>
      <c r="X525" s="12">
        <f>IF($A525="","",IF($I525="Yes",Settings!$J$10,1))</f>
        <v>1</v>
      </c>
      <c r="Y525" s="12">
        <f t="shared" si="2"/>
        <v>1</v>
      </c>
      <c r="Z525" s="12">
        <f>IF($A525="","",IFERROR(ROUND(AVERAGEIFS('Historical Drafts'!$G$4:$G$300,'Historical Drafts'!$D$4:$D$300,$E525,'Historical Drafts'!$J$4:$J$300,"&gt;="&amp;$L525*0.85,'Historical Drafts'!$J$4:$J$300,"&lt;="&amp;$L525*1.15),0),$Y525))</f>
        <v>3</v>
      </c>
      <c r="AA525" s="12" t="str">
        <f>IF($A525="","",IF(COUNTIF('Auction Log'!$B$3:$B$300,$A525)&gt;0,"Sold","Available"))</f>
        <v>Available</v>
      </c>
      <c r="AB525" s="12" t="str">
        <f t="array" ref="AB525">IF($A525="","",IFERROR(XLOOKUP($A525,'Auction Log'!$B$3:$B$300,'Auction Log'!$G$3:$G$300,""),""))</f>
        <v/>
      </c>
      <c r="AC525" s="12" t="str">
        <f t="array" ref="AC525">IF($A525="","",IFERROR(XLOOKUP($A525,'Auction Log'!$B$3:$B$300,'Auction Log'!$F$3:$F$300,""),""))</f>
        <v/>
      </c>
      <c r="AD525" s="12">
        <f t="array" ref="AD525">IF($A525="","",ROUND($Y525*XLOOKUP($F525,Settings!$I$15:$I$20,Settings!$K$15:$K$20,0.4),0))</f>
        <v>0</v>
      </c>
      <c r="AE525" s="12">
        <f t="array" ref="AE525">IF($A525="","",ROUND($Y525*XLOOKUP($F525,Settings!$I$15:$I$20,Settings!$L$15:$L$20,0.8),0))</f>
        <v>1</v>
      </c>
      <c r="AF525" s="12">
        <f t="array" ref="AF525">IF($A525="","",ROUND($Y525*XLOOKUP($F525,Settings!$I$15:$I$20,Settings!$M$15:$M$20,1),0))</f>
        <v>1</v>
      </c>
      <c r="AG525" s="12">
        <f t="array" ref="AG525">IF($A525="","",ROUND($Y525*XLOOKUP($F525,Settings!$I$15:$I$20,Settings!$N$15:$N$20,1.1),0))</f>
        <v>1</v>
      </c>
      <c r="AH525" s="12">
        <f t="array" ref="AH525">IF($A525="","",ROUND($Y525*XLOOKUP($F525,Settings!$I$15:$I$20,Settings!$O$15:$O$20,1.1)*Settings!$J$7,0))</f>
        <v>1</v>
      </c>
      <c r="AI525" s="12">
        <f t="array" ref="AI525">IF($A525="","",IF($AA525="Sold","",MIN($AH525,IFERROR(XLOOKUP(Settings!$B$12,Managers!$B$4:$B$15,Managers!$H$4:$H$15),$AH525))))</f>
        <v>1</v>
      </c>
      <c r="AJ525" s="12" t="str">
        <f t="shared" si="3"/>
        <v>Budget Drainer</v>
      </c>
      <c r="AK525" s="12">
        <f t="shared" si="4"/>
        <v>28</v>
      </c>
      <c r="AL525" s="12" t="str">
        <f t="shared" si="5"/>
        <v/>
      </c>
    </row>
    <row r="526" ht="15.75" customHeight="1">
      <c r="A526" s="10" t="s">
        <v>1333</v>
      </c>
      <c r="B526" s="10" t="s">
        <v>1334</v>
      </c>
      <c r="C526" s="10" t="s">
        <v>185</v>
      </c>
      <c r="D526" s="10" t="s">
        <v>118</v>
      </c>
      <c r="E526" s="10" t="s">
        <v>118</v>
      </c>
      <c r="F526" s="10" t="s">
        <v>117</v>
      </c>
      <c r="G526" s="10">
        <v>5.0</v>
      </c>
      <c r="H526" s="10">
        <v>7.0</v>
      </c>
      <c r="I526" s="10" t="s">
        <v>2140</v>
      </c>
      <c r="J526" s="10" t="s">
        <v>2136</v>
      </c>
      <c r="K526" s="10"/>
      <c r="L526" s="10">
        <v>0.0</v>
      </c>
      <c r="M526" s="10">
        <v>0.0</v>
      </c>
      <c r="N526" s="10"/>
      <c r="O526" s="10"/>
      <c r="P526" s="12">
        <f>IF($A526="","",IFERROR((IF($O526="",0,$O526)*Settings!$J$4+IF($L526="",0,$L526)*Settings!$J$5+IF($N526="",0,$N526)*Settings!$J$6)/(IF($O526="",0,Settings!$J$4)+IF($L526="",0,Settings!$J$5)+IF($N526="",0,Settings!$J$6)),0))</f>
        <v>0</v>
      </c>
      <c r="Q526" s="12">
        <f t="array" ref="Q526">IF($A526="","",XLOOKUP($E526,Settings!$A$19:$A$22,Settings!$G$19:$G$22,0))</f>
        <v>196.25</v>
      </c>
      <c r="R526" s="12">
        <f t="shared" si="1"/>
        <v>0</v>
      </c>
      <c r="S526" s="12">
        <f>IF($A526="","",IF($R526&lt;=0,1,1+$R526/SUMIF($R$4:$R$923,"&gt;0",$R$4:$R$923)*(Settings!$B$5*(Settings!$B$6-Settings!$B$7))))</f>
        <v>1</v>
      </c>
      <c r="T526" s="12">
        <f t="array" ref="T526">IF($A526="","",XLOOKUP($F526,Settings!$I$15:$I$20,Settings!$J$15:$J$20,1))</f>
        <v>0.75</v>
      </c>
      <c r="U526" s="12">
        <f>IF($A526="","",1+(($G526-5)/5)*Settings!$J$8)</f>
        <v>1</v>
      </c>
      <c r="V526" s="12">
        <f>IF($A526="","",1+(($H526-5)/5)*Settings!$J$9)</f>
        <v>1.06</v>
      </c>
      <c r="W526" s="12">
        <f t="array" ref="W526">IF($A526="","",XLOOKUP($J526,Lists!$C$3:$C$7,Lists!$D$3:$D$7,1))</f>
        <v>1</v>
      </c>
      <c r="X526" s="12">
        <f>IF($A526="","",IF($I526="Yes",Settings!$J$10,1))</f>
        <v>1</v>
      </c>
      <c r="Y526" s="12">
        <f t="shared" si="2"/>
        <v>1</v>
      </c>
      <c r="Z526" s="12">
        <f>IF($A526="","",IFERROR(ROUND(AVERAGEIFS('Historical Drafts'!$G$4:$G$300,'Historical Drafts'!$D$4:$D$300,$E526,'Historical Drafts'!$J$4:$J$300,"&gt;="&amp;$L526*0.85,'Historical Drafts'!$J$4:$J$300,"&lt;="&amp;$L526*1.15),0),$Y526))</f>
        <v>1</v>
      </c>
      <c r="AA526" s="12" t="str">
        <f>IF($A526="","",IF(COUNTIF('Auction Log'!$B$3:$B$300,$A526)&gt;0,"Sold","Available"))</f>
        <v>Available</v>
      </c>
      <c r="AB526" s="12" t="str">
        <f t="array" ref="AB526">IF($A526="","",IFERROR(XLOOKUP($A526,'Auction Log'!$B$3:$B$300,'Auction Log'!$G$3:$G$300,""),""))</f>
        <v/>
      </c>
      <c r="AC526" s="12" t="str">
        <f t="array" ref="AC526">IF($A526="","",IFERROR(XLOOKUP($A526,'Auction Log'!$B$3:$B$300,'Auction Log'!$F$3:$F$300,""),""))</f>
        <v/>
      </c>
      <c r="AD526" s="12">
        <f t="array" ref="AD526">IF($A526="","",ROUND($Y526*XLOOKUP($F526,Settings!$I$15:$I$20,Settings!$K$15:$K$20,0.4),0))</f>
        <v>0</v>
      </c>
      <c r="AE526" s="12">
        <f t="array" ref="AE526">IF($A526="","",ROUND($Y526*XLOOKUP($F526,Settings!$I$15:$I$20,Settings!$L$15:$L$20,0.8),0))</f>
        <v>1</v>
      </c>
      <c r="AF526" s="12">
        <f t="array" ref="AF526">IF($A526="","",ROUND($Y526*XLOOKUP($F526,Settings!$I$15:$I$20,Settings!$M$15:$M$20,1),0))</f>
        <v>1</v>
      </c>
      <c r="AG526" s="12">
        <f t="array" ref="AG526">IF($A526="","",ROUND($Y526*XLOOKUP($F526,Settings!$I$15:$I$20,Settings!$N$15:$N$20,1.1),0))</f>
        <v>1</v>
      </c>
      <c r="AH526" s="12">
        <f t="array" ref="AH526">IF($A526="","",ROUND($Y526*XLOOKUP($F526,Settings!$I$15:$I$20,Settings!$O$15:$O$20,1.1)*Settings!$J$7,0))</f>
        <v>1</v>
      </c>
      <c r="AI526" s="12">
        <f t="array" ref="AI526">IF($A526="","",IF($AA526="Sold","",MIN($AH526,IFERROR(XLOOKUP(Settings!$B$12,Managers!$B$4:$B$15,Managers!$H$4:$H$15),$AH526))))</f>
        <v>1</v>
      </c>
      <c r="AJ526" s="12" t="str">
        <f t="shared" si="3"/>
        <v>Recommended</v>
      </c>
      <c r="AK526" s="12">
        <f t="shared" si="4"/>
        <v>26</v>
      </c>
      <c r="AL526" s="12" t="str">
        <f t="shared" si="5"/>
        <v/>
      </c>
    </row>
    <row r="527" ht="15.75" customHeight="1">
      <c r="A527" s="10" t="s">
        <v>1335</v>
      </c>
      <c r="B527" s="10" t="s">
        <v>1336</v>
      </c>
      <c r="C527" s="10" t="s">
        <v>305</v>
      </c>
      <c r="D527" s="10" t="s">
        <v>118</v>
      </c>
      <c r="E527" s="10" t="s">
        <v>118</v>
      </c>
      <c r="F527" s="10" t="s">
        <v>117</v>
      </c>
      <c r="G527" s="10">
        <v>5.0</v>
      </c>
      <c r="H527" s="10">
        <v>7.0</v>
      </c>
      <c r="I527" s="10" t="s">
        <v>2140</v>
      </c>
      <c r="J527" s="10" t="s">
        <v>2136</v>
      </c>
      <c r="K527" s="10"/>
      <c r="L527" s="10">
        <v>0.0</v>
      </c>
      <c r="M527" s="10">
        <v>0.0</v>
      </c>
      <c r="N527" s="10"/>
      <c r="O527" s="10"/>
      <c r="P527" s="12">
        <f>IF($A527="","",IFERROR((IF($O527="",0,$O527)*Settings!$J$4+IF($L527="",0,$L527)*Settings!$J$5+IF($N527="",0,$N527)*Settings!$J$6)/(IF($O527="",0,Settings!$J$4)+IF($L527="",0,Settings!$J$5)+IF($N527="",0,Settings!$J$6)),0))</f>
        <v>0</v>
      </c>
      <c r="Q527" s="12">
        <f t="array" ref="Q527">IF($A527="","",XLOOKUP($E527,Settings!$A$19:$A$22,Settings!$G$19:$G$22,0))</f>
        <v>196.25</v>
      </c>
      <c r="R527" s="12">
        <f t="shared" si="1"/>
        <v>0</v>
      </c>
      <c r="S527" s="12">
        <f>IF($A527="","",IF($R527&lt;=0,1,1+$R527/SUMIF($R$4:$R$923,"&gt;0",$R$4:$R$923)*(Settings!$B$5*(Settings!$B$6-Settings!$B$7))))</f>
        <v>1</v>
      </c>
      <c r="T527" s="12">
        <f t="array" ref="T527">IF($A527="","",XLOOKUP($F527,Settings!$I$15:$I$20,Settings!$J$15:$J$20,1))</f>
        <v>0.75</v>
      </c>
      <c r="U527" s="12">
        <f>IF($A527="","",1+(($G527-5)/5)*Settings!$J$8)</f>
        <v>1</v>
      </c>
      <c r="V527" s="12">
        <f>IF($A527="","",1+(($H527-5)/5)*Settings!$J$9)</f>
        <v>1.06</v>
      </c>
      <c r="W527" s="12">
        <f t="array" ref="W527">IF($A527="","",XLOOKUP($J527,Lists!$C$3:$C$7,Lists!$D$3:$D$7,1))</f>
        <v>1</v>
      </c>
      <c r="X527" s="12">
        <f>IF($A527="","",IF($I527="Yes",Settings!$J$10,1))</f>
        <v>1</v>
      </c>
      <c r="Y527" s="12">
        <f t="shared" si="2"/>
        <v>1</v>
      </c>
      <c r="Z527" s="12">
        <f>IF($A527="","",IFERROR(ROUND(AVERAGEIFS('Historical Drafts'!$G$4:$G$300,'Historical Drafts'!$D$4:$D$300,$E527,'Historical Drafts'!$J$4:$J$300,"&gt;="&amp;$L527*0.85,'Historical Drafts'!$J$4:$J$300,"&lt;="&amp;$L527*1.15),0),$Y527))</f>
        <v>1</v>
      </c>
      <c r="AA527" s="12" t="str">
        <f>IF($A527="","",IF(COUNTIF('Auction Log'!$B$3:$B$300,$A527)&gt;0,"Sold","Available"))</f>
        <v>Available</v>
      </c>
      <c r="AB527" s="12" t="str">
        <f t="array" ref="AB527">IF($A527="","",IFERROR(XLOOKUP($A527,'Auction Log'!$B$3:$B$300,'Auction Log'!$G$3:$G$300,""),""))</f>
        <v/>
      </c>
      <c r="AC527" s="12" t="str">
        <f t="array" ref="AC527">IF($A527="","",IFERROR(XLOOKUP($A527,'Auction Log'!$B$3:$B$300,'Auction Log'!$F$3:$F$300,""),""))</f>
        <v/>
      </c>
      <c r="AD527" s="12">
        <f t="array" ref="AD527">IF($A527="","",ROUND($Y527*XLOOKUP($F527,Settings!$I$15:$I$20,Settings!$K$15:$K$20,0.4),0))</f>
        <v>0</v>
      </c>
      <c r="AE527" s="12">
        <f t="array" ref="AE527">IF($A527="","",ROUND($Y527*XLOOKUP($F527,Settings!$I$15:$I$20,Settings!$L$15:$L$20,0.8),0))</f>
        <v>1</v>
      </c>
      <c r="AF527" s="12">
        <f t="array" ref="AF527">IF($A527="","",ROUND($Y527*XLOOKUP($F527,Settings!$I$15:$I$20,Settings!$M$15:$M$20,1),0))</f>
        <v>1</v>
      </c>
      <c r="AG527" s="12">
        <f t="array" ref="AG527">IF($A527="","",ROUND($Y527*XLOOKUP($F527,Settings!$I$15:$I$20,Settings!$N$15:$N$20,1.1),0))</f>
        <v>1</v>
      </c>
      <c r="AH527" s="12">
        <f t="array" ref="AH527">IF($A527="","",ROUND($Y527*XLOOKUP($F527,Settings!$I$15:$I$20,Settings!$O$15:$O$20,1.1)*Settings!$J$7,0))</f>
        <v>1</v>
      </c>
      <c r="AI527" s="12">
        <f t="array" ref="AI527">IF($A527="","",IF($AA527="Sold","",MIN($AH527,IFERROR(XLOOKUP(Settings!$B$12,Managers!$B$4:$B$15,Managers!$H$4:$H$15),$AH527))))</f>
        <v>1</v>
      </c>
      <c r="AJ527" s="12" t="str">
        <f t="shared" si="3"/>
        <v>Recommended</v>
      </c>
      <c r="AK527" s="12">
        <f t="shared" si="4"/>
        <v>26</v>
      </c>
      <c r="AL527" s="12" t="str">
        <f t="shared" si="5"/>
        <v/>
      </c>
    </row>
    <row r="528" ht="15.75" customHeight="1">
      <c r="A528" s="10" t="s">
        <v>1337</v>
      </c>
      <c r="B528" s="10" t="s">
        <v>1338</v>
      </c>
      <c r="C528" s="10" t="s">
        <v>314</v>
      </c>
      <c r="D528" s="10" t="s">
        <v>118</v>
      </c>
      <c r="E528" s="10" t="s">
        <v>118</v>
      </c>
      <c r="F528" s="10" t="s">
        <v>117</v>
      </c>
      <c r="G528" s="10">
        <v>5.0</v>
      </c>
      <c r="H528" s="10">
        <v>7.0</v>
      </c>
      <c r="I528" s="10" t="s">
        <v>2140</v>
      </c>
      <c r="J528" s="10" t="s">
        <v>2136</v>
      </c>
      <c r="K528" s="10"/>
      <c r="L528" s="10">
        <v>0.0</v>
      </c>
      <c r="M528" s="10">
        <v>0.0</v>
      </c>
      <c r="N528" s="10"/>
      <c r="O528" s="10"/>
      <c r="P528" s="12">
        <f>IF($A528="","",IFERROR((IF($O528="",0,$O528)*Settings!$J$4+IF($L528="",0,$L528)*Settings!$J$5+IF($N528="",0,$N528)*Settings!$J$6)/(IF($O528="",0,Settings!$J$4)+IF($L528="",0,Settings!$J$5)+IF($N528="",0,Settings!$J$6)),0))</f>
        <v>0</v>
      </c>
      <c r="Q528" s="12">
        <f t="array" ref="Q528">IF($A528="","",XLOOKUP($E528,Settings!$A$19:$A$22,Settings!$G$19:$G$22,0))</f>
        <v>196.25</v>
      </c>
      <c r="R528" s="12">
        <f t="shared" si="1"/>
        <v>0</v>
      </c>
      <c r="S528" s="12">
        <f>IF($A528="","",IF($R528&lt;=0,1,1+$R528/SUMIF($R$4:$R$923,"&gt;0",$R$4:$R$923)*(Settings!$B$5*(Settings!$B$6-Settings!$B$7))))</f>
        <v>1</v>
      </c>
      <c r="T528" s="12">
        <f t="array" ref="T528">IF($A528="","",XLOOKUP($F528,Settings!$I$15:$I$20,Settings!$J$15:$J$20,1))</f>
        <v>0.75</v>
      </c>
      <c r="U528" s="12">
        <f>IF($A528="","",1+(($G528-5)/5)*Settings!$J$8)</f>
        <v>1</v>
      </c>
      <c r="V528" s="12">
        <f>IF($A528="","",1+(($H528-5)/5)*Settings!$J$9)</f>
        <v>1.06</v>
      </c>
      <c r="W528" s="12">
        <f t="array" ref="W528">IF($A528="","",XLOOKUP($J528,Lists!$C$3:$C$7,Lists!$D$3:$D$7,1))</f>
        <v>1</v>
      </c>
      <c r="X528" s="12">
        <f>IF($A528="","",IF($I528="Yes",Settings!$J$10,1))</f>
        <v>1</v>
      </c>
      <c r="Y528" s="12">
        <f t="shared" si="2"/>
        <v>1</v>
      </c>
      <c r="Z528" s="12">
        <f>IF($A528="","",IFERROR(ROUND(AVERAGEIFS('Historical Drafts'!$G$4:$G$300,'Historical Drafts'!$D$4:$D$300,$E528,'Historical Drafts'!$J$4:$J$300,"&gt;="&amp;$L528*0.85,'Historical Drafts'!$J$4:$J$300,"&lt;="&amp;$L528*1.15),0),$Y528))</f>
        <v>1</v>
      </c>
      <c r="AA528" s="12" t="str">
        <f>IF($A528="","",IF(COUNTIF('Auction Log'!$B$3:$B$300,$A528)&gt;0,"Sold","Available"))</f>
        <v>Available</v>
      </c>
      <c r="AB528" s="12" t="str">
        <f t="array" ref="AB528">IF($A528="","",IFERROR(XLOOKUP($A528,'Auction Log'!$B$3:$B$300,'Auction Log'!$G$3:$G$300,""),""))</f>
        <v/>
      </c>
      <c r="AC528" s="12" t="str">
        <f t="array" ref="AC528">IF($A528="","",IFERROR(XLOOKUP($A528,'Auction Log'!$B$3:$B$300,'Auction Log'!$F$3:$F$300,""),""))</f>
        <v/>
      </c>
      <c r="AD528" s="12">
        <f t="array" ref="AD528">IF($A528="","",ROUND($Y528*XLOOKUP($F528,Settings!$I$15:$I$20,Settings!$K$15:$K$20,0.4),0))</f>
        <v>0</v>
      </c>
      <c r="AE528" s="12">
        <f t="array" ref="AE528">IF($A528="","",ROUND($Y528*XLOOKUP($F528,Settings!$I$15:$I$20,Settings!$L$15:$L$20,0.8),0))</f>
        <v>1</v>
      </c>
      <c r="AF528" s="12">
        <f t="array" ref="AF528">IF($A528="","",ROUND($Y528*XLOOKUP($F528,Settings!$I$15:$I$20,Settings!$M$15:$M$20,1),0))</f>
        <v>1</v>
      </c>
      <c r="AG528" s="12">
        <f t="array" ref="AG528">IF($A528="","",ROUND($Y528*XLOOKUP($F528,Settings!$I$15:$I$20,Settings!$N$15:$N$20,1.1),0))</f>
        <v>1</v>
      </c>
      <c r="AH528" s="12">
        <f t="array" ref="AH528">IF($A528="","",ROUND($Y528*XLOOKUP($F528,Settings!$I$15:$I$20,Settings!$O$15:$O$20,1.1)*Settings!$J$7,0))</f>
        <v>1</v>
      </c>
      <c r="AI528" s="12">
        <f t="array" ref="AI528">IF($A528="","",IF($AA528="Sold","",MIN($AH528,IFERROR(XLOOKUP(Settings!$B$12,Managers!$B$4:$B$15,Managers!$H$4:$H$15),$AH528))))</f>
        <v>1</v>
      </c>
      <c r="AJ528" s="12" t="str">
        <f t="shared" si="3"/>
        <v>Recommended</v>
      </c>
      <c r="AK528" s="12">
        <f t="shared" si="4"/>
        <v>26</v>
      </c>
      <c r="AL528" s="12" t="str">
        <f t="shared" si="5"/>
        <v/>
      </c>
    </row>
    <row r="529" ht="15.75" customHeight="1">
      <c r="A529" s="10" t="s">
        <v>1339</v>
      </c>
      <c r="B529" s="10" t="s">
        <v>1340</v>
      </c>
      <c r="C529" s="10" t="s">
        <v>188</v>
      </c>
      <c r="D529" s="10" t="s">
        <v>118</v>
      </c>
      <c r="E529" s="10" t="s">
        <v>118</v>
      </c>
      <c r="F529" s="10" t="s">
        <v>117</v>
      </c>
      <c r="G529" s="10">
        <v>5.0</v>
      </c>
      <c r="H529" s="10">
        <v>7.0</v>
      </c>
      <c r="I529" s="10" t="s">
        <v>2140</v>
      </c>
      <c r="J529" s="10" t="s">
        <v>2136</v>
      </c>
      <c r="K529" s="10"/>
      <c r="L529" s="10">
        <v>0.0</v>
      </c>
      <c r="M529" s="10">
        <v>0.0</v>
      </c>
      <c r="N529" s="10"/>
      <c r="O529" s="10"/>
      <c r="P529" s="12">
        <f>IF($A529="","",IFERROR((IF($O529="",0,$O529)*Settings!$J$4+IF($L529="",0,$L529)*Settings!$J$5+IF($N529="",0,$N529)*Settings!$J$6)/(IF($O529="",0,Settings!$J$4)+IF($L529="",0,Settings!$J$5)+IF($N529="",0,Settings!$J$6)),0))</f>
        <v>0</v>
      </c>
      <c r="Q529" s="12">
        <f t="array" ref="Q529">IF($A529="","",XLOOKUP($E529,Settings!$A$19:$A$22,Settings!$G$19:$G$22,0))</f>
        <v>196.25</v>
      </c>
      <c r="R529" s="12">
        <f t="shared" si="1"/>
        <v>0</v>
      </c>
      <c r="S529" s="12">
        <f>IF($A529="","",IF($R529&lt;=0,1,1+$R529/SUMIF($R$4:$R$923,"&gt;0",$R$4:$R$923)*(Settings!$B$5*(Settings!$B$6-Settings!$B$7))))</f>
        <v>1</v>
      </c>
      <c r="T529" s="12">
        <f t="array" ref="T529">IF($A529="","",XLOOKUP($F529,Settings!$I$15:$I$20,Settings!$J$15:$J$20,1))</f>
        <v>0.75</v>
      </c>
      <c r="U529" s="12">
        <f>IF($A529="","",1+(($G529-5)/5)*Settings!$J$8)</f>
        <v>1</v>
      </c>
      <c r="V529" s="12">
        <f>IF($A529="","",1+(($H529-5)/5)*Settings!$J$9)</f>
        <v>1.06</v>
      </c>
      <c r="W529" s="12">
        <f t="array" ref="W529">IF($A529="","",XLOOKUP($J529,Lists!$C$3:$C$7,Lists!$D$3:$D$7,1))</f>
        <v>1</v>
      </c>
      <c r="X529" s="12">
        <f>IF($A529="","",IF($I529="Yes",Settings!$J$10,1))</f>
        <v>1</v>
      </c>
      <c r="Y529" s="12">
        <f t="shared" si="2"/>
        <v>1</v>
      </c>
      <c r="Z529" s="12">
        <f>IF($A529="","",IFERROR(ROUND(AVERAGEIFS('Historical Drafts'!$G$4:$G$300,'Historical Drafts'!$D$4:$D$300,$E529,'Historical Drafts'!$J$4:$J$300,"&gt;="&amp;$L529*0.85,'Historical Drafts'!$J$4:$J$300,"&lt;="&amp;$L529*1.15),0),$Y529))</f>
        <v>1</v>
      </c>
      <c r="AA529" s="12" t="str">
        <f>IF($A529="","",IF(COUNTIF('Auction Log'!$B$3:$B$300,$A529)&gt;0,"Sold","Available"))</f>
        <v>Available</v>
      </c>
      <c r="AB529" s="12" t="str">
        <f t="array" ref="AB529">IF($A529="","",IFERROR(XLOOKUP($A529,'Auction Log'!$B$3:$B$300,'Auction Log'!$G$3:$G$300,""),""))</f>
        <v/>
      </c>
      <c r="AC529" s="12" t="str">
        <f t="array" ref="AC529">IF($A529="","",IFERROR(XLOOKUP($A529,'Auction Log'!$B$3:$B$300,'Auction Log'!$F$3:$F$300,""),""))</f>
        <v/>
      </c>
      <c r="AD529" s="12">
        <f t="array" ref="AD529">IF($A529="","",ROUND($Y529*XLOOKUP($F529,Settings!$I$15:$I$20,Settings!$K$15:$K$20,0.4),0))</f>
        <v>0</v>
      </c>
      <c r="AE529" s="12">
        <f t="array" ref="AE529">IF($A529="","",ROUND($Y529*XLOOKUP($F529,Settings!$I$15:$I$20,Settings!$L$15:$L$20,0.8),0))</f>
        <v>1</v>
      </c>
      <c r="AF529" s="12">
        <f t="array" ref="AF529">IF($A529="","",ROUND($Y529*XLOOKUP($F529,Settings!$I$15:$I$20,Settings!$M$15:$M$20,1),0))</f>
        <v>1</v>
      </c>
      <c r="AG529" s="12">
        <f t="array" ref="AG529">IF($A529="","",ROUND($Y529*XLOOKUP($F529,Settings!$I$15:$I$20,Settings!$N$15:$N$20,1.1),0))</f>
        <v>1</v>
      </c>
      <c r="AH529" s="12">
        <f t="array" ref="AH529">IF($A529="","",ROUND($Y529*XLOOKUP($F529,Settings!$I$15:$I$20,Settings!$O$15:$O$20,1.1)*Settings!$J$7,0))</f>
        <v>1</v>
      </c>
      <c r="AI529" s="12">
        <f t="array" ref="AI529">IF($A529="","",IF($AA529="Sold","",MIN($AH529,IFERROR(XLOOKUP(Settings!$B$12,Managers!$B$4:$B$15,Managers!$H$4:$H$15),$AH529))))</f>
        <v>1</v>
      </c>
      <c r="AJ529" s="12" t="str">
        <f t="shared" si="3"/>
        <v>Recommended</v>
      </c>
      <c r="AK529" s="12">
        <f t="shared" si="4"/>
        <v>26</v>
      </c>
      <c r="AL529" s="12" t="str">
        <f t="shared" si="5"/>
        <v/>
      </c>
    </row>
    <row r="530" ht="15.75" customHeight="1">
      <c r="A530" s="10" t="s">
        <v>1341</v>
      </c>
      <c r="B530" s="10" t="s">
        <v>1342</v>
      </c>
      <c r="C530" s="10" t="s">
        <v>215</v>
      </c>
      <c r="D530" s="10" t="s">
        <v>123</v>
      </c>
      <c r="E530" s="10" t="s">
        <v>123</v>
      </c>
      <c r="F530" s="10" t="s">
        <v>117</v>
      </c>
      <c r="G530" s="10">
        <v>5.0</v>
      </c>
      <c r="H530" s="10">
        <v>7.0</v>
      </c>
      <c r="I530" s="10" t="s">
        <v>2140</v>
      </c>
      <c r="J530" s="10" t="s">
        <v>2136</v>
      </c>
      <c r="K530" s="10"/>
      <c r="L530" s="10">
        <v>0.0</v>
      </c>
      <c r="M530" s="10">
        <v>0.0</v>
      </c>
      <c r="N530" s="10"/>
      <c r="O530" s="10"/>
      <c r="P530" s="12">
        <f>IF($A530="","",IFERROR((IF($O530="",0,$O530)*Settings!$J$4+IF($L530="",0,$L530)*Settings!$J$5+IF($N530="",0,$N530)*Settings!$J$6)/(IF($O530="",0,Settings!$J$4)+IF($L530="",0,Settings!$J$5)+IF($N530="",0,Settings!$J$6)),0))</f>
        <v>0</v>
      </c>
      <c r="Q530" s="12">
        <f t="array" ref="Q530">IF($A530="","",XLOOKUP($E530,Settings!$A$19:$A$22,Settings!$G$19:$G$22,0))</f>
        <v>203</v>
      </c>
      <c r="R530" s="12">
        <f t="shared" si="1"/>
        <v>0</v>
      </c>
      <c r="S530" s="12">
        <f>IF($A530="","",IF($R530&lt;=0,1,1+$R530/SUMIF($R$4:$R$923,"&gt;0",$R$4:$R$923)*(Settings!$B$5*(Settings!$B$6-Settings!$B$7))))</f>
        <v>1</v>
      </c>
      <c r="T530" s="12">
        <f t="array" ref="T530">IF($A530="","",XLOOKUP($F530,Settings!$I$15:$I$20,Settings!$J$15:$J$20,1))</f>
        <v>0.75</v>
      </c>
      <c r="U530" s="12">
        <f>IF($A530="","",1+(($G530-5)/5)*Settings!$J$8)</f>
        <v>1</v>
      </c>
      <c r="V530" s="12">
        <f>IF($A530="","",1+(($H530-5)/5)*Settings!$J$9)</f>
        <v>1.06</v>
      </c>
      <c r="W530" s="12">
        <f t="array" ref="W530">IF($A530="","",XLOOKUP($J530,Lists!$C$3:$C$7,Lists!$D$3:$D$7,1))</f>
        <v>1</v>
      </c>
      <c r="X530" s="12">
        <f>IF($A530="","",IF($I530="Yes",Settings!$J$10,1))</f>
        <v>1</v>
      </c>
      <c r="Y530" s="12">
        <f t="shared" si="2"/>
        <v>1</v>
      </c>
      <c r="Z530" s="12">
        <f>IF($A530="","",IFERROR(ROUND(AVERAGEIFS('Historical Drafts'!$G$4:$G$300,'Historical Drafts'!$D$4:$D$300,$E530,'Historical Drafts'!$J$4:$J$300,"&gt;="&amp;$L530*0.85,'Historical Drafts'!$J$4:$J$300,"&lt;="&amp;$L530*1.15),0),$Y530))</f>
        <v>3</v>
      </c>
      <c r="AA530" s="12" t="str">
        <f>IF($A530="","",IF(COUNTIF('Auction Log'!$B$3:$B$300,$A530)&gt;0,"Sold","Available"))</f>
        <v>Available</v>
      </c>
      <c r="AB530" s="12" t="str">
        <f t="array" ref="AB530">IF($A530="","",IFERROR(XLOOKUP($A530,'Auction Log'!$B$3:$B$300,'Auction Log'!$G$3:$G$300,""),""))</f>
        <v/>
      </c>
      <c r="AC530" s="12" t="str">
        <f t="array" ref="AC530">IF($A530="","",IFERROR(XLOOKUP($A530,'Auction Log'!$B$3:$B$300,'Auction Log'!$F$3:$F$300,""),""))</f>
        <v/>
      </c>
      <c r="AD530" s="12">
        <f t="array" ref="AD530">IF($A530="","",ROUND($Y530*XLOOKUP($F530,Settings!$I$15:$I$20,Settings!$K$15:$K$20,0.4),0))</f>
        <v>0</v>
      </c>
      <c r="AE530" s="12">
        <f t="array" ref="AE530">IF($A530="","",ROUND($Y530*XLOOKUP($F530,Settings!$I$15:$I$20,Settings!$L$15:$L$20,0.8),0))</f>
        <v>1</v>
      </c>
      <c r="AF530" s="12">
        <f t="array" ref="AF530">IF($A530="","",ROUND($Y530*XLOOKUP($F530,Settings!$I$15:$I$20,Settings!$M$15:$M$20,1),0))</f>
        <v>1</v>
      </c>
      <c r="AG530" s="12">
        <f t="array" ref="AG530">IF($A530="","",ROUND($Y530*XLOOKUP($F530,Settings!$I$15:$I$20,Settings!$N$15:$N$20,1.1),0))</f>
        <v>1</v>
      </c>
      <c r="AH530" s="12">
        <f t="array" ref="AH530">IF($A530="","",ROUND($Y530*XLOOKUP($F530,Settings!$I$15:$I$20,Settings!$O$15:$O$20,1.1)*Settings!$J$7,0))</f>
        <v>1</v>
      </c>
      <c r="AI530" s="12">
        <f t="array" ref="AI530">IF($A530="","",IF($AA530="Sold","",MIN($AH530,IFERROR(XLOOKUP(Settings!$B$12,Managers!$B$4:$B$15,Managers!$H$4:$H$15),$AH530))))</f>
        <v>1</v>
      </c>
      <c r="AJ530" s="12" t="str">
        <f t="shared" si="3"/>
        <v>Budget Drainer</v>
      </c>
      <c r="AK530" s="12">
        <f t="shared" si="4"/>
        <v>28</v>
      </c>
      <c r="AL530" s="12" t="str">
        <f t="shared" si="5"/>
        <v/>
      </c>
    </row>
    <row r="531" ht="15.75" customHeight="1">
      <c r="A531" s="10" t="s">
        <v>1343</v>
      </c>
      <c r="B531" s="10" t="s">
        <v>1344</v>
      </c>
      <c r="C531" s="10" t="s">
        <v>285</v>
      </c>
      <c r="D531" s="10" t="s">
        <v>118</v>
      </c>
      <c r="E531" s="10" t="s">
        <v>118</v>
      </c>
      <c r="F531" s="10" t="s">
        <v>117</v>
      </c>
      <c r="G531" s="10">
        <v>5.0</v>
      </c>
      <c r="H531" s="10">
        <v>7.0</v>
      </c>
      <c r="I531" s="10" t="s">
        <v>2140</v>
      </c>
      <c r="J531" s="10" t="s">
        <v>2136</v>
      </c>
      <c r="K531" s="10"/>
      <c r="L531" s="10">
        <v>0.0</v>
      </c>
      <c r="M531" s="10">
        <v>0.0</v>
      </c>
      <c r="N531" s="10"/>
      <c r="O531" s="10"/>
      <c r="P531" s="12">
        <f>IF($A531="","",IFERROR((IF($O531="",0,$O531)*Settings!$J$4+IF($L531="",0,$L531)*Settings!$J$5+IF($N531="",0,$N531)*Settings!$J$6)/(IF($O531="",0,Settings!$J$4)+IF($L531="",0,Settings!$J$5)+IF($N531="",0,Settings!$J$6)),0))</f>
        <v>0</v>
      </c>
      <c r="Q531" s="12">
        <f t="array" ref="Q531">IF($A531="","",XLOOKUP($E531,Settings!$A$19:$A$22,Settings!$G$19:$G$22,0))</f>
        <v>196.25</v>
      </c>
      <c r="R531" s="12">
        <f t="shared" si="1"/>
        <v>0</v>
      </c>
      <c r="S531" s="12">
        <f>IF($A531="","",IF($R531&lt;=0,1,1+$R531/SUMIF($R$4:$R$923,"&gt;0",$R$4:$R$923)*(Settings!$B$5*(Settings!$B$6-Settings!$B$7))))</f>
        <v>1</v>
      </c>
      <c r="T531" s="12">
        <f t="array" ref="T531">IF($A531="","",XLOOKUP($F531,Settings!$I$15:$I$20,Settings!$J$15:$J$20,1))</f>
        <v>0.75</v>
      </c>
      <c r="U531" s="12">
        <f>IF($A531="","",1+(($G531-5)/5)*Settings!$J$8)</f>
        <v>1</v>
      </c>
      <c r="V531" s="12">
        <f>IF($A531="","",1+(($H531-5)/5)*Settings!$J$9)</f>
        <v>1.06</v>
      </c>
      <c r="W531" s="12">
        <f t="array" ref="W531">IF($A531="","",XLOOKUP($J531,Lists!$C$3:$C$7,Lists!$D$3:$D$7,1))</f>
        <v>1</v>
      </c>
      <c r="X531" s="12">
        <f>IF($A531="","",IF($I531="Yes",Settings!$J$10,1))</f>
        <v>1</v>
      </c>
      <c r="Y531" s="12">
        <f t="shared" si="2"/>
        <v>1</v>
      </c>
      <c r="Z531" s="12">
        <f>IF($A531="","",IFERROR(ROUND(AVERAGEIFS('Historical Drafts'!$G$4:$G$300,'Historical Drafts'!$D$4:$D$300,$E531,'Historical Drafts'!$J$4:$J$300,"&gt;="&amp;$L531*0.85,'Historical Drafts'!$J$4:$J$300,"&lt;="&amp;$L531*1.15),0),$Y531))</f>
        <v>1</v>
      </c>
      <c r="AA531" s="12" t="str">
        <f>IF($A531="","",IF(COUNTIF('Auction Log'!$B$3:$B$300,$A531)&gt;0,"Sold","Available"))</f>
        <v>Available</v>
      </c>
      <c r="AB531" s="12" t="str">
        <f t="array" ref="AB531">IF($A531="","",IFERROR(XLOOKUP($A531,'Auction Log'!$B$3:$B$300,'Auction Log'!$G$3:$G$300,""),""))</f>
        <v/>
      </c>
      <c r="AC531" s="12" t="str">
        <f t="array" ref="AC531">IF($A531="","",IFERROR(XLOOKUP($A531,'Auction Log'!$B$3:$B$300,'Auction Log'!$F$3:$F$300,""),""))</f>
        <v/>
      </c>
      <c r="AD531" s="12">
        <f t="array" ref="AD531">IF($A531="","",ROUND($Y531*XLOOKUP($F531,Settings!$I$15:$I$20,Settings!$K$15:$K$20,0.4),0))</f>
        <v>0</v>
      </c>
      <c r="AE531" s="12">
        <f t="array" ref="AE531">IF($A531="","",ROUND($Y531*XLOOKUP($F531,Settings!$I$15:$I$20,Settings!$L$15:$L$20,0.8),0))</f>
        <v>1</v>
      </c>
      <c r="AF531" s="12">
        <f t="array" ref="AF531">IF($A531="","",ROUND($Y531*XLOOKUP($F531,Settings!$I$15:$I$20,Settings!$M$15:$M$20,1),0))</f>
        <v>1</v>
      </c>
      <c r="AG531" s="12">
        <f t="array" ref="AG531">IF($A531="","",ROUND($Y531*XLOOKUP($F531,Settings!$I$15:$I$20,Settings!$N$15:$N$20,1.1),0))</f>
        <v>1</v>
      </c>
      <c r="AH531" s="12">
        <f t="array" ref="AH531">IF($A531="","",ROUND($Y531*XLOOKUP($F531,Settings!$I$15:$I$20,Settings!$O$15:$O$20,1.1)*Settings!$J$7,0))</f>
        <v>1</v>
      </c>
      <c r="AI531" s="12">
        <f t="array" ref="AI531">IF($A531="","",IF($AA531="Sold","",MIN($AH531,IFERROR(XLOOKUP(Settings!$B$12,Managers!$B$4:$B$15,Managers!$H$4:$H$15),$AH531))))</f>
        <v>1</v>
      </c>
      <c r="AJ531" s="12" t="str">
        <f t="shared" si="3"/>
        <v>Recommended</v>
      </c>
      <c r="AK531" s="12">
        <f t="shared" si="4"/>
        <v>26</v>
      </c>
      <c r="AL531" s="12" t="str">
        <f t="shared" si="5"/>
        <v/>
      </c>
    </row>
    <row r="532" ht="15.75" customHeight="1">
      <c r="A532" s="10" t="s">
        <v>1345</v>
      </c>
      <c r="B532" s="10" t="s">
        <v>1346</v>
      </c>
      <c r="C532" s="10" t="s">
        <v>243</v>
      </c>
      <c r="D532" s="10" t="s">
        <v>118</v>
      </c>
      <c r="E532" s="10" t="s">
        <v>118</v>
      </c>
      <c r="F532" s="10" t="s">
        <v>117</v>
      </c>
      <c r="G532" s="10">
        <v>5.0</v>
      </c>
      <c r="H532" s="10">
        <v>7.0</v>
      </c>
      <c r="I532" s="10" t="s">
        <v>2140</v>
      </c>
      <c r="J532" s="10" t="s">
        <v>2136</v>
      </c>
      <c r="K532" s="10"/>
      <c r="L532" s="10">
        <v>0.0</v>
      </c>
      <c r="M532" s="10">
        <v>0.0</v>
      </c>
      <c r="N532" s="10"/>
      <c r="O532" s="10"/>
      <c r="P532" s="12">
        <f>IF($A532="","",IFERROR((IF($O532="",0,$O532)*Settings!$J$4+IF($L532="",0,$L532)*Settings!$J$5+IF($N532="",0,$N532)*Settings!$J$6)/(IF($O532="",0,Settings!$J$4)+IF($L532="",0,Settings!$J$5)+IF($N532="",0,Settings!$J$6)),0))</f>
        <v>0</v>
      </c>
      <c r="Q532" s="12">
        <f t="array" ref="Q532">IF($A532="","",XLOOKUP($E532,Settings!$A$19:$A$22,Settings!$G$19:$G$22,0))</f>
        <v>196.25</v>
      </c>
      <c r="R532" s="12">
        <f t="shared" si="1"/>
        <v>0</v>
      </c>
      <c r="S532" s="12">
        <f>IF($A532="","",IF($R532&lt;=0,1,1+$R532/SUMIF($R$4:$R$923,"&gt;0",$R$4:$R$923)*(Settings!$B$5*(Settings!$B$6-Settings!$B$7))))</f>
        <v>1</v>
      </c>
      <c r="T532" s="12">
        <f t="array" ref="T532">IF($A532="","",XLOOKUP($F532,Settings!$I$15:$I$20,Settings!$J$15:$J$20,1))</f>
        <v>0.75</v>
      </c>
      <c r="U532" s="12">
        <f>IF($A532="","",1+(($G532-5)/5)*Settings!$J$8)</f>
        <v>1</v>
      </c>
      <c r="V532" s="12">
        <f>IF($A532="","",1+(($H532-5)/5)*Settings!$J$9)</f>
        <v>1.06</v>
      </c>
      <c r="W532" s="12">
        <f t="array" ref="W532">IF($A532="","",XLOOKUP($J532,Lists!$C$3:$C$7,Lists!$D$3:$D$7,1))</f>
        <v>1</v>
      </c>
      <c r="X532" s="12">
        <f>IF($A532="","",IF($I532="Yes",Settings!$J$10,1))</f>
        <v>1</v>
      </c>
      <c r="Y532" s="12">
        <f t="shared" si="2"/>
        <v>1</v>
      </c>
      <c r="Z532" s="12">
        <f>IF($A532="","",IFERROR(ROUND(AVERAGEIFS('Historical Drafts'!$G$4:$G$300,'Historical Drafts'!$D$4:$D$300,$E532,'Historical Drafts'!$J$4:$J$300,"&gt;="&amp;$L532*0.85,'Historical Drafts'!$J$4:$J$300,"&lt;="&amp;$L532*1.15),0),$Y532))</f>
        <v>1</v>
      </c>
      <c r="AA532" s="12" t="str">
        <f>IF($A532="","",IF(COUNTIF('Auction Log'!$B$3:$B$300,$A532)&gt;0,"Sold","Available"))</f>
        <v>Available</v>
      </c>
      <c r="AB532" s="12" t="str">
        <f t="array" ref="AB532">IF($A532="","",IFERROR(XLOOKUP($A532,'Auction Log'!$B$3:$B$300,'Auction Log'!$G$3:$G$300,""),""))</f>
        <v/>
      </c>
      <c r="AC532" s="12" t="str">
        <f t="array" ref="AC532">IF($A532="","",IFERROR(XLOOKUP($A532,'Auction Log'!$B$3:$B$300,'Auction Log'!$F$3:$F$300,""),""))</f>
        <v/>
      </c>
      <c r="AD532" s="12">
        <f t="array" ref="AD532">IF($A532="","",ROUND($Y532*XLOOKUP($F532,Settings!$I$15:$I$20,Settings!$K$15:$K$20,0.4),0))</f>
        <v>0</v>
      </c>
      <c r="AE532" s="12">
        <f t="array" ref="AE532">IF($A532="","",ROUND($Y532*XLOOKUP($F532,Settings!$I$15:$I$20,Settings!$L$15:$L$20,0.8),0))</f>
        <v>1</v>
      </c>
      <c r="AF532" s="12">
        <f t="array" ref="AF532">IF($A532="","",ROUND($Y532*XLOOKUP($F532,Settings!$I$15:$I$20,Settings!$M$15:$M$20,1),0))</f>
        <v>1</v>
      </c>
      <c r="AG532" s="12">
        <f t="array" ref="AG532">IF($A532="","",ROUND($Y532*XLOOKUP($F532,Settings!$I$15:$I$20,Settings!$N$15:$N$20,1.1),0))</f>
        <v>1</v>
      </c>
      <c r="AH532" s="12">
        <f t="array" ref="AH532">IF($A532="","",ROUND($Y532*XLOOKUP($F532,Settings!$I$15:$I$20,Settings!$O$15:$O$20,1.1)*Settings!$J$7,0))</f>
        <v>1</v>
      </c>
      <c r="AI532" s="12">
        <f t="array" ref="AI532">IF($A532="","",IF($AA532="Sold","",MIN($AH532,IFERROR(XLOOKUP(Settings!$B$12,Managers!$B$4:$B$15,Managers!$H$4:$H$15),$AH532))))</f>
        <v>1</v>
      </c>
      <c r="AJ532" s="12" t="str">
        <f t="shared" si="3"/>
        <v>Recommended</v>
      </c>
      <c r="AK532" s="12">
        <f t="shared" si="4"/>
        <v>26</v>
      </c>
      <c r="AL532" s="12" t="str">
        <f t="shared" si="5"/>
        <v/>
      </c>
    </row>
    <row r="533" ht="15.75" customHeight="1">
      <c r="A533" s="10" t="s">
        <v>1347</v>
      </c>
      <c r="B533" s="10" t="s">
        <v>1348</v>
      </c>
      <c r="C533" s="10" t="s">
        <v>327</v>
      </c>
      <c r="D533" s="10" t="s">
        <v>118</v>
      </c>
      <c r="E533" s="10" t="s">
        <v>118</v>
      </c>
      <c r="F533" s="10" t="s">
        <v>117</v>
      </c>
      <c r="G533" s="10">
        <v>5.0</v>
      </c>
      <c r="H533" s="10">
        <v>7.0</v>
      </c>
      <c r="I533" s="10" t="s">
        <v>2140</v>
      </c>
      <c r="J533" s="10" t="s">
        <v>2136</v>
      </c>
      <c r="K533" s="10"/>
      <c r="L533" s="10">
        <v>0.0</v>
      </c>
      <c r="M533" s="10">
        <v>0.0</v>
      </c>
      <c r="N533" s="10"/>
      <c r="O533" s="10"/>
      <c r="P533" s="12">
        <f>IF($A533="","",IFERROR((IF($O533="",0,$O533)*Settings!$J$4+IF($L533="",0,$L533)*Settings!$J$5+IF($N533="",0,$N533)*Settings!$J$6)/(IF($O533="",0,Settings!$J$4)+IF($L533="",0,Settings!$J$5)+IF($N533="",0,Settings!$J$6)),0))</f>
        <v>0</v>
      </c>
      <c r="Q533" s="12">
        <f t="array" ref="Q533">IF($A533="","",XLOOKUP($E533,Settings!$A$19:$A$22,Settings!$G$19:$G$22,0))</f>
        <v>196.25</v>
      </c>
      <c r="R533" s="12">
        <f t="shared" si="1"/>
        <v>0</v>
      </c>
      <c r="S533" s="12">
        <f>IF($A533="","",IF($R533&lt;=0,1,1+$R533/SUMIF($R$4:$R$923,"&gt;0",$R$4:$R$923)*(Settings!$B$5*(Settings!$B$6-Settings!$B$7))))</f>
        <v>1</v>
      </c>
      <c r="T533" s="12">
        <f t="array" ref="T533">IF($A533="","",XLOOKUP($F533,Settings!$I$15:$I$20,Settings!$J$15:$J$20,1))</f>
        <v>0.75</v>
      </c>
      <c r="U533" s="12">
        <f>IF($A533="","",1+(($G533-5)/5)*Settings!$J$8)</f>
        <v>1</v>
      </c>
      <c r="V533" s="12">
        <f>IF($A533="","",1+(($H533-5)/5)*Settings!$J$9)</f>
        <v>1.06</v>
      </c>
      <c r="W533" s="12">
        <f t="array" ref="W533">IF($A533="","",XLOOKUP($J533,Lists!$C$3:$C$7,Lists!$D$3:$D$7,1))</f>
        <v>1</v>
      </c>
      <c r="X533" s="12">
        <f>IF($A533="","",IF($I533="Yes",Settings!$J$10,1))</f>
        <v>1</v>
      </c>
      <c r="Y533" s="12">
        <f t="shared" si="2"/>
        <v>1</v>
      </c>
      <c r="Z533" s="12">
        <f>IF($A533="","",IFERROR(ROUND(AVERAGEIFS('Historical Drafts'!$G$4:$G$300,'Historical Drafts'!$D$4:$D$300,$E533,'Historical Drafts'!$J$4:$J$300,"&gt;="&amp;$L533*0.85,'Historical Drafts'!$J$4:$J$300,"&lt;="&amp;$L533*1.15),0),$Y533))</f>
        <v>1</v>
      </c>
      <c r="AA533" s="12" t="str">
        <f>IF($A533="","",IF(COUNTIF('Auction Log'!$B$3:$B$300,$A533)&gt;0,"Sold","Available"))</f>
        <v>Available</v>
      </c>
      <c r="AB533" s="12" t="str">
        <f t="array" ref="AB533">IF($A533="","",IFERROR(XLOOKUP($A533,'Auction Log'!$B$3:$B$300,'Auction Log'!$G$3:$G$300,""),""))</f>
        <v/>
      </c>
      <c r="AC533" s="12" t="str">
        <f t="array" ref="AC533">IF($A533="","",IFERROR(XLOOKUP($A533,'Auction Log'!$B$3:$B$300,'Auction Log'!$F$3:$F$300,""),""))</f>
        <v/>
      </c>
      <c r="AD533" s="12">
        <f t="array" ref="AD533">IF($A533="","",ROUND($Y533*XLOOKUP($F533,Settings!$I$15:$I$20,Settings!$K$15:$K$20,0.4),0))</f>
        <v>0</v>
      </c>
      <c r="AE533" s="12">
        <f t="array" ref="AE533">IF($A533="","",ROUND($Y533*XLOOKUP($F533,Settings!$I$15:$I$20,Settings!$L$15:$L$20,0.8),0))</f>
        <v>1</v>
      </c>
      <c r="AF533" s="12">
        <f t="array" ref="AF533">IF($A533="","",ROUND($Y533*XLOOKUP($F533,Settings!$I$15:$I$20,Settings!$M$15:$M$20,1),0))</f>
        <v>1</v>
      </c>
      <c r="AG533" s="12">
        <f t="array" ref="AG533">IF($A533="","",ROUND($Y533*XLOOKUP($F533,Settings!$I$15:$I$20,Settings!$N$15:$N$20,1.1),0))</f>
        <v>1</v>
      </c>
      <c r="AH533" s="12">
        <f t="array" ref="AH533">IF($A533="","",ROUND($Y533*XLOOKUP($F533,Settings!$I$15:$I$20,Settings!$O$15:$O$20,1.1)*Settings!$J$7,0))</f>
        <v>1</v>
      </c>
      <c r="AI533" s="12">
        <f t="array" ref="AI533">IF($A533="","",IF($AA533="Sold","",MIN($AH533,IFERROR(XLOOKUP(Settings!$B$12,Managers!$B$4:$B$15,Managers!$H$4:$H$15),$AH533))))</f>
        <v>1</v>
      </c>
      <c r="AJ533" s="12" t="str">
        <f t="shared" si="3"/>
        <v>Recommended</v>
      </c>
      <c r="AK533" s="12">
        <f t="shared" si="4"/>
        <v>26</v>
      </c>
      <c r="AL533" s="12" t="str">
        <f t="shared" si="5"/>
        <v/>
      </c>
    </row>
    <row r="534" ht="15.75" customHeight="1">
      <c r="A534" s="10" t="s">
        <v>1349</v>
      </c>
      <c r="B534" s="10" t="s">
        <v>1350</v>
      </c>
      <c r="C534" s="10" t="s">
        <v>226</v>
      </c>
      <c r="D534" s="10" t="s">
        <v>118</v>
      </c>
      <c r="E534" s="10" t="s">
        <v>118</v>
      </c>
      <c r="F534" s="10" t="s">
        <v>117</v>
      </c>
      <c r="G534" s="10">
        <v>5.0</v>
      </c>
      <c r="H534" s="10">
        <v>7.0</v>
      </c>
      <c r="I534" s="10" t="s">
        <v>2140</v>
      </c>
      <c r="J534" s="10" t="s">
        <v>2136</v>
      </c>
      <c r="K534" s="10"/>
      <c r="L534" s="10">
        <v>0.0</v>
      </c>
      <c r="M534" s="10">
        <v>0.0</v>
      </c>
      <c r="N534" s="10"/>
      <c r="O534" s="10"/>
      <c r="P534" s="12">
        <f>IF($A534="","",IFERROR((IF($O534="",0,$O534)*Settings!$J$4+IF($L534="",0,$L534)*Settings!$J$5+IF($N534="",0,$N534)*Settings!$J$6)/(IF($O534="",0,Settings!$J$4)+IF($L534="",0,Settings!$J$5)+IF($N534="",0,Settings!$J$6)),0))</f>
        <v>0</v>
      </c>
      <c r="Q534" s="12">
        <f t="array" ref="Q534">IF($A534="","",XLOOKUP($E534,Settings!$A$19:$A$22,Settings!$G$19:$G$22,0))</f>
        <v>196.25</v>
      </c>
      <c r="R534" s="12">
        <f t="shared" si="1"/>
        <v>0</v>
      </c>
      <c r="S534" s="12">
        <f>IF($A534="","",IF($R534&lt;=0,1,1+$R534/SUMIF($R$4:$R$923,"&gt;0",$R$4:$R$923)*(Settings!$B$5*(Settings!$B$6-Settings!$B$7))))</f>
        <v>1</v>
      </c>
      <c r="T534" s="12">
        <f t="array" ref="T534">IF($A534="","",XLOOKUP($F534,Settings!$I$15:$I$20,Settings!$J$15:$J$20,1))</f>
        <v>0.75</v>
      </c>
      <c r="U534" s="12">
        <f>IF($A534="","",1+(($G534-5)/5)*Settings!$J$8)</f>
        <v>1</v>
      </c>
      <c r="V534" s="12">
        <f>IF($A534="","",1+(($H534-5)/5)*Settings!$J$9)</f>
        <v>1.06</v>
      </c>
      <c r="W534" s="12">
        <f t="array" ref="W534">IF($A534="","",XLOOKUP($J534,Lists!$C$3:$C$7,Lists!$D$3:$D$7,1))</f>
        <v>1</v>
      </c>
      <c r="X534" s="12">
        <f>IF($A534="","",IF($I534="Yes",Settings!$J$10,1))</f>
        <v>1</v>
      </c>
      <c r="Y534" s="12">
        <f t="shared" si="2"/>
        <v>1</v>
      </c>
      <c r="Z534" s="12">
        <f>IF($A534="","",IFERROR(ROUND(AVERAGEIFS('Historical Drafts'!$G$4:$G$300,'Historical Drafts'!$D$4:$D$300,$E534,'Historical Drafts'!$J$4:$J$300,"&gt;="&amp;$L534*0.85,'Historical Drafts'!$J$4:$J$300,"&lt;="&amp;$L534*1.15),0),$Y534))</f>
        <v>1</v>
      </c>
      <c r="AA534" s="12" t="str">
        <f>IF($A534="","",IF(COUNTIF('Auction Log'!$B$3:$B$300,$A534)&gt;0,"Sold","Available"))</f>
        <v>Available</v>
      </c>
      <c r="AB534" s="12" t="str">
        <f t="array" ref="AB534">IF($A534="","",IFERROR(XLOOKUP($A534,'Auction Log'!$B$3:$B$300,'Auction Log'!$G$3:$G$300,""),""))</f>
        <v/>
      </c>
      <c r="AC534" s="12" t="str">
        <f t="array" ref="AC534">IF($A534="","",IFERROR(XLOOKUP($A534,'Auction Log'!$B$3:$B$300,'Auction Log'!$F$3:$F$300,""),""))</f>
        <v/>
      </c>
      <c r="AD534" s="12">
        <f t="array" ref="AD534">IF($A534="","",ROUND($Y534*XLOOKUP($F534,Settings!$I$15:$I$20,Settings!$K$15:$K$20,0.4),0))</f>
        <v>0</v>
      </c>
      <c r="AE534" s="12">
        <f t="array" ref="AE534">IF($A534="","",ROUND($Y534*XLOOKUP($F534,Settings!$I$15:$I$20,Settings!$L$15:$L$20,0.8),0))</f>
        <v>1</v>
      </c>
      <c r="AF534" s="12">
        <f t="array" ref="AF534">IF($A534="","",ROUND($Y534*XLOOKUP($F534,Settings!$I$15:$I$20,Settings!$M$15:$M$20,1),0))</f>
        <v>1</v>
      </c>
      <c r="AG534" s="12">
        <f t="array" ref="AG534">IF($A534="","",ROUND($Y534*XLOOKUP($F534,Settings!$I$15:$I$20,Settings!$N$15:$N$20,1.1),0))</f>
        <v>1</v>
      </c>
      <c r="AH534" s="12">
        <f t="array" ref="AH534">IF($A534="","",ROUND($Y534*XLOOKUP($F534,Settings!$I$15:$I$20,Settings!$O$15:$O$20,1.1)*Settings!$J$7,0))</f>
        <v>1</v>
      </c>
      <c r="AI534" s="12">
        <f t="array" ref="AI534">IF($A534="","",IF($AA534="Sold","",MIN($AH534,IFERROR(XLOOKUP(Settings!$B$12,Managers!$B$4:$B$15,Managers!$H$4:$H$15),$AH534))))</f>
        <v>1</v>
      </c>
      <c r="AJ534" s="12" t="str">
        <f t="shared" si="3"/>
        <v>Recommended</v>
      </c>
      <c r="AK534" s="12">
        <f t="shared" si="4"/>
        <v>26</v>
      </c>
      <c r="AL534" s="12" t="str">
        <f t="shared" si="5"/>
        <v/>
      </c>
    </row>
    <row r="535" ht="15.75" customHeight="1">
      <c r="A535" s="10" t="s">
        <v>1351</v>
      </c>
      <c r="B535" s="10" t="s">
        <v>1352</v>
      </c>
      <c r="C535" s="10" t="s">
        <v>243</v>
      </c>
      <c r="D535" s="10" t="s">
        <v>118</v>
      </c>
      <c r="E535" s="10" t="s">
        <v>118</v>
      </c>
      <c r="F535" s="10" t="s">
        <v>117</v>
      </c>
      <c r="G535" s="10">
        <v>5.0</v>
      </c>
      <c r="H535" s="10">
        <v>7.0</v>
      </c>
      <c r="I535" s="10" t="s">
        <v>2140</v>
      </c>
      <c r="J535" s="10" t="s">
        <v>2136</v>
      </c>
      <c r="K535" s="10"/>
      <c r="L535" s="10">
        <v>0.0</v>
      </c>
      <c r="M535" s="10">
        <v>0.0</v>
      </c>
      <c r="N535" s="10"/>
      <c r="O535" s="10"/>
      <c r="P535" s="12">
        <f>IF($A535="","",IFERROR((IF($O535="",0,$O535)*Settings!$J$4+IF($L535="",0,$L535)*Settings!$J$5+IF($N535="",0,$N535)*Settings!$J$6)/(IF($O535="",0,Settings!$J$4)+IF($L535="",0,Settings!$J$5)+IF($N535="",0,Settings!$J$6)),0))</f>
        <v>0</v>
      </c>
      <c r="Q535" s="12">
        <f t="array" ref="Q535">IF($A535="","",XLOOKUP($E535,Settings!$A$19:$A$22,Settings!$G$19:$G$22,0))</f>
        <v>196.25</v>
      </c>
      <c r="R535" s="12">
        <f t="shared" si="1"/>
        <v>0</v>
      </c>
      <c r="S535" s="12">
        <f>IF($A535="","",IF($R535&lt;=0,1,1+$R535/SUMIF($R$4:$R$923,"&gt;0",$R$4:$R$923)*(Settings!$B$5*(Settings!$B$6-Settings!$B$7))))</f>
        <v>1</v>
      </c>
      <c r="T535" s="12">
        <f t="array" ref="T535">IF($A535="","",XLOOKUP($F535,Settings!$I$15:$I$20,Settings!$J$15:$J$20,1))</f>
        <v>0.75</v>
      </c>
      <c r="U535" s="12">
        <f>IF($A535="","",1+(($G535-5)/5)*Settings!$J$8)</f>
        <v>1</v>
      </c>
      <c r="V535" s="12">
        <f>IF($A535="","",1+(($H535-5)/5)*Settings!$J$9)</f>
        <v>1.06</v>
      </c>
      <c r="W535" s="12">
        <f t="array" ref="W535">IF($A535="","",XLOOKUP($J535,Lists!$C$3:$C$7,Lists!$D$3:$D$7,1))</f>
        <v>1</v>
      </c>
      <c r="X535" s="12">
        <f>IF($A535="","",IF($I535="Yes",Settings!$J$10,1))</f>
        <v>1</v>
      </c>
      <c r="Y535" s="12">
        <f t="shared" si="2"/>
        <v>1</v>
      </c>
      <c r="Z535" s="12">
        <f>IF($A535="","",IFERROR(ROUND(AVERAGEIFS('Historical Drafts'!$G$4:$G$300,'Historical Drafts'!$D$4:$D$300,$E535,'Historical Drafts'!$J$4:$J$300,"&gt;="&amp;$L535*0.85,'Historical Drafts'!$J$4:$J$300,"&lt;="&amp;$L535*1.15),0),$Y535))</f>
        <v>1</v>
      </c>
      <c r="AA535" s="12" t="str">
        <f>IF($A535="","",IF(COUNTIF('Auction Log'!$B$3:$B$300,$A535)&gt;0,"Sold","Available"))</f>
        <v>Available</v>
      </c>
      <c r="AB535" s="12" t="str">
        <f t="array" ref="AB535">IF($A535="","",IFERROR(XLOOKUP($A535,'Auction Log'!$B$3:$B$300,'Auction Log'!$G$3:$G$300,""),""))</f>
        <v/>
      </c>
      <c r="AC535" s="12" t="str">
        <f t="array" ref="AC535">IF($A535="","",IFERROR(XLOOKUP($A535,'Auction Log'!$B$3:$B$300,'Auction Log'!$F$3:$F$300,""),""))</f>
        <v/>
      </c>
      <c r="AD535" s="12">
        <f t="array" ref="AD535">IF($A535="","",ROUND($Y535*XLOOKUP($F535,Settings!$I$15:$I$20,Settings!$K$15:$K$20,0.4),0))</f>
        <v>0</v>
      </c>
      <c r="AE535" s="12">
        <f t="array" ref="AE535">IF($A535="","",ROUND($Y535*XLOOKUP($F535,Settings!$I$15:$I$20,Settings!$L$15:$L$20,0.8),0))</f>
        <v>1</v>
      </c>
      <c r="AF535" s="12">
        <f t="array" ref="AF535">IF($A535="","",ROUND($Y535*XLOOKUP($F535,Settings!$I$15:$I$20,Settings!$M$15:$M$20,1),0))</f>
        <v>1</v>
      </c>
      <c r="AG535" s="12">
        <f t="array" ref="AG535">IF($A535="","",ROUND($Y535*XLOOKUP($F535,Settings!$I$15:$I$20,Settings!$N$15:$N$20,1.1),0))</f>
        <v>1</v>
      </c>
      <c r="AH535" s="12">
        <f t="array" ref="AH535">IF($A535="","",ROUND($Y535*XLOOKUP($F535,Settings!$I$15:$I$20,Settings!$O$15:$O$20,1.1)*Settings!$J$7,0))</f>
        <v>1</v>
      </c>
      <c r="AI535" s="12">
        <f t="array" ref="AI535">IF($A535="","",IF($AA535="Sold","",MIN($AH535,IFERROR(XLOOKUP(Settings!$B$12,Managers!$B$4:$B$15,Managers!$H$4:$H$15),$AH535))))</f>
        <v>1</v>
      </c>
      <c r="AJ535" s="12" t="str">
        <f t="shared" si="3"/>
        <v>Recommended</v>
      </c>
      <c r="AK535" s="12">
        <f t="shared" si="4"/>
        <v>26</v>
      </c>
      <c r="AL535" s="12" t="str">
        <f t="shared" si="5"/>
        <v/>
      </c>
    </row>
    <row r="536" ht="15.75" customHeight="1">
      <c r="A536" s="10" t="s">
        <v>1353</v>
      </c>
      <c r="B536" s="10" t="s">
        <v>1354</v>
      </c>
      <c r="C536" s="10" t="s">
        <v>243</v>
      </c>
      <c r="D536" s="10" t="s">
        <v>115</v>
      </c>
      <c r="E536" s="10" t="s">
        <v>115</v>
      </c>
      <c r="F536" s="10" t="s">
        <v>117</v>
      </c>
      <c r="G536" s="10">
        <v>5.0</v>
      </c>
      <c r="H536" s="10">
        <v>7.0</v>
      </c>
      <c r="I536" s="10" t="s">
        <v>2140</v>
      </c>
      <c r="J536" s="10" t="s">
        <v>2136</v>
      </c>
      <c r="K536" s="10"/>
      <c r="L536" s="10">
        <v>0.0</v>
      </c>
      <c r="M536" s="10">
        <v>0.0</v>
      </c>
      <c r="N536" s="10"/>
      <c r="O536" s="10"/>
      <c r="P536" s="12">
        <f>IF($A536="","",IFERROR((IF($O536="",0,$O536)*Settings!$J$4+IF($L536="",0,$L536)*Settings!$J$5+IF($N536="",0,$N536)*Settings!$J$6)/(IF($O536="",0,Settings!$J$4)+IF($L536="",0,Settings!$J$5)+IF($N536="",0,Settings!$J$6)),0))</f>
        <v>0</v>
      </c>
      <c r="Q536" s="12">
        <f t="array" ref="Q536">IF($A536="","",XLOOKUP($E536,Settings!$A$19:$A$22,Settings!$G$19:$G$22,0))</f>
        <v>249.25</v>
      </c>
      <c r="R536" s="12">
        <f t="shared" si="1"/>
        <v>0</v>
      </c>
      <c r="S536" s="12">
        <f>IF($A536="","",IF($R536&lt;=0,1,1+$R536/SUMIF($R$4:$R$923,"&gt;0",$R$4:$R$923)*(Settings!$B$5*(Settings!$B$6-Settings!$B$7))))</f>
        <v>1</v>
      </c>
      <c r="T536" s="12">
        <f t="array" ref="T536">IF($A536="","",XLOOKUP($F536,Settings!$I$15:$I$20,Settings!$J$15:$J$20,1))</f>
        <v>0.75</v>
      </c>
      <c r="U536" s="12">
        <f>IF($A536="","",1+(($G536-5)/5)*Settings!$J$8)</f>
        <v>1</v>
      </c>
      <c r="V536" s="12">
        <f>IF($A536="","",1+(($H536-5)/5)*Settings!$J$9)</f>
        <v>1.06</v>
      </c>
      <c r="W536" s="12">
        <f t="array" ref="W536">IF($A536="","",XLOOKUP($J536,Lists!$C$3:$C$7,Lists!$D$3:$D$7,1))</f>
        <v>1</v>
      </c>
      <c r="X536" s="12">
        <f>IF($A536="","",IF($I536="Yes",Settings!$J$10,1))</f>
        <v>1</v>
      </c>
      <c r="Y536" s="12">
        <f t="shared" si="2"/>
        <v>1</v>
      </c>
      <c r="Z536" s="12">
        <f>IF($A536="","",IFERROR(ROUND(AVERAGEIFS('Historical Drafts'!$G$4:$G$300,'Historical Drafts'!$D$4:$D$300,$E536,'Historical Drafts'!$J$4:$J$300,"&gt;="&amp;$L536*0.85,'Historical Drafts'!$J$4:$J$300,"&lt;="&amp;$L536*1.15),0),$Y536))</f>
        <v>1</v>
      </c>
      <c r="AA536" s="12" t="str">
        <f>IF($A536="","",IF(COUNTIF('Auction Log'!$B$3:$B$300,$A536)&gt;0,"Sold","Available"))</f>
        <v>Available</v>
      </c>
      <c r="AB536" s="12" t="str">
        <f t="array" ref="AB536">IF($A536="","",IFERROR(XLOOKUP($A536,'Auction Log'!$B$3:$B$300,'Auction Log'!$G$3:$G$300,""),""))</f>
        <v/>
      </c>
      <c r="AC536" s="12" t="str">
        <f t="array" ref="AC536">IF($A536="","",IFERROR(XLOOKUP($A536,'Auction Log'!$B$3:$B$300,'Auction Log'!$F$3:$F$300,""),""))</f>
        <v/>
      </c>
      <c r="AD536" s="12">
        <f t="array" ref="AD536">IF($A536="","",ROUND($Y536*XLOOKUP($F536,Settings!$I$15:$I$20,Settings!$K$15:$K$20,0.4),0))</f>
        <v>0</v>
      </c>
      <c r="AE536" s="12">
        <f t="array" ref="AE536">IF($A536="","",ROUND($Y536*XLOOKUP($F536,Settings!$I$15:$I$20,Settings!$L$15:$L$20,0.8),0))</f>
        <v>1</v>
      </c>
      <c r="AF536" s="12">
        <f t="array" ref="AF536">IF($A536="","",ROUND($Y536*XLOOKUP($F536,Settings!$I$15:$I$20,Settings!$M$15:$M$20,1),0))</f>
        <v>1</v>
      </c>
      <c r="AG536" s="12">
        <f t="array" ref="AG536">IF($A536="","",ROUND($Y536*XLOOKUP($F536,Settings!$I$15:$I$20,Settings!$N$15:$N$20,1.1),0))</f>
        <v>1</v>
      </c>
      <c r="AH536" s="12">
        <f t="array" ref="AH536">IF($A536="","",ROUND($Y536*XLOOKUP($F536,Settings!$I$15:$I$20,Settings!$O$15:$O$20,1.1)*Settings!$J$7,0))</f>
        <v>1</v>
      </c>
      <c r="AI536" s="12">
        <f t="array" ref="AI536">IF($A536="","",IF($AA536="Sold","",MIN($AH536,IFERROR(XLOOKUP(Settings!$B$12,Managers!$B$4:$B$15,Managers!$H$4:$H$15),$AH536))))</f>
        <v>1</v>
      </c>
      <c r="AJ536" s="12" t="str">
        <f t="shared" si="3"/>
        <v>Recommended</v>
      </c>
      <c r="AK536" s="12">
        <f t="shared" si="4"/>
        <v>26</v>
      </c>
      <c r="AL536" s="12" t="str">
        <f t="shared" si="5"/>
        <v/>
      </c>
    </row>
    <row r="537" ht="15.75" customHeight="1">
      <c r="A537" s="10" t="s">
        <v>1355</v>
      </c>
      <c r="B537" s="10" t="s">
        <v>1356</v>
      </c>
      <c r="C537" s="10" t="s">
        <v>215</v>
      </c>
      <c r="D537" s="10" t="s">
        <v>115</v>
      </c>
      <c r="E537" s="10" t="s">
        <v>115</v>
      </c>
      <c r="F537" s="10" t="s">
        <v>117</v>
      </c>
      <c r="G537" s="10">
        <v>5.0</v>
      </c>
      <c r="H537" s="10">
        <v>7.0</v>
      </c>
      <c r="I537" s="10" t="s">
        <v>2140</v>
      </c>
      <c r="J537" s="10" t="s">
        <v>2136</v>
      </c>
      <c r="K537" s="10"/>
      <c r="L537" s="10">
        <v>0.0</v>
      </c>
      <c r="M537" s="10">
        <v>0.0</v>
      </c>
      <c r="N537" s="10"/>
      <c r="O537" s="10"/>
      <c r="P537" s="12">
        <f>IF($A537="","",IFERROR((IF($O537="",0,$O537)*Settings!$J$4+IF($L537="",0,$L537)*Settings!$J$5+IF($N537="",0,$N537)*Settings!$J$6)/(IF($O537="",0,Settings!$J$4)+IF($L537="",0,Settings!$J$5)+IF($N537="",0,Settings!$J$6)),0))</f>
        <v>0</v>
      </c>
      <c r="Q537" s="12">
        <f t="array" ref="Q537">IF($A537="","",XLOOKUP($E537,Settings!$A$19:$A$22,Settings!$G$19:$G$22,0))</f>
        <v>249.25</v>
      </c>
      <c r="R537" s="12">
        <f t="shared" si="1"/>
        <v>0</v>
      </c>
      <c r="S537" s="12">
        <f>IF($A537="","",IF($R537&lt;=0,1,1+$R537/SUMIF($R$4:$R$923,"&gt;0",$R$4:$R$923)*(Settings!$B$5*(Settings!$B$6-Settings!$B$7))))</f>
        <v>1</v>
      </c>
      <c r="T537" s="12">
        <f t="array" ref="T537">IF($A537="","",XLOOKUP($F537,Settings!$I$15:$I$20,Settings!$J$15:$J$20,1))</f>
        <v>0.75</v>
      </c>
      <c r="U537" s="12">
        <f>IF($A537="","",1+(($G537-5)/5)*Settings!$J$8)</f>
        <v>1</v>
      </c>
      <c r="V537" s="12">
        <f>IF($A537="","",1+(($H537-5)/5)*Settings!$J$9)</f>
        <v>1.06</v>
      </c>
      <c r="W537" s="12">
        <f t="array" ref="W537">IF($A537="","",XLOOKUP($J537,Lists!$C$3:$C$7,Lists!$D$3:$D$7,1))</f>
        <v>1</v>
      </c>
      <c r="X537" s="12">
        <f>IF($A537="","",IF($I537="Yes",Settings!$J$10,1))</f>
        <v>1</v>
      </c>
      <c r="Y537" s="12">
        <f t="shared" si="2"/>
        <v>1</v>
      </c>
      <c r="Z537" s="12">
        <f>IF($A537="","",IFERROR(ROUND(AVERAGEIFS('Historical Drafts'!$G$4:$G$300,'Historical Drafts'!$D$4:$D$300,$E537,'Historical Drafts'!$J$4:$J$300,"&gt;="&amp;$L537*0.85,'Historical Drafts'!$J$4:$J$300,"&lt;="&amp;$L537*1.15),0),$Y537))</f>
        <v>1</v>
      </c>
      <c r="AA537" s="12" t="str">
        <f>IF($A537="","",IF(COUNTIF('Auction Log'!$B$3:$B$300,$A537)&gt;0,"Sold","Available"))</f>
        <v>Available</v>
      </c>
      <c r="AB537" s="12" t="str">
        <f t="array" ref="AB537">IF($A537="","",IFERROR(XLOOKUP($A537,'Auction Log'!$B$3:$B$300,'Auction Log'!$G$3:$G$300,""),""))</f>
        <v/>
      </c>
      <c r="AC537" s="12" t="str">
        <f t="array" ref="AC537">IF($A537="","",IFERROR(XLOOKUP($A537,'Auction Log'!$B$3:$B$300,'Auction Log'!$F$3:$F$300,""),""))</f>
        <v/>
      </c>
      <c r="AD537" s="12">
        <f t="array" ref="AD537">IF($A537="","",ROUND($Y537*XLOOKUP($F537,Settings!$I$15:$I$20,Settings!$K$15:$K$20,0.4),0))</f>
        <v>0</v>
      </c>
      <c r="AE537" s="12">
        <f t="array" ref="AE537">IF($A537="","",ROUND($Y537*XLOOKUP($F537,Settings!$I$15:$I$20,Settings!$L$15:$L$20,0.8),0))</f>
        <v>1</v>
      </c>
      <c r="AF537" s="12">
        <f t="array" ref="AF537">IF($A537="","",ROUND($Y537*XLOOKUP($F537,Settings!$I$15:$I$20,Settings!$M$15:$M$20,1),0))</f>
        <v>1</v>
      </c>
      <c r="AG537" s="12">
        <f t="array" ref="AG537">IF($A537="","",ROUND($Y537*XLOOKUP($F537,Settings!$I$15:$I$20,Settings!$N$15:$N$20,1.1),0))</f>
        <v>1</v>
      </c>
      <c r="AH537" s="12">
        <f t="array" ref="AH537">IF($A537="","",ROUND($Y537*XLOOKUP($F537,Settings!$I$15:$I$20,Settings!$O$15:$O$20,1.1)*Settings!$J$7,0))</f>
        <v>1</v>
      </c>
      <c r="AI537" s="12">
        <f t="array" ref="AI537">IF($A537="","",IF($AA537="Sold","",MIN($AH537,IFERROR(XLOOKUP(Settings!$B$12,Managers!$B$4:$B$15,Managers!$H$4:$H$15),$AH537))))</f>
        <v>1</v>
      </c>
      <c r="AJ537" s="12" t="str">
        <f t="shared" si="3"/>
        <v>Recommended</v>
      </c>
      <c r="AK537" s="12">
        <f t="shared" si="4"/>
        <v>26</v>
      </c>
      <c r="AL537" s="12" t="str">
        <f t="shared" si="5"/>
        <v/>
      </c>
    </row>
    <row r="538" ht="15.75" customHeight="1">
      <c r="A538" s="10" t="s">
        <v>1357</v>
      </c>
      <c r="B538" s="10" t="s">
        <v>1358</v>
      </c>
      <c r="C538" s="10" t="s">
        <v>257</v>
      </c>
      <c r="D538" s="10" t="s">
        <v>118</v>
      </c>
      <c r="E538" s="10" t="s">
        <v>118</v>
      </c>
      <c r="F538" s="10" t="s">
        <v>117</v>
      </c>
      <c r="G538" s="10">
        <v>5.0</v>
      </c>
      <c r="H538" s="10">
        <v>7.0</v>
      </c>
      <c r="I538" s="10" t="s">
        <v>2140</v>
      </c>
      <c r="J538" s="10" t="s">
        <v>2136</v>
      </c>
      <c r="K538" s="10"/>
      <c r="L538" s="10">
        <v>0.0</v>
      </c>
      <c r="M538" s="10">
        <v>0.0</v>
      </c>
      <c r="N538" s="10"/>
      <c r="O538" s="10"/>
      <c r="P538" s="12">
        <f>IF($A538="","",IFERROR((IF($O538="",0,$O538)*Settings!$J$4+IF($L538="",0,$L538)*Settings!$J$5+IF($N538="",0,$N538)*Settings!$J$6)/(IF($O538="",0,Settings!$J$4)+IF($L538="",0,Settings!$J$5)+IF($N538="",0,Settings!$J$6)),0))</f>
        <v>0</v>
      </c>
      <c r="Q538" s="12">
        <f t="array" ref="Q538">IF($A538="","",XLOOKUP($E538,Settings!$A$19:$A$22,Settings!$G$19:$G$22,0))</f>
        <v>196.25</v>
      </c>
      <c r="R538" s="12">
        <f t="shared" si="1"/>
        <v>0</v>
      </c>
      <c r="S538" s="12">
        <f>IF($A538="","",IF($R538&lt;=0,1,1+$R538/SUMIF($R$4:$R$923,"&gt;0",$R$4:$R$923)*(Settings!$B$5*(Settings!$B$6-Settings!$B$7))))</f>
        <v>1</v>
      </c>
      <c r="T538" s="12">
        <f t="array" ref="T538">IF($A538="","",XLOOKUP($F538,Settings!$I$15:$I$20,Settings!$J$15:$J$20,1))</f>
        <v>0.75</v>
      </c>
      <c r="U538" s="12">
        <f>IF($A538="","",1+(($G538-5)/5)*Settings!$J$8)</f>
        <v>1</v>
      </c>
      <c r="V538" s="12">
        <f>IF($A538="","",1+(($H538-5)/5)*Settings!$J$9)</f>
        <v>1.06</v>
      </c>
      <c r="W538" s="12">
        <f t="array" ref="W538">IF($A538="","",XLOOKUP($J538,Lists!$C$3:$C$7,Lists!$D$3:$D$7,1))</f>
        <v>1</v>
      </c>
      <c r="X538" s="12">
        <f>IF($A538="","",IF($I538="Yes",Settings!$J$10,1))</f>
        <v>1</v>
      </c>
      <c r="Y538" s="12">
        <f t="shared" si="2"/>
        <v>1</v>
      </c>
      <c r="Z538" s="12">
        <f>IF($A538="","",IFERROR(ROUND(AVERAGEIFS('Historical Drafts'!$G$4:$G$300,'Historical Drafts'!$D$4:$D$300,$E538,'Historical Drafts'!$J$4:$J$300,"&gt;="&amp;$L538*0.85,'Historical Drafts'!$J$4:$J$300,"&lt;="&amp;$L538*1.15),0),$Y538))</f>
        <v>1</v>
      </c>
      <c r="AA538" s="12" t="str">
        <f>IF($A538="","",IF(COUNTIF('Auction Log'!$B$3:$B$300,$A538)&gt;0,"Sold","Available"))</f>
        <v>Available</v>
      </c>
      <c r="AB538" s="12" t="str">
        <f t="array" ref="AB538">IF($A538="","",IFERROR(XLOOKUP($A538,'Auction Log'!$B$3:$B$300,'Auction Log'!$G$3:$G$300,""),""))</f>
        <v/>
      </c>
      <c r="AC538" s="12" t="str">
        <f t="array" ref="AC538">IF($A538="","",IFERROR(XLOOKUP($A538,'Auction Log'!$B$3:$B$300,'Auction Log'!$F$3:$F$300,""),""))</f>
        <v/>
      </c>
      <c r="AD538" s="12">
        <f t="array" ref="AD538">IF($A538="","",ROUND($Y538*XLOOKUP($F538,Settings!$I$15:$I$20,Settings!$K$15:$K$20,0.4),0))</f>
        <v>0</v>
      </c>
      <c r="AE538" s="12">
        <f t="array" ref="AE538">IF($A538="","",ROUND($Y538*XLOOKUP($F538,Settings!$I$15:$I$20,Settings!$L$15:$L$20,0.8),0))</f>
        <v>1</v>
      </c>
      <c r="AF538" s="12">
        <f t="array" ref="AF538">IF($A538="","",ROUND($Y538*XLOOKUP($F538,Settings!$I$15:$I$20,Settings!$M$15:$M$20,1),0))</f>
        <v>1</v>
      </c>
      <c r="AG538" s="12">
        <f t="array" ref="AG538">IF($A538="","",ROUND($Y538*XLOOKUP($F538,Settings!$I$15:$I$20,Settings!$N$15:$N$20,1.1),0))</f>
        <v>1</v>
      </c>
      <c r="AH538" s="12">
        <f t="array" ref="AH538">IF($A538="","",ROUND($Y538*XLOOKUP($F538,Settings!$I$15:$I$20,Settings!$O$15:$O$20,1.1)*Settings!$J$7,0))</f>
        <v>1</v>
      </c>
      <c r="AI538" s="12">
        <f t="array" ref="AI538">IF($A538="","",IF($AA538="Sold","",MIN($AH538,IFERROR(XLOOKUP(Settings!$B$12,Managers!$B$4:$B$15,Managers!$H$4:$H$15),$AH538))))</f>
        <v>1</v>
      </c>
      <c r="AJ538" s="12" t="str">
        <f t="shared" si="3"/>
        <v>Recommended</v>
      </c>
      <c r="AK538" s="12">
        <f t="shared" si="4"/>
        <v>26</v>
      </c>
      <c r="AL538" s="12" t="str">
        <f t="shared" si="5"/>
        <v/>
      </c>
    </row>
    <row r="539" ht="15.75" customHeight="1">
      <c r="A539" s="10" t="s">
        <v>1359</v>
      </c>
      <c r="B539" s="10" t="s">
        <v>1360</v>
      </c>
      <c r="C539" s="10" t="s">
        <v>314</v>
      </c>
      <c r="D539" s="10" t="s">
        <v>121</v>
      </c>
      <c r="E539" s="10" t="s">
        <v>121</v>
      </c>
      <c r="F539" s="10" t="s">
        <v>117</v>
      </c>
      <c r="G539" s="10">
        <v>5.0</v>
      </c>
      <c r="H539" s="10">
        <v>7.0</v>
      </c>
      <c r="I539" s="10" t="s">
        <v>2140</v>
      </c>
      <c r="J539" s="10" t="s">
        <v>2136</v>
      </c>
      <c r="K539" s="10"/>
      <c r="L539" s="10">
        <v>0.0</v>
      </c>
      <c r="M539" s="10">
        <v>0.0</v>
      </c>
      <c r="N539" s="10"/>
      <c r="O539" s="10"/>
      <c r="P539" s="12">
        <f>IF($A539="","",IFERROR((IF($O539="",0,$O539)*Settings!$J$4+IF($L539="",0,$L539)*Settings!$J$5+IF($N539="",0,$N539)*Settings!$J$6)/(IF($O539="",0,Settings!$J$4)+IF($L539="",0,Settings!$J$5)+IF($N539="",0,Settings!$J$6)),0))</f>
        <v>0</v>
      </c>
      <c r="Q539" s="12">
        <f t="array" ref="Q539">IF($A539="","",XLOOKUP($E539,Settings!$A$19:$A$22,Settings!$G$19:$G$22,0))</f>
        <v>206</v>
      </c>
      <c r="R539" s="12">
        <f t="shared" si="1"/>
        <v>0</v>
      </c>
      <c r="S539" s="12">
        <f>IF($A539="","",IF($R539&lt;=0,1,1+$R539/SUMIF($R$4:$R$923,"&gt;0",$R$4:$R$923)*(Settings!$B$5*(Settings!$B$6-Settings!$B$7))))</f>
        <v>1</v>
      </c>
      <c r="T539" s="12">
        <f t="array" ref="T539">IF($A539="","",XLOOKUP($F539,Settings!$I$15:$I$20,Settings!$J$15:$J$20,1))</f>
        <v>0.75</v>
      </c>
      <c r="U539" s="12">
        <f>IF($A539="","",1+(($G539-5)/5)*Settings!$J$8)</f>
        <v>1</v>
      </c>
      <c r="V539" s="12">
        <f>IF($A539="","",1+(($H539-5)/5)*Settings!$J$9)</f>
        <v>1.06</v>
      </c>
      <c r="W539" s="12">
        <f t="array" ref="W539">IF($A539="","",XLOOKUP($J539,Lists!$C$3:$C$7,Lists!$D$3:$D$7,1))</f>
        <v>1</v>
      </c>
      <c r="X539" s="12">
        <f>IF($A539="","",IF($I539="Yes",Settings!$J$10,1))</f>
        <v>1</v>
      </c>
      <c r="Y539" s="12">
        <f t="shared" si="2"/>
        <v>1</v>
      </c>
      <c r="Z539" s="12">
        <f>IF($A539="","",IFERROR(ROUND(AVERAGEIFS('Historical Drafts'!$G$4:$G$300,'Historical Drafts'!$D$4:$D$300,$E539,'Historical Drafts'!$J$4:$J$300,"&gt;="&amp;$L539*0.85,'Historical Drafts'!$J$4:$J$300,"&lt;="&amp;$L539*1.15),0),$Y539))</f>
        <v>3</v>
      </c>
      <c r="AA539" s="12" t="str">
        <f>IF($A539="","",IF(COUNTIF('Auction Log'!$B$3:$B$300,$A539)&gt;0,"Sold","Available"))</f>
        <v>Available</v>
      </c>
      <c r="AB539" s="12" t="str">
        <f t="array" ref="AB539">IF($A539="","",IFERROR(XLOOKUP($A539,'Auction Log'!$B$3:$B$300,'Auction Log'!$G$3:$G$300,""),""))</f>
        <v/>
      </c>
      <c r="AC539" s="12" t="str">
        <f t="array" ref="AC539">IF($A539="","",IFERROR(XLOOKUP($A539,'Auction Log'!$B$3:$B$300,'Auction Log'!$F$3:$F$300,""),""))</f>
        <v/>
      </c>
      <c r="AD539" s="12">
        <f t="array" ref="AD539">IF($A539="","",ROUND($Y539*XLOOKUP($F539,Settings!$I$15:$I$20,Settings!$K$15:$K$20,0.4),0))</f>
        <v>0</v>
      </c>
      <c r="AE539" s="12">
        <f t="array" ref="AE539">IF($A539="","",ROUND($Y539*XLOOKUP($F539,Settings!$I$15:$I$20,Settings!$L$15:$L$20,0.8),0))</f>
        <v>1</v>
      </c>
      <c r="AF539" s="12">
        <f t="array" ref="AF539">IF($A539="","",ROUND($Y539*XLOOKUP($F539,Settings!$I$15:$I$20,Settings!$M$15:$M$20,1),0))</f>
        <v>1</v>
      </c>
      <c r="AG539" s="12">
        <f t="array" ref="AG539">IF($A539="","",ROUND($Y539*XLOOKUP($F539,Settings!$I$15:$I$20,Settings!$N$15:$N$20,1.1),0))</f>
        <v>1</v>
      </c>
      <c r="AH539" s="12">
        <f t="array" ref="AH539">IF($A539="","",ROUND($Y539*XLOOKUP($F539,Settings!$I$15:$I$20,Settings!$O$15:$O$20,1.1)*Settings!$J$7,0))</f>
        <v>1</v>
      </c>
      <c r="AI539" s="12">
        <f t="array" ref="AI539">IF($A539="","",IF($AA539="Sold","",MIN($AH539,IFERROR(XLOOKUP(Settings!$B$12,Managers!$B$4:$B$15,Managers!$H$4:$H$15),$AH539))))</f>
        <v>1</v>
      </c>
      <c r="AJ539" s="12" t="str">
        <f t="shared" si="3"/>
        <v>Budget Drainer</v>
      </c>
      <c r="AK539" s="12">
        <f t="shared" si="4"/>
        <v>28</v>
      </c>
      <c r="AL539" s="12" t="str">
        <f t="shared" si="5"/>
        <v/>
      </c>
    </row>
    <row r="540" ht="15.75" customHeight="1">
      <c r="A540" s="10" t="s">
        <v>1361</v>
      </c>
      <c r="B540" s="10" t="s">
        <v>1362</v>
      </c>
      <c r="C540" s="10" t="s">
        <v>226</v>
      </c>
      <c r="D540" s="10" t="s">
        <v>121</v>
      </c>
      <c r="E540" s="10" t="s">
        <v>121</v>
      </c>
      <c r="F540" s="10" t="s">
        <v>117</v>
      </c>
      <c r="G540" s="10">
        <v>5.0</v>
      </c>
      <c r="H540" s="10">
        <v>7.0</v>
      </c>
      <c r="I540" s="10" t="s">
        <v>2140</v>
      </c>
      <c r="J540" s="10" t="s">
        <v>2136</v>
      </c>
      <c r="K540" s="10"/>
      <c r="L540" s="10">
        <v>0.0</v>
      </c>
      <c r="M540" s="10">
        <v>0.0</v>
      </c>
      <c r="N540" s="10"/>
      <c r="O540" s="10"/>
      <c r="P540" s="12">
        <f>IF($A540="","",IFERROR((IF($O540="",0,$O540)*Settings!$J$4+IF($L540="",0,$L540)*Settings!$J$5+IF($N540="",0,$N540)*Settings!$J$6)/(IF($O540="",0,Settings!$J$4)+IF($L540="",0,Settings!$J$5)+IF($N540="",0,Settings!$J$6)),0))</f>
        <v>0</v>
      </c>
      <c r="Q540" s="12">
        <f t="array" ref="Q540">IF($A540="","",XLOOKUP($E540,Settings!$A$19:$A$22,Settings!$G$19:$G$22,0))</f>
        <v>206</v>
      </c>
      <c r="R540" s="12">
        <f t="shared" si="1"/>
        <v>0</v>
      </c>
      <c r="S540" s="12">
        <f>IF($A540="","",IF($R540&lt;=0,1,1+$R540/SUMIF($R$4:$R$923,"&gt;0",$R$4:$R$923)*(Settings!$B$5*(Settings!$B$6-Settings!$B$7))))</f>
        <v>1</v>
      </c>
      <c r="T540" s="12">
        <f t="array" ref="T540">IF($A540="","",XLOOKUP($F540,Settings!$I$15:$I$20,Settings!$J$15:$J$20,1))</f>
        <v>0.75</v>
      </c>
      <c r="U540" s="12">
        <f>IF($A540="","",1+(($G540-5)/5)*Settings!$J$8)</f>
        <v>1</v>
      </c>
      <c r="V540" s="12">
        <f>IF($A540="","",1+(($H540-5)/5)*Settings!$J$9)</f>
        <v>1.06</v>
      </c>
      <c r="W540" s="12">
        <f t="array" ref="W540">IF($A540="","",XLOOKUP($J540,Lists!$C$3:$C$7,Lists!$D$3:$D$7,1))</f>
        <v>1</v>
      </c>
      <c r="X540" s="12">
        <f>IF($A540="","",IF($I540="Yes",Settings!$J$10,1))</f>
        <v>1</v>
      </c>
      <c r="Y540" s="12">
        <f t="shared" si="2"/>
        <v>1</v>
      </c>
      <c r="Z540" s="12">
        <f>IF($A540="","",IFERROR(ROUND(AVERAGEIFS('Historical Drafts'!$G$4:$G$300,'Historical Drafts'!$D$4:$D$300,$E540,'Historical Drafts'!$J$4:$J$300,"&gt;="&amp;$L540*0.85,'Historical Drafts'!$J$4:$J$300,"&lt;="&amp;$L540*1.15),0),$Y540))</f>
        <v>3</v>
      </c>
      <c r="AA540" s="12" t="str">
        <f>IF($A540="","",IF(COUNTIF('Auction Log'!$B$3:$B$300,$A540)&gt;0,"Sold","Available"))</f>
        <v>Available</v>
      </c>
      <c r="AB540" s="12" t="str">
        <f t="array" ref="AB540">IF($A540="","",IFERROR(XLOOKUP($A540,'Auction Log'!$B$3:$B$300,'Auction Log'!$G$3:$G$300,""),""))</f>
        <v/>
      </c>
      <c r="AC540" s="12" t="str">
        <f t="array" ref="AC540">IF($A540="","",IFERROR(XLOOKUP($A540,'Auction Log'!$B$3:$B$300,'Auction Log'!$F$3:$F$300,""),""))</f>
        <v/>
      </c>
      <c r="AD540" s="12">
        <f t="array" ref="AD540">IF($A540="","",ROUND($Y540*XLOOKUP($F540,Settings!$I$15:$I$20,Settings!$K$15:$K$20,0.4),0))</f>
        <v>0</v>
      </c>
      <c r="AE540" s="12">
        <f t="array" ref="AE540">IF($A540="","",ROUND($Y540*XLOOKUP($F540,Settings!$I$15:$I$20,Settings!$L$15:$L$20,0.8),0))</f>
        <v>1</v>
      </c>
      <c r="AF540" s="12">
        <f t="array" ref="AF540">IF($A540="","",ROUND($Y540*XLOOKUP($F540,Settings!$I$15:$I$20,Settings!$M$15:$M$20,1),0))</f>
        <v>1</v>
      </c>
      <c r="AG540" s="12">
        <f t="array" ref="AG540">IF($A540="","",ROUND($Y540*XLOOKUP($F540,Settings!$I$15:$I$20,Settings!$N$15:$N$20,1.1),0))</f>
        <v>1</v>
      </c>
      <c r="AH540" s="12">
        <f t="array" ref="AH540">IF($A540="","",ROUND($Y540*XLOOKUP($F540,Settings!$I$15:$I$20,Settings!$O$15:$O$20,1.1)*Settings!$J$7,0))</f>
        <v>1</v>
      </c>
      <c r="AI540" s="12">
        <f t="array" ref="AI540">IF($A540="","",IF($AA540="Sold","",MIN($AH540,IFERROR(XLOOKUP(Settings!$B$12,Managers!$B$4:$B$15,Managers!$H$4:$H$15),$AH540))))</f>
        <v>1</v>
      </c>
      <c r="AJ540" s="12" t="str">
        <f t="shared" si="3"/>
        <v>Budget Drainer</v>
      </c>
      <c r="AK540" s="12">
        <f t="shared" si="4"/>
        <v>28</v>
      </c>
      <c r="AL540" s="12" t="str">
        <f t="shared" si="5"/>
        <v/>
      </c>
    </row>
    <row r="541" ht="15.75" customHeight="1">
      <c r="A541" s="10" t="s">
        <v>1363</v>
      </c>
      <c r="B541" s="10" t="s">
        <v>1364</v>
      </c>
      <c r="C541" s="10" t="s">
        <v>191</v>
      </c>
      <c r="D541" s="10" t="s">
        <v>123</v>
      </c>
      <c r="E541" s="10" t="s">
        <v>123</v>
      </c>
      <c r="F541" s="10" t="s">
        <v>117</v>
      </c>
      <c r="G541" s="10">
        <v>5.0</v>
      </c>
      <c r="H541" s="10">
        <v>7.0</v>
      </c>
      <c r="I541" s="10" t="s">
        <v>2140</v>
      </c>
      <c r="J541" s="10" t="s">
        <v>2136</v>
      </c>
      <c r="K541" s="10"/>
      <c r="L541" s="10">
        <v>0.0</v>
      </c>
      <c r="M541" s="10">
        <v>0.0</v>
      </c>
      <c r="N541" s="10"/>
      <c r="O541" s="10"/>
      <c r="P541" s="12">
        <f>IF($A541="","",IFERROR((IF($O541="",0,$O541)*Settings!$J$4+IF($L541="",0,$L541)*Settings!$J$5+IF($N541="",0,$N541)*Settings!$J$6)/(IF($O541="",0,Settings!$J$4)+IF($L541="",0,Settings!$J$5)+IF($N541="",0,Settings!$J$6)),0))</f>
        <v>0</v>
      </c>
      <c r="Q541" s="12">
        <f t="array" ref="Q541">IF($A541="","",XLOOKUP($E541,Settings!$A$19:$A$22,Settings!$G$19:$G$22,0))</f>
        <v>203</v>
      </c>
      <c r="R541" s="12">
        <f t="shared" si="1"/>
        <v>0</v>
      </c>
      <c r="S541" s="12">
        <f>IF($A541="","",IF($R541&lt;=0,1,1+$R541/SUMIF($R$4:$R$923,"&gt;0",$R$4:$R$923)*(Settings!$B$5*(Settings!$B$6-Settings!$B$7))))</f>
        <v>1</v>
      </c>
      <c r="T541" s="12">
        <f t="array" ref="T541">IF($A541="","",XLOOKUP($F541,Settings!$I$15:$I$20,Settings!$J$15:$J$20,1))</f>
        <v>0.75</v>
      </c>
      <c r="U541" s="12">
        <f>IF($A541="","",1+(($G541-5)/5)*Settings!$J$8)</f>
        <v>1</v>
      </c>
      <c r="V541" s="12">
        <f>IF($A541="","",1+(($H541-5)/5)*Settings!$J$9)</f>
        <v>1.06</v>
      </c>
      <c r="W541" s="12">
        <f t="array" ref="W541">IF($A541="","",XLOOKUP($J541,Lists!$C$3:$C$7,Lists!$D$3:$D$7,1))</f>
        <v>1</v>
      </c>
      <c r="X541" s="12">
        <f>IF($A541="","",IF($I541="Yes",Settings!$J$10,1))</f>
        <v>1</v>
      </c>
      <c r="Y541" s="12">
        <f t="shared" si="2"/>
        <v>1</v>
      </c>
      <c r="Z541" s="12">
        <f>IF($A541="","",IFERROR(ROUND(AVERAGEIFS('Historical Drafts'!$G$4:$G$300,'Historical Drafts'!$D$4:$D$300,$E541,'Historical Drafts'!$J$4:$J$300,"&gt;="&amp;$L541*0.85,'Historical Drafts'!$J$4:$J$300,"&lt;="&amp;$L541*1.15),0),$Y541))</f>
        <v>3</v>
      </c>
      <c r="AA541" s="12" t="str">
        <f>IF($A541="","",IF(COUNTIF('Auction Log'!$B$3:$B$300,$A541)&gt;0,"Sold","Available"))</f>
        <v>Available</v>
      </c>
      <c r="AB541" s="12" t="str">
        <f t="array" ref="AB541">IF($A541="","",IFERROR(XLOOKUP($A541,'Auction Log'!$B$3:$B$300,'Auction Log'!$G$3:$G$300,""),""))</f>
        <v/>
      </c>
      <c r="AC541" s="12" t="str">
        <f t="array" ref="AC541">IF($A541="","",IFERROR(XLOOKUP($A541,'Auction Log'!$B$3:$B$300,'Auction Log'!$F$3:$F$300,""),""))</f>
        <v/>
      </c>
      <c r="AD541" s="12">
        <f t="array" ref="AD541">IF($A541="","",ROUND($Y541*XLOOKUP($F541,Settings!$I$15:$I$20,Settings!$K$15:$K$20,0.4),0))</f>
        <v>0</v>
      </c>
      <c r="AE541" s="12">
        <f t="array" ref="AE541">IF($A541="","",ROUND($Y541*XLOOKUP($F541,Settings!$I$15:$I$20,Settings!$L$15:$L$20,0.8),0))</f>
        <v>1</v>
      </c>
      <c r="AF541" s="12">
        <f t="array" ref="AF541">IF($A541="","",ROUND($Y541*XLOOKUP($F541,Settings!$I$15:$I$20,Settings!$M$15:$M$20,1),0))</f>
        <v>1</v>
      </c>
      <c r="AG541" s="12">
        <f t="array" ref="AG541">IF($A541="","",ROUND($Y541*XLOOKUP($F541,Settings!$I$15:$I$20,Settings!$N$15:$N$20,1.1),0))</f>
        <v>1</v>
      </c>
      <c r="AH541" s="12">
        <f t="array" ref="AH541">IF($A541="","",ROUND($Y541*XLOOKUP($F541,Settings!$I$15:$I$20,Settings!$O$15:$O$20,1.1)*Settings!$J$7,0))</f>
        <v>1</v>
      </c>
      <c r="AI541" s="12">
        <f t="array" ref="AI541">IF($A541="","",IF($AA541="Sold","",MIN($AH541,IFERROR(XLOOKUP(Settings!$B$12,Managers!$B$4:$B$15,Managers!$H$4:$H$15),$AH541))))</f>
        <v>1</v>
      </c>
      <c r="AJ541" s="12" t="str">
        <f t="shared" si="3"/>
        <v>Budget Drainer</v>
      </c>
      <c r="AK541" s="12">
        <f t="shared" si="4"/>
        <v>28</v>
      </c>
      <c r="AL541" s="12" t="str">
        <f t="shared" si="5"/>
        <v/>
      </c>
    </row>
    <row r="542" ht="15.75" customHeight="1">
      <c r="A542" s="10" t="s">
        <v>1365</v>
      </c>
      <c r="B542" s="10" t="s">
        <v>1366</v>
      </c>
      <c r="C542" s="10" t="s">
        <v>177</v>
      </c>
      <c r="D542" s="10" t="s">
        <v>121</v>
      </c>
      <c r="E542" s="10" t="s">
        <v>121</v>
      </c>
      <c r="F542" s="10" t="s">
        <v>117</v>
      </c>
      <c r="G542" s="10">
        <v>5.0</v>
      </c>
      <c r="H542" s="10">
        <v>7.0</v>
      </c>
      <c r="I542" s="10" t="s">
        <v>2140</v>
      </c>
      <c r="J542" s="10" t="s">
        <v>2136</v>
      </c>
      <c r="K542" s="10"/>
      <c r="L542" s="10">
        <v>0.0</v>
      </c>
      <c r="M542" s="10">
        <v>0.0</v>
      </c>
      <c r="N542" s="10"/>
      <c r="O542" s="10"/>
      <c r="P542" s="12">
        <f>IF($A542="","",IFERROR((IF($O542="",0,$O542)*Settings!$J$4+IF($L542="",0,$L542)*Settings!$J$5+IF($N542="",0,$N542)*Settings!$J$6)/(IF($O542="",0,Settings!$J$4)+IF($L542="",0,Settings!$J$5)+IF($N542="",0,Settings!$J$6)),0))</f>
        <v>0</v>
      </c>
      <c r="Q542" s="12">
        <f t="array" ref="Q542">IF($A542="","",XLOOKUP($E542,Settings!$A$19:$A$22,Settings!$G$19:$G$22,0))</f>
        <v>206</v>
      </c>
      <c r="R542" s="12">
        <f t="shared" si="1"/>
        <v>0</v>
      </c>
      <c r="S542" s="12">
        <f>IF($A542="","",IF($R542&lt;=0,1,1+$R542/SUMIF($R$4:$R$923,"&gt;0",$R$4:$R$923)*(Settings!$B$5*(Settings!$B$6-Settings!$B$7))))</f>
        <v>1</v>
      </c>
      <c r="T542" s="12">
        <f t="array" ref="T542">IF($A542="","",XLOOKUP($F542,Settings!$I$15:$I$20,Settings!$J$15:$J$20,1))</f>
        <v>0.75</v>
      </c>
      <c r="U542" s="12">
        <f>IF($A542="","",1+(($G542-5)/5)*Settings!$J$8)</f>
        <v>1</v>
      </c>
      <c r="V542" s="12">
        <f>IF($A542="","",1+(($H542-5)/5)*Settings!$J$9)</f>
        <v>1.06</v>
      </c>
      <c r="W542" s="12">
        <f t="array" ref="W542">IF($A542="","",XLOOKUP($J542,Lists!$C$3:$C$7,Lists!$D$3:$D$7,1))</f>
        <v>1</v>
      </c>
      <c r="X542" s="12">
        <f>IF($A542="","",IF($I542="Yes",Settings!$J$10,1))</f>
        <v>1</v>
      </c>
      <c r="Y542" s="12">
        <f t="shared" si="2"/>
        <v>1</v>
      </c>
      <c r="Z542" s="12">
        <f>IF($A542="","",IFERROR(ROUND(AVERAGEIFS('Historical Drafts'!$G$4:$G$300,'Historical Drafts'!$D$4:$D$300,$E542,'Historical Drafts'!$J$4:$J$300,"&gt;="&amp;$L542*0.85,'Historical Drafts'!$J$4:$J$300,"&lt;="&amp;$L542*1.15),0),$Y542))</f>
        <v>3</v>
      </c>
      <c r="AA542" s="12" t="str">
        <f>IF($A542="","",IF(COUNTIF('Auction Log'!$B$3:$B$300,$A542)&gt;0,"Sold","Available"))</f>
        <v>Available</v>
      </c>
      <c r="AB542" s="12" t="str">
        <f t="array" ref="AB542">IF($A542="","",IFERROR(XLOOKUP($A542,'Auction Log'!$B$3:$B$300,'Auction Log'!$G$3:$G$300,""),""))</f>
        <v/>
      </c>
      <c r="AC542" s="12" t="str">
        <f t="array" ref="AC542">IF($A542="","",IFERROR(XLOOKUP($A542,'Auction Log'!$B$3:$B$300,'Auction Log'!$F$3:$F$300,""),""))</f>
        <v/>
      </c>
      <c r="AD542" s="12">
        <f t="array" ref="AD542">IF($A542="","",ROUND($Y542*XLOOKUP($F542,Settings!$I$15:$I$20,Settings!$K$15:$K$20,0.4),0))</f>
        <v>0</v>
      </c>
      <c r="AE542" s="12">
        <f t="array" ref="AE542">IF($A542="","",ROUND($Y542*XLOOKUP($F542,Settings!$I$15:$I$20,Settings!$L$15:$L$20,0.8),0))</f>
        <v>1</v>
      </c>
      <c r="AF542" s="12">
        <f t="array" ref="AF542">IF($A542="","",ROUND($Y542*XLOOKUP($F542,Settings!$I$15:$I$20,Settings!$M$15:$M$20,1),0))</f>
        <v>1</v>
      </c>
      <c r="AG542" s="12">
        <f t="array" ref="AG542">IF($A542="","",ROUND($Y542*XLOOKUP($F542,Settings!$I$15:$I$20,Settings!$N$15:$N$20,1.1),0))</f>
        <v>1</v>
      </c>
      <c r="AH542" s="12">
        <f t="array" ref="AH542">IF($A542="","",ROUND($Y542*XLOOKUP($F542,Settings!$I$15:$I$20,Settings!$O$15:$O$20,1.1)*Settings!$J$7,0))</f>
        <v>1</v>
      </c>
      <c r="AI542" s="12">
        <f t="array" ref="AI542">IF($A542="","",IF($AA542="Sold","",MIN($AH542,IFERROR(XLOOKUP(Settings!$B$12,Managers!$B$4:$B$15,Managers!$H$4:$H$15),$AH542))))</f>
        <v>1</v>
      </c>
      <c r="AJ542" s="12" t="str">
        <f t="shared" si="3"/>
        <v>Budget Drainer</v>
      </c>
      <c r="AK542" s="12">
        <f t="shared" si="4"/>
        <v>28</v>
      </c>
      <c r="AL542" s="12" t="str">
        <f t="shared" si="5"/>
        <v/>
      </c>
    </row>
    <row r="543" ht="15.75" customHeight="1">
      <c r="A543" s="10" t="s">
        <v>1367</v>
      </c>
      <c r="B543" s="10" t="s">
        <v>1368</v>
      </c>
      <c r="C543" s="10" t="s">
        <v>327</v>
      </c>
      <c r="D543" s="10" t="s">
        <v>115</v>
      </c>
      <c r="E543" s="10" t="s">
        <v>115</v>
      </c>
      <c r="F543" s="10" t="s">
        <v>117</v>
      </c>
      <c r="G543" s="10">
        <v>5.0</v>
      </c>
      <c r="H543" s="10">
        <v>7.0</v>
      </c>
      <c r="I543" s="10" t="s">
        <v>2140</v>
      </c>
      <c r="J543" s="10" t="s">
        <v>2136</v>
      </c>
      <c r="K543" s="10"/>
      <c r="L543" s="10">
        <v>0.0</v>
      </c>
      <c r="M543" s="10">
        <v>0.0</v>
      </c>
      <c r="N543" s="10"/>
      <c r="O543" s="10"/>
      <c r="P543" s="12">
        <f>IF($A543="","",IFERROR((IF($O543="",0,$O543)*Settings!$J$4+IF($L543="",0,$L543)*Settings!$J$5+IF($N543="",0,$N543)*Settings!$J$6)/(IF($O543="",0,Settings!$J$4)+IF($L543="",0,Settings!$J$5)+IF($N543="",0,Settings!$J$6)),0))</f>
        <v>0</v>
      </c>
      <c r="Q543" s="12">
        <f t="array" ref="Q543">IF($A543="","",XLOOKUP($E543,Settings!$A$19:$A$22,Settings!$G$19:$G$22,0))</f>
        <v>249.25</v>
      </c>
      <c r="R543" s="12">
        <f t="shared" si="1"/>
        <v>0</v>
      </c>
      <c r="S543" s="12">
        <f>IF($A543="","",IF($R543&lt;=0,1,1+$R543/SUMIF($R$4:$R$923,"&gt;0",$R$4:$R$923)*(Settings!$B$5*(Settings!$B$6-Settings!$B$7))))</f>
        <v>1</v>
      </c>
      <c r="T543" s="12">
        <f t="array" ref="T543">IF($A543="","",XLOOKUP($F543,Settings!$I$15:$I$20,Settings!$J$15:$J$20,1))</f>
        <v>0.75</v>
      </c>
      <c r="U543" s="12">
        <f>IF($A543="","",1+(($G543-5)/5)*Settings!$J$8)</f>
        <v>1</v>
      </c>
      <c r="V543" s="12">
        <f>IF($A543="","",1+(($H543-5)/5)*Settings!$J$9)</f>
        <v>1.06</v>
      </c>
      <c r="W543" s="12">
        <f t="array" ref="W543">IF($A543="","",XLOOKUP($J543,Lists!$C$3:$C$7,Lists!$D$3:$D$7,1))</f>
        <v>1</v>
      </c>
      <c r="X543" s="12">
        <f>IF($A543="","",IF($I543="Yes",Settings!$J$10,1))</f>
        <v>1</v>
      </c>
      <c r="Y543" s="12">
        <f t="shared" si="2"/>
        <v>1</v>
      </c>
      <c r="Z543" s="12">
        <f>IF($A543="","",IFERROR(ROUND(AVERAGEIFS('Historical Drafts'!$G$4:$G$300,'Historical Drafts'!$D$4:$D$300,$E543,'Historical Drafts'!$J$4:$J$300,"&gt;="&amp;$L543*0.85,'Historical Drafts'!$J$4:$J$300,"&lt;="&amp;$L543*1.15),0),$Y543))</f>
        <v>1</v>
      </c>
      <c r="AA543" s="12" t="str">
        <f>IF($A543="","",IF(COUNTIF('Auction Log'!$B$3:$B$300,$A543)&gt;0,"Sold","Available"))</f>
        <v>Available</v>
      </c>
      <c r="AB543" s="12" t="str">
        <f t="array" ref="AB543">IF($A543="","",IFERROR(XLOOKUP($A543,'Auction Log'!$B$3:$B$300,'Auction Log'!$G$3:$G$300,""),""))</f>
        <v/>
      </c>
      <c r="AC543" s="12" t="str">
        <f t="array" ref="AC543">IF($A543="","",IFERROR(XLOOKUP($A543,'Auction Log'!$B$3:$B$300,'Auction Log'!$F$3:$F$300,""),""))</f>
        <v/>
      </c>
      <c r="AD543" s="12">
        <f t="array" ref="AD543">IF($A543="","",ROUND($Y543*XLOOKUP($F543,Settings!$I$15:$I$20,Settings!$K$15:$K$20,0.4),0))</f>
        <v>0</v>
      </c>
      <c r="AE543" s="12">
        <f t="array" ref="AE543">IF($A543="","",ROUND($Y543*XLOOKUP($F543,Settings!$I$15:$I$20,Settings!$L$15:$L$20,0.8),0))</f>
        <v>1</v>
      </c>
      <c r="AF543" s="12">
        <f t="array" ref="AF543">IF($A543="","",ROUND($Y543*XLOOKUP($F543,Settings!$I$15:$I$20,Settings!$M$15:$M$20,1),0))</f>
        <v>1</v>
      </c>
      <c r="AG543" s="12">
        <f t="array" ref="AG543">IF($A543="","",ROUND($Y543*XLOOKUP($F543,Settings!$I$15:$I$20,Settings!$N$15:$N$20,1.1),0))</f>
        <v>1</v>
      </c>
      <c r="AH543" s="12">
        <f t="array" ref="AH543">IF($A543="","",ROUND($Y543*XLOOKUP($F543,Settings!$I$15:$I$20,Settings!$O$15:$O$20,1.1)*Settings!$J$7,0))</f>
        <v>1</v>
      </c>
      <c r="AI543" s="12">
        <f t="array" ref="AI543">IF($A543="","",IF($AA543="Sold","",MIN($AH543,IFERROR(XLOOKUP(Settings!$B$12,Managers!$B$4:$B$15,Managers!$H$4:$H$15),$AH543))))</f>
        <v>1</v>
      </c>
      <c r="AJ543" s="12" t="str">
        <f t="shared" si="3"/>
        <v>Recommended</v>
      </c>
      <c r="AK543" s="12">
        <f t="shared" si="4"/>
        <v>26</v>
      </c>
      <c r="AL543" s="12" t="str">
        <f t="shared" si="5"/>
        <v/>
      </c>
    </row>
    <row r="544" ht="15.75" customHeight="1">
      <c r="A544" s="10" t="s">
        <v>1369</v>
      </c>
      <c r="B544" s="10" t="s">
        <v>1370</v>
      </c>
      <c r="C544" s="10" t="s">
        <v>453</v>
      </c>
      <c r="D544" s="10" t="s">
        <v>123</v>
      </c>
      <c r="E544" s="10" t="s">
        <v>123</v>
      </c>
      <c r="F544" s="10" t="s">
        <v>117</v>
      </c>
      <c r="G544" s="10">
        <v>5.0</v>
      </c>
      <c r="H544" s="10">
        <v>7.0</v>
      </c>
      <c r="I544" s="10" t="s">
        <v>2140</v>
      </c>
      <c r="J544" s="10" t="s">
        <v>2136</v>
      </c>
      <c r="K544" s="10"/>
      <c r="L544" s="10">
        <v>0.0</v>
      </c>
      <c r="M544" s="10">
        <v>0.0</v>
      </c>
      <c r="N544" s="10"/>
      <c r="O544" s="10"/>
      <c r="P544" s="12">
        <f>IF($A544="","",IFERROR((IF($O544="",0,$O544)*Settings!$J$4+IF($L544="",0,$L544)*Settings!$J$5+IF($N544="",0,$N544)*Settings!$J$6)/(IF($O544="",0,Settings!$J$4)+IF($L544="",0,Settings!$J$5)+IF($N544="",0,Settings!$J$6)),0))</f>
        <v>0</v>
      </c>
      <c r="Q544" s="12">
        <f t="array" ref="Q544">IF($A544="","",XLOOKUP($E544,Settings!$A$19:$A$22,Settings!$G$19:$G$22,0))</f>
        <v>203</v>
      </c>
      <c r="R544" s="12">
        <f t="shared" si="1"/>
        <v>0</v>
      </c>
      <c r="S544" s="12">
        <f>IF($A544="","",IF($R544&lt;=0,1,1+$R544/SUMIF($R$4:$R$923,"&gt;0",$R$4:$R$923)*(Settings!$B$5*(Settings!$B$6-Settings!$B$7))))</f>
        <v>1</v>
      </c>
      <c r="T544" s="12">
        <f t="array" ref="T544">IF($A544="","",XLOOKUP($F544,Settings!$I$15:$I$20,Settings!$J$15:$J$20,1))</f>
        <v>0.75</v>
      </c>
      <c r="U544" s="12">
        <f>IF($A544="","",1+(($G544-5)/5)*Settings!$J$8)</f>
        <v>1</v>
      </c>
      <c r="V544" s="12">
        <f>IF($A544="","",1+(($H544-5)/5)*Settings!$J$9)</f>
        <v>1.06</v>
      </c>
      <c r="W544" s="12">
        <f t="array" ref="W544">IF($A544="","",XLOOKUP($J544,Lists!$C$3:$C$7,Lists!$D$3:$D$7,1))</f>
        <v>1</v>
      </c>
      <c r="X544" s="12">
        <f>IF($A544="","",IF($I544="Yes",Settings!$J$10,1))</f>
        <v>1</v>
      </c>
      <c r="Y544" s="12">
        <f t="shared" si="2"/>
        <v>1</v>
      </c>
      <c r="Z544" s="12">
        <f>IF($A544="","",IFERROR(ROUND(AVERAGEIFS('Historical Drafts'!$G$4:$G$300,'Historical Drafts'!$D$4:$D$300,$E544,'Historical Drafts'!$J$4:$J$300,"&gt;="&amp;$L544*0.85,'Historical Drafts'!$J$4:$J$300,"&lt;="&amp;$L544*1.15),0),$Y544))</f>
        <v>3</v>
      </c>
      <c r="AA544" s="12" t="str">
        <f>IF($A544="","",IF(COUNTIF('Auction Log'!$B$3:$B$300,$A544)&gt;0,"Sold","Available"))</f>
        <v>Available</v>
      </c>
      <c r="AB544" s="12" t="str">
        <f t="array" ref="AB544">IF($A544="","",IFERROR(XLOOKUP($A544,'Auction Log'!$B$3:$B$300,'Auction Log'!$G$3:$G$300,""),""))</f>
        <v/>
      </c>
      <c r="AC544" s="12" t="str">
        <f t="array" ref="AC544">IF($A544="","",IFERROR(XLOOKUP($A544,'Auction Log'!$B$3:$B$300,'Auction Log'!$F$3:$F$300,""),""))</f>
        <v/>
      </c>
      <c r="AD544" s="12">
        <f t="array" ref="AD544">IF($A544="","",ROUND($Y544*XLOOKUP($F544,Settings!$I$15:$I$20,Settings!$K$15:$K$20,0.4),0))</f>
        <v>0</v>
      </c>
      <c r="AE544" s="12">
        <f t="array" ref="AE544">IF($A544="","",ROUND($Y544*XLOOKUP($F544,Settings!$I$15:$I$20,Settings!$L$15:$L$20,0.8),0))</f>
        <v>1</v>
      </c>
      <c r="AF544" s="12">
        <f t="array" ref="AF544">IF($A544="","",ROUND($Y544*XLOOKUP($F544,Settings!$I$15:$I$20,Settings!$M$15:$M$20,1),0))</f>
        <v>1</v>
      </c>
      <c r="AG544" s="12">
        <f t="array" ref="AG544">IF($A544="","",ROUND($Y544*XLOOKUP($F544,Settings!$I$15:$I$20,Settings!$N$15:$N$20,1.1),0))</f>
        <v>1</v>
      </c>
      <c r="AH544" s="12">
        <f t="array" ref="AH544">IF($A544="","",ROUND($Y544*XLOOKUP($F544,Settings!$I$15:$I$20,Settings!$O$15:$O$20,1.1)*Settings!$J$7,0))</f>
        <v>1</v>
      </c>
      <c r="AI544" s="12">
        <f t="array" ref="AI544">IF($A544="","",IF($AA544="Sold","",MIN($AH544,IFERROR(XLOOKUP(Settings!$B$12,Managers!$B$4:$B$15,Managers!$H$4:$H$15),$AH544))))</f>
        <v>1</v>
      </c>
      <c r="AJ544" s="12" t="str">
        <f t="shared" si="3"/>
        <v>Budget Drainer</v>
      </c>
      <c r="AK544" s="12">
        <f t="shared" si="4"/>
        <v>28</v>
      </c>
      <c r="AL544" s="12" t="str">
        <f t="shared" si="5"/>
        <v/>
      </c>
    </row>
    <row r="545" ht="15.75" customHeight="1">
      <c r="A545" s="10" t="s">
        <v>1371</v>
      </c>
      <c r="B545" s="10" t="s">
        <v>1372</v>
      </c>
      <c r="C545" s="10" t="s">
        <v>566</v>
      </c>
      <c r="D545" s="10" t="s">
        <v>123</v>
      </c>
      <c r="E545" s="10" t="s">
        <v>123</v>
      </c>
      <c r="F545" s="10" t="s">
        <v>117</v>
      </c>
      <c r="G545" s="10">
        <v>5.0</v>
      </c>
      <c r="H545" s="10">
        <v>7.0</v>
      </c>
      <c r="I545" s="10" t="s">
        <v>2140</v>
      </c>
      <c r="J545" s="10" t="s">
        <v>2136</v>
      </c>
      <c r="K545" s="10"/>
      <c r="L545" s="10">
        <v>0.0</v>
      </c>
      <c r="M545" s="10">
        <v>0.0</v>
      </c>
      <c r="N545" s="10"/>
      <c r="O545" s="10"/>
      <c r="P545" s="12">
        <f>IF($A545="","",IFERROR((IF($O545="",0,$O545)*Settings!$J$4+IF($L545="",0,$L545)*Settings!$J$5+IF($N545="",0,$N545)*Settings!$J$6)/(IF($O545="",0,Settings!$J$4)+IF($L545="",0,Settings!$J$5)+IF($N545="",0,Settings!$J$6)),0))</f>
        <v>0</v>
      </c>
      <c r="Q545" s="12">
        <f t="array" ref="Q545">IF($A545="","",XLOOKUP($E545,Settings!$A$19:$A$22,Settings!$G$19:$G$22,0))</f>
        <v>203</v>
      </c>
      <c r="R545" s="12">
        <f t="shared" si="1"/>
        <v>0</v>
      </c>
      <c r="S545" s="12">
        <f>IF($A545="","",IF($R545&lt;=0,1,1+$R545/SUMIF($R$4:$R$923,"&gt;0",$R$4:$R$923)*(Settings!$B$5*(Settings!$B$6-Settings!$B$7))))</f>
        <v>1</v>
      </c>
      <c r="T545" s="12">
        <f t="array" ref="T545">IF($A545="","",XLOOKUP($F545,Settings!$I$15:$I$20,Settings!$J$15:$J$20,1))</f>
        <v>0.75</v>
      </c>
      <c r="U545" s="12">
        <f>IF($A545="","",1+(($G545-5)/5)*Settings!$J$8)</f>
        <v>1</v>
      </c>
      <c r="V545" s="12">
        <f>IF($A545="","",1+(($H545-5)/5)*Settings!$J$9)</f>
        <v>1.06</v>
      </c>
      <c r="W545" s="12">
        <f t="array" ref="W545">IF($A545="","",XLOOKUP($J545,Lists!$C$3:$C$7,Lists!$D$3:$D$7,1))</f>
        <v>1</v>
      </c>
      <c r="X545" s="12">
        <f>IF($A545="","",IF($I545="Yes",Settings!$J$10,1))</f>
        <v>1</v>
      </c>
      <c r="Y545" s="12">
        <f t="shared" si="2"/>
        <v>1</v>
      </c>
      <c r="Z545" s="12">
        <f>IF($A545="","",IFERROR(ROUND(AVERAGEIFS('Historical Drafts'!$G$4:$G$300,'Historical Drafts'!$D$4:$D$300,$E545,'Historical Drafts'!$J$4:$J$300,"&gt;="&amp;$L545*0.85,'Historical Drafts'!$J$4:$J$300,"&lt;="&amp;$L545*1.15),0),$Y545))</f>
        <v>3</v>
      </c>
      <c r="AA545" s="12" t="str">
        <f>IF($A545="","",IF(COUNTIF('Auction Log'!$B$3:$B$300,$A545)&gt;0,"Sold","Available"))</f>
        <v>Available</v>
      </c>
      <c r="AB545" s="12" t="str">
        <f t="array" ref="AB545">IF($A545="","",IFERROR(XLOOKUP($A545,'Auction Log'!$B$3:$B$300,'Auction Log'!$G$3:$G$300,""),""))</f>
        <v/>
      </c>
      <c r="AC545" s="12" t="str">
        <f t="array" ref="AC545">IF($A545="","",IFERROR(XLOOKUP($A545,'Auction Log'!$B$3:$B$300,'Auction Log'!$F$3:$F$300,""),""))</f>
        <v/>
      </c>
      <c r="AD545" s="12">
        <f t="array" ref="AD545">IF($A545="","",ROUND($Y545*XLOOKUP($F545,Settings!$I$15:$I$20,Settings!$K$15:$K$20,0.4),0))</f>
        <v>0</v>
      </c>
      <c r="AE545" s="12">
        <f t="array" ref="AE545">IF($A545="","",ROUND($Y545*XLOOKUP($F545,Settings!$I$15:$I$20,Settings!$L$15:$L$20,0.8),0))</f>
        <v>1</v>
      </c>
      <c r="AF545" s="12">
        <f t="array" ref="AF545">IF($A545="","",ROUND($Y545*XLOOKUP($F545,Settings!$I$15:$I$20,Settings!$M$15:$M$20,1),0))</f>
        <v>1</v>
      </c>
      <c r="AG545" s="12">
        <f t="array" ref="AG545">IF($A545="","",ROUND($Y545*XLOOKUP($F545,Settings!$I$15:$I$20,Settings!$N$15:$N$20,1.1),0))</f>
        <v>1</v>
      </c>
      <c r="AH545" s="12">
        <f t="array" ref="AH545">IF($A545="","",ROUND($Y545*XLOOKUP($F545,Settings!$I$15:$I$20,Settings!$O$15:$O$20,1.1)*Settings!$J$7,0))</f>
        <v>1</v>
      </c>
      <c r="AI545" s="12">
        <f t="array" ref="AI545">IF($A545="","",IF($AA545="Sold","",MIN($AH545,IFERROR(XLOOKUP(Settings!$B$12,Managers!$B$4:$B$15,Managers!$H$4:$H$15),$AH545))))</f>
        <v>1</v>
      </c>
      <c r="AJ545" s="12" t="str">
        <f t="shared" si="3"/>
        <v>Budget Drainer</v>
      </c>
      <c r="AK545" s="12">
        <f t="shared" si="4"/>
        <v>28</v>
      </c>
      <c r="AL545" s="12" t="str">
        <f t="shared" si="5"/>
        <v/>
      </c>
    </row>
    <row r="546" ht="15.75" customHeight="1">
      <c r="A546" s="10" t="s">
        <v>1373</v>
      </c>
      <c r="B546" s="10" t="s">
        <v>1374</v>
      </c>
      <c r="C546" s="10" t="s">
        <v>257</v>
      </c>
      <c r="D546" s="10" t="s">
        <v>121</v>
      </c>
      <c r="E546" s="10" t="s">
        <v>121</v>
      </c>
      <c r="F546" s="10" t="s">
        <v>117</v>
      </c>
      <c r="G546" s="10">
        <v>5.0</v>
      </c>
      <c r="H546" s="10">
        <v>7.0</v>
      </c>
      <c r="I546" s="10" t="s">
        <v>2140</v>
      </c>
      <c r="J546" s="10" t="s">
        <v>2136</v>
      </c>
      <c r="K546" s="10"/>
      <c r="L546" s="10">
        <v>0.0</v>
      </c>
      <c r="M546" s="10">
        <v>0.0</v>
      </c>
      <c r="N546" s="10"/>
      <c r="O546" s="10"/>
      <c r="P546" s="12">
        <f>IF($A546="","",IFERROR((IF($O546="",0,$O546)*Settings!$J$4+IF($L546="",0,$L546)*Settings!$J$5+IF($N546="",0,$N546)*Settings!$J$6)/(IF($O546="",0,Settings!$J$4)+IF($L546="",0,Settings!$J$5)+IF($N546="",0,Settings!$J$6)),0))</f>
        <v>0</v>
      </c>
      <c r="Q546" s="12">
        <f t="array" ref="Q546">IF($A546="","",XLOOKUP($E546,Settings!$A$19:$A$22,Settings!$G$19:$G$22,0))</f>
        <v>206</v>
      </c>
      <c r="R546" s="12">
        <f t="shared" si="1"/>
        <v>0</v>
      </c>
      <c r="S546" s="12">
        <f>IF($A546="","",IF($R546&lt;=0,1,1+$R546/SUMIF($R$4:$R$923,"&gt;0",$R$4:$R$923)*(Settings!$B$5*(Settings!$B$6-Settings!$B$7))))</f>
        <v>1</v>
      </c>
      <c r="T546" s="12">
        <f t="array" ref="T546">IF($A546="","",XLOOKUP($F546,Settings!$I$15:$I$20,Settings!$J$15:$J$20,1))</f>
        <v>0.75</v>
      </c>
      <c r="U546" s="12">
        <f>IF($A546="","",1+(($G546-5)/5)*Settings!$J$8)</f>
        <v>1</v>
      </c>
      <c r="V546" s="12">
        <f>IF($A546="","",1+(($H546-5)/5)*Settings!$J$9)</f>
        <v>1.06</v>
      </c>
      <c r="W546" s="12">
        <f t="array" ref="W546">IF($A546="","",XLOOKUP($J546,Lists!$C$3:$C$7,Lists!$D$3:$D$7,1))</f>
        <v>1</v>
      </c>
      <c r="X546" s="12">
        <f>IF($A546="","",IF($I546="Yes",Settings!$J$10,1))</f>
        <v>1</v>
      </c>
      <c r="Y546" s="12">
        <f t="shared" si="2"/>
        <v>1</v>
      </c>
      <c r="Z546" s="12">
        <f>IF($A546="","",IFERROR(ROUND(AVERAGEIFS('Historical Drafts'!$G$4:$G$300,'Historical Drafts'!$D$4:$D$300,$E546,'Historical Drafts'!$J$4:$J$300,"&gt;="&amp;$L546*0.85,'Historical Drafts'!$J$4:$J$300,"&lt;="&amp;$L546*1.15),0),$Y546))</f>
        <v>3</v>
      </c>
      <c r="AA546" s="12" t="str">
        <f>IF($A546="","",IF(COUNTIF('Auction Log'!$B$3:$B$300,$A546)&gt;0,"Sold","Available"))</f>
        <v>Available</v>
      </c>
      <c r="AB546" s="12" t="str">
        <f t="array" ref="AB546">IF($A546="","",IFERROR(XLOOKUP($A546,'Auction Log'!$B$3:$B$300,'Auction Log'!$G$3:$G$300,""),""))</f>
        <v/>
      </c>
      <c r="AC546" s="12" t="str">
        <f t="array" ref="AC546">IF($A546="","",IFERROR(XLOOKUP($A546,'Auction Log'!$B$3:$B$300,'Auction Log'!$F$3:$F$300,""),""))</f>
        <v/>
      </c>
      <c r="AD546" s="12">
        <f t="array" ref="AD546">IF($A546="","",ROUND($Y546*XLOOKUP($F546,Settings!$I$15:$I$20,Settings!$K$15:$K$20,0.4),0))</f>
        <v>0</v>
      </c>
      <c r="AE546" s="12">
        <f t="array" ref="AE546">IF($A546="","",ROUND($Y546*XLOOKUP($F546,Settings!$I$15:$I$20,Settings!$L$15:$L$20,0.8),0))</f>
        <v>1</v>
      </c>
      <c r="AF546" s="12">
        <f t="array" ref="AF546">IF($A546="","",ROUND($Y546*XLOOKUP($F546,Settings!$I$15:$I$20,Settings!$M$15:$M$20,1),0))</f>
        <v>1</v>
      </c>
      <c r="AG546" s="12">
        <f t="array" ref="AG546">IF($A546="","",ROUND($Y546*XLOOKUP($F546,Settings!$I$15:$I$20,Settings!$N$15:$N$20,1.1),0))</f>
        <v>1</v>
      </c>
      <c r="AH546" s="12">
        <f t="array" ref="AH546">IF($A546="","",ROUND($Y546*XLOOKUP($F546,Settings!$I$15:$I$20,Settings!$O$15:$O$20,1.1)*Settings!$J$7,0))</f>
        <v>1</v>
      </c>
      <c r="AI546" s="12">
        <f t="array" ref="AI546">IF($A546="","",IF($AA546="Sold","",MIN($AH546,IFERROR(XLOOKUP(Settings!$B$12,Managers!$B$4:$B$15,Managers!$H$4:$H$15),$AH546))))</f>
        <v>1</v>
      </c>
      <c r="AJ546" s="12" t="str">
        <f t="shared" si="3"/>
        <v>Budget Drainer</v>
      </c>
      <c r="AK546" s="12">
        <f t="shared" si="4"/>
        <v>28</v>
      </c>
      <c r="AL546" s="12" t="str">
        <f t="shared" si="5"/>
        <v/>
      </c>
    </row>
    <row r="547" ht="15.75" customHeight="1">
      <c r="A547" s="10" t="s">
        <v>1375</v>
      </c>
      <c r="B547" s="10" t="s">
        <v>1376</v>
      </c>
      <c r="C547" s="10" t="s">
        <v>221</v>
      </c>
      <c r="D547" s="10" t="s">
        <v>118</v>
      </c>
      <c r="E547" s="10" t="s">
        <v>118</v>
      </c>
      <c r="F547" s="10" t="s">
        <v>117</v>
      </c>
      <c r="G547" s="10">
        <v>5.0</v>
      </c>
      <c r="H547" s="10">
        <v>7.0</v>
      </c>
      <c r="I547" s="10" t="s">
        <v>2140</v>
      </c>
      <c r="J547" s="10" t="s">
        <v>2136</v>
      </c>
      <c r="K547" s="10"/>
      <c r="L547" s="10">
        <v>0.0</v>
      </c>
      <c r="M547" s="10">
        <v>0.0</v>
      </c>
      <c r="N547" s="10"/>
      <c r="O547" s="10"/>
      <c r="P547" s="12">
        <f>IF($A547="","",IFERROR((IF($O547="",0,$O547)*Settings!$J$4+IF($L547="",0,$L547)*Settings!$J$5+IF($N547="",0,$N547)*Settings!$J$6)/(IF($O547="",0,Settings!$J$4)+IF($L547="",0,Settings!$J$5)+IF($N547="",0,Settings!$J$6)),0))</f>
        <v>0</v>
      </c>
      <c r="Q547" s="12">
        <f t="array" ref="Q547">IF($A547="","",XLOOKUP($E547,Settings!$A$19:$A$22,Settings!$G$19:$G$22,0))</f>
        <v>196.25</v>
      </c>
      <c r="R547" s="12">
        <f t="shared" si="1"/>
        <v>0</v>
      </c>
      <c r="S547" s="12">
        <f>IF($A547="","",IF($R547&lt;=0,1,1+$R547/SUMIF($R$4:$R$923,"&gt;0",$R$4:$R$923)*(Settings!$B$5*(Settings!$B$6-Settings!$B$7))))</f>
        <v>1</v>
      </c>
      <c r="T547" s="12">
        <f t="array" ref="T547">IF($A547="","",XLOOKUP($F547,Settings!$I$15:$I$20,Settings!$J$15:$J$20,1))</f>
        <v>0.75</v>
      </c>
      <c r="U547" s="12">
        <f>IF($A547="","",1+(($G547-5)/5)*Settings!$J$8)</f>
        <v>1</v>
      </c>
      <c r="V547" s="12">
        <f>IF($A547="","",1+(($H547-5)/5)*Settings!$J$9)</f>
        <v>1.06</v>
      </c>
      <c r="W547" s="12">
        <f t="array" ref="W547">IF($A547="","",XLOOKUP($J547,Lists!$C$3:$C$7,Lists!$D$3:$D$7,1))</f>
        <v>1</v>
      </c>
      <c r="X547" s="12">
        <f>IF($A547="","",IF($I547="Yes",Settings!$J$10,1))</f>
        <v>1</v>
      </c>
      <c r="Y547" s="12">
        <f t="shared" si="2"/>
        <v>1</v>
      </c>
      <c r="Z547" s="12">
        <f>IF($A547="","",IFERROR(ROUND(AVERAGEIFS('Historical Drafts'!$G$4:$G$300,'Historical Drafts'!$D$4:$D$300,$E547,'Historical Drafts'!$J$4:$J$300,"&gt;="&amp;$L547*0.85,'Historical Drafts'!$J$4:$J$300,"&lt;="&amp;$L547*1.15),0),$Y547))</f>
        <v>1</v>
      </c>
      <c r="AA547" s="12" t="str">
        <f>IF($A547="","",IF(COUNTIF('Auction Log'!$B$3:$B$300,$A547)&gt;0,"Sold","Available"))</f>
        <v>Available</v>
      </c>
      <c r="AB547" s="12" t="str">
        <f t="array" ref="AB547">IF($A547="","",IFERROR(XLOOKUP($A547,'Auction Log'!$B$3:$B$300,'Auction Log'!$G$3:$G$300,""),""))</f>
        <v/>
      </c>
      <c r="AC547" s="12" t="str">
        <f t="array" ref="AC547">IF($A547="","",IFERROR(XLOOKUP($A547,'Auction Log'!$B$3:$B$300,'Auction Log'!$F$3:$F$300,""),""))</f>
        <v/>
      </c>
      <c r="AD547" s="12">
        <f t="array" ref="AD547">IF($A547="","",ROUND($Y547*XLOOKUP($F547,Settings!$I$15:$I$20,Settings!$K$15:$K$20,0.4),0))</f>
        <v>0</v>
      </c>
      <c r="AE547" s="12">
        <f t="array" ref="AE547">IF($A547="","",ROUND($Y547*XLOOKUP($F547,Settings!$I$15:$I$20,Settings!$L$15:$L$20,0.8),0))</f>
        <v>1</v>
      </c>
      <c r="AF547" s="12">
        <f t="array" ref="AF547">IF($A547="","",ROUND($Y547*XLOOKUP($F547,Settings!$I$15:$I$20,Settings!$M$15:$M$20,1),0))</f>
        <v>1</v>
      </c>
      <c r="AG547" s="12">
        <f t="array" ref="AG547">IF($A547="","",ROUND($Y547*XLOOKUP($F547,Settings!$I$15:$I$20,Settings!$N$15:$N$20,1.1),0))</f>
        <v>1</v>
      </c>
      <c r="AH547" s="12">
        <f t="array" ref="AH547">IF($A547="","",ROUND($Y547*XLOOKUP($F547,Settings!$I$15:$I$20,Settings!$O$15:$O$20,1.1)*Settings!$J$7,0))</f>
        <v>1</v>
      </c>
      <c r="AI547" s="12">
        <f t="array" ref="AI547">IF($A547="","",IF($AA547="Sold","",MIN($AH547,IFERROR(XLOOKUP(Settings!$B$12,Managers!$B$4:$B$15,Managers!$H$4:$H$15),$AH547))))</f>
        <v>1</v>
      </c>
      <c r="AJ547" s="12" t="str">
        <f t="shared" si="3"/>
        <v>Recommended</v>
      </c>
      <c r="AK547" s="12">
        <f t="shared" si="4"/>
        <v>26</v>
      </c>
      <c r="AL547" s="12" t="str">
        <f t="shared" si="5"/>
        <v/>
      </c>
    </row>
    <row r="548" ht="15.75" customHeight="1">
      <c r="A548" s="10" t="s">
        <v>1377</v>
      </c>
      <c r="B548" s="10" t="s">
        <v>1378</v>
      </c>
      <c r="C548" s="10" t="s">
        <v>305</v>
      </c>
      <c r="D548" s="10" t="s">
        <v>115</v>
      </c>
      <c r="E548" s="10" t="s">
        <v>115</v>
      </c>
      <c r="F548" s="10" t="s">
        <v>117</v>
      </c>
      <c r="G548" s="10">
        <v>5.0</v>
      </c>
      <c r="H548" s="10">
        <v>7.0</v>
      </c>
      <c r="I548" s="10" t="s">
        <v>2140</v>
      </c>
      <c r="J548" s="10" t="s">
        <v>2136</v>
      </c>
      <c r="K548" s="10"/>
      <c r="L548" s="10">
        <v>0.0</v>
      </c>
      <c r="M548" s="10">
        <v>0.0</v>
      </c>
      <c r="N548" s="10"/>
      <c r="O548" s="10"/>
      <c r="P548" s="12">
        <f>IF($A548="","",IFERROR((IF($O548="",0,$O548)*Settings!$J$4+IF($L548="",0,$L548)*Settings!$J$5+IF($N548="",0,$N548)*Settings!$J$6)/(IF($O548="",0,Settings!$J$4)+IF($L548="",0,Settings!$J$5)+IF($N548="",0,Settings!$J$6)),0))</f>
        <v>0</v>
      </c>
      <c r="Q548" s="12">
        <f t="array" ref="Q548">IF($A548="","",XLOOKUP($E548,Settings!$A$19:$A$22,Settings!$G$19:$G$22,0))</f>
        <v>249.25</v>
      </c>
      <c r="R548" s="12">
        <f t="shared" si="1"/>
        <v>0</v>
      </c>
      <c r="S548" s="12">
        <f>IF($A548="","",IF($R548&lt;=0,1,1+$R548/SUMIF($R$4:$R$923,"&gt;0",$R$4:$R$923)*(Settings!$B$5*(Settings!$B$6-Settings!$B$7))))</f>
        <v>1</v>
      </c>
      <c r="T548" s="12">
        <f t="array" ref="T548">IF($A548="","",XLOOKUP($F548,Settings!$I$15:$I$20,Settings!$J$15:$J$20,1))</f>
        <v>0.75</v>
      </c>
      <c r="U548" s="12">
        <f>IF($A548="","",1+(($G548-5)/5)*Settings!$J$8)</f>
        <v>1</v>
      </c>
      <c r="V548" s="12">
        <f>IF($A548="","",1+(($H548-5)/5)*Settings!$J$9)</f>
        <v>1.06</v>
      </c>
      <c r="W548" s="12">
        <f t="array" ref="W548">IF($A548="","",XLOOKUP($J548,Lists!$C$3:$C$7,Lists!$D$3:$D$7,1))</f>
        <v>1</v>
      </c>
      <c r="X548" s="12">
        <f>IF($A548="","",IF($I548="Yes",Settings!$J$10,1))</f>
        <v>1</v>
      </c>
      <c r="Y548" s="12">
        <f t="shared" si="2"/>
        <v>1</v>
      </c>
      <c r="Z548" s="12">
        <f>IF($A548="","",IFERROR(ROUND(AVERAGEIFS('Historical Drafts'!$G$4:$G$300,'Historical Drafts'!$D$4:$D$300,$E548,'Historical Drafts'!$J$4:$J$300,"&gt;="&amp;$L548*0.85,'Historical Drafts'!$J$4:$J$300,"&lt;="&amp;$L548*1.15),0),$Y548))</f>
        <v>1</v>
      </c>
      <c r="AA548" s="12" t="str">
        <f>IF($A548="","",IF(COUNTIF('Auction Log'!$B$3:$B$300,$A548)&gt;0,"Sold","Available"))</f>
        <v>Available</v>
      </c>
      <c r="AB548" s="12" t="str">
        <f t="array" ref="AB548">IF($A548="","",IFERROR(XLOOKUP($A548,'Auction Log'!$B$3:$B$300,'Auction Log'!$G$3:$G$300,""),""))</f>
        <v/>
      </c>
      <c r="AC548" s="12" t="str">
        <f t="array" ref="AC548">IF($A548="","",IFERROR(XLOOKUP($A548,'Auction Log'!$B$3:$B$300,'Auction Log'!$F$3:$F$300,""),""))</f>
        <v/>
      </c>
      <c r="AD548" s="12">
        <f t="array" ref="AD548">IF($A548="","",ROUND($Y548*XLOOKUP($F548,Settings!$I$15:$I$20,Settings!$K$15:$K$20,0.4),0))</f>
        <v>0</v>
      </c>
      <c r="AE548" s="12">
        <f t="array" ref="AE548">IF($A548="","",ROUND($Y548*XLOOKUP($F548,Settings!$I$15:$I$20,Settings!$L$15:$L$20,0.8),0))</f>
        <v>1</v>
      </c>
      <c r="AF548" s="12">
        <f t="array" ref="AF548">IF($A548="","",ROUND($Y548*XLOOKUP($F548,Settings!$I$15:$I$20,Settings!$M$15:$M$20,1),0))</f>
        <v>1</v>
      </c>
      <c r="AG548" s="12">
        <f t="array" ref="AG548">IF($A548="","",ROUND($Y548*XLOOKUP($F548,Settings!$I$15:$I$20,Settings!$N$15:$N$20,1.1),0))</f>
        <v>1</v>
      </c>
      <c r="AH548" s="12">
        <f t="array" ref="AH548">IF($A548="","",ROUND($Y548*XLOOKUP($F548,Settings!$I$15:$I$20,Settings!$O$15:$O$20,1.1)*Settings!$J$7,0))</f>
        <v>1</v>
      </c>
      <c r="AI548" s="12">
        <f t="array" ref="AI548">IF($A548="","",IF($AA548="Sold","",MIN($AH548,IFERROR(XLOOKUP(Settings!$B$12,Managers!$B$4:$B$15,Managers!$H$4:$H$15),$AH548))))</f>
        <v>1</v>
      </c>
      <c r="AJ548" s="12" t="str">
        <f t="shared" si="3"/>
        <v>Recommended</v>
      </c>
      <c r="AK548" s="12">
        <f t="shared" si="4"/>
        <v>26</v>
      </c>
      <c r="AL548" s="12" t="str">
        <f t="shared" si="5"/>
        <v/>
      </c>
    </row>
    <row r="549" ht="15.75" customHeight="1">
      <c r="A549" s="10" t="s">
        <v>1379</v>
      </c>
      <c r="B549" s="10" t="s">
        <v>1380</v>
      </c>
      <c r="C549" s="10" t="s">
        <v>327</v>
      </c>
      <c r="D549" s="10" t="s">
        <v>121</v>
      </c>
      <c r="E549" s="10" t="s">
        <v>121</v>
      </c>
      <c r="F549" s="10" t="s">
        <v>117</v>
      </c>
      <c r="G549" s="10">
        <v>5.0</v>
      </c>
      <c r="H549" s="10">
        <v>7.0</v>
      </c>
      <c r="I549" s="10" t="s">
        <v>2140</v>
      </c>
      <c r="J549" s="10" t="s">
        <v>2136</v>
      </c>
      <c r="K549" s="10"/>
      <c r="L549" s="10">
        <v>0.0</v>
      </c>
      <c r="M549" s="10">
        <v>0.0</v>
      </c>
      <c r="N549" s="10"/>
      <c r="O549" s="10"/>
      <c r="P549" s="12">
        <f>IF($A549="","",IFERROR((IF($O549="",0,$O549)*Settings!$J$4+IF($L549="",0,$L549)*Settings!$J$5+IF($N549="",0,$N549)*Settings!$J$6)/(IF($O549="",0,Settings!$J$4)+IF($L549="",0,Settings!$J$5)+IF($N549="",0,Settings!$J$6)),0))</f>
        <v>0</v>
      </c>
      <c r="Q549" s="12">
        <f t="array" ref="Q549">IF($A549="","",XLOOKUP($E549,Settings!$A$19:$A$22,Settings!$G$19:$G$22,0))</f>
        <v>206</v>
      </c>
      <c r="R549" s="12">
        <f t="shared" si="1"/>
        <v>0</v>
      </c>
      <c r="S549" s="12">
        <f>IF($A549="","",IF($R549&lt;=0,1,1+$R549/SUMIF($R$4:$R$923,"&gt;0",$R$4:$R$923)*(Settings!$B$5*(Settings!$B$6-Settings!$B$7))))</f>
        <v>1</v>
      </c>
      <c r="T549" s="12">
        <f t="array" ref="T549">IF($A549="","",XLOOKUP($F549,Settings!$I$15:$I$20,Settings!$J$15:$J$20,1))</f>
        <v>0.75</v>
      </c>
      <c r="U549" s="12">
        <f>IF($A549="","",1+(($G549-5)/5)*Settings!$J$8)</f>
        <v>1</v>
      </c>
      <c r="V549" s="12">
        <f>IF($A549="","",1+(($H549-5)/5)*Settings!$J$9)</f>
        <v>1.06</v>
      </c>
      <c r="W549" s="12">
        <f t="array" ref="W549">IF($A549="","",XLOOKUP($J549,Lists!$C$3:$C$7,Lists!$D$3:$D$7,1))</f>
        <v>1</v>
      </c>
      <c r="X549" s="12">
        <f>IF($A549="","",IF($I549="Yes",Settings!$J$10,1))</f>
        <v>1</v>
      </c>
      <c r="Y549" s="12">
        <f t="shared" si="2"/>
        <v>1</v>
      </c>
      <c r="Z549" s="12">
        <f>IF($A549="","",IFERROR(ROUND(AVERAGEIFS('Historical Drafts'!$G$4:$G$300,'Historical Drafts'!$D$4:$D$300,$E549,'Historical Drafts'!$J$4:$J$300,"&gt;="&amp;$L549*0.85,'Historical Drafts'!$J$4:$J$300,"&lt;="&amp;$L549*1.15),0),$Y549))</f>
        <v>3</v>
      </c>
      <c r="AA549" s="12" t="str">
        <f>IF($A549="","",IF(COUNTIF('Auction Log'!$B$3:$B$300,$A549)&gt;0,"Sold","Available"))</f>
        <v>Available</v>
      </c>
      <c r="AB549" s="12" t="str">
        <f t="array" ref="AB549">IF($A549="","",IFERROR(XLOOKUP($A549,'Auction Log'!$B$3:$B$300,'Auction Log'!$G$3:$G$300,""),""))</f>
        <v/>
      </c>
      <c r="AC549" s="12" t="str">
        <f t="array" ref="AC549">IF($A549="","",IFERROR(XLOOKUP($A549,'Auction Log'!$B$3:$B$300,'Auction Log'!$F$3:$F$300,""),""))</f>
        <v/>
      </c>
      <c r="AD549" s="12">
        <f t="array" ref="AD549">IF($A549="","",ROUND($Y549*XLOOKUP($F549,Settings!$I$15:$I$20,Settings!$K$15:$K$20,0.4),0))</f>
        <v>0</v>
      </c>
      <c r="AE549" s="12">
        <f t="array" ref="AE549">IF($A549="","",ROUND($Y549*XLOOKUP($F549,Settings!$I$15:$I$20,Settings!$L$15:$L$20,0.8),0))</f>
        <v>1</v>
      </c>
      <c r="AF549" s="12">
        <f t="array" ref="AF549">IF($A549="","",ROUND($Y549*XLOOKUP($F549,Settings!$I$15:$I$20,Settings!$M$15:$M$20,1),0))</f>
        <v>1</v>
      </c>
      <c r="AG549" s="12">
        <f t="array" ref="AG549">IF($A549="","",ROUND($Y549*XLOOKUP($F549,Settings!$I$15:$I$20,Settings!$N$15:$N$20,1.1),0))</f>
        <v>1</v>
      </c>
      <c r="AH549" s="12">
        <f t="array" ref="AH549">IF($A549="","",ROUND($Y549*XLOOKUP($F549,Settings!$I$15:$I$20,Settings!$O$15:$O$20,1.1)*Settings!$J$7,0))</f>
        <v>1</v>
      </c>
      <c r="AI549" s="12">
        <f t="array" ref="AI549">IF($A549="","",IF($AA549="Sold","",MIN($AH549,IFERROR(XLOOKUP(Settings!$B$12,Managers!$B$4:$B$15,Managers!$H$4:$H$15),$AH549))))</f>
        <v>1</v>
      </c>
      <c r="AJ549" s="12" t="str">
        <f t="shared" si="3"/>
        <v>Budget Drainer</v>
      </c>
      <c r="AK549" s="12">
        <f t="shared" si="4"/>
        <v>28</v>
      </c>
      <c r="AL549" s="12" t="str">
        <f t="shared" si="5"/>
        <v/>
      </c>
    </row>
    <row r="550" ht="15.75" customHeight="1">
      <c r="A550" s="10" t="s">
        <v>1381</v>
      </c>
      <c r="B550" s="10" t="s">
        <v>1382</v>
      </c>
      <c r="C550" s="10" t="s">
        <v>236</v>
      </c>
      <c r="D550" s="10" t="s">
        <v>121</v>
      </c>
      <c r="E550" s="10" t="s">
        <v>121</v>
      </c>
      <c r="F550" s="10" t="s">
        <v>117</v>
      </c>
      <c r="G550" s="10">
        <v>5.0</v>
      </c>
      <c r="H550" s="10">
        <v>7.0</v>
      </c>
      <c r="I550" s="10" t="s">
        <v>2140</v>
      </c>
      <c r="J550" s="10" t="s">
        <v>2136</v>
      </c>
      <c r="K550" s="10"/>
      <c r="L550" s="10">
        <v>0.0</v>
      </c>
      <c r="M550" s="10">
        <v>0.0</v>
      </c>
      <c r="N550" s="10"/>
      <c r="O550" s="10"/>
      <c r="P550" s="12">
        <f>IF($A550="","",IFERROR((IF($O550="",0,$O550)*Settings!$J$4+IF($L550="",0,$L550)*Settings!$J$5+IF($N550="",0,$N550)*Settings!$J$6)/(IF($O550="",0,Settings!$J$4)+IF($L550="",0,Settings!$J$5)+IF($N550="",0,Settings!$J$6)),0))</f>
        <v>0</v>
      </c>
      <c r="Q550" s="12">
        <f t="array" ref="Q550">IF($A550="","",XLOOKUP($E550,Settings!$A$19:$A$22,Settings!$G$19:$G$22,0))</f>
        <v>206</v>
      </c>
      <c r="R550" s="12">
        <f t="shared" si="1"/>
        <v>0</v>
      </c>
      <c r="S550" s="12">
        <f>IF($A550="","",IF($R550&lt;=0,1,1+$R550/SUMIF($R$4:$R$923,"&gt;0",$R$4:$R$923)*(Settings!$B$5*(Settings!$B$6-Settings!$B$7))))</f>
        <v>1</v>
      </c>
      <c r="T550" s="12">
        <f t="array" ref="T550">IF($A550="","",XLOOKUP($F550,Settings!$I$15:$I$20,Settings!$J$15:$J$20,1))</f>
        <v>0.75</v>
      </c>
      <c r="U550" s="12">
        <f>IF($A550="","",1+(($G550-5)/5)*Settings!$J$8)</f>
        <v>1</v>
      </c>
      <c r="V550" s="12">
        <f>IF($A550="","",1+(($H550-5)/5)*Settings!$J$9)</f>
        <v>1.06</v>
      </c>
      <c r="W550" s="12">
        <f t="array" ref="W550">IF($A550="","",XLOOKUP($J550,Lists!$C$3:$C$7,Lists!$D$3:$D$7,1))</f>
        <v>1</v>
      </c>
      <c r="X550" s="12">
        <f>IF($A550="","",IF($I550="Yes",Settings!$J$10,1))</f>
        <v>1</v>
      </c>
      <c r="Y550" s="12">
        <f t="shared" si="2"/>
        <v>1</v>
      </c>
      <c r="Z550" s="12">
        <f>IF($A550="","",IFERROR(ROUND(AVERAGEIFS('Historical Drafts'!$G$4:$G$300,'Historical Drafts'!$D$4:$D$300,$E550,'Historical Drafts'!$J$4:$J$300,"&gt;="&amp;$L550*0.85,'Historical Drafts'!$J$4:$J$300,"&lt;="&amp;$L550*1.15),0),$Y550))</f>
        <v>3</v>
      </c>
      <c r="AA550" s="12" t="str">
        <f>IF($A550="","",IF(COUNTIF('Auction Log'!$B$3:$B$300,$A550)&gt;0,"Sold","Available"))</f>
        <v>Available</v>
      </c>
      <c r="AB550" s="12" t="str">
        <f t="array" ref="AB550">IF($A550="","",IFERROR(XLOOKUP($A550,'Auction Log'!$B$3:$B$300,'Auction Log'!$G$3:$G$300,""),""))</f>
        <v/>
      </c>
      <c r="AC550" s="12" t="str">
        <f t="array" ref="AC550">IF($A550="","",IFERROR(XLOOKUP($A550,'Auction Log'!$B$3:$B$300,'Auction Log'!$F$3:$F$300,""),""))</f>
        <v/>
      </c>
      <c r="AD550" s="12">
        <f t="array" ref="AD550">IF($A550="","",ROUND($Y550*XLOOKUP($F550,Settings!$I$15:$I$20,Settings!$K$15:$K$20,0.4),0))</f>
        <v>0</v>
      </c>
      <c r="AE550" s="12">
        <f t="array" ref="AE550">IF($A550="","",ROUND($Y550*XLOOKUP($F550,Settings!$I$15:$I$20,Settings!$L$15:$L$20,0.8),0))</f>
        <v>1</v>
      </c>
      <c r="AF550" s="12">
        <f t="array" ref="AF550">IF($A550="","",ROUND($Y550*XLOOKUP($F550,Settings!$I$15:$I$20,Settings!$M$15:$M$20,1),0))</f>
        <v>1</v>
      </c>
      <c r="AG550" s="12">
        <f t="array" ref="AG550">IF($A550="","",ROUND($Y550*XLOOKUP($F550,Settings!$I$15:$I$20,Settings!$N$15:$N$20,1.1),0))</f>
        <v>1</v>
      </c>
      <c r="AH550" s="12">
        <f t="array" ref="AH550">IF($A550="","",ROUND($Y550*XLOOKUP($F550,Settings!$I$15:$I$20,Settings!$O$15:$O$20,1.1)*Settings!$J$7,0))</f>
        <v>1</v>
      </c>
      <c r="AI550" s="12">
        <f t="array" ref="AI550">IF($A550="","",IF($AA550="Sold","",MIN($AH550,IFERROR(XLOOKUP(Settings!$B$12,Managers!$B$4:$B$15,Managers!$H$4:$H$15),$AH550))))</f>
        <v>1</v>
      </c>
      <c r="AJ550" s="12" t="str">
        <f t="shared" si="3"/>
        <v>Budget Drainer</v>
      </c>
      <c r="AK550" s="12">
        <f t="shared" si="4"/>
        <v>28</v>
      </c>
      <c r="AL550" s="12" t="str">
        <f t="shared" si="5"/>
        <v/>
      </c>
    </row>
    <row r="551" ht="15.75" customHeight="1">
      <c r="A551" s="10" t="s">
        <v>1383</v>
      </c>
      <c r="B551" s="10" t="s">
        <v>1384</v>
      </c>
      <c r="C551" s="10" t="s">
        <v>180</v>
      </c>
      <c r="D551" s="10" t="s">
        <v>115</v>
      </c>
      <c r="E551" s="10" t="s">
        <v>115</v>
      </c>
      <c r="F551" s="10" t="s">
        <v>117</v>
      </c>
      <c r="G551" s="10">
        <v>5.0</v>
      </c>
      <c r="H551" s="10">
        <v>7.0</v>
      </c>
      <c r="I551" s="10" t="s">
        <v>2140</v>
      </c>
      <c r="J551" s="10" t="s">
        <v>2136</v>
      </c>
      <c r="K551" s="10"/>
      <c r="L551" s="10">
        <v>0.0</v>
      </c>
      <c r="M551" s="10">
        <v>0.0</v>
      </c>
      <c r="N551" s="10"/>
      <c r="O551" s="10"/>
      <c r="P551" s="12">
        <f>IF($A551="","",IFERROR((IF($O551="",0,$O551)*Settings!$J$4+IF($L551="",0,$L551)*Settings!$J$5+IF($N551="",0,$N551)*Settings!$J$6)/(IF($O551="",0,Settings!$J$4)+IF($L551="",0,Settings!$J$5)+IF($N551="",0,Settings!$J$6)),0))</f>
        <v>0</v>
      </c>
      <c r="Q551" s="12">
        <f t="array" ref="Q551">IF($A551="","",XLOOKUP($E551,Settings!$A$19:$A$22,Settings!$G$19:$G$22,0))</f>
        <v>249.25</v>
      </c>
      <c r="R551" s="12">
        <f t="shared" si="1"/>
        <v>0</v>
      </c>
      <c r="S551" s="12">
        <f>IF($A551="","",IF($R551&lt;=0,1,1+$R551/SUMIF($R$4:$R$923,"&gt;0",$R$4:$R$923)*(Settings!$B$5*(Settings!$B$6-Settings!$B$7))))</f>
        <v>1</v>
      </c>
      <c r="T551" s="12">
        <f t="array" ref="T551">IF($A551="","",XLOOKUP($F551,Settings!$I$15:$I$20,Settings!$J$15:$J$20,1))</f>
        <v>0.75</v>
      </c>
      <c r="U551" s="12">
        <f>IF($A551="","",1+(($G551-5)/5)*Settings!$J$8)</f>
        <v>1</v>
      </c>
      <c r="V551" s="12">
        <f>IF($A551="","",1+(($H551-5)/5)*Settings!$J$9)</f>
        <v>1.06</v>
      </c>
      <c r="W551" s="12">
        <f t="array" ref="W551">IF($A551="","",XLOOKUP($J551,Lists!$C$3:$C$7,Lists!$D$3:$D$7,1))</f>
        <v>1</v>
      </c>
      <c r="X551" s="12">
        <f>IF($A551="","",IF($I551="Yes",Settings!$J$10,1))</f>
        <v>1</v>
      </c>
      <c r="Y551" s="12">
        <f t="shared" si="2"/>
        <v>1</v>
      </c>
      <c r="Z551" s="12">
        <f>IF($A551="","",IFERROR(ROUND(AVERAGEIFS('Historical Drafts'!$G$4:$G$300,'Historical Drafts'!$D$4:$D$300,$E551,'Historical Drafts'!$J$4:$J$300,"&gt;="&amp;$L551*0.85,'Historical Drafts'!$J$4:$J$300,"&lt;="&amp;$L551*1.15),0),$Y551))</f>
        <v>1</v>
      </c>
      <c r="AA551" s="12" t="str">
        <f>IF($A551="","",IF(COUNTIF('Auction Log'!$B$3:$B$300,$A551)&gt;0,"Sold","Available"))</f>
        <v>Available</v>
      </c>
      <c r="AB551" s="12" t="str">
        <f t="array" ref="AB551">IF($A551="","",IFERROR(XLOOKUP($A551,'Auction Log'!$B$3:$B$300,'Auction Log'!$G$3:$G$300,""),""))</f>
        <v/>
      </c>
      <c r="AC551" s="12" t="str">
        <f t="array" ref="AC551">IF($A551="","",IFERROR(XLOOKUP($A551,'Auction Log'!$B$3:$B$300,'Auction Log'!$F$3:$F$300,""),""))</f>
        <v/>
      </c>
      <c r="AD551" s="12">
        <f t="array" ref="AD551">IF($A551="","",ROUND($Y551*XLOOKUP($F551,Settings!$I$15:$I$20,Settings!$K$15:$K$20,0.4),0))</f>
        <v>0</v>
      </c>
      <c r="AE551" s="12">
        <f t="array" ref="AE551">IF($A551="","",ROUND($Y551*XLOOKUP($F551,Settings!$I$15:$I$20,Settings!$L$15:$L$20,0.8),0))</f>
        <v>1</v>
      </c>
      <c r="AF551" s="12">
        <f t="array" ref="AF551">IF($A551="","",ROUND($Y551*XLOOKUP($F551,Settings!$I$15:$I$20,Settings!$M$15:$M$20,1),0))</f>
        <v>1</v>
      </c>
      <c r="AG551" s="12">
        <f t="array" ref="AG551">IF($A551="","",ROUND($Y551*XLOOKUP($F551,Settings!$I$15:$I$20,Settings!$N$15:$N$20,1.1),0))</f>
        <v>1</v>
      </c>
      <c r="AH551" s="12">
        <f t="array" ref="AH551">IF($A551="","",ROUND($Y551*XLOOKUP($F551,Settings!$I$15:$I$20,Settings!$O$15:$O$20,1.1)*Settings!$J$7,0))</f>
        <v>1</v>
      </c>
      <c r="AI551" s="12">
        <f t="array" ref="AI551">IF($A551="","",IF($AA551="Sold","",MIN($AH551,IFERROR(XLOOKUP(Settings!$B$12,Managers!$B$4:$B$15,Managers!$H$4:$H$15),$AH551))))</f>
        <v>1</v>
      </c>
      <c r="AJ551" s="12" t="str">
        <f t="shared" si="3"/>
        <v>Recommended</v>
      </c>
      <c r="AK551" s="12">
        <f t="shared" si="4"/>
        <v>26</v>
      </c>
      <c r="AL551" s="12" t="str">
        <f t="shared" si="5"/>
        <v/>
      </c>
    </row>
    <row r="552" ht="15.75" customHeight="1">
      <c r="A552" s="10" t="s">
        <v>1385</v>
      </c>
      <c r="B552" s="10" t="s">
        <v>1386</v>
      </c>
      <c r="C552" s="10" t="s">
        <v>285</v>
      </c>
      <c r="D552" s="10" t="s">
        <v>118</v>
      </c>
      <c r="E552" s="10" t="s">
        <v>118</v>
      </c>
      <c r="F552" s="10" t="s">
        <v>117</v>
      </c>
      <c r="G552" s="10">
        <v>5.0</v>
      </c>
      <c r="H552" s="10">
        <v>7.0</v>
      </c>
      <c r="I552" s="10" t="s">
        <v>2140</v>
      </c>
      <c r="J552" s="10" t="s">
        <v>2136</v>
      </c>
      <c r="K552" s="10"/>
      <c r="L552" s="10">
        <v>0.0</v>
      </c>
      <c r="M552" s="10">
        <v>0.0</v>
      </c>
      <c r="N552" s="10"/>
      <c r="O552" s="10"/>
      <c r="P552" s="12">
        <f>IF($A552="","",IFERROR((IF($O552="",0,$O552)*Settings!$J$4+IF($L552="",0,$L552)*Settings!$J$5+IF($N552="",0,$N552)*Settings!$J$6)/(IF($O552="",0,Settings!$J$4)+IF($L552="",0,Settings!$J$5)+IF($N552="",0,Settings!$J$6)),0))</f>
        <v>0</v>
      </c>
      <c r="Q552" s="12">
        <f t="array" ref="Q552">IF($A552="","",XLOOKUP($E552,Settings!$A$19:$A$22,Settings!$G$19:$G$22,0))</f>
        <v>196.25</v>
      </c>
      <c r="R552" s="12">
        <f t="shared" si="1"/>
        <v>0</v>
      </c>
      <c r="S552" s="12">
        <f>IF($A552="","",IF($R552&lt;=0,1,1+$R552/SUMIF($R$4:$R$923,"&gt;0",$R$4:$R$923)*(Settings!$B$5*(Settings!$B$6-Settings!$B$7))))</f>
        <v>1</v>
      </c>
      <c r="T552" s="12">
        <f t="array" ref="T552">IF($A552="","",XLOOKUP($F552,Settings!$I$15:$I$20,Settings!$J$15:$J$20,1))</f>
        <v>0.75</v>
      </c>
      <c r="U552" s="12">
        <f>IF($A552="","",1+(($G552-5)/5)*Settings!$J$8)</f>
        <v>1</v>
      </c>
      <c r="V552" s="12">
        <f>IF($A552="","",1+(($H552-5)/5)*Settings!$J$9)</f>
        <v>1.06</v>
      </c>
      <c r="W552" s="12">
        <f t="array" ref="W552">IF($A552="","",XLOOKUP($J552,Lists!$C$3:$C$7,Lists!$D$3:$D$7,1))</f>
        <v>1</v>
      </c>
      <c r="X552" s="12">
        <f>IF($A552="","",IF($I552="Yes",Settings!$J$10,1))</f>
        <v>1</v>
      </c>
      <c r="Y552" s="12">
        <f t="shared" si="2"/>
        <v>1</v>
      </c>
      <c r="Z552" s="12">
        <f>IF($A552="","",IFERROR(ROUND(AVERAGEIFS('Historical Drafts'!$G$4:$G$300,'Historical Drafts'!$D$4:$D$300,$E552,'Historical Drafts'!$J$4:$J$300,"&gt;="&amp;$L552*0.85,'Historical Drafts'!$J$4:$J$300,"&lt;="&amp;$L552*1.15),0),$Y552))</f>
        <v>1</v>
      </c>
      <c r="AA552" s="12" t="str">
        <f>IF($A552="","",IF(COUNTIF('Auction Log'!$B$3:$B$300,$A552)&gt;0,"Sold","Available"))</f>
        <v>Available</v>
      </c>
      <c r="AB552" s="12" t="str">
        <f t="array" ref="AB552">IF($A552="","",IFERROR(XLOOKUP($A552,'Auction Log'!$B$3:$B$300,'Auction Log'!$G$3:$G$300,""),""))</f>
        <v/>
      </c>
      <c r="AC552" s="12" t="str">
        <f t="array" ref="AC552">IF($A552="","",IFERROR(XLOOKUP($A552,'Auction Log'!$B$3:$B$300,'Auction Log'!$F$3:$F$300,""),""))</f>
        <v/>
      </c>
      <c r="AD552" s="12">
        <f t="array" ref="AD552">IF($A552="","",ROUND($Y552*XLOOKUP($F552,Settings!$I$15:$I$20,Settings!$K$15:$K$20,0.4),0))</f>
        <v>0</v>
      </c>
      <c r="AE552" s="12">
        <f t="array" ref="AE552">IF($A552="","",ROUND($Y552*XLOOKUP($F552,Settings!$I$15:$I$20,Settings!$L$15:$L$20,0.8),0))</f>
        <v>1</v>
      </c>
      <c r="AF552" s="12">
        <f t="array" ref="AF552">IF($A552="","",ROUND($Y552*XLOOKUP($F552,Settings!$I$15:$I$20,Settings!$M$15:$M$20,1),0))</f>
        <v>1</v>
      </c>
      <c r="AG552" s="12">
        <f t="array" ref="AG552">IF($A552="","",ROUND($Y552*XLOOKUP($F552,Settings!$I$15:$I$20,Settings!$N$15:$N$20,1.1),0))</f>
        <v>1</v>
      </c>
      <c r="AH552" s="12">
        <f t="array" ref="AH552">IF($A552="","",ROUND($Y552*XLOOKUP($F552,Settings!$I$15:$I$20,Settings!$O$15:$O$20,1.1)*Settings!$J$7,0))</f>
        <v>1</v>
      </c>
      <c r="AI552" s="12">
        <f t="array" ref="AI552">IF($A552="","",IF($AA552="Sold","",MIN($AH552,IFERROR(XLOOKUP(Settings!$B$12,Managers!$B$4:$B$15,Managers!$H$4:$H$15),$AH552))))</f>
        <v>1</v>
      </c>
      <c r="AJ552" s="12" t="str">
        <f t="shared" si="3"/>
        <v>Recommended</v>
      </c>
      <c r="AK552" s="12">
        <f t="shared" si="4"/>
        <v>26</v>
      </c>
      <c r="AL552" s="12" t="str">
        <f t="shared" si="5"/>
        <v/>
      </c>
    </row>
    <row r="553" ht="15.75" customHeight="1">
      <c r="A553" s="10" t="s">
        <v>1387</v>
      </c>
      <c r="B553" s="10" t="s">
        <v>1388</v>
      </c>
      <c r="C553" s="10" t="s">
        <v>566</v>
      </c>
      <c r="D553" s="10" t="s">
        <v>118</v>
      </c>
      <c r="E553" s="10" t="s">
        <v>118</v>
      </c>
      <c r="F553" s="10" t="s">
        <v>117</v>
      </c>
      <c r="G553" s="10">
        <v>5.0</v>
      </c>
      <c r="H553" s="10">
        <v>7.0</v>
      </c>
      <c r="I553" s="10" t="s">
        <v>2140</v>
      </c>
      <c r="J553" s="10" t="s">
        <v>2136</v>
      </c>
      <c r="K553" s="10"/>
      <c r="L553" s="10">
        <v>0.0</v>
      </c>
      <c r="M553" s="10">
        <v>0.0</v>
      </c>
      <c r="N553" s="10"/>
      <c r="O553" s="10"/>
      <c r="P553" s="12">
        <f>IF($A553="","",IFERROR((IF($O553="",0,$O553)*Settings!$J$4+IF($L553="",0,$L553)*Settings!$J$5+IF($N553="",0,$N553)*Settings!$J$6)/(IF($O553="",0,Settings!$J$4)+IF($L553="",0,Settings!$J$5)+IF($N553="",0,Settings!$J$6)),0))</f>
        <v>0</v>
      </c>
      <c r="Q553" s="12">
        <f t="array" ref="Q553">IF($A553="","",XLOOKUP($E553,Settings!$A$19:$A$22,Settings!$G$19:$G$22,0))</f>
        <v>196.25</v>
      </c>
      <c r="R553" s="12">
        <f t="shared" si="1"/>
        <v>0</v>
      </c>
      <c r="S553" s="12">
        <f>IF($A553="","",IF($R553&lt;=0,1,1+$R553/SUMIF($R$4:$R$923,"&gt;0",$R$4:$R$923)*(Settings!$B$5*(Settings!$B$6-Settings!$B$7))))</f>
        <v>1</v>
      </c>
      <c r="T553" s="12">
        <f t="array" ref="T553">IF($A553="","",XLOOKUP($F553,Settings!$I$15:$I$20,Settings!$J$15:$J$20,1))</f>
        <v>0.75</v>
      </c>
      <c r="U553" s="12">
        <f>IF($A553="","",1+(($G553-5)/5)*Settings!$J$8)</f>
        <v>1</v>
      </c>
      <c r="V553" s="12">
        <f>IF($A553="","",1+(($H553-5)/5)*Settings!$J$9)</f>
        <v>1.06</v>
      </c>
      <c r="W553" s="12">
        <f t="array" ref="W553">IF($A553="","",XLOOKUP($J553,Lists!$C$3:$C$7,Lists!$D$3:$D$7,1))</f>
        <v>1</v>
      </c>
      <c r="X553" s="12">
        <f>IF($A553="","",IF($I553="Yes",Settings!$J$10,1))</f>
        <v>1</v>
      </c>
      <c r="Y553" s="12">
        <f t="shared" si="2"/>
        <v>1</v>
      </c>
      <c r="Z553" s="12">
        <f>IF($A553="","",IFERROR(ROUND(AVERAGEIFS('Historical Drafts'!$G$4:$G$300,'Historical Drafts'!$D$4:$D$300,$E553,'Historical Drafts'!$J$4:$J$300,"&gt;="&amp;$L553*0.85,'Historical Drafts'!$J$4:$J$300,"&lt;="&amp;$L553*1.15),0),$Y553))</f>
        <v>1</v>
      </c>
      <c r="AA553" s="12" t="str">
        <f>IF($A553="","",IF(COUNTIF('Auction Log'!$B$3:$B$300,$A553)&gt;0,"Sold","Available"))</f>
        <v>Available</v>
      </c>
      <c r="AB553" s="12" t="str">
        <f t="array" ref="AB553">IF($A553="","",IFERROR(XLOOKUP($A553,'Auction Log'!$B$3:$B$300,'Auction Log'!$G$3:$G$300,""),""))</f>
        <v/>
      </c>
      <c r="AC553" s="12" t="str">
        <f t="array" ref="AC553">IF($A553="","",IFERROR(XLOOKUP($A553,'Auction Log'!$B$3:$B$300,'Auction Log'!$F$3:$F$300,""),""))</f>
        <v/>
      </c>
      <c r="AD553" s="12">
        <f t="array" ref="AD553">IF($A553="","",ROUND($Y553*XLOOKUP($F553,Settings!$I$15:$I$20,Settings!$K$15:$K$20,0.4),0))</f>
        <v>0</v>
      </c>
      <c r="AE553" s="12">
        <f t="array" ref="AE553">IF($A553="","",ROUND($Y553*XLOOKUP($F553,Settings!$I$15:$I$20,Settings!$L$15:$L$20,0.8),0))</f>
        <v>1</v>
      </c>
      <c r="AF553" s="12">
        <f t="array" ref="AF553">IF($A553="","",ROUND($Y553*XLOOKUP($F553,Settings!$I$15:$I$20,Settings!$M$15:$M$20,1),0))</f>
        <v>1</v>
      </c>
      <c r="AG553" s="12">
        <f t="array" ref="AG553">IF($A553="","",ROUND($Y553*XLOOKUP($F553,Settings!$I$15:$I$20,Settings!$N$15:$N$20,1.1),0))</f>
        <v>1</v>
      </c>
      <c r="AH553" s="12">
        <f t="array" ref="AH553">IF($A553="","",ROUND($Y553*XLOOKUP($F553,Settings!$I$15:$I$20,Settings!$O$15:$O$20,1.1)*Settings!$J$7,0))</f>
        <v>1</v>
      </c>
      <c r="AI553" s="12">
        <f t="array" ref="AI553">IF($A553="","",IF($AA553="Sold","",MIN($AH553,IFERROR(XLOOKUP(Settings!$B$12,Managers!$B$4:$B$15,Managers!$H$4:$H$15),$AH553))))</f>
        <v>1</v>
      </c>
      <c r="AJ553" s="12" t="str">
        <f t="shared" si="3"/>
        <v>Recommended</v>
      </c>
      <c r="AK553" s="12">
        <f t="shared" si="4"/>
        <v>26</v>
      </c>
      <c r="AL553" s="12" t="str">
        <f t="shared" si="5"/>
        <v/>
      </c>
    </row>
    <row r="554" ht="15.75" customHeight="1">
      <c r="A554" s="10" t="s">
        <v>1389</v>
      </c>
      <c r="B554" s="10" t="s">
        <v>1390</v>
      </c>
      <c r="C554" s="10" t="s">
        <v>285</v>
      </c>
      <c r="D554" s="10" t="s">
        <v>121</v>
      </c>
      <c r="E554" s="10" t="s">
        <v>121</v>
      </c>
      <c r="F554" s="10" t="s">
        <v>117</v>
      </c>
      <c r="G554" s="10">
        <v>5.0</v>
      </c>
      <c r="H554" s="10">
        <v>7.0</v>
      </c>
      <c r="I554" s="10" t="s">
        <v>2140</v>
      </c>
      <c r="J554" s="10" t="s">
        <v>2136</v>
      </c>
      <c r="K554" s="10"/>
      <c r="L554" s="10">
        <v>0.0</v>
      </c>
      <c r="M554" s="10">
        <v>0.0</v>
      </c>
      <c r="N554" s="10"/>
      <c r="O554" s="10"/>
      <c r="P554" s="12">
        <f>IF($A554="","",IFERROR((IF($O554="",0,$O554)*Settings!$J$4+IF($L554="",0,$L554)*Settings!$J$5+IF($N554="",0,$N554)*Settings!$J$6)/(IF($O554="",0,Settings!$J$4)+IF($L554="",0,Settings!$J$5)+IF($N554="",0,Settings!$J$6)),0))</f>
        <v>0</v>
      </c>
      <c r="Q554" s="12">
        <f t="array" ref="Q554">IF($A554="","",XLOOKUP($E554,Settings!$A$19:$A$22,Settings!$G$19:$G$22,0))</f>
        <v>206</v>
      </c>
      <c r="R554" s="12">
        <f t="shared" si="1"/>
        <v>0</v>
      </c>
      <c r="S554" s="12">
        <f>IF($A554="","",IF($R554&lt;=0,1,1+$R554/SUMIF($R$4:$R$923,"&gt;0",$R$4:$R$923)*(Settings!$B$5*(Settings!$B$6-Settings!$B$7))))</f>
        <v>1</v>
      </c>
      <c r="T554" s="12">
        <f t="array" ref="T554">IF($A554="","",XLOOKUP($F554,Settings!$I$15:$I$20,Settings!$J$15:$J$20,1))</f>
        <v>0.75</v>
      </c>
      <c r="U554" s="12">
        <f>IF($A554="","",1+(($G554-5)/5)*Settings!$J$8)</f>
        <v>1</v>
      </c>
      <c r="V554" s="12">
        <f>IF($A554="","",1+(($H554-5)/5)*Settings!$J$9)</f>
        <v>1.06</v>
      </c>
      <c r="W554" s="12">
        <f t="array" ref="W554">IF($A554="","",XLOOKUP($J554,Lists!$C$3:$C$7,Lists!$D$3:$D$7,1))</f>
        <v>1</v>
      </c>
      <c r="X554" s="12">
        <f>IF($A554="","",IF($I554="Yes",Settings!$J$10,1))</f>
        <v>1</v>
      </c>
      <c r="Y554" s="12">
        <f t="shared" si="2"/>
        <v>1</v>
      </c>
      <c r="Z554" s="12">
        <f>IF($A554="","",IFERROR(ROUND(AVERAGEIFS('Historical Drafts'!$G$4:$G$300,'Historical Drafts'!$D$4:$D$300,$E554,'Historical Drafts'!$J$4:$J$300,"&gt;="&amp;$L554*0.85,'Historical Drafts'!$J$4:$J$300,"&lt;="&amp;$L554*1.15),0),$Y554))</f>
        <v>3</v>
      </c>
      <c r="AA554" s="12" t="str">
        <f>IF($A554="","",IF(COUNTIF('Auction Log'!$B$3:$B$300,$A554)&gt;0,"Sold","Available"))</f>
        <v>Available</v>
      </c>
      <c r="AB554" s="12" t="str">
        <f t="array" ref="AB554">IF($A554="","",IFERROR(XLOOKUP($A554,'Auction Log'!$B$3:$B$300,'Auction Log'!$G$3:$G$300,""),""))</f>
        <v/>
      </c>
      <c r="AC554" s="12" t="str">
        <f t="array" ref="AC554">IF($A554="","",IFERROR(XLOOKUP($A554,'Auction Log'!$B$3:$B$300,'Auction Log'!$F$3:$F$300,""),""))</f>
        <v/>
      </c>
      <c r="AD554" s="12">
        <f t="array" ref="AD554">IF($A554="","",ROUND($Y554*XLOOKUP($F554,Settings!$I$15:$I$20,Settings!$K$15:$K$20,0.4),0))</f>
        <v>0</v>
      </c>
      <c r="AE554" s="12">
        <f t="array" ref="AE554">IF($A554="","",ROUND($Y554*XLOOKUP($F554,Settings!$I$15:$I$20,Settings!$L$15:$L$20,0.8),0))</f>
        <v>1</v>
      </c>
      <c r="AF554" s="12">
        <f t="array" ref="AF554">IF($A554="","",ROUND($Y554*XLOOKUP($F554,Settings!$I$15:$I$20,Settings!$M$15:$M$20,1),0))</f>
        <v>1</v>
      </c>
      <c r="AG554" s="12">
        <f t="array" ref="AG554">IF($A554="","",ROUND($Y554*XLOOKUP($F554,Settings!$I$15:$I$20,Settings!$N$15:$N$20,1.1),0))</f>
        <v>1</v>
      </c>
      <c r="AH554" s="12">
        <f t="array" ref="AH554">IF($A554="","",ROUND($Y554*XLOOKUP($F554,Settings!$I$15:$I$20,Settings!$O$15:$O$20,1.1)*Settings!$J$7,0))</f>
        <v>1</v>
      </c>
      <c r="AI554" s="12">
        <f t="array" ref="AI554">IF($A554="","",IF($AA554="Sold","",MIN($AH554,IFERROR(XLOOKUP(Settings!$B$12,Managers!$B$4:$B$15,Managers!$H$4:$H$15),$AH554))))</f>
        <v>1</v>
      </c>
      <c r="AJ554" s="12" t="str">
        <f t="shared" si="3"/>
        <v>Budget Drainer</v>
      </c>
      <c r="AK554" s="12">
        <f t="shared" si="4"/>
        <v>28</v>
      </c>
      <c r="AL554" s="12" t="str">
        <f t="shared" si="5"/>
        <v/>
      </c>
    </row>
    <row r="555" ht="15.75" customHeight="1">
      <c r="A555" s="10" t="s">
        <v>1391</v>
      </c>
      <c r="B555" s="10" t="s">
        <v>1392</v>
      </c>
      <c r="C555" s="10" t="s">
        <v>236</v>
      </c>
      <c r="D555" s="10" t="s">
        <v>123</v>
      </c>
      <c r="E555" s="10" t="s">
        <v>123</v>
      </c>
      <c r="F555" s="10" t="s">
        <v>117</v>
      </c>
      <c r="G555" s="10">
        <v>5.0</v>
      </c>
      <c r="H555" s="10">
        <v>7.0</v>
      </c>
      <c r="I555" s="10" t="s">
        <v>2140</v>
      </c>
      <c r="J555" s="10" t="s">
        <v>2136</v>
      </c>
      <c r="K555" s="10"/>
      <c r="L555" s="10">
        <v>0.0</v>
      </c>
      <c r="M555" s="10">
        <v>0.0</v>
      </c>
      <c r="N555" s="10"/>
      <c r="O555" s="10"/>
      <c r="P555" s="12">
        <f>IF($A555="","",IFERROR((IF($O555="",0,$O555)*Settings!$J$4+IF($L555="",0,$L555)*Settings!$J$5+IF($N555="",0,$N555)*Settings!$J$6)/(IF($O555="",0,Settings!$J$4)+IF($L555="",0,Settings!$J$5)+IF($N555="",0,Settings!$J$6)),0))</f>
        <v>0</v>
      </c>
      <c r="Q555" s="12">
        <f t="array" ref="Q555">IF($A555="","",XLOOKUP($E555,Settings!$A$19:$A$22,Settings!$G$19:$G$22,0))</f>
        <v>203</v>
      </c>
      <c r="R555" s="12">
        <f t="shared" si="1"/>
        <v>0</v>
      </c>
      <c r="S555" s="12">
        <f>IF($A555="","",IF($R555&lt;=0,1,1+$R555/SUMIF($R$4:$R$923,"&gt;0",$R$4:$R$923)*(Settings!$B$5*(Settings!$B$6-Settings!$B$7))))</f>
        <v>1</v>
      </c>
      <c r="T555" s="12">
        <f t="array" ref="T555">IF($A555="","",XLOOKUP($F555,Settings!$I$15:$I$20,Settings!$J$15:$J$20,1))</f>
        <v>0.75</v>
      </c>
      <c r="U555" s="12">
        <f>IF($A555="","",1+(($G555-5)/5)*Settings!$J$8)</f>
        <v>1</v>
      </c>
      <c r="V555" s="12">
        <f>IF($A555="","",1+(($H555-5)/5)*Settings!$J$9)</f>
        <v>1.06</v>
      </c>
      <c r="W555" s="12">
        <f t="array" ref="W555">IF($A555="","",XLOOKUP($J555,Lists!$C$3:$C$7,Lists!$D$3:$D$7,1))</f>
        <v>1</v>
      </c>
      <c r="X555" s="12">
        <f>IF($A555="","",IF($I555="Yes",Settings!$J$10,1))</f>
        <v>1</v>
      </c>
      <c r="Y555" s="12">
        <f t="shared" si="2"/>
        <v>1</v>
      </c>
      <c r="Z555" s="12">
        <f>IF($A555="","",IFERROR(ROUND(AVERAGEIFS('Historical Drafts'!$G$4:$G$300,'Historical Drafts'!$D$4:$D$300,$E555,'Historical Drafts'!$J$4:$J$300,"&gt;="&amp;$L555*0.85,'Historical Drafts'!$J$4:$J$300,"&lt;="&amp;$L555*1.15),0),$Y555))</f>
        <v>3</v>
      </c>
      <c r="AA555" s="12" t="str">
        <f>IF($A555="","",IF(COUNTIF('Auction Log'!$B$3:$B$300,$A555)&gt;0,"Sold","Available"))</f>
        <v>Available</v>
      </c>
      <c r="AB555" s="12" t="str">
        <f t="array" ref="AB555">IF($A555="","",IFERROR(XLOOKUP($A555,'Auction Log'!$B$3:$B$300,'Auction Log'!$G$3:$G$300,""),""))</f>
        <v/>
      </c>
      <c r="AC555" s="12" t="str">
        <f t="array" ref="AC555">IF($A555="","",IFERROR(XLOOKUP($A555,'Auction Log'!$B$3:$B$300,'Auction Log'!$F$3:$F$300,""),""))</f>
        <v/>
      </c>
      <c r="AD555" s="12">
        <f t="array" ref="AD555">IF($A555="","",ROUND($Y555*XLOOKUP($F555,Settings!$I$15:$I$20,Settings!$K$15:$K$20,0.4),0))</f>
        <v>0</v>
      </c>
      <c r="AE555" s="12">
        <f t="array" ref="AE555">IF($A555="","",ROUND($Y555*XLOOKUP($F555,Settings!$I$15:$I$20,Settings!$L$15:$L$20,0.8),0))</f>
        <v>1</v>
      </c>
      <c r="AF555" s="12">
        <f t="array" ref="AF555">IF($A555="","",ROUND($Y555*XLOOKUP($F555,Settings!$I$15:$I$20,Settings!$M$15:$M$20,1),0))</f>
        <v>1</v>
      </c>
      <c r="AG555" s="12">
        <f t="array" ref="AG555">IF($A555="","",ROUND($Y555*XLOOKUP($F555,Settings!$I$15:$I$20,Settings!$N$15:$N$20,1.1),0))</f>
        <v>1</v>
      </c>
      <c r="AH555" s="12">
        <f t="array" ref="AH555">IF($A555="","",ROUND($Y555*XLOOKUP($F555,Settings!$I$15:$I$20,Settings!$O$15:$O$20,1.1)*Settings!$J$7,0))</f>
        <v>1</v>
      </c>
      <c r="AI555" s="12">
        <f t="array" ref="AI555">IF($A555="","",IF($AA555="Sold","",MIN($AH555,IFERROR(XLOOKUP(Settings!$B$12,Managers!$B$4:$B$15,Managers!$H$4:$H$15),$AH555))))</f>
        <v>1</v>
      </c>
      <c r="AJ555" s="12" t="str">
        <f t="shared" si="3"/>
        <v>Budget Drainer</v>
      </c>
      <c r="AK555" s="12">
        <f t="shared" si="4"/>
        <v>28</v>
      </c>
      <c r="AL555" s="12" t="str">
        <f t="shared" si="5"/>
        <v/>
      </c>
    </row>
    <row r="556" ht="15.75" customHeight="1">
      <c r="A556" s="10" t="s">
        <v>1393</v>
      </c>
      <c r="B556" s="10" t="s">
        <v>1394</v>
      </c>
      <c r="C556" s="10" t="s">
        <v>243</v>
      </c>
      <c r="D556" s="10" t="s">
        <v>115</v>
      </c>
      <c r="E556" s="10" t="s">
        <v>115</v>
      </c>
      <c r="F556" s="10" t="s">
        <v>117</v>
      </c>
      <c r="G556" s="10">
        <v>5.0</v>
      </c>
      <c r="H556" s="10">
        <v>7.0</v>
      </c>
      <c r="I556" s="10" t="s">
        <v>2140</v>
      </c>
      <c r="J556" s="10" t="s">
        <v>2136</v>
      </c>
      <c r="K556" s="10"/>
      <c r="L556" s="10">
        <v>0.0</v>
      </c>
      <c r="M556" s="10">
        <v>0.0</v>
      </c>
      <c r="N556" s="10"/>
      <c r="O556" s="10"/>
      <c r="P556" s="12">
        <f>IF($A556="","",IFERROR((IF($O556="",0,$O556)*Settings!$J$4+IF($L556="",0,$L556)*Settings!$J$5+IF($N556="",0,$N556)*Settings!$J$6)/(IF($O556="",0,Settings!$J$4)+IF($L556="",0,Settings!$J$5)+IF($N556="",0,Settings!$J$6)),0))</f>
        <v>0</v>
      </c>
      <c r="Q556" s="12">
        <f t="array" ref="Q556">IF($A556="","",XLOOKUP($E556,Settings!$A$19:$A$22,Settings!$G$19:$G$22,0))</f>
        <v>249.25</v>
      </c>
      <c r="R556" s="12">
        <f t="shared" si="1"/>
        <v>0</v>
      </c>
      <c r="S556" s="12">
        <f>IF($A556="","",IF($R556&lt;=0,1,1+$R556/SUMIF($R$4:$R$923,"&gt;0",$R$4:$R$923)*(Settings!$B$5*(Settings!$B$6-Settings!$B$7))))</f>
        <v>1</v>
      </c>
      <c r="T556" s="12">
        <f t="array" ref="T556">IF($A556="","",XLOOKUP($F556,Settings!$I$15:$I$20,Settings!$J$15:$J$20,1))</f>
        <v>0.75</v>
      </c>
      <c r="U556" s="12">
        <f>IF($A556="","",1+(($G556-5)/5)*Settings!$J$8)</f>
        <v>1</v>
      </c>
      <c r="V556" s="12">
        <f>IF($A556="","",1+(($H556-5)/5)*Settings!$J$9)</f>
        <v>1.06</v>
      </c>
      <c r="W556" s="12">
        <f t="array" ref="W556">IF($A556="","",XLOOKUP($J556,Lists!$C$3:$C$7,Lists!$D$3:$D$7,1))</f>
        <v>1</v>
      </c>
      <c r="X556" s="12">
        <f>IF($A556="","",IF($I556="Yes",Settings!$J$10,1))</f>
        <v>1</v>
      </c>
      <c r="Y556" s="12">
        <f t="shared" si="2"/>
        <v>1</v>
      </c>
      <c r="Z556" s="12">
        <f>IF($A556="","",IFERROR(ROUND(AVERAGEIFS('Historical Drafts'!$G$4:$G$300,'Historical Drafts'!$D$4:$D$300,$E556,'Historical Drafts'!$J$4:$J$300,"&gt;="&amp;$L556*0.85,'Historical Drafts'!$J$4:$J$300,"&lt;="&amp;$L556*1.15),0),$Y556))</f>
        <v>1</v>
      </c>
      <c r="AA556" s="12" t="str">
        <f>IF($A556="","",IF(COUNTIF('Auction Log'!$B$3:$B$300,$A556)&gt;0,"Sold","Available"))</f>
        <v>Available</v>
      </c>
      <c r="AB556" s="12" t="str">
        <f t="array" ref="AB556">IF($A556="","",IFERROR(XLOOKUP($A556,'Auction Log'!$B$3:$B$300,'Auction Log'!$G$3:$G$300,""),""))</f>
        <v/>
      </c>
      <c r="AC556" s="12" t="str">
        <f t="array" ref="AC556">IF($A556="","",IFERROR(XLOOKUP($A556,'Auction Log'!$B$3:$B$300,'Auction Log'!$F$3:$F$300,""),""))</f>
        <v/>
      </c>
      <c r="AD556" s="12">
        <f t="array" ref="AD556">IF($A556="","",ROUND($Y556*XLOOKUP($F556,Settings!$I$15:$I$20,Settings!$K$15:$K$20,0.4),0))</f>
        <v>0</v>
      </c>
      <c r="AE556" s="12">
        <f t="array" ref="AE556">IF($A556="","",ROUND($Y556*XLOOKUP($F556,Settings!$I$15:$I$20,Settings!$L$15:$L$20,0.8),0))</f>
        <v>1</v>
      </c>
      <c r="AF556" s="12">
        <f t="array" ref="AF556">IF($A556="","",ROUND($Y556*XLOOKUP($F556,Settings!$I$15:$I$20,Settings!$M$15:$M$20,1),0))</f>
        <v>1</v>
      </c>
      <c r="AG556" s="12">
        <f t="array" ref="AG556">IF($A556="","",ROUND($Y556*XLOOKUP($F556,Settings!$I$15:$I$20,Settings!$N$15:$N$20,1.1),0))</f>
        <v>1</v>
      </c>
      <c r="AH556" s="12">
        <f t="array" ref="AH556">IF($A556="","",ROUND($Y556*XLOOKUP($F556,Settings!$I$15:$I$20,Settings!$O$15:$O$20,1.1)*Settings!$J$7,0))</f>
        <v>1</v>
      </c>
      <c r="AI556" s="12">
        <f t="array" ref="AI556">IF($A556="","",IF($AA556="Sold","",MIN($AH556,IFERROR(XLOOKUP(Settings!$B$12,Managers!$B$4:$B$15,Managers!$H$4:$H$15),$AH556))))</f>
        <v>1</v>
      </c>
      <c r="AJ556" s="12" t="str">
        <f t="shared" si="3"/>
        <v>Recommended</v>
      </c>
      <c r="AK556" s="12">
        <f t="shared" si="4"/>
        <v>26</v>
      </c>
      <c r="AL556" s="12" t="str">
        <f t="shared" si="5"/>
        <v/>
      </c>
    </row>
    <row r="557" ht="15.75" customHeight="1">
      <c r="A557" s="10" t="s">
        <v>1395</v>
      </c>
      <c r="B557" s="10" t="s">
        <v>1396</v>
      </c>
      <c r="C557" s="10" t="s">
        <v>236</v>
      </c>
      <c r="D557" s="10" t="s">
        <v>118</v>
      </c>
      <c r="E557" s="10" t="s">
        <v>118</v>
      </c>
      <c r="F557" s="10" t="s">
        <v>117</v>
      </c>
      <c r="G557" s="10">
        <v>5.0</v>
      </c>
      <c r="H557" s="10">
        <v>7.0</v>
      </c>
      <c r="I557" s="10" t="s">
        <v>2140</v>
      </c>
      <c r="J557" s="10" t="s">
        <v>2136</v>
      </c>
      <c r="K557" s="10"/>
      <c r="L557" s="10">
        <v>0.0</v>
      </c>
      <c r="M557" s="10">
        <v>0.0</v>
      </c>
      <c r="N557" s="10"/>
      <c r="O557" s="10"/>
      <c r="P557" s="12">
        <f>IF($A557="","",IFERROR((IF($O557="",0,$O557)*Settings!$J$4+IF($L557="",0,$L557)*Settings!$J$5+IF($N557="",0,$N557)*Settings!$J$6)/(IF($O557="",0,Settings!$J$4)+IF($L557="",0,Settings!$J$5)+IF($N557="",0,Settings!$J$6)),0))</f>
        <v>0</v>
      </c>
      <c r="Q557" s="12">
        <f t="array" ref="Q557">IF($A557="","",XLOOKUP($E557,Settings!$A$19:$A$22,Settings!$G$19:$G$22,0))</f>
        <v>196.25</v>
      </c>
      <c r="R557" s="12">
        <f t="shared" si="1"/>
        <v>0</v>
      </c>
      <c r="S557" s="12">
        <f>IF($A557="","",IF($R557&lt;=0,1,1+$R557/SUMIF($R$4:$R$923,"&gt;0",$R$4:$R$923)*(Settings!$B$5*(Settings!$B$6-Settings!$B$7))))</f>
        <v>1</v>
      </c>
      <c r="T557" s="12">
        <f t="array" ref="T557">IF($A557="","",XLOOKUP($F557,Settings!$I$15:$I$20,Settings!$J$15:$J$20,1))</f>
        <v>0.75</v>
      </c>
      <c r="U557" s="12">
        <f>IF($A557="","",1+(($G557-5)/5)*Settings!$J$8)</f>
        <v>1</v>
      </c>
      <c r="V557" s="12">
        <f>IF($A557="","",1+(($H557-5)/5)*Settings!$J$9)</f>
        <v>1.06</v>
      </c>
      <c r="W557" s="12">
        <f t="array" ref="W557">IF($A557="","",XLOOKUP($J557,Lists!$C$3:$C$7,Lists!$D$3:$D$7,1))</f>
        <v>1</v>
      </c>
      <c r="X557" s="12">
        <f>IF($A557="","",IF($I557="Yes",Settings!$J$10,1))</f>
        <v>1</v>
      </c>
      <c r="Y557" s="12">
        <f t="shared" si="2"/>
        <v>1</v>
      </c>
      <c r="Z557" s="12">
        <f>IF($A557="","",IFERROR(ROUND(AVERAGEIFS('Historical Drafts'!$G$4:$G$300,'Historical Drafts'!$D$4:$D$300,$E557,'Historical Drafts'!$J$4:$J$300,"&gt;="&amp;$L557*0.85,'Historical Drafts'!$J$4:$J$300,"&lt;="&amp;$L557*1.15),0),$Y557))</f>
        <v>1</v>
      </c>
      <c r="AA557" s="12" t="str">
        <f>IF($A557="","",IF(COUNTIF('Auction Log'!$B$3:$B$300,$A557)&gt;0,"Sold","Available"))</f>
        <v>Available</v>
      </c>
      <c r="AB557" s="12" t="str">
        <f t="array" ref="AB557">IF($A557="","",IFERROR(XLOOKUP($A557,'Auction Log'!$B$3:$B$300,'Auction Log'!$G$3:$G$300,""),""))</f>
        <v/>
      </c>
      <c r="AC557" s="12" t="str">
        <f t="array" ref="AC557">IF($A557="","",IFERROR(XLOOKUP($A557,'Auction Log'!$B$3:$B$300,'Auction Log'!$F$3:$F$300,""),""))</f>
        <v/>
      </c>
      <c r="AD557" s="12">
        <f t="array" ref="AD557">IF($A557="","",ROUND($Y557*XLOOKUP($F557,Settings!$I$15:$I$20,Settings!$K$15:$K$20,0.4),0))</f>
        <v>0</v>
      </c>
      <c r="AE557" s="12">
        <f t="array" ref="AE557">IF($A557="","",ROUND($Y557*XLOOKUP($F557,Settings!$I$15:$I$20,Settings!$L$15:$L$20,0.8),0))</f>
        <v>1</v>
      </c>
      <c r="AF557" s="12">
        <f t="array" ref="AF557">IF($A557="","",ROUND($Y557*XLOOKUP($F557,Settings!$I$15:$I$20,Settings!$M$15:$M$20,1),0))</f>
        <v>1</v>
      </c>
      <c r="AG557" s="12">
        <f t="array" ref="AG557">IF($A557="","",ROUND($Y557*XLOOKUP($F557,Settings!$I$15:$I$20,Settings!$N$15:$N$20,1.1),0))</f>
        <v>1</v>
      </c>
      <c r="AH557" s="12">
        <f t="array" ref="AH557">IF($A557="","",ROUND($Y557*XLOOKUP($F557,Settings!$I$15:$I$20,Settings!$O$15:$O$20,1.1)*Settings!$J$7,0))</f>
        <v>1</v>
      </c>
      <c r="AI557" s="12">
        <f t="array" ref="AI557">IF($A557="","",IF($AA557="Sold","",MIN($AH557,IFERROR(XLOOKUP(Settings!$B$12,Managers!$B$4:$B$15,Managers!$H$4:$H$15),$AH557))))</f>
        <v>1</v>
      </c>
      <c r="AJ557" s="12" t="str">
        <f t="shared" si="3"/>
        <v>Recommended</v>
      </c>
      <c r="AK557" s="12">
        <f t="shared" si="4"/>
        <v>26</v>
      </c>
      <c r="AL557" s="12" t="str">
        <f t="shared" si="5"/>
        <v/>
      </c>
    </row>
    <row r="558" ht="15.75" customHeight="1">
      <c r="A558" s="10" t="s">
        <v>1397</v>
      </c>
      <c r="B558" s="10" t="s">
        <v>1398</v>
      </c>
      <c r="C558" s="10" t="s">
        <v>199</v>
      </c>
      <c r="D558" s="10" t="s">
        <v>121</v>
      </c>
      <c r="E558" s="10" t="s">
        <v>121</v>
      </c>
      <c r="F558" s="10" t="s">
        <v>117</v>
      </c>
      <c r="G558" s="10">
        <v>5.0</v>
      </c>
      <c r="H558" s="10">
        <v>7.0</v>
      </c>
      <c r="I558" s="10" t="s">
        <v>2140</v>
      </c>
      <c r="J558" s="10" t="s">
        <v>2136</v>
      </c>
      <c r="K558" s="10"/>
      <c r="L558" s="10">
        <v>0.0</v>
      </c>
      <c r="M558" s="10">
        <v>0.0</v>
      </c>
      <c r="N558" s="10"/>
      <c r="O558" s="10"/>
      <c r="P558" s="12">
        <f>IF($A558="","",IFERROR((IF($O558="",0,$O558)*Settings!$J$4+IF($L558="",0,$L558)*Settings!$J$5+IF($N558="",0,$N558)*Settings!$J$6)/(IF($O558="",0,Settings!$J$4)+IF($L558="",0,Settings!$J$5)+IF($N558="",0,Settings!$J$6)),0))</f>
        <v>0</v>
      </c>
      <c r="Q558" s="12">
        <f t="array" ref="Q558">IF($A558="","",XLOOKUP($E558,Settings!$A$19:$A$22,Settings!$G$19:$G$22,0))</f>
        <v>206</v>
      </c>
      <c r="R558" s="12">
        <f t="shared" si="1"/>
        <v>0</v>
      </c>
      <c r="S558" s="12">
        <f>IF($A558="","",IF($R558&lt;=0,1,1+$R558/SUMIF($R$4:$R$923,"&gt;0",$R$4:$R$923)*(Settings!$B$5*(Settings!$B$6-Settings!$B$7))))</f>
        <v>1</v>
      </c>
      <c r="T558" s="12">
        <f t="array" ref="T558">IF($A558="","",XLOOKUP($F558,Settings!$I$15:$I$20,Settings!$J$15:$J$20,1))</f>
        <v>0.75</v>
      </c>
      <c r="U558" s="12">
        <f>IF($A558="","",1+(($G558-5)/5)*Settings!$J$8)</f>
        <v>1</v>
      </c>
      <c r="V558" s="12">
        <f>IF($A558="","",1+(($H558-5)/5)*Settings!$J$9)</f>
        <v>1.06</v>
      </c>
      <c r="W558" s="12">
        <f t="array" ref="W558">IF($A558="","",XLOOKUP($J558,Lists!$C$3:$C$7,Lists!$D$3:$D$7,1))</f>
        <v>1</v>
      </c>
      <c r="X558" s="12">
        <f>IF($A558="","",IF($I558="Yes",Settings!$J$10,1))</f>
        <v>1</v>
      </c>
      <c r="Y558" s="12">
        <f t="shared" si="2"/>
        <v>1</v>
      </c>
      <c r="Z558" s="12">
        <f>IF($A558="","",IFERROR(ROUND(AVERAGEIFS('Historical Drafts'!$G$4:$G$300,'Historical Drafts'!$D$4:$D$300,$E558,'Historical Drafts'!$J$4:$J$300,"&gt;="&amp;$L558*0.85,'Historical Drafts'!$J$4:$J$300,"&lt;="&amp;$L558*1.15),0),$Y558))</f>
        <v>3</v>
      </c>
      <c r="AA558" s="12" t="str">
        <f>IF($A558="","",IF(COUNTIF('Auction Log'!$B$3:$B$300,$A558)&gt;0,"Sold","Available"))</f>
        <v>Available</v>
      </c>
      <c r="AB558" s="12" t="str">
        <f t="array" ref="AB558">IF($A558="","",IFERROR(XLOOKUP($A558,'Auction Log'!$B$3:$B$300,'Auction Log'!$G$3:$G$300,""),""))</f>
        <v/>
      </c>
      <c r="AC558" s="12" t="str">
        <f t="array" ref="AC558">IF($A558="","",IFERROR(XLOOKUP($A558,'Auction Log'!$B$3:$B$300,'Auction Log'!$F$3:$F$300,""),""))</f>
        <v/>
      </c>
      <c r="AD558" s="12">
        <f t="array" ref="AD558">IF($A558="","",ROUND($Y558*XLOOKUP($F558,Settings!$I$15:$I$20,Settings!$K$15:$K$20,0.4),0))</f>
        <v>0</v>
      </c>
      <c r="AE558" s="12">
        <f t="array" ref="AE558">IF($A558="","",ROUND($Y558*XLOOKUP($F558,Settings!$I$15:$I$20,Settings!$L$15:$L$20,0.8),0))</f>
        <v>1</v>
      </c>
      <c r="AF558" s="12">
        <f t="array" ref="AF558">IF($A558="","",ROUND($Y558*XLOOKUP($F558,Settings!$I$15:$I$20,Settings!$M$15:$M$20,1),0))</f>
        <v>1</v>
      </c>
      <c r="AG558" s="12">
        <f t="array" ref="AG558">IF($A558="","",ROUND($Y558*XLOOKUP($F558,Settings!$I$15:$I$20,Settings!$N$15:$N$20,1.1),0))</f>
        <v>1</v>
      </c>
      <c r="AH558" s="12">
        <f t="array" ref="AH558">IF($A558="","",ROUND($Y558*XLOOKUP($F558,Settings!$I$15:$I$20,Settings!$O$15:$O$20,1.1)*Settings!$J$7,0))</f>
        <v>1</v>
      </c>
      <c r="AI558" s="12">
        <f t="array" ref="AI558">IF($A558="","",IF($AA558="Sold","",MIN($AH558,IFERROR(XLOOKUP(Settings!$B$12,Managers!$B$4:$B$15,Managers!$H$4:$H$15),$AH558))))</f>
        <v>1</v>
      </c>
      <c r="AJ558" s="12" t="str">
        <f t="shared" si="3"/>
        <v>Budget Drainer</v>
      </c>
      <c r="AK558" s="12">
        <f t="shared" si="4"/>
        <v>28</v>
      </c>
      <c r="AL558" s="12" t="str">
        <f t="shared" si="5"/>
        <v/>
      </c>
    </row>
    <row r="559" ht="15.75" customHeight="1">
      <c r="A559" s="10" t="s">
        <v>1399</v>
      </c>
      <c r="B559" s="10" t="s">
        <v>1400</v>
      </c>
      <c r="C559" s="10" t="s">
        <v>236</v>
      </c>
      <c r="D559" s="10" t="s">
        <v>115</v>
      </c>
      <c r="E559" s="10" t="s">
        <v>115</v>
      </c>
      <c r="F559" s="10" t="s">
        <v>117</v>
      </c>
      <c r="G559" s="10">
        <v>5.0</v>
      </c>
      <c r="H559" s="10">
        <v>7.0</v>
      </c>
      <c r="I559" s="10" t="s">
        <v>2140</v>
      </c>
      <c r="J559" s="10" t="s">
        <v>2136</v>
      </c>
      <c r="K559" s="10"/>
      <c r="L559" s="10">
        <v>0.0</v>
      </c>
      <c r="M559" s="10">
        <v>0.0</v>
      </c>
      <c r="N559" s="10"/>
      <c r="O559" s="10"/>
      <c r="P559" s="12">
        <f>IF($A559="","",IFERROR((IF($O559="",0,$O559)*Settings!$J$4+IF($L559="",0,$L559)*Settings!$J$5+IF($N559="",0,$N559)*Settings!$J$6)/(IF($O559="",0,Settings!$J$4)+IF($L559="",0,Settings!$J$5)+IF($N559="",0,Settings!$J$6)),0))</f>
        <v>0</v>
      </c>
      <c r="Q559" s="12">
        <f t="array" ref="Q559">IF($A559="","",XLOOKUP($E559,Settings!$A$19:$A$22,Settings!$G$19:$G$22,0))</f>
        <v>249.25</v>
      </c>
      <c r="R559" s="12">
        <f t="shared" si="1"/>
        <v>0</v>
      </c>
      <c r="S559" s="12">
        <f>IF($A559="","",IF($R559&lt;=0,1,1+$R559/SUMIF($R$4:$R$923,"&gt;0",$R$4:$R$923)*(Settings!$B$5*(Settings!$B$6-Settings!$B$7))))</f>
        <v>1</v>
      </c>
      <c r="T559" s="12">
        <f t="array" ref="T559">IF($A559="","",XLOOKUP($F559,Settings!$I$15:$I$20,Settings!$J$15:$J$20,1))</f>
        <v>0.75</v>
      </c>
      <c r="U559" s="12">
        <f>IF($A559="","",1+(($G559-5)/5)*Settings!$J$8)</f>
        <v>1</v>
      </c>
      <c r="V559" s="12">
        <f>IF($A559="","",1+(($H559-5)/5)*Settings!$J$9)</f>
        <v>1.06</v>
      </c>
      <c r="W559" s="12">
        <f t="array" ref="W559">IF($A559="","",XLOOKUP($J559,Lists!$C$3:$C$7,Lists!$D$3:$D$7,1))</f>
        <v>1</v>
      </c>
      <c r="X559" s="12">
        <f>IF($A559="","",IF($I559="Yes",Settings!$J$10,1))</f>
        <v>1</v>
      </c>
      <c r="Y559" s="12">
        <f t="shared" si="2"/>
        <v>1</v>
      </c>
      <c r="Z559" s="12">
        <f>IF($A559="","",IFERROR(ROUND(AVERAGEIFS('Historical Drafts'!$G$4:$G$300,'Historical Drafts'!$D$4:$D$300,$E559,'Historical Drafts'!$J$4:$J$300,"&gt;="&amp;$L559*0.85,'Historical Drafts'!$J$4:$J$300,"&lt;="&amp;$L559*1.15),0),$Y559))</f>
        <v>1</v>
      </c>
      <c r="AA559" s="12" t="str">
        <f>IF($A559="","",IF(COUNTIF('Auction Log'!$B$3:$B$300,$A559)&gt;0,"Sold","Available"))</f>
        <v>Available</v>
      </c>
      <c r="AB559" s="12" t="str">
        <f t="array" ref="AB559">IF($A559="","",IFERROR(XLOOKUP($A559,'Auction Log'!$B$3:$B$300,'Auction Log'!$G$3:$G$300,""),""))</f>
        <v/>
      </c>
      <c r="AC559" s="12" t="str">
        <f t="array" ref="AC559">IF($A559="","",IFERROR(XLOOKUP($A559,'Auction Log'!$B$3:$B$300,'Auction Log'!$F$3:$F$300,""),""))</f>
        <v/>
      </c>
      <c r="AD559" s="12">
        <f t="array" ref="AD559">IF($A559="","",ROUND($Y559*XLOOKUP($F559,Settings!$I$15:$I$20,Settings!$K$15:$K$20,0.4),0))</f>
        <v>0</v>
      </c>
      <c r="AE559" s="12">
        <f t="array" ref="AE559">IF($A559="","",ROUND($Y559*XLOOKUP($F559,Settings!$I$15:$I$20,Settings!$L$15:$L$20,0.8),0))</f>
        <v>1</v>
      </c>
      <c r="AF559" s="12">
        <f t="array" ref="AF559">IF($A559="","",ROUND($Y559*XLOOKUP($F559,Settings!$I$15:$I$20,Settings!$M$15:$M$20,1),0))</f>
        <v>1</v>
      </c>
      <c r="AG559" s="12">
        <f t="array" ref="AG559">IF($A559="","",ROUND($Y559*XLOOKUP($F559,Settings!$I$15:$I$20,Settings!$N$15:$N$20,1.1),0))</f>
        <v>1</v>
      </c>
      <c r="AH559" s="12">
        <f t="array" ref="AH559">IF($A559="","",ROUND($Y559*XLOOKUP($F559,Settings!$I$15:$I$20,Settings!$O$15:$O$20,1.1)*Settings!$J$7,0))</f>
        <v>1</v>
      </c>
      <c r="AI559" s="12">
        <f t="array" ref="AI559">IF($A559="","",IF($AA559="Sold","",MIN($AH559,IFERROR(XLOOKUP(Settings!$B$12,Managers!$B$4:$B$15,Managers!$H$4:$H$15),$AH559))))</f>
        <v>1</v>
      </c>
      <c r="AJ559" s="12" t="str">
        <f t="shared" si="3"/>
        <v>Recommended</v>
      </c>
      <c r="AK559" s="12">
        <f t="shared" si="4"/>
        <v>26</v>
      </c>
      <c r="AL559" s="12" t="str">
        <f t="shared" si="5"/>
        <v/>
      </c>
    </row>
    <row r="560" ht="15.75" customHeight="1">
      <c r="A560" s="10" t="s">
        <v>1401</v>
      </c>
      <c r="B560" s="10" t="s">
        <v>1402</v>
      </c>
      <c r="C560" s="10" t="s">
        <v>236</v>
      </c>
      <c r="D560" s="10" t="s">
        <v>121</v>
      </c>
      <c r="E560" s="10" t="s">
        <v>121</v>
      </c>
      <c r="F560" s="10" t="s">
        <v>117</v>
      </c>
      <c r="G560" s="10">
        <v>5.0</v>
      </c>
      <c r="H560" s="10">
        <v>7.0</v>
      </c>
      <c r="I560" s="10" t="s">
        <v>2140</v>
      </c>
      <c r="J560" s="10" t="s">
        <v>2136</v>
      </c>
      <c r="K560" s="10"/>
      <c r="L560" s="10">
        <v>0.0</v>
      </c>
      <c r="M560" s="10">
        <v>0.0</v>
      </c>
      <c r="N560" s="10"/>
      <c r="O560" s="10"/>
      <c r="P560" s="12">
        <f>IF($A560="","",IFERROR((IF($O560="",0,$O560)*Settings!$J$4+IF($L560="",0,$L560)*Settings!$J$5+IF($N560="",0,$N560)*Settings!$J$6)/(IF($O560="",0,Settings!$J$4)+IF($L560="",0,Settings!$J$5)+IF($N560="",0,Settings!$J$6)),0))</f>
        <v>0</v>
      </c>
      <c r="Q560" s="12">
        <f t="array" ref="Q560">IF($A560="","",XLOOKUP($E560,Settings!$A$19:$A$22,Settings!$G$19:$G$22,0))</f>
        <v>206</v>
      </c>
      <c r="R560" s="12">
        <f t="shared" si="1"/>
        <v>0</v>
      </c>
      <c r="S560" s="12">
        <f>IF($A560="","",IF($R560&lt;=0,1,1+$R560/SUMIF($R$4:$R$923,"&gt;0",$R$4:$R$923)*(Settings!$B$5*(Settings!$B$6-Settings!$B$7))))</f>
        <v>1</v>
      </c>
      <c r="T560" s="12">
        <f t="array" ref="T560">IF($A560="","",XLOOKUP($F560,Settings!$I$15:$I$20,Settings!$J$15:$J$20,1))</f>
        <v>0.75</v>
      </c>
      <c r="U560" s="12">
        <f>IF($A560="","",1+(($G560-5)/5)*Settings!$J$8)</f>
        <v>1</v>
      </c>
      <c r="V560" s="12">
        <f>IF($A560="","",1+(($H560-5)/5)*Settings!$J$9)</f>
        <v>1.06</v>
      </c>
      <c r="W560" s="12">
        <f t="array" ref="W560">IF($A560="","",XLOOKUP($J560,Lists!$C$3:$C$7,Lists!$D$3:$D$7,1))</f>
        <v>1</v>
      </c>
      <c r="X560" s="12">
        <f>IF($A560="","",IF($I560="Yes",Settings!$J$10,1))</f>
        <v>1</v>
      </c>
      <c r="Y560" s="12">
        <f t="shared" si="2"/>
        <v>1</v>
      </c>
      <c r="Z560" s="12">
        <f>IF($A560="","",IFERROR(ROUND(AVERAGEIFS('Historical Drafts'!$G$4:$G$300,'Historical Drafts'!$D$4:$D$300,$E560,'Historical Drafts'!$J$4:$J$300,"&gt;="&amp;$L560*0.85,'Historical Drafts'!$J$4:$J$300,"&lt;="&amp;$L560*1.15),0),$Y560))</f>
        <v>3</v>
      </c>
      <c r="AA560" s="12" t="str">
        <f>IF($A560="","",IF(COUNTIF('Auction Log'!$B$3:$B$300,$A560)&gt;0,"Sold","Available"))</f>
        <v>Available</v>
      </c>
      <c r="AB560" s="12" t="str">
        <f t="array" ref="AB560">IF($A560="","",IFERROR(XLOOKUP($A560,'Auction Log'!$B$3:$B$300,'Auction Log'!$G$3:$G$300,""),""))</f>
        <v/>
      </c>
      <c r="AC560" s="12" t="str">
        <f t="array" ref="AC560">IF($A560="","",IFERROR(XLOOKUP($A560,'Auction Log'!$B$3:$B$300,'Auction Log'!$F$3:$F$300,""),""))</f>
        <v/>
      </c>
      <c r="AD560" s="12">
        <f t="array" ref="AD560">IF($A560="","",ROUND($Y560*XLOOKUP($F560,Settings!$I$15:$I$20,Settings!$K$15:$K$20,0.4),0))</f>
        <v>0</v>
      </c>
      <c r="AE560" s="12">
        <f t="array" ref="AE560">IF($A560="","",ROUND($Y560*XLOOKUP($F560,Settings!$I$15:$I$20,Settings!$L$15:$L$20,0.8),0))</f>
        <v>1</v>
      </c>
      <c r="AF560" s="12">
        <f t="array" ref="AF560">IF($A560="","",ROUND($Y560*XLOOKUP($F560,Settings!$I$15:$I$20,Settings!$M$15:$M$20,1),0))</f>
        <v>1</v>
      </c>
      <c r="AG560" s="12">
        <f t="array" ref="AG560">IF($A560="","",ROUND($Y560*XLOOKUP($F560,Settings!$I$15:$I$20,Settings!$N$15:$N$20,1.1),0))</f>
        <v>1</v>
      </c>
      <c r="AH560" s="12">
        <f t="array" ref="AH560">IF($A560="","",ROUND($Y560*XLOOKUP($F560,Settings!$I$15:$I$20,Settings!$O$15:$O$20,1.1)*Settings!$J$7,0))</f>
        <v>1</v>
      </c>
      <c r="AI560" s="12">
        <f t="array" ref="AI560">IF($A560="","",IF($AA560="Sold","",MIN($AH560,IFERROR(XLOOKUP(Settings!$B$12,Managers!$B$4:$B$15,Managers!$H$4:$H$15),$AH560))))</f>
        <v>1</v>
      </c>
      <c r="AJ560" s="12" t="str">
        <f t="shared" si="3"/>
        <v>Budget Drainer</v>
      </c>
      <c r="AK560" s="12">
        <f t="shared" si="4"/>
        <v>28</v>
      </c>
      <c r="AL560" s="12" t="str">
        <f t="shared" si="5"/>
        <v/>
      </c>
    </row>
    <row r="561" ht="15.75" customHeight="1">
      <c r="A561" s="10" t="s">
        <v>1403</v>
      </c>
      <c r="B561" s="10" t="s">
        <v>1404</v>
      </c>
      <c r="C561" s="10" t="s">
        <v>180</v>
      </c>
      <c r="D561" s="10" t="s">
        <v>118</v>
      </c>
      <c r="E561" s="10" t="s">
        <v>118</v>
      </c>
      <c r="F561" s="10" t="s">
        <v>117</v>
      </c>
      <c r="G561" s="10">
        <v>5.0</v>
      </c>
      <c r="H561" s="10">
        <v>7.0</v>
      </c>
      <c r="I561" s="10" t="s">
        <v>2140</v>
      </c>
      <c r="J561" s="10" t="s">
        <v>2136</v>
      </c>
      <c r="K561" s="10"/>
      <c r="L561" s="10">
        <v>0.0</v>
      </c>
      <c r="M561" s="10">
        <v>0.0</v>
      </c>
      <c r="N561" s="10"/>
      <c r="O561" s="10"/>
      <c r="P561" s="12">
        <f>IF($A561="","",IFERROR((IF($O561="",0,$O561)*Settings!$J$4+IF($L561="",0,$L561)*Settings!$J$5+IF($N561="",0,$N561)*Settings!$J$6)/(IF($O561="",0,Settings!$J$4)+IF($L561="",0,Settings!$J$5)+IF($N561="",0,Settings!$J$6)),0))</f>
        <v>0</v>
      </c>
      <c r="Q561" s="12">
        <f t="array" ref="Q561">IF($A561="","",XLOOKUP($E561,Settings!$A$19:$A$22,Settings!$G$19:$G$22,0))</f>
        <v>196.25</v>
      </c>
      <c r="R561" s="12">
        <f t="shared" si="1"/>
        <v>0</v>
      </c>
      <c r="S561" s="12">
        <f>IF($A561="","",IF($R561&lt;=0,1,1+$R561/SUMIF($R$4:$R$923,"&gt;0",$R$4:$R$923)*(Settings!$B$5*(Settings!$B$6-Settings!$B$7))))</f>
        <v>1</v>
      </c>
      <c r="T561" s="12">
        <f t="array" ref="T561">IF($A561="","",XLOOKUP($F561,Settings!$I$15:$I$20,Settings!$J$15:$J$20,1))</f>
        <v>0.75</v>
      </c>
      <c r="U561" s="12">
        <f>IF($A561="","",1+(($G561-5)/5)*Settings!$J$8)</f>
        <v>1</v>
      </c>
      <c r="V561" s="12">
        <f>IF($A561="","",1+(($H561-5)/5)*Settings!$J$9)</f>
        <v>1.06</v>
      </c>
      <c r="W561" s="12">
        <f t="array" ref="W561">IF($A561="","",XLOOKUP($J561,Lists!$C$3:$C$7,Lists!$D$3:$D$7,1))</f>
        <v>1</v>
      </c>
      <c r="X561" s="12">
        <f>IF($A561="","",IF($I561="Yes",Settings!$J$10,1))</f>
        <v>1</v>
      </c>
      <c r="Y561" s="12">
        <f t="shared" si="2"/>
        <v>1</v>
      </c>
      <c r="Z561" s="12">
        <f>IF($A561="","",IFERROR(ROUND(AVERAGEIFS('Historical Drafts'!$G$4:$G$300,'Historical Drafts'!$D$4:$D$300,$E561,'Historical Drafts'!$J$4:$J$300,"&gt;="&amp;$L561*0.85,'Historical Drafts'!$J$4:$J$300,"&lt;="&amp;$L561*1.15),0),$Y561))</f>
        <v>1</v>
      </c>
      <c r="AA561" s="12" t="str">
        <f>IF($A561="","",IF(COUNTIF('Auction Log'!$B$3:$B$300,$A561)&gt;0,"Sold","Available"))</f>
        <v>Available</v>
      </c>
      <c r="AB561" s="12" t="str">
        <f t="array" ref="AB561">IF($A561="","",IFERROR(XLOOKUP($A561,'Auction Log'!$B$3:$B$300,'Auction Log'!$G$3:$G$300,""),""))</f>
        <v/>
      </c>
      <c r="AC561" s="12" t="str">
        <f t="array" ref="AC561">IF($A561="","",IFERROR(XLOOKUP($A561,'Auction Log'!$B$3:$B$300,'Auction Log'!$F$3:$F$300,""),""))</f>
        <v/>
      </c>
      <c r="AD561" s="12">
        <f t="array" ref="AD561">IF($A561="","",ROUND($Y561*XLOOKUP($F561,Settings!$I$15:$I$20,Settings!$K$15:$K$20,0.4),0))</f>
        <v>0</v>
      </c>
      <c r="AE561" s="12">
        <f t="array" ref="AE561">IF($A561="","",ROUND($Y561*XLOOKUP($F561,Settings!$I$15:$I$20,Settings!$L$15:$L$20,0.8),0))</f>
        <v>1</v>
      </c>
      <c r="AF561" s="12">
        <f t="array" ref="AF561">IF($A561="","",ROUND($Y561*XLOOKUP($F561,Settings!$I$15:$I$20,Settings!$M$15:$M$20,1),0))</f>
        <v>1</v>
      </c>
      <c r="AG561" s="12">
        <f t="array" ref="AG561">IF($A561="","",ROUND($Y561*XLOOKUP($F561,Settings!$I$15:$I$20,Settings!$N$15:$N$20,1.1),0))</f>
        <v>1</v>
      </c>
      <c r="AH561" s="12">
        <f t="array" ref="AH561">IF($A561="","",ROUND($Y561*XLOOKUP($F561,Settings!$I$15:$I$20,Settings!$O$15:$O$20,1.1)*Settings!$J$7,0))</f>
        <v>1</v>
      </c>
      <c r="AI561" s="12">
        <f t="array" ref="AI561">IF($A561="","",IF($AA561="Sold","",MIN($AH561,IFERROR(XLOOKUP(Settings!$B$12,Managers!$B$4:$B$15,Managers!$H$4:$H$15),$AH561))))</f>
        <v>1</v>
      </c>
      <c r="AJ561" s="12" t="str">
        <f t="shared" si="3"/>
        <v>Recommended</v>
      </c>
      <c r="AK561" s="12">
        <f t="shared" si="4"/>
        <v>26</v>
      </c>
      <c r="AL561" s="12" t="str">
        <f t="shared" si="5"/>
        <v/>
      </c>
    </row>
    <row r="562" ht="15.75" customHeight="1">
      <c r="A562" s="10" t="s">
        <v>1405</v>
      </c>
      <c r="B562" s="10" t="s">
        <v>1406</v>
      </c>
      <c r="C562" s="10" t="s">
        <v>566</v>
      </c>
      <c r="D562" s="10" t="s">
        <v>121</v>
      </c>
      <c r="E562" s="10" t="s">
        <v>121</v>
      </c>
      <c r="F562" s="10" t="s">
        <v>117</v>
      </c>
      <c r="G562" s="10">
        <v>5.0</v>
      </c>
      <c r="H562" s="10">
        <v>7.0</v>
      </c>
      <c r="I562" s="10" t="s">
        <v>2140</v>
      </c>
      <c r="J562" s="10" t="s">
        <v>2136</v>
      </c>
      <c r="K562" s="10"/>
      <c r="L562" s="10">
        <v>0.0</v>
      </c>
      <c r="M562" s="10">
        <v>0.0</v>
      </c>
      <c r="N562" s="10"/>
      <c r="O562" s="10"/>
      <c r="P562" s="12">
        <f>IF($A562="","",IFERROR((IF($O562="",0,$O562)*Settings!$J$4+IF($L562="",0,$L562)*Settings!$J$5+IF($N562="",0,$N562)*Settings!$J$6)/(IF($O562="",0,Settings!$J$4)+IF($L562="",0,Settings!$J$5)+IF($N562="",0,Settings!$J$6)),0))</f>
        <v>0</v>
      </c>
      <c r="Q562" s="12">
        <f t="array" ref="Q562">IF($A562="","",XLOOKUP($E562,Settings!$A$19:$A$22,Settings!$G$19:$G$22,0))</f>
        <v>206</v>
      </c>
      <c r="R562" s="12">
        <f t="shared" si="1"/>
        <v>0</v>
      </c>
      <c r="S562" s="12">
        <f>IF($A562="","",IF($R562&lt;=0,1,1+$R562/SUMIF($R$4:$R$923,"&gt;0",$R$4:$R$923)*(Settings!$B$5*(Settings!$B$6-Settings!$B$7))))</f>
        <v>1</v>
      </c>
      <c r="T562" s="12">
        <f t="array" ref="T562">IF($A562="","",XLOOKUP($F562,Settings!$I$15:$I$20,Settings!$J$15:$J$20,1))</f>
        <v>0.75</v>
      </c>
      <c r="U562" s="12">
        <f>IF($A562="","",1+(($G562-5)/5)*Settings!$J$8)</f>
        <v>1</v>
      </c>
      <c r="V562" s="12">
        <f>IF($A562="","",1+(($H562-5)/5)*Settings!$J$9)</f>
        <v>1.06</v>
      </c>
      <c r="W562" s="12">
        <f t="array" ref="W562">IF($A562="","",XLOOKUP($J562,Lists!$C$3:$C$7,Lists!$D$3:$D$7,1))</f>
        <v>1</v>
      </c>
      <c r="X562" s="12">
        <f>IF($A562="","",IF($I562="Yes",Settings!$J$10,1))</f>
        <v>1</v>
      </c>
      <c r="Y562" s="12">
        <f t="shared" si="2"/>
        <v>1</v>
      </c>
      <c r="Z562" s="12">
        <f>IF($A562="","",IFERROR(ROUND(AVERAGEIFS('Historical Drafts'!$G$4:$G$300,'Historical Drafts'!$D$4:$D$300,$E562,'Historical Drafts'!$J$4:$J$300,"&gt;="&amp;$L562*0.85,'Historical Drafts'!$J$4:$J$300,"&lt;="&amp;$L562*1.15),0),$Y562))</f>
        <v>3</v>
      </c>
      <c r="AA562" s="12" t="str">
        <f>IF($A562="","",IF(COUNTIF('Auction Log'!$B$3:$B$300,$A562)&gt;0,"Sold","Available"))</f>
        <v>Available</v>
      </c>
      <c r="AB562" s="12" t="str">
        <f t="array" ref="AB562">IF($A562="","",IFERROR(XLOOKUP($A562,'Auction Log'!$B$3:$B$300,'Auction Log'!$G$3:$G$300,""),""))</f>
        <v/>
      </c>
      <c r="AC562" s="12" t="str">
        <f t="array" ref="AC562">IF($A562="","",IFERROR(XLOOKUP($A562,'Auction Log'!$B$3:$B$300,'Auction Log'!$F$3:$F$300,""),""))</f>
        <v/>
      </c>
      <c r="AD562" s="12">
        <f t="array" ref="AD562">IF($A562="","",ROUND($Y562*XLOOKUP($F562,Settings!$I$15:$I$20,Settings!$K$15:$K$20,0.4),0))</f>
        <v>0</v>
      </c>
      <c r="AE562" s="12">
        <f t="array" ref="AE562">IF($A562="","",ROUND($Y562*XLOOKUP($F562,Settings!$I$15:$I$20,Settings!$L$15:$L$20,0.8),0))</f>
        <v>1</v>
      </c>
      <c r="AF562" s="12">
        <f t="array" ref="AF562">IF($A562="","",ROUND($Y562*XLOOKUP($F562,Settings!$I$15:$I$20,Settings!$M$15:$M$20,1),0))</f>
        <v>1</v>
      </c>
      <c r="AG562" s="12">
        <f t="array" ref="AG562">IF($A562="","",ROUND($Y562*XLOOKUP($F562,Settings!$I$15:$I$20,Settings!$N$15:$N$20,1.1),0))</f>
        <v>1</v>
      </c>
      <c r="AH562" s="12">
        <f t="array" ref="AH562">IF($A562="","",ROUND($Y562*XLOOKUP($F562,Settings!$I$15:$I$20,Settings!$O$15:$O$20,1.1)*Settings!$J$7,0))</f>
        <v>1</v>
      </c>
      <c r="AI562" s="12">
        <f t="array" ref="AI562">IF($A562="","",IF($AA562="Sold","",MIN($AH562,IFERROR(XLOOKUP(Settings!$B$12,Managers!$B$4:$B$15,Managers!$H$4:$H$15),$AH562))))</f>
        <v>1</v>
      </c>
      <c r="AJ562" s="12" t="str">
        <f t="shared" si="3"/>
        <v>Budget Drainer</v>
      </c>
      <c r="AK562" s="12">
        <f t="shared" si="4"/>
        <v>28</v>
      </c>
      <c r="AL562" s="12" t="str">
        <f t="shared" si="5"/>
        <v/>
      </c>
    </row>
    <row r="563" ht="15.75" customHeight="1">
      <c r="A563" s="10" t="s">
        <v>1407</v>
      </c>
      <c r="B563" s="10" t="s">
        <v>1408</v>
      </c>
      <c r="C563" s="10" t="s">
        <v>199</v>
      </c>
      <c r="D563" s="10" t="s">
        <v>121</v>
      </c>
      <c r="E563" s="10" t="s">
        <v>121</v>
      </c>
      <c r="F563" s="10" t="s">
        <v>117</v>
      </c>
      <c r="G563" s="10">
        <v>5.0</v>
      </c>
      <c r="H563" s="10">
        <v>7.0</v>
      </c>
      <c r="I563" s="10" t="s">
        <v>2140</v>
      </c>
      <c r="J563" s="10" t="s">
        <v>2136</v>
      </c>
      <c r="K563" s="10"/>
      <c r="L563" s="10">
        <v>0.0</v>
      </c>
      <c r="M563" s="10">
        <v>0.0</v>
      </c>
      <c r="N563" s="10"/>
      <c r="O563" s="10"/>
      <c r="P563" s="12">
        <f>IF($A563="","",IFERROR((IF($O563="",0,$O563)*Settings!$J$4+IF($L563="",0,$L563)*Settings!$J$5+IF($N563="",0,$N563)*Settings!$J$6)/(IF($O563="",0,Settings!$J$4)+IF($L563="",0,Settings!$J$5)+IF($N563="",0,Settings!$J$6)),0))</f>
        <v>0</v>
      </c>
      <c r="Q563" s="12">
        <f t="array" ref="Q563">IF($A563="","",XLOOKUP($E563,Settings!$A$19:$A$22,Settings!$G$19:$G$22,0))</f>
        <v>206</v>
      </c>
      <c r="R563" s="12">
        <f t="shared" si="1"/>
        <v>0</v>
      </c>
      <c r="S563" s="12">
        <f>IF($A563="","",IF($R563&lt;=0,1,1+$R563/SUMIF($R$4:$R$923,"&gt;0",$R$4:$R$923)*(Settings!$B$5*(Settings!$B$6-Settings!$B$7))))</f>
        <v>1</v>
      </c>
      <c r="T563" s="12">
        <f t="array" ref="T563">IF($A563="","",XLOOKUP($F563,Settings!$I$15:$I$20,Settings!$J$15:$J$20,1))</f>
        <v>0.75</v>
      </c>
      <c r="U563" s="12">
        <f>IF($A563="","",1+(($G563-5)/5)*Settings!$J$8)</f>
        <v>1</v>
      </c>
      <c r="V563" s="12">
        <f>IF($A563="","",1+(($H563-5)/5)*Settings!$J$9)</f>
        <v>1.06</v>
      </c>
      <c r="W563" s="12">
        <f t="array" ref="W563">IF($A563="","",XLOOKUP($J563,Lists!$C$3:$C$7,Lists!$D$3:$D$7,1))</f>
        <v>1</v>
      </c>
      <c r="X563" s="12">
        <f>IF($A563="","",IF($I563="Yes",Settings!$J$10,1))</f>
        <v>1</v>
      </c>
      <c r="Y563" s="12">
        <f t="shared" si="2"/>
        <v>1</v>
      </c>
      <c r="Z563" s="12">
        <f>IF($A563="","",IFERROR(ROUND(AVERAGEIFS('Historical Drafts'!$G$4:$G$300,'Historical Drafts'!$D$4:$D$300,$E563,'Historical Drafts'!$J$4:$J$300,"&gt;="&amp;$L563*0.85,'Historical Drafts'!$J$4:$J$300,"&lt;="&amp;$L563*1.15),0),$Y563))</f>
        <v>3</v>
      </c>
      <c r="AA563" s="12" t="str">
        <f>IF($A563="","",IF(COUNTIF('Auction Log'!$B$3:$B$300,$A563)&gt;0,"Sold","Available"))</f>
        <v>Available</v>
      </c>
      <c r="AB563" s="12" t="str">
        <f t="array" ref="AB563">IF($A563="","",IFERROR(XLOOKUP($A563,'Auction Log'!$B$3:$B$300,'Auction Log'!$G$3:$G$300,""),""))</f>
        <v/>
      </c>
      <c r="AC563" s="12" t="str">
        <f t="array" ref="AC563">IF($A563="","",IFERROR(XLOOKUP($A563,'Auction Log'!$B$3:$B$300,'Auction Log'!$F$3:$F$300,""),""))</f>
        <v/>
      </c>
      <c r="AD563" s="12">
        <f t="array" ref="AD563">IF($A563="","",ROUND($Y563*XLOOKUP($F563,Settings!$I$15:$I$20,Settings!$K$15:$K$20,0.4),0))</f>
        <v>0</v>
      </c>
      <c r="AE563" s="12">
        <f t="array" ref="AE563">IF($A563="","",ROUND($Y563*XLOOKUP($F563,Settings!$I$15:$I$20,Settings!$L$15:$L$20,0.8),0))</f>
        <v>1</v>
      </c>
      <c r="AF563" s="12">
        <f t="array" ref="AF563">IF($A563="","",ROUND($Y563*XLOOKUP($F563,Settings!$I$15:$I$20,Settings!$M$15:$M$20,1),0))</f>
        <v>1</v>
      </c>
      <c r="AG563" s="12">
        <f t="array" ref="AG563">IF($A563="","",ROUND($Y563*XLOOKUP($F563,Settings!$I$15:$I$20,Settings!$N$15:$N$20,1.1),0))</f>
        <v>1</v>
      </c>
      <c r="AH563" s="12">
        <f t="array" ref="AH563">IF($A563="","",ROUND($Y563*XLOOKUP($F563,Settings!$I$15:$I$20,Settings!$O$15:$O$20,1.1)*Settings!$J$7,0))</f>
        <v>1</v>
      </c>
      <c r="AI563" s="12">
        <f t="array" ref="AI563">IF($A563="","",IF($AA563="Sold","",MIN($AH563,IFERROR(XLOOKUP(Settings!$B$12,Managers!$B$4:$B$15,Managers!$H$4:$H$15),$AH563))))</f>
        <v>1</v>
      </c>
      <c r="AJ563" s="12" t="str">
        <f t="shared" si="3"/>
        <v>Budget Drainer</v>
      </c>
      <c r="AK563" s="12">
        <f t="shared" si="4"/>
        <v>28</v>
      </c>
      <c r="AL563" s="12" t="str">
        <f t="shared" si="5"/>
        <v/>
      </c>
    </row>
    <row r="564" ht="15.75" customHeight="1">
      <c r="A564" s="10" t="s">
        <v>1409</v>
      </c>
      <c r="B564" s="10" t="s">
        <v>1410</v>
      </c>
      <c r="C564" s="10" t="s">
        <v>387</v>
      </c>
      <c r="D564" s="10" t="s">
        <v>115</v>
      </c>
      <c r="E564" s="10" t="s">
        <v>115</v>
      </c>
      <c r="F564" s="10" t="s">
        <v>117</v>
      </c>
      <c r="G564" s="10">
        <v>5.0</v>
      </c>
      <c r="H564" s="10">
        <v>7.0</v>
      </c>
      <c r="I564" s="10" t="s">
        <v>2140</v>
      </c>
      <c r="J564" s="10" t="s">
        <v>2136</v>
      </c>
      <c r="K564" s="10"/>
      <c r="L564" s="10">
        <v>0.0</v>
      </c>
      <c r="M564" s="10">
        <v>0.0</v>
      </c>
      <c r="N564" s="10"/>
      <c r="O564" s="10"/>
      <c r="P564" s="12">
        <f>IF($A564="","",IFERROR((IF($O564="",0,$O564)*Settings!$J$4+IF($L564="",0,$L564)*Settings!$J$5+IF($N564="",0,$N564)*Settings!$J$6)/(IF($O564="",0,Settings!$J$4)+IF($L564="",0,Settings!$J$5)+IF($N564="",0,Settings!$J$6)),0))</f>
        <v>0</v>
      </c>
      <c r="Q564" s="12">
        <f t="array" ref="Q564">IF($A564="","",XLOOKUP($E564,Settings!$A$19:$A$22,Settings!$G$19:$G$22,0))</f>
        <v>249.25</v>
      </c>
      <c r="R564" s="12">
        <f t="shared" si="1"/>
        <v>0</v>
      </c>
      <c r="S564" s="12">
        <f>IF($A564="","",IF($R564&lt;=0,1,1+$R564/SUMIF($R$4:$R$923,"&gt;0",$R$4:$R$923)*(Settings!$B$5*(Settings!$B$6-Settings!$B$7))))</f>
        <v>1</v>
      </c>
      <c r="T564" s="12">
        <f t="array" ref="T564">IF($A564="","",XLOOKUP($F564,Settings!$I$15:$I$20,Settings!$J$15:$J$20,1))</f>
        <v>0.75</v>
      </c>
      <c r="U564" s="12">
        <f>IF($A564="","",1+(($G564-5)/5)*Settings!$J$8)</f>
        <v>1</v>
      </c>
      <c r="V564" s="12">
        <f>IF($A564="","",1+(($H564-5)/5)*Settings!$J$9)</f>
        <v>1.06</v>
      </c>
      <c r="W564" s="12">
        <f t="array" ref="W564">IF($A564="","",XLOOKUP($J564,Lists!$C$3:$C$7,Lists!$D$3:$D$7,1))</f>
        <v>1</v>
      </c>
      <c r="X564" s="12">
        <f>IF($A564="","",IF($I564="Yes",Settings!$J$10,1))</f>
        <v>1</v>
      </c>
      <c r="Y564" s="12">
        <f t="shared" si="2"/>
        <v>1</v>
      </c>
      <c r="Z564" s="12">
        <f>IF($A564="","",IFERROR(ROUND(AVERAGEIFS('Historical Drafts'!$G$4:$G$300,'Historical Drafts'!$D$4:$D$300,$E564,'Historical Drafts'!$J$4:$J$300,"&gt;="&amp;$L564*0.85,'Historical Drafts'!$J$4:$J$300,"&lt;="&amp;$L564*1.15),0),$Y564))</f>
        <v>1</v>
      </c>
      <c r="AA564" s="12" t="str">
        <f>IF($A564="","",IF(COUNTIF('Auction Log'!$B$3:$B$300,$A564)&gt;0,"Sold","Available"))</f>
        <v>Available</v>
      </c>
      <c r="AB564" s="12" t="str">
        <f t="array" ref="AB564">IF($A564="","",IFERROR(XLOOKUP($A564,'Auction Log'!$B$3:$B$300,'Auction Log'!$G$3:$G$300,""),""))</f>
        <v/>
      </c>
      <c r="AC564" s="12" t="str">
        <f t="array" ref="AC564">IF($A564="","",IFERROR(XLOOKUP($A564,'Auction Log'!$B$3:$B$300,'Auction Log'!$F$3:$F$300,""),""))</f>
        <v/>
      </c>
      <c r="AD564" s="12">
        <f t="array" ref="AD564">IF($A564="","",ROUND($Y564*XLOOKUP($F564,Settings!$I$15:$I$20,Settings!$K$15:$K$20,0.4),0))</f>
        <v>0</v>
      </c>
      <c r="AE564" s="12">
        <f t="array" ref="AE564">IF($A564="","",ROUND($Y564*XLOOKUP($F564,Settings!$I$15:$I$20,Settings!$L$15:$L$20,0.8),0))</f>
        <v>1</v>
      </c>
      <c r="AF564" s="12">
        <f t="array" ref="AF564">IF($A564="","",ROUND($Y564*XLOOKUP($F564,Settings!$I$15:$I$20,Settings!$M$15:$M$20,1),0))</f>
        <v>1</v>
      </c>
      <c r="AG564" s="12">
        <f t="array" ref="AG564">IF($A564="","",ROUND($Y564*XLOOKUP($F564,Settings!$I$15:$I$20,Settings!$N$15:$N$20,1.1),0))</f>
        <v>1</v>
      </c>
      <c r="AH564" s="12">
        <f t="array" ref="AH564">IF($A564="","",ROUND($Y564*XLOOKUP($F564,Settings!$I$15:$I$20,Settings!$O$15:$O$20,1.1)*Settings!$J$7,0))</f>
        <v>1</v>
      </c>
      <c r="AI564" s="12">
        <f t="array" ref="AI564">IF($A564="","",IF($AA564="Sold","",MIN($AH564,IFERROR(XLOOKUP(Settings!$B$12,Managers!$B$4:$B$15,Managers!$H$4:$H$15),$AH564))))</f>
        <v>1</v>
      </c>
      <c r="AJ564" s="12" t="str">
        <f t="shared" si="3"/>
        <v>Recommended</v>
      </c>
      <c r="AK564" s="12">
        <f t="shared" si="4"/>
        <v>26</v>
      </c>
      <c r="AL564" s="12" t="str">
        <f t="shared" si="5"/>
        <v/>
      </c>
    </row>
    <row r="565" ht="15.75" customHeight="1">
      <c r="A565" s="10" t="s">
        <v>1411</v>
      </c>
      <c r="B565" s="10" t="s">
        <v>1412</v>
      </c>
      <c r="C565" s="10" t="s">
        <v>314</v>
      </c>
      <c r="D565" s="10" t="s">
        <v>121</v>
      </c>
      <c r="E565" s="10" t="s">
        <v>121</v>
      </c>
      <c r="F565" s="10" t="s">
        <v>117</v>
      </c>
      <c r="G565" s="10">
        <v>5.0</v>
      </c>
      <c r="H565" s="10">
        <v>7.0</v>
      </c>
      <c r="I565" s="10" t="s">
        <v>2140</v>
      </c>
      <c r="J565" s="10" t="s">
        <v>2136</v>
      </c>
      <c r="K565" s="10"/>
      <c r="L565" s="10">
        <v>0.0</v>
      </c>
      <c r="M565" s="10">
        <v>0.0</v>
      </c>
      <c r="N565" s="10"/>
      <c r="O565" s="10"/>
      <c r="P565" s="12">
        <f>IF($A565="","",IFERROR((IF($O565="",0,$O565)*Settings!$J$4+IF($L565="",0,$L565)*Settings!$J$5+IF($N565="",0,$N565)*Settings!$J$6)/(IF($O565="",0,Settings!$J$4)+IF($L565="",0,Settings!$J$5)+IF($N565="",0,Settings!$J$6)),0))</f>
        <v>0</v>
      </c>
      <c r="Q565" s="12">
        <f t="array" ref="Q565">IF($A565="","",XLOOKUP($E565,Settings!$A$19:$A$22,Settings!$G$19:$G$22,0))</f>
        <v>206</v>
      </c>
      <c r="R565" s="12">
        <f t="shared" si="1"/>
        <v>0</v>
      </c>
      <c r="S565" s="12">
        <f>IF($A565="","",IF($R565&lt;=0,1,1+$R565/SUMIF($R$4:$R$923,"&gt;0",$R$4:$R$923)*(Settings!$B$5*(Settings!$B$6-Settings!$B$7))))</f>
        <v>1</v>
      </c>
      <c r="T565" s="12">
        <f t="array" ref="T565">IF($A565="","",XLOOKUP($F565,Settings!$I$15:$I$20,Settings!$J$15:$J$20,1))</f>
        <v>0.75</v>
      </c>
      <c r="U565" s="12">
        <f>IF($A565="","",1+(($G565-5)/5)*Settings!$J$8)</f>
        <v>1</v>
      </c>
      <c r="V565" s="12">
        <f>IF($A565="","",1+(($H565-5)/5)*Settings!$J$9)</f>
        <v>1.06</v>
      </c>
      <c r="W565" s="12">
        <f t="array" ref="W565">IF($A565="","",XLOOKUP($J565,Lists!$C$3:$C$7,Lists!$D$3:$D$7,1))</f>
        <v>1</v>
      </c>
      <c r="X565" s="12">
        <f>IF($A565="","",IF($I565="Yes",Settings!$J$10,1))</f>
        <v>1</v>
      </c>
      <c r="Y565" s="12">
        <f t="shared" si="2"/>
        <v>1</v>
      </c>
      <c r="Z565" s="12">
        <f>IF($A565="","",IFERROR(ROUND(AVERAGEIFS('Historical Drafts'!$G$4:$G$300,'Historical Drafts'!$D$4:$D$300,$E565,'Historical Drafts'!$J$4:$J$300,"&gt;="&amp;$L565*0.85,'Historical Drafts'!$J$4:$J$300,"&lt;="&amp;$L565*1.15),0),$Y565))</f>
        <v>3</v>
      </c>
      <c r="AA565" s="12" t="str">
        <f>IF($A565="","",IF(COUNTIF('Auction Log'!$B$3:$B$300,$A565)&gt;0,"Sold","Available"))</f>
        <v>Available</v>
      </c>
      <c r="AB565" s="12" t="str">
        <f t="array" ref="AB565">IF($A565="","",IFERROR(XLOOKUP($A565,'Auction Log'!$B$3:$B$300,'Auction Log'!$G$3:$G$300,""),""))</f>
        <v/>
      </c>
      <c r="AC565" s="12" t="str">
        <f t="array" ref="AC565">IF($A565="","",IFERROR(XLOOKUP($A565,'Auction Log'!$B$3:$B$300,'Auction Log'!$F$3:$F$300,""),""))</f>
        <v/>
      </c>
      <c r="AD565" s="12">
        <f t="array" ref="AD565">IF($A565="","",ROUND($Y565*XLOOKUP($F565,Settings!$I$15:$I$20,Settings!$K$15:$K$20,0.4),0))</f>
        <v>0</v>
      </c>
      <c r="AE565" s="12">
        <f t="array" ref="AE565">IF($A565="","",ROUND($Y565*XLOOKUP($F565,Settings!$I$15:$I$20,Settings!$L$15:$L$20,0.8),0))</f>
        <v>1</v>
      </c>
      <c r="AF565" s="12">
        <f t="array" ref="AF565">IF($A565="","",ROUND($Y565*XLOOKUP($F565,Settings!$I$15:$I$20,Settings!$M$15:$M$20,1),0))</f>
        <v>1</v>
      </c>
      <c r="AG565" s="12">
        <f t="array" ref="AG565">IF($A565="","",ROUND($Y565*XLOOKUP($F565,Settings!$I$15:$I$20,Settings!$N$15:$N$20,1.1),0))</f>
        <v>1</v>
      </c>
      <c r="AH565" s="12">
        <f t="array" ref="AH565">IF($A565="","",ROUND($Y565*XLOOKUP($F565,Settings!$I$15:$I$20,Settings!$O$15:$O$20,1.1)*Settings!$J$7,0))</f>
        <v>1</v>
      </c>
      <c r="AI565" s="12">
        <f t="array" ref="AI565">IF($A565="","",IF($AA565="Sold","",MIN($AH565,IFERROR(XLOOKUP(Settings!$B$12,Managers!$B$4:$B$15,Managers!$H$4:$H$15),$AH565))))</f>
        <v>1</v>
      </c>
      <c r="AJ565" s="12" t="str">
        <f t="shared" si="3"/>
        <v>Budget Drainer</v>
      </c>
      <c r="AK565" s="12">
        <f t="shared" si="4"/>
        <v>28</v>
      </c>
      <c r="AL565" s="12" t="str">
        <f t="shared" si="5"/>
        <v/>
      </c>
    </row>
    <row r="566" ht="15.75" customHeight="1">
      <c r="A566" s="10" t="s">
        <v>1413</v>
      </c>
      <c r="B566" s="10" t="s">
        <v>1414</v>
      </c>
      <c r="C566" s="10" t="s">
        <v>221</v>
      </c>
      <c r="D566" s="10" t="s">
        <v>118</v>
      </c>
      <c r="E566" s="10" t="s">
        <v>118</v>
      </c>
      <c r="F566" s="10" t="s">
        <v>117</v>
      </c>
      <c r="G566" s="10">
        <v>5.0</v>
      </c>
      <c r="H566" s="10">
        <v>7.0</v>
      </c>
      <c r="I566" s="10" t="s">
        <v>2140</v>
      </c>
      <c r="J566" s="10" t="s">
        <v>2136</v>
      </c>
      <c r="K566" s="10"/>
      <c r="L566" s="10">
        <v>0.0</v>
      </c>
      <c r="M566" s="10">
        <v>0.0</v>
      </c>
      <c r="N566" s="10"/>
      <c r="O566" s="10"/>
      <c r="P566" s="12">
        <f>IF($A566="","",IFERROR((IF($O566="",0,$O566)*Settings!$J$4+IF($L566="",0,$L566)*Settings!$J$5+IF($N566="",0,$N566)*Settings!$J$6)/(IF($O566="",0,Settings!$J$4)+IF($L566="",0,Settings!$J$5)+IF($N566="",0,Settings!$J$6)),0))</f>
        <v>0</v>
      </c>
      <c r="Q566" s="12">
        <f t="array" ref="Q566">IF($A566="","",XLOOKUP($E566,Settings!$A$19:$A$22,Settings!$G$19:$G$22,0))</f>
        <v>196.25</v>
      </c>
      <c r="R566" s="12">
        <f t="shared" si="1"/>
        <v>0</v>
      </c>
      <c r="S566" s="12">
        <f>IF($A566="","",IF($R566&lt;=0,1,1+$R566/SUMIF($R$4:$R$923,"&gt;0",$R$4:$R$923)*(Settings!$B$5*(Settings!$B$6-Settings!$B$7))))</f>
        <v>1</v>
      </c>
      <c r="T566" s="12">
        <f t="array" ref="T566">IF($A566="","",XLOOKUP($F566,Settings!$I$15:$I$20,Settings!$J$15:$J$20,1))</f>
        <v>0.75</v>
      </c>
      <c r="U566" s="12">
        <f>IF($A566="","",1+(($G566-5)/5)*Settings!$J$8)</f>
        <v>1</v>
      </c>
      <c r="V566" s="12">
        <f>IF($A566="","",1+(($H566-5)/5)*Settings!$J$9)</f>
        <v>1.06</v>
      </c>
      <c r="W566" s="12">
        <f t="array" ref="W566">IF($A566="","",XLOOKUP($J566,Lists!$C$3:$C$7,Lists!$D$3:$D$7,1))</f>
        <v>1</v>
      </c>
      <c r="X566" s="12">
        <f>IF($A566="","",IF($I566="Yes",Settings!$J$10,1))</f>
        <v>1</v>
      </c>
      <c r="Y566" s="12">
        <f t="shared" si="2"/>
        <v>1</v>
      </c>
      <c r="Z566" s="12">
        <f>IF($A566="","",IFERROR(ROUND(AVERAGEIFS('Historical Drafts'!$G$4:$G$300,'Historical Drafts'!$D$4:$D$300,$E566,'Historical Drafts'!$J$4:$J$300,"&gt;="&amp;$L566*0.85,'Historical Drafts'!$J$4:$J$300,"&lt;="&amp;$L566*1.15),0),$Y566))</f>
        <v>1</v>
      </c>
      <c r="AA566" s="12" t="str">
        <f>IF($A566="","",IF(COUNTIF('Auction Log'!$B$3:$B$300,$A566)&gt;0,"Sold","Available"))</f>
        <v>Available</v>
      </c>
      <c r="AB566" s="12" t="str">
        <f t="array" ref="AB566">IF($A566="","",IFERROR(XLOOKUP($A566,'Auction Log'!$B$3:$B$300,'Auction Log'!$G$3:$G$300,""),""))</f>
        <v/>
      </c>
      <c r="AC566" s="12" t="str">
        <f t="array" ref="AC566">IF($A566="","",IFERROR(XLOOKUP($A566,'Auction Log'!$B$3:$B$300,'Auction Log'!$F$3:$F$300,""),""))</f>
        <v/>
      </c>
      <c r="AD566" s="12">
        <f t="array" ref="AD566">IF($A566="","",ROUND($Y566*XLOOKUP($F566,Settings!$I$15:$I$20,Settings!$K$15:$K$20,0.4),0))</f>
        <v>0</v>
      </c>
      <c r="AE566" s="12">
        <f t="array" ref="AE566">IF($A566="","",ROUND($Y566*XLOOKUP($F566,Settings!$I$15:$I$20,Settings!$L$15:$L$20,0.8),0))</f>
        <v>1</v>
      </c>
      <c r="AF566" s="12">
        <f t="array" ref="AF566">IF($A566="","",ROUND($Y566*XLOOKUP($F566,Settings!$I$15:$I$20,Settings!$M$15:$M$20,1),0))</f>
        <v>1</v>
      </c>
      <c r="AG566" s="12">
        <f t="array" ref="AG566">IF($A566="","",ROUND($Y566*XLOOKUP($F566,Settings!$I$15:$I$20,Settings!$N$15:$N$20,1.1),0))</f>
        <v>1</v>
      </c>
      <c r="AH566" s="12">
        <f t="array" ref="AH566">IF($A566="","",ROUND($Y566*XLOOKUP($F566,Settings!$I$15:$I$20,Settings!$O$15:$O$20,1.1)*Settings!$J$7,0))</f>
        <v>1</v>
      </c>
      <c r="AI566" s="12">
        <f t="array" ref="AI566">IF($A566="","",IF($AA566="Sold","",MIN($AH566,IFERROR(XLOOKUP(Settings!$B$12,Managers!$B$4:$B$15,Managers!$H$4:$H$15),$AH566))))</f>
        <v>1</v>
      </c>
      <c r="AJ566" s="12" t="str">
        <f t="shared" si="3"/>
        <v>Recommended</v>
      </c>
      <c r="AK566" s="12">
        <f t="shared" si="4"/>
        <v>26</v>
      </c>
      <c r="AL566" s="12" t="str">
        <f t="shared" si="5"/>
        <v/>
      </c>
    </row>
    <row r="567" ht="15.75" customHeight="1">
      <c r="A567" s="10" t="s">
        <v>1415</v>
      </c>
      <c r="B567" s="10" t="s">
        <v>1416</v>
      </c>
      <c r="C567" s="10" t="s">
        <v>566</v>
      </c>
      <c r="D567" s="10" t="s">
        <v>121</v>
      </c>
      <c r="E567" s="10" t="s">
        <v>121</v>
      </c>
      <c r="F567" s="10" t="s">
        <v>117</v>
      </c>
      <c r="G567" s="10">
        <v>5.0</v>
      </c>
      <c r="H567" s="10">
        <v>7.0</v>
      </c>
      <c r="I567" s="10" t="s">
        <v>2140</v>
      </c>
      <c r="J567" s="10" t="s">
        <v>2136</v>
      </c>
      <c r="K567" s="10"/>
      <c r="L567" s="10">
        <v>0.0</v>
      </c>
      <c r="M567" s="10">
        <v>0.0</v>
      </c>
      <c r="N567" s="10"/>
      <c r="O567" s="10"/>
      <c r="P567" s="12">
        <f>IF($A567="","",IFERROR((IF($O567="",0,$O567)*Settings!$J$4+IF($L567="",0,$L567)*Settings!$J$5+IF($N567="",0,$N567)*Settings!$J$6)/(IF($O567="",0,Settings!$J$4)+IF($L567="",0,Settings!$J$5)+IF($N567="",0,Settings!$J$6)),0))</f>
        <v>0</v>
      </c>
      <c r="Q567" s="12">
        <f t="array" ref="Q567">IF($A567="","",XLOOKUP($E567,Settings!$A$19:$A$22,Settings!$G$19:$G$22,0))</f>
        <v>206</v>
      </c>
      <c r="R567" s="12">
        <f t="shared" si="1"/>
        <v>0</v>
      </c>
      <c r="S567" s="12">
        <f>IF($A567="","",IF($R567&lt;=0,1,1+$R567/SUMIF($R$4:$R$923,"&gt;0",$R$4:$R$923)*(Settings!$B$5*(Settings!$B$6-Settings!$B$7))))</f>
        <v>1</v>
      </c>
      <c r="T567" s="12">
        <f t="array" ref="T567">IF($A567="","",XLOOKUP($F567,Settings!$I$15:$I$20,Settings!$J$15:$J$20,1))</f>
        <v>0.75</v>
      </c>
      <c r="U567" s="12">
        <f>IF($A567="","",1+(($G567-5)/5)*Settings!$J$8)</f>
        <v>1</v>
      </c>
      <c r="V567" s="12">
        <f>IF($A567="","",1+(($H567-5)/5)*Settings!$J$9)</f>
        <v>1.06</v>
      </c>
      <c r="W567" s="12">
        <f t="array" ref="W567">IF($A567="","",XLOOKUP($J567,Lists!$C$3:$C$7,Lists!$D$3:$D$7,1))</f>
        <v>1</v>
      </c>
      <c r="X567" s="12">
        <f>IF($A567="","",IF($I567="Yes",Settings!$J$10,1))</f>
        <v>1</v>
      </c>
      <c r="Y567" s="12">
        <f t="shared" si="2"/>
        <v>1</v>
      </c>
      <c r="Z567" s="12">
        <f>IF($A567="","",IFERROR(ROUND(AVERAGEIFS('Historical Drafts'!$G$4:$G$300,'Historical Drafts'!$D$4:$D$300,$E567,'Historical Drafts'!$J$4:$J$300,"&gt;="&amp;$L567*0.85,'Historical Drafts'!$J$4:$J$300,"&lt;="&amp;$L567*1.15),0),$Y567))</f>
        <v>3</v>
      </c>
      <c r="AA567" s="12" t="str">
        <f>IF($A567="","",IF(COUNTIF('Auction Log'!$B$3:$B$300,$A567)&gt;0,"Sold","Available"))</f>
        <v>Available</v>
      </c>
      <c r="AB567" s="12" t="str">
        <f t="array" ref="AB567">IF($A567="","",IFERROR(XLOOKUP($A567,'Auction Log'!$B$3:$B$300,'Auction Log'!$G$3:$G$300,""),""))</f>
        <v/>
      </c>
      <c r="AC567" s="12" t="str">
        <f t="array" ref="AC567">IF($A567="","",IFERROR(XLOOKUP($A567,'Auction Log'!$B$3:$B$300,'Auction Log'!$F$3:$F$300,""),""))</f>
        <v/>
      </c>
      <c r="AD567" s="12">
        <f t="array" ref="AD567">IF($A567="","",ROUND($Y567*XLOOKUP($F567,Settings!$I$15:$I$20,Settings!$K$15:$K$20,0.4),0))</f>
        <v>0</v>
      </c>
      <c r="AE567" s="12">
        <f t="array" ref="AE567">IF($A567="","",ROUND($Y567*XLOOKUP($F567,Settings!$I$15:$I$20,Settings!$L$15:$L$20,0.8),0))</f>
        <v>1</v>
      </c>
      <c r="AF567" s="12">
        <f t="array" ref="AF567">IF($A567="","",ROUND($Y567*XLOOKUP($F567,Settings!$I$15:$I$20,Settings!$M$15:$M$20,1),0))</f>
        <v>1</v>
      </c>
      <c r="AG567" s="12">
        <f t="array" ref="AG567">IF($A567="","",ROUND($Y567*XLOOKUP($F567,Settings!$I$15:$I$20,Settings!$N$15:$N$20,1.1),0))</f>
        <v>1</v>
      </c>
      <c r="AH567" s="12">
        <f t="array" ref="AH567">IF($A567="","",ROUND($Y567*XLOOKUP($F567,Settings!$I$15:$I$20,Settings!$O$15:$O$20,1.1)*Settings!$J$7,0))</f>
        <v>1</v>
      </c>
      <c r="AI567" s="12">
        <f t="array" ref="AI567">IF($A567="","",IF($AA567="Sold","",MIN($AH567,IFERROR(XLOOKUP(Settings!$B$12,Managers!$B$4:$B$15,Managers!$H$4:$H$15),$AH567))))</f>
        <v>1</v>
      </c>
      <c r="AJ567" s="12" t="str">
        <f t="shared" si="3"/>
        <v>Budget Drainer</v>
      </c>
      <c r="AK567" s="12">
        <f t="shared" si="4"/>
        <v>28</v>
      </c>
      <c r="AL567" s="12" t="str">
        <f t="shared" si="5"/>
        <v/>
      </c>
    </row>
    <row r="568" ht="15.75" customHeight="1">
      <c r="A568" s="10" t="s">
        <v>1417</v>
      </c>
      <c r="B568" s="10" t="s">
        <v>1418</v>
      </c>
      <c r="C568" s="10" t="s">
        <v>199</v>
      </c>
      <c r="D568" s="10" t="s">
        <v>121</v>
      </c>
      <c r="E568" s="10" t="s">
        <v>121</v>
      </c>
      <c r="F568" s="10" t="s">
        <v>117</v>
      </c>
      <c r="G568" s="10">
        <v>5.0</v>
      </c>
      <c r="H568" s="10">
        <v>7.0</v>
      </c>
      <c r="I568" s="10" t="s">
        <v>2140</v>
      </c>
      <c r="J568" s="10" t="s">
        <v>2136</v>
      </c>
      <c r="K568" s="10"/>
      <c r="L568" s="10">
        <v>0.0</v>
      </c>
      <c r="M568" s="10">
        <v>0.0</v>
      </c>
      <c r="N568" s="10"/>
      <c r="O568" s="10"/>
      <c r="P568" s="12">
        <f>IF($A568="","",IFERROR((IF($O568="",0,$O568)*Settings!$J$4+IF($L568="",0,$L568)*Settings!$J$5+IF($N568="",0,$N568)*Settings!$J$6)/(IF($O568="",0,Settings!$J$4)+IF($L568="",0,Settings!$J$5)+IF($N568="",0,Settings!$J$6)),0))</f>
        <v>0</v>
      </c>
      <c r="Q568" s="12">
        <f t="array" ref="Q568">IF($A568="","",XLOOKUP($E568,Settings!$A$19:$A$22,Settings!$G$19:$G$22,0))</f>
        <v>206</v>
      </c>
      <c r="R568" s="12">
        <f t="shared" si="1"/>
        <v>0</v>
      </c>
      <c r="S568" s="12">
        <f>IF($A568="","",IF($R568&lt;=0,1,1+$R568/SUMIF($R$4:$R$923,"&gt;0",$R$4:$R$923)*(Settings!$B$5*(Settings!$B$6-Settings!$B$7))))</f>
        <v>1</v>
      </c>
      <c r="T568" s="12">
        <f t="array" ref="T568">IF($A568="","",XLOOKUP($F568,Settings!$I$15:$I$20,Settings!$J$15:$J$20,1))</f>
        <v>0.75</v>
      </c>
      <c r="U568" s="12">
        <f>IF($A568="","",1+(($G568-5)/5)*Settings!$J$8)</f>
        <v>1</v>
      </c>
      <c r="V568" s="12">
        <f>IF($A568="","",1+(($H568-5)/5)*Settings!$J$9)</f>
        <v>1.06</v>
      </c>
      <c r="W568" s="12">
        <f t="array" ref="W568">IF($A568="","",XLOOKUP($J568,Lists!$C$3:$C$7,Lists!$D$3:$D$7,1))</f>
        <v>1</v>
      </c>
      <c r="X568" s="12">
        <f>IF($A568="","",IF($I568="Yes",Settings!$J$10,1))</f>
        <v>1</v>
      </c>
      <c r="Y568" s="12">
        <f t="shared" si="2"/>
        <v>1</v>
      </c>
      <c r="Z568" s="12">
        <f>IF($A568="","",IFERROR(ROUND(AVERAGEIFS('Historical Drafts'!$G$4:$G$300,'Historical Drafts'!$D$4:$D$300,$E568,'Historical Drafts'!$J$4:$J$300,"&gt;="&amp;$L568*0.85,'Historical Drafts'!$J$4:$J$300,"&lt;="&amp;$L568*1.15),0),$Y568))</f>
        <v>3</v>
      </c>
      <c r="AA568" s="12" t="str">
        <f>IF($A568="","",IF(COUNTIF('Auction Log'!$B$3:$B$300,$A568)&gt;0,"Sold","Available"))</f>
        <v>Available</v>
      </c>
      <c r="AB568" s="12" t="str">
        <f t="array" ref="AB568">IF($A568="","",IFERROR(XLOOKUP($A568,'Auction Log'!$B$3:$B$300,'Auction Log'!$G$3:$G$300,""),""))</f>
        <v/>
      </c>
      <c r="AC568" s="12" t="str">
        <f t="array" ref="AC568">IF($A568="","",IFERROR(XLOOKUP($A568,'Auction Log'!$B$3:$B$300,'Auction Log'!$F$3:$F$300,""),""))</f>
        <v/>
      </c>
      <c r="AD568" s="12">
        <f t="array" ref="AD568">IF($A568="","",ROUND($Y568*XLOOKUP($F568,Settings!$I$15:$I$20,Settings!$K$15:$K$20,0.4),0))</f>
        <v>0</v>
      </c>
      <c r="AE568" s="12">
        <f t="array" ref="AE568">IF($A568="","",ROUND($Y568*XLOOKUP($F568,Settings!$I$15:$I$20,Settings!$L$15:$L$20,0.8),0))</f>
        <v>1</v>
      </c>
      <c r="AF568" s="12">
        <f t="array" ref="AF568">IF($A568="","",ROUND($Y568*XLOOKUP($F568,Settings!$I$15:$I$20,Settings!$M$15:$M$20,1),0))</f>
        <v>1</v>
      </c>
      <c r="AG568" s="12">
        <f t="array" ref="AG568">IF($A568="","",ROUND($Y568*XLOOKUP($F568,Settings!$I$15:$I$20,Settings!$N$15:$N$20,1.1),0))</f>
        <v>1</v>
      </c>
      <c r="AH568" s="12">
        <f t="array" ref="AH568">IF($A568="","",ROUND($Y568*XLOOKUP($F568,Settings!$I$15:$I$20,Settings!$O$15:$O$20,1.1)*Settings!$J$7,0))</f>
        <v>1</v>
      </c>
      <c r="AI568" s="12">
        <f t="array" ref="AI568">IF($A568="","",IF($AA568="Sold","",MIN($AH568,IFERROR(XLOOKUP(Settings!$B$12,Managers!$B$4:$B$15,Managers!$H$4:$H$15),$AH568))))</f>
        <v>1</v>
      </c>
      <c r="AJ568" s="12" t="str">
        <f t="shared" si="3"/>
        <v>Budget Drainer</v>
      </c>
      <c r="AK568" s="12">
        <f t="shared" si="4"/>
        <v>28</v>
      </c>
      <c r="AL568" s="12" t="str">
        <f t="shared" si="5"/>
        <v/>
      </c>
    </row>
    <row r="569" ht="15.75" customHeight="1">
      <c r="A569" s="10" t="s">
        <v>1419</v>
      </c>
      <c r="B569" s="10" t="s">
        <v>1420</v>
      </c>
      <c r="C569" s="10" t="s">
        <v>387</v>
      </c>
      <c r="D569" s="10" t="s">
        <v>118</v>
      </c>
      <c r="E569" s="10" t="s">
        <v>118</v>
      </c>
      <c r="F569" s="10" t="s">
        <v>117</v>
      </c>
      <c r="G569" s="10">
        <v>5.0</v>
      </c>
      <c r="H569" s="10">
        <v>7.0</v>
      </c>
      <c r="I569" s="10" t="s">
        <v>2140</v>
      </c>
      <c r="J569" s="10" t="s">
        <v>2136</v>
      </c>
      <c r="K569" s="10"/>
      <c r="L569" s="10">
        <v>0.0</v>
      </c>
      <c r="M569" s="10">
        <v>0.0</v>
      </c>
      <c r="N569" s="10"/>
      <c r="O569" s="10"/>
      <c r="P569" s="12">
        <f>IF($A569="","",IFERROR((IF($O569="",0,$O569)*Settings!$J$4+IF($L569="",0,$L569)*Settings!$J$5+IF($N569="",0,$N569)*Settings!$J$6)/(IF($O569="",0,Settings!$J$4)+IF($L569="",0,Settings!$J$5)+IF($N569="",0,Settings!$J$6)),0))</f>
        <v>0</v>
      </c>
      <c r="Q569" s="12">
        <f t="array" ref="Q569">IF($A569="","",XLOOKUP($E569,Settings!$A$19:$A$22,Settings!$G$19:$G$22,0))</f>
        <v>196.25</v>
      </c>
      <c r="R569" s="12">
        <f t="shared" si="1"/>
        <v>0</v>
      </c>
      <c r="S569" s="12">
        <f>IF($A569="","",IF($R569&lt;=0,1,1+$R569/SUMIF($R$4:$R$923,"&gt;0",$R$4:$R$923)*(Settings!$B$5*(Settings!$B$6-Settings!$B$7))))</f>
        <v>1</v>
      </c>
      <c r="T569" s="12">
        <f t="array" ref="T569">IF($A569="","",XLOOKUP($F569,Settings!$I$15:$I$20,Settings!$J$15:$J$20,1))</f>
        <v>0.75</v>
      </c>
      <c r="U569" s="12">
        <f>IF($A569="","",1+(($G569-5)/5)*Settings!$J$8)</f>
        <v>1</v>
      </c>
      <c r="V569" s="12">
        <f>IF($A569="","",1+(($H569-5)/5)*Settings!$J$9)</f>
        <v>1.06</v>
      </c>
      <c r="W569" s="12">
        <f t="array" ref="W569">IF($A569="","",XLOOKUP($J569,Lists!$C$3:$C$7,Lists!$D$3:$D$7,1))</f>
        <v>1</v>
      </c>
      <c r="X569" s="12">
        <f>IF($A569="","",IF($I569="Yes",Settings!$J$10,1))</f>
        <v>1</v>
      </c>
      <c r="Y569" s="12">
        <f t="shared" si="2"/>
        <v>1</v>
      </c>
      <c r="Z569" s="12">
        <f>IF($A569="","",IFERROR(ROUND(AVERAGEIFS('Historical Drafts'!$G$4:$G$300,'Historical Drafts'!$D$4:$D$300,$E569,'Historical Drafts'!$J$4:$J$300,"&gt;="&amp;$L569*0.85,'Historical Drafts'!$J$4:$J$300,"&lt;="&amp;$L569*1.15),0),$Y569))</f>
        <v>1</v>
      </c>
      <c r="AA569" s="12" t="str">
        <f>IF($A569="","",IF(COUNTIF('Auction Log'!$B$3:$B$300,$A569)&gt;0,"Sold","Available"))</f>
        <v>Available</v>
      </c>
      <c r="AB569" s="12" t="str">
        <f t="array" ref="AB569">IF($A569="","",IFERROR(XLOOKUP($A569,'Auction Log'!$B$3:$B$300,'Auction Log'!$G$3:$G$300,""),""))</f>
        <v/>
      </c>
      <c r="AC569" s="12" t="str">
        <f t="array" ref="AC569">IF($A569="","",IFERROR(XLOOKUP($A569,'Auction Log'!$B$3:$B$300,'Auction Log'!$F$3:$F$300,""),""))</f>
        <v/>
      </c>
      <c r="AD569" s="12">
        <f t="array" ref="AD569">IF($A569="","",ROUND($Y569*XLOOKUP($F569,Settings!$I$15:$I$20,Settings!$K$15:$K$20,0.4),0))</f>
        <v>0</v>
      </c>
      <c r="AE569" s="12">
        <f t="array" ref="AE569">IF($A569="","",ROUND($Y569*XLOOKUP($F569,Settings!$I$15:$I$20,Settings!$L$15:$L$20,0.8),0))</f>
        <v>1</v>
      </c>
      <c r="AF569" s="12">
        <f t="array" ref="AF569">IF($A569="","",ROUND($Y569*XLOOKUP($F569,Settings!$I$15:$I$20,Settings!$M$15:$M$20,1),0))</f>
        <v>1</v>
      </c>
      <c r="AG569" s="12">
        <f t="array" ref="AG569">IF($A569="","",ROUND($Y569*XLOOKUP($F569,Settings!$I$15:$I$20,Settings!$N$15:$N$20,1.1),0))</f>
        <v>1</v>
      </c>
      <c r="AH569" s="12">
        <f t="array" ref="AH569">IF($A569="","",ROUND($Y569*XLOOKUP($F569,Settings!$I$15:$I$20,Settings!$O$15:$O$20,1.1)*Settings!$J$7,0))</f>
        <v>1</v>
      </c>
      <c r="AI569" s="12">
        <f t="array" ref="AI569">IF($A569="","",IF($AA569="Sold","",MIN($AH569,IFERROR(XLOOKUP(Settings!$B$12,Managers!$B$4:$B$15,Managers!$H$4:$H$15),$AH569))))</f>
        <v>1</v>
      </c>
      <c r="AJ569" s="12" t="str">
        <f t="shared" si="3"/>
        <v>Recommended</v>
      </c>
      <c r="AK569" s="12">
        <f t="shared" si="4"/>
        <v>26</v>
      </c>
      <c r="AL569" s="12" t="str">
        <f t="shared" si="5"/>
        <v/>
      </c>
    </row>
    <row r="570" ht="15.75" customHeight="1">
      <c r="A570" s="10" t="s">
        <v>1421</v>
      </c>
      <c r="B570" s="10" t="s">
        <v>1422</v>
      </c>
      <c r="C570" s="10" t="s">
        <v>453</v>
      </c>
      <c r="D570" s="10" t="s">
        <v>115</v>
      </c>
      <c r="E570" s="10" t="s">
        <v>115</v>
      </c>
      <c r="F570" s="10" t="s">
        <v>117</v>
      </c>
      <c r="G570" s="10">
        <v>5.0</v>
      </c>
      <c r="H570" s="10">
        <v>7.0</v>
      </c>
      <c r="I570" s="10" t="s">
        <v>2140</v>
      </c>
      <c r="J570" s="10" t="s">
        <v>2136</v>
      </c>
      <c r="K570" s="10"/>
      <c r="L570" s="10">
        <v>0.0</v>
      </c>
      <c r="M570" s="10">
        <v>0.0</v>
      </c>
      <c r="N570" s="10"/>
      <c r="O570" s="10"/>
      <c r="P570" s="12">
        <f>IF($A570="","",IFERROR((IF($O570="",0,$O570)*Settings!$J$4+IF($L570="",0,$L570)*Settings!$J$5+IF($N570="",0,$N570)*Settings!$J$6)/(IF($O570="",0,Settings!$J$4)+IF($L570="",0,Settings!$J$5)+IF($N570="",0,Settings!$J$6)),0))</f>
        <v>0</v>
      </c>
      <c r="Q570" s="12">
        <f t="array" ref="Q570">IF($A570="","",XLOOKUP($E570,Settings!$A$19:$A$22,Settings!$G$19:$G$22,0))</f>
        <v>249.25</v>
      </c>
      <c r="R570" s="12">
        <f t="shared" si="1"/>
        <v>0</v>
      </c>
      <c r="S570" s="12">
        <f>IF($A570="","",IF($R570&lt;=0,1,1+$R570/SUMIF($R$4:$R$923,"&gt;0",$R$4:$R$923)*(Settings!$B$5*(Settings!$B$6-Settings!$B$7))))</f>
        <v>1</v>
      </c>
      <c r="T570" s="12">
        <f t="array" ref="T570">IF($A570="","",XLOOKUP($F570,Settings!$I$15:$I$20,Settings!$J$15:$J$20,1))</f>
        <v>0.75</v>
      </c>
      <c r="U570" s="12">
        <f>IF($A570="","",1+(($G570-5)/5)*Settings!$J$8)</f>
        <v>1</v>
      </c>
      <c r="V570" s="12">
        <f>IF($A570="","",1+(($H570-5)/5)*Settings!$J$9)</f>
        <v>1.06</v>
      </c>
      <c r="W570" s="12">
        <f t="array" ref="W570">IF($A570="","",XLOOKUP($J570,Lists!$C$3:$C$7,Lists!$D$3:$D$7,1))</f>
        <v>1</v>
      </c>
      <c r="X570" s="12">
        <f>IF($A570="","",IF($I570="Yes",Settings!$J$10,1))</f>
        <v>1</v>
      </c>
      <c r="Y570" s="12">
        <f t="shared" si="2"/>
        <v>1</v>
      </c>
      <c r="Z570" s="12">
        <f>IF($A570="","",IFERROR(ROUND(AVERAGEIFS('Historical Drafts'!$G$4:$G$300,'Historical Drafts'!$D$4:$D$300,$E570,'Historical Drafts'!$J$4:$J$300,"&gt;="&amp;$L570*0.85,'Historical Drafts'!$J$4:$J$300,"&lt;="&amp;$L570*1.15),0),$Y570))</f>
        <v>1</v>
      </c>
      <c r="AA570" s="12" t="str">
        <f>IF($A570="","",IF(COUNTIF('Auction Log'!$B$3:$B$300,$A570)&gt;0,"Sold","Available"))</f>
        <v>Available</v>
      </c>
      <c r="AB570" s="12" t="str">
        <f t="array" ref="AB570">IF($A570="","",IFERROR(XLOOKUP($A570,'Auction Log'!$B$3:$B$300,'Auction Log'!$G$3:$G$300,""),""))</f>
        <v/>
      </c>
      <c r="AC570" s="12" t="str">
        <f t="array" ref="AC570">IF($A570="","",IFERROR(XLOOKUP($A570,'Auction Log'!$B$3:$B$300,'Auction Log'!$F$3:$F$300,""),""))</f>
        <v/>
      </c>
      <c r="AD570" s="12">
        <f t="array" ref="AD570">IF($A570="","",ROUND($Y570*XLOOKUP($F570,Settings!$I$15:$I$20,Settings!$K$15:$K$20,0.4),0))</f>
        <v>0</v>
      </c>
      <c r="AE570" s="12">
        <f t="array" ref="AE570">IF($A570="","",ROUND($Y570*XLOOKUP($F570,Settings!$I$15:$I$20,Settings!$L$15:$L$20,0.8),0))</f>
        <v>1</v>
      </c>
      <c r="AF570" s="12">
        <f t="array" ref="AF570">IF($A570="","",ROUND($Y570*XLOOKUP($F570,Settings!$I$15:$I$20,Settings!$M$15:$M$20,1),0))</f>
        <v>1</v>
      </c>
      <c r="AG570" s="12">
        <f t="array" ref="AG570">IF($A570="","",ROUND($Y570*XLOOKUP($F570,Settings!$I$15:$I$20,Settings!$N$15:$N$20,1.1),0))</f>
        <v>1</v>
      </c>
      <c r="AH570" s="12">
        <f t="array" ref="AH570">IF($A570="","",ROUND($Y570*XLOOKUP($F570,Settings!$I$15:$I$20,Settings!$O$15:$O$20,1.1)*Settings!$J$7,0))</f>
        <v>1</v>
      </c>
      <c r="AI570" s="12">
        <f t="array" ref="AI570">IF($A570="","",IF($AA570="Sold","",MIN($AH570,IFERROR(XLOOKUP(Settings!$B$12,Managers!$B$4:$B$15,Managers!$H$4:$H$15),$AH570))))</f>
        <v>1</v>
      </c>
      <c r="AJ570" s="12" t="str">
        <f t="shared" si="3"/>
        <v>Recommended</v>
      </c>
      <c r="AK570" s="12">
        <f t="shared" si="4"/>
        <v>26</v>
      </c>
      <c r="AL570" s="12" t="str">
        <f t="shared" si="5"/>
        <v/>
      </c>
    </row>
    <row r="571" ht="15.75" customHeight="1">
      <c r="A571" s="10" t="s">
        <v>1423</v>
      </c>
      <c r="B571" s="10" t="s">
        <v>1424</v>
      </c>
      <c r="C571" s="10" t="s">
        <v>257</v>
      </c>
      <c r="D571" s="10" t="s">
        <v>118</v>
      </c>
      <c r="E571" s="10" t="s">
        <v>118</v>
      </c>
      <c r="F571" s="10" t="s">
        <v>117</v>
      </c>
      <c r="G571" s="10">
        <v>5.0</v>
      </c>
      <c r="H571" s="10">
        <v>7.0</v>
      </c>
      <c r="I571" s="10" t="s">
        <v>2140</v>
      </c>
      <c r="J571" s="10" t="s">
        <v>2136</v>
      </c>
      <c r="K571" s="10"/>
      <c r="L571" s="10">
        <v>0.0</v>
      </c>
      <c r="M571" s="10">
        <v>0.0</v>
      </c>
      <c r="N571" s="10"/>
      <c r="O571" s="10"/>
      <c r="P571" s="12">
        <f>IF($A571="","",IFERROR((IF($O571="",0,$O571)*Settings!$J$4+IF($L571="",0,$L571)*Settings!$J$5+IF($N571="",0,$N571)*Settings!$J$6)/(IF($O571="",0,Settings!$J$4)+IF($L571="",0,Settings!$J$5)+IF($N571="",0,Settings!$J$6)),0))</f>
        <v>0</v>
      </c>
      <c r="Q571" s="12">
        <f t="array" ref="Q571">IF($A571="","",XLOOKUP($E571,Settings!$A$19:$A$22,Settings!$G$19:$G$22,0))</f>
        <v>196.25</v>
      </c>
      <c r="R571" s="12">
        <f t="shared" si="1"/>
        <v>0</v>
      </c>
      <c r="S571" s="12">
        <f>IF($A571="","",IF($R571&lt;=0,1,1+$R571/SUMIF($R$4:$R$923,"&gt;0",$R$4:$R$923)*(Settings!$B$5*(Settings!$B$6-Settings!$B$7))))</f>
        <v>1</v>
      </c>
      <c r="T571" s="12">
        <f t="array" ref="T571">IF($A571="","",XLOOKUP($F571,Settings!$I$15:$I$20,Settings!$J$15:$J$20,1))</f>
        <v>0.75</v>
      </c>
      <c r="U571" s="12">
        <f>IF($A571="","",1+(($G571-5)/5)*Settings!$J$8)</f>
        <v>1</v>
      </c>
      <c r="V571" s="12">
        <f>IF($A571="","",1+(($H571-5)/5)*Settings!$J$9)</f>
        <v>1.06</v>
      </c>
      <c r="W571" s="12">
        <f t="array" ref="W571">IF($A571="","",XLOOKUP($J571,Lists!$C$3:$C$7,Lists!$D$3:$D$7,1))</f>
        <v>1</v>
      </c>
      <c r="X571" s="12">
        <f>IF($A571="","",IF($I571="Yes",Settings!$J$10,1))</f>
        <v>1</v>
      </c>
      <c r="Y571" s="12">
        <f t="shared" si="2"/>
        <v>1</v>
      </c>
      <c r="Z571" s="12">
        <f>IF($A571="","",IFERROR(ROUND(AVERAGEIFS('Historical Drafts'!$G$4:$G$300,'Historical Drafts'!$D$4:$D$300,$E571,'Historical Drafts'!$J$4:$J$300,"&gt;="&amp;$L571*0.85,'Historical Drafts'!$J$4:$J$300,"&lt;="&amp;$L571*1.15),0),$Y571))</f>
        <v>1</v>
      </c>
      <c r="AA571" s="12" t="str">
        <f>IF($A571="","",IF(COUNTIF('Auction Log'!$B$3:$B$300,$A571)&gt;0,"Sold","Available"))</f>
        <v>Available</v>
      </c>
      <c r="AB571" s="12" t="str">
        <f t="array" ref="AB571">IF($A571="","",IFERROR(XLOOKUP($A571,'Auction Log'!$B$3:$B$300,'Auction Log'!$G$3:$G$300,""),""))</f>
        <v/>
      </c>
      <c r="AC571" s="12" t="str">
        <f t="array" ref="AC571">IF($A571="","",IFERROR(XLOOKUP($A571,'Auction Log'!$B$3:$B$300,'Auction Log'!$F$3:$F$300,""),""))</f>
        <v/>
      </c>
      <c r="AD571" s="12">
        <f t="array" ref="AD571">IF($A571="","",ROUND($Y571*XLOOKUP($F571,Settings!$I$15:$I$20,Settings!$K$15:$K$20,0.4),0))</f>
        <v>0</v>
      </c>
      <c r="AE571" s="12">
        <f t="array" ref="AE571">IF($A571="","",ROUND($Y571*XLOOKUP($F571,Settings!$I$15:$I$20,Settings!$L$15:$L$20,0.8),0))</f>
        <v>1</v>
      </c>
      <c r="AF571" s="12">
        <f t="array" ref="AF571">IF($A571="","",ROUND($Y571*XLOOKUP($F571,Settings!$I$15:$I$20,Settings!$M$15:$M$20,1),0))</f>
        <v>1</v>
      </c>
      <c r="AG571" s="12">
        <f t="array" ref="AG571">IF($A571="","",ROUND($Y571*XLOOKUP($F571,Settings!$I$15:$I$20,Settings!$N$15:$N$20,1.1),0))</f>
        <v>1</v>
      </c>
      <c r="AH571" s="12">
        <f t="array" ref="AH571">IF($A571="","",ROUND($Y571*XLOOKUP($F571,Settings!$I$15:$I$20,Settings!$O$15:$O$20,1.1)*Settings!$J$7,0))</f>
        <v>1</v>
      </c>
      <c r="AI571" s="12">
        <f t="array" ref="AI571">IF($A571="","",IF($AA571="Sold","",MIN($AH571,IFERROR(XLOOKUP(Settings!$B$12,Managers!$B$4:$B$15,Managers!$H$4:$H$15),$AH571))))</f>
        <v>1</v>
      </c>
      <c r="AJ571" s="12" t="str">
        <f t="shared" si="3"/>
        <v>Recommended</v>
      </c>
      <c r="AK571" s="12">
        <f t="shared" si="4"/>
        <v>26</v>
      </c>
      <c r="AL571" s="12" t="str">
        <f t="shared" si="5"/>
        <v/>
      </c>
    </row>
    <row r="572" ht="15.75" customHeight="1">
      <c r="A572" s="10" t="s">
        <v>1425</v>
      </c>
      <c r="B572" s="10" t="s">
        <v>1426</v>
      </c>
      <c r="C572" s="10" t="s">
        <v>566</v>
      </c>
      <c r="D572" s="10" t="s">
        <v>118</v>
      </c>
      <c r="E572" s="10" t="s">
        <v>118</v>
      </c>
      <c r="F572" s="10" t="s">
        <v>117</v>
      </c>
      <c r="G572" s="10">
        <v>5.0</v>
      </c>
      <c r="H572" s="10">
        <v>7.0</v>
      </c>
      <c r="I572" s="10" t="s">
        <v>2140</v>
      </c>
      <c r="J572" s="10" t="s">
        <v>2136</v>
      </c>
      <c r="K572" s="10"/>
      <c r="L572" s="10">
        <v>0.0</v>
      </c>
      <c r="M572" s="10">
        <v>0.0</v>
      </c>
      <c r="N572" s="10"/>
      <c r="O572" s="10"/>
      <c r="P572" s="12">
        <f>IF($A572="","",IFERROR((IF($O572="",0,$O572)*Settings!$J$4+IF($L572="",0,$L572)*Settings!$J$5+IF($N572="",0,$N572)*Settings!$J$6)/(IF($O572="",0,Settings!$J$4)+IF($L572="",0,Settings!$J$5)+IF($N572="",0,Settings!$J$6)),0))</f>
        <v>0</v>
      </c>
      <c r="Q572" s="12">
        <f t="array" ref="Q572">IF($A572="","",XLOOKUP($E572,Settings!$A$19:$A$22,Settings!$G$19:$G$22,0))</f>
        <v>196.25</v>
      </c>
      <c r="R572" s="12">
        <f t="shared" si="1"/>
        <v>0</v>
      </c>
      <c r="S572" s="12">
        <f>IF($A572="","",IF($R572&lt;=0,1,1+$R572/SUMIF($R$4:$R$923,"&gt;0",$R$4:$R$923)*(Settings!$B$5*(Settings!$B$6-Settings!$B$7))))</f>
        <v>1</v>
      </c>
      <c r="T572" s="12">
        <f t="array" ref="T572">IF($A572="","",XLOOKUP($F572,Settings!$I$15:$I$20,Settings!$J$15:$J$20,1))</f>
        <v>0.75</v>
      </c>
      <c r="U572" s="12">
        <f>IF($A572="","",1+(($G572-5)/5)*Settings!$J$8)</f>
        <v>1</v>
      </c>
      <c r="V572" s="12">
        <f>IF($A572="","",1+(($H572-5)/5)*Settings!$J$9)</f>
        <v>1.06</v>
      </c>
      <c r="W572" s="12">
        <f t="array" ref="W572">IF($A572="","",XLOOKUP($J572,Lists!$C$3:$C$7,Lists!$D$3:$D$7,1))</f>
        <v>1</v>
      </c>
      <c r="X572" s="12">
        <f>IF($A572="","",IF($I572="Yes",Settings!$J$10,1))</f>
        <v>1</v>
      </c>
      <c r="Y572" s="12">
        <f t="shared" si="2"/>
        <v>1</v>
      </c>
      <c r="Z572" s="12">
        <f>IF($A572="","",IFERROR(ROUND(AVERAGEIFS('Historical Drafts'!$G$4:$G$300,'Historical Drafts'!$D$4:$D$300,$E572,'Historical Drafts'!$J$4:$J$300,"&gt;="&amp;$L572*0.85,'Historical Drafts'!$J$4:$J$300,"&lt;="&amp;$L572*1.15),0),$Y572))</f>
        <v>1</v>
      </c>
      <c r="AA572" s="12" t="str">
        <f>IF($A572="","",IF(COUNTIF('Auction Log'!$B$3:$B$300,$A572)&gt;0,"Sold","Available"))</f>
        <v>Available</v>
      </c>
      <c r="AB572" s="12" t="str">
        <f t="array" ref="AB572">IF($A572="","",IFERROR(XLOOKUP($A572,'Auction Log'!$B$3:$B$300,'Auction Log'!$G$3:$G$300,""),""))</f>
        <v/>
      </c>
      <c r="AC572" s="12" t="str">
        <f t="array" ref="AC572">IF($A572="","",IFERROR(XLOOKUP($A572,'Auction Log'!$B$3:$B$300,'Auction Log'!$F$3:$F$300,""),""))</f>
        <v/>
      </c>
      <c r="AD572" s="12">
        <f t="array" ref="AD572">IF($A572="","",ROUND($Y572*XLOOKUP($F572,Settings!$I$15:$I$20,Settings!$K$15:$K$20,0.4),0))</f>
        <v>0</v>
      </c>
      <c r="AE572" s="12">
        <f t="array" ref="AE572">IF($A572="","",ROUND($Y572*XLOOKUP($F572,Settings!$I$15:$I$20,Settings!$L$15:$L$20,0.8),0))</f>
        <v>1</v>
      </c>
      <c r="AF572" s="12">
        <f t="array" ref="AF572">IF($A572="","",ROUND($Y572*XLOOKUP($F572,Settings!$I$15:$I$20,Settings!$M$15:$M$20,1),0))</f>
        <v>1</v>
      </c>
      <c r="AG572" s="12">
        <f t="array" ref="AG572">IF($A572="","",ROUND($Y572*XLOOKUP($F572,Settings!$I$15:$I$20,Settings!$N$15:$N$20,1.1),0))</f>
        <v>1</v>
      </c>
      <c r="AH572" s="12">
        <f t="array" ref="AH572">IF($A572="","",ROUND($Y572*XLOOKUP($F572,Settings!$I$15:$I$20,Settings!$O$15:$O$20,1.1)*Settings!$J$7,0))</f>
        <v>1</v>
      </c>
      <c r="AI572" s="12">
        <f t="array" ref="AI572">IF($A572="","",IF($AA572="Sold","",MIN($AH572,IFERROR(XLOOKUP(Settings!$B$12,Managers!$B$4:$B$15,Managers!$H$4:$H$15),$AH572))))</f>
        <v>1</v>
      </c>
      <c r="AJ572" s="12" t="str">
        <f t="shared" si="3"/>
        <v>Recommended</v>
      </c>
      <c r="AK572" s="12">
        <f t="shared" si="4"/>
        <v>26</v>
      </c>
      <c r="AL572" s="12" t="str">
        <f t="shared" si="5"/>
        <v/>
      </c>
    </row>
    <row r="573" ht="15.75" customHeight="1">
      <c r="A573" s="10" t="s">
        <v>1427</v>
      </c>
      <c r="B573" s="10" t="s">
        <v>1428</v>
      </c>
      <c r="C573" s="10" t="s">
        <v>199</v>
      </c>
      <c r="D573" s="10" t="s">
        <v>118</v>
      </c>
      <c r="E573" s="10" t="s">
        <v>118</v>
      </c>
      <c r="F573" s="10" t="s">
        <v>117</v>
      </c>
      <c r="G573" s="10">
        <v>5.0</v>
      </c>
      <c r="H573" s="10">
        <v>7.0</v>
      </c>
      <c r="I573" s="10" t="s">
        <v>2140</v>
      </c>
      <c r="J573" s="10" t="s">
        <v>2136</v>
      </c>
      <c r="K573" s="10"/>
      <c r="L573" s="10">
        <v>0.0</v>
      </c>
      <c r="M573" s="10">
        <v>0.0</v>
      </c>
      <c r="N573" s="10"/>
      <c r="O573" s="10"/>
      <c r="P573" s="12">
        <f>IF($A573="","",IFERROR((IF($O573="",0,$O573)*Settings!$J$4+IF($L573="",0,$L573)*Settings!$J$5+IF($N573="",0,$N573)*Settings!$J$6)/(IF($O573="",0,Settings!$J$4)+IF($L573="",0,Settings!$J$5)+IF($N573="",0,Settings!$J$6)),0))</f>
        <v>0</v>
      </c>
      <c r="Q573" s="12">
        <f t="array" ref="Q573">IF($A573="","",XLOOKUP($E573,Settings!$A$19:$A$22,Settings!$G$19:$G$22,0))</f>
        <v>196.25</v>
      </c>
      <c r="R573" s="12">
        <f t="shared" si="1"/>
        <v>0</v>
      </c>
      <c r="S573" s="12">
        <f>IF($A573="","",IF($R573&lt;=0,1,1+$R573/SUMIF($R$4:$R$923,"&gt;0",$R$4:$R$923)*(Settings!$B$5*(Settings!$B$6-Settings!$B$7))))</f>
        <v>1</v>
      </c>
      <c r="T573" s="12">
        <f t="array" ref="T573">IF($A573="","",XLOOKUP($F573,Settings!$I$15:$I$20,Settings!$J$15:$J$20,1))</f>
        <v>0.75</v>
      </c>
      <c r="U573" s="12">
        <f>IF($A573="","",1+(($G573-5)/5)*Settings!$J$8)</f>
        <v>1</v>
      </c>
      <c r="V573" s="12">
        <f>IF($A573="","",1+(($H573-5)/5)*Settings!$J$9)</f>
        <v>1.06</v>
      </c>
      <c r="W573" s="12">
        <f t="array" ref="W573">IF($A573="","",XLOOKUP($J573,Lists!$C$3:$C$7,Lists!$D$3:$D$7,1))</f>
        <v>1</v>
      </c>
      <c r="X573" s="12">
        <f>IF($A573="","",IF($I573="Yes",Settings!$J$10,1))</f>
        <v>1</v>
      </c>
      <c r="Y573" s="12">
        <f t="shared" si="2"/>
        <v>1</v>
      </c>
      <c r="Z573" s="12">
        <f>IF($A573="","",IFERROR(ROUND(AVERAGEIFS('Historical Drafts'!$G$4:$G$300,'Historical Drafts'!$D$4:$D$300,$E573,'Historical Drafts'!$J$4:$J$300,"&gt;="&amp;$L573*0.85,'Historical Drafts'!$J$4:$J$300,"&lt;="&amp;$L573*1.15),0),$Y573))</f>
        <v>1</v>
      </c>
      <c r="AA573" s="12" t="str">
        <f>IF($A573="","",IF(COUNTIF('Auction Log'!$B$3:$B$300,$A573)&gt;0,"Sold","Available"))</f>
        <v>Available</v>
      </c>
      <c r="AB573" s="12" t="str">
        <f t="array" ref="AB573">IF($A573="","",IFERROR(XLOOKUP($A573,'Auction Log'!$B$3:$B$300,'Auction Log'!$G$3:$G$300,""),""))</f>
        <v/>
      </c>
      <c r="AC573" s="12" t="str">
        <f t="array" ref="AC573">IF($A573="","",IFERROR(XLOOKUP($A573,'Auction Log'!$B$3:$B$300,'Auction Log'!$F$3:$F$300,""),""))</f>
        <v/>
      </c>
      <c r="AD573" s="12">
        <f t="array" ref="AD573">IF($A573="","",ROUND($Y573*XLOOKUP($F573,Settings!$I$15:$I$20,Settings!$K$15:$K$20,0.4),0))</f>
        <v>0</v>
      </c>
      <c r="AE573" s="12">
        <f t="array" ref="AE573">IF($A573="","",ROUND($Y573*XLOOKUP($F573,Settings!$I$15:$I$20,Settings!$L$15:$L$20,0.8),0))</f>
        <v>1</v>
      </c>
      <c r="AF573" s="12">
        <f t="array" ref="AF573">IF($A573="","",ROUND($Y573*XLOOKUP($F573,Settings!$I$15:$I$20,Settings!$M$15:$M$20,1),0))</f>
        <v>1</v>
      </c>
      <c r="AG573" s="12">
        <f t="array" ref="AG573">IF($A573="","",ROUND($Y573*XLOOKUP($F573,Settings!$I$15:$I$20,Settings!$N$15:$N$20,1.1),0))</f>
        <v>1</v>
      </c>
      <c r="AH573" s="12">
        <f t="array" ref="AH573">IF($A573="","",ROUND($Y573*XLOOKUP($F573,Settings!$I$15:$I$20,Settings!$O$15:$O$20,1.1)*Settings!$J$7,0))</f>
        <v>1</v>
      </c>
      <c r="AI573" s="12">
        <f t="array" ref="AI573">IF($A573="","",IF($AA573="Sold","",MIN($AH573,IFERROR(XLOOKUP(Settings!$B$12,Managers!$B$4:$B$15,Managers!$H$4:$H$15),$AH573))))</f>
        <v>1</v>
      </c>
      <c r="AJ573" s="12" t="str">
        <f t="shared" si="3"/>
        <v>Recommended</v>
      </c>
      <c r="AK573" s="12">
        <f t="shared" si="4"/>
        <v>26</v>
      </c>
      <c r="AL573" s="12" t="str">
        <f t="shared" si="5"/>
        <v/>
      </c>
    </row>
    <row r="574" ht="15.75" customHeight="1">
      <c r="A574" s="10" t="s">
        <v>1429</v>
      </c>
      <c r="B574" s="10" t="s">
        <v>1430</v>
      </c>
      <c r="C574" s="10" t="s">
        <v>221</v>
      </c>
      <c r="D574" s="10" t="s">
        <v>123</v>
      </c>
      <c r="E574" s="10" t="s">
        <v>123</v>
      </c>
      <c r="F574" s="10" t="s">
        <v>117</v>
      </c>
      <c r="G574" s="10">
        <v>5.0</v>
      </c>
      <c r="H574" s="10">
        <v>7.0</v>
      </c>
      <c r="I574" s="10" t="s">
        <v>2140</v>
      </c>
      <c r="J574" s="10" t="s">
        <v>2136</v>
      </c>
      <c r="K574" s="10"/>
      <c r="L574" s="10">
        <v>0.0</v>
      </c>
      <c r="M574" s="10">
        <v>0.0</v>
      </c>
      <c r="N574" s="10"/>
      <c r="O574" s="10"/>
      <c r="P574" s="12">
        <f>IF($A574="","",IFERROR((IF($O574="",0,$O574)*Settings!$J$4+IF($L574="",0,$L574)*Settings!$J$5+IF($N574="",0,$N574)*Settings!$J$6)/(IF($O574="",0,Settings!$J$4)+IF($L574="",0,Settings!$J$5)+IF($N574="",0,Settings!$J$6)),0))</f>
        <v>0</v>
      </c>
      <c r="Q574" s="12">
        <f t="array" ref="Q574">IF($A574="","",XLOOKUP($E574,Settings!$A$19:$A$22,Settings!$G$19:$G$22,0))</f>
        <v>203</v>
      </c>
      <c r="R574" s="12">
        <f t="shared" si="1"/>
        <v>0</v>
      </c>
      <c r="S574" s="12">
        <f>IF($A574="","",IF($R574&lt;=0,1,1+$R574/SUMIF($R$4:$R$923,"&gt;0",$R$4:$R$923)*(Settings!$B$5*(Settings!$B$6-Settings!$B$7))))</f>
        <v>1</v>
      </c>
      <c r="T574" s="12">
        <f t="array" ref="T574">IF($A574="","",XLOOKUP($F574,Settings!$I$15:$I$20,Settings!$J$15:$J$20,1))</f>
        <v>0.75</v>
      </c>
      <c r="U574" s="12">
        <f>IF($A574="","",1+(($G574-5)/5)*Settings!$J$8)</f>
        <v>1</v>
      </c>
      <c r="V574" s="12">
        <f>IF($A574="","",1+(($H574-5)/5)*Settings!$J$9)</f>
        <v>1.06</v>
      </c>
      <c r="W574" s="12">
        <f t="array" ref="W574">IF($A574="","",XLOOKUP($J574,Lists!$C$3:$C$7,Lists!$D$3:$D$7,1))</f>
        <v>1</v>
      </c>
      <c r="X574" s="12">
        <f>IF($A574="","",IF($I574="Yes",Settings!$J$10,1))</f>
        <v>1</v>
      </c>
      <c r="Y574" s="12">
        <f t="shared" si="2"/>
        <v>1</v>
      </c>
      <c r="Z574" s="12">
        <f>IF($A574="","",IFERROR(ROUND(AVERAGEIFS('Historical Drafts'!$G$4:$G$300,'Historical Drafts'!$D$4:$D$300,$E574,'Historical Drafts'!$J$4:$J$300,"&gt;="&amp;$L574*0.85,'Historical Drafts'!$J$4:$J$300,"&lt;="&amp;$L574*1.15),0),$Y574))</f>
        <v>3</v>
      </c>
      <c r="AA574" s="12" t="str">
        <f>IF($A574="","",IF(COUNTIF('Auction Log'!$B$3:$B$300,$A574)&gt;0,"Sold","Available"))</f>
        <v>Available</v>
      </c>
      <c r="AB574" s="12" t="str">
        <f t="array" ref="AB574">IF($A574="","",IFERROR(XLOOKUP($A574,'Auction Log'!$B$3:$B$300,'Auction Log'!$G$3:$G$300,""),""))</f>
        <v/>
      </c>
      <c r="AC574" s="12" t="str">
        <f t="array" ref="AC574">IF($A574="","",IFERROR(XLOOKUP($A574,'Auction Log'!$B$3:$B$300,'Auction Log'!$F$3:$F$300,""),""))</f>
        <v/>
      </c>
      <c r="AD574" s="12">
        <f t="array" ref="AD574">IF($A574="","",ROUND($Y574*XLOOKUP($F574,Settings!$I$15:$I$20,Settings!$K$15:$K$20,0.4),0))</f>
        <v>0</v>
      </c>
      <c r="AE574" s="12">
        <f t="array" ref="AE574">IF($A574="","",ROUND($Y574*XLOOKUP($F574,Settings!$I$15:$I$20,Settings!$L$15:$L$20,0.8),0))</f>
        <v>1</v>
      </c>
      <c r="AF574" s="12">
        <f t="array" ref="AF574">IF($A574="","",ROUND($Y574*XLOOKUP($F574,Settings!$I$15:$I$20,Settings!$M$15:$M$20,1),0))</f>
        <v>1</v>
      </c>
      <c r="AG574" s="12">
        <f t="array" ref="AG574">IF($A574="","",ROUND($Y574*XLOOKUP($F574,Settings!$I$15:$I$20,Settings!$N$15:$N$20,1.1),0))</f>
        <v>1</v>
      </c>
      <c r="AH574" s="12">
        <f t="array" ref="AH574">IF($A574="","",ROUND($Y574*XLOOKUP($F574,Settings!$I$15:$I$20,Settings!$O$15:$O$20,1.1)*Settings!$J$7,0))</f>
        <v>1</v>
      </c>
      <c r="AI574" s="12">
        <f t="array" ref="AI574">IF($A574="","",IF($AA574="Sold","",MIN($AH574,IFERROR(XLOOKUP(Settings!$B$12,Managers!$B$4:$B$15,Managers!$H$4:$H$15),$AH574))))</f>
        <v>1</v>
      </c>
      <c r="AJ574" s="12" t="str">
        <f t="shared" si="3"/>
        <v>Budget Drainer</v>
      </c>
      <c r="AK574" s="12">
        <f t="shared" si="4"/>
        <v>28</v>
      </c>
      <c r="AL574" s="12" t="str">
        <f t="shared" si="5"/>
        <v/>
      </c>
    </row>
    <row r="575" ht="15.75" customHeight="1">
      <c r="A575" s="10" t="s">
        <v>1431</v>
      </c>
      <c r="B575" s="10" t="s">
        <v>1432</v>
      </c>
      <c r="C575" s="10" t="s">
        <v>215</v>
      </c>
      <c r="D575" s="10" t="s">
        <v>118</v>
      </c>
      <c r="E575" s="10" t="s">
        <v>118</v>
      </c>
      <c r="F575" s="10" t="s">
        <v>117</v>
      </c>
      <c r="G575" s="10">
        <v>5.0</v>
      </c>
      <c r="H575" s="10">
        <v>7.0</v>
      </c>
      <c r="I575" s="10" t="s">
        <v>2140</v>
      </c>
      <c r="J575" s="10" t="s">
        <v>2136</v>
      </c>
      <c r="K575" s="10"/>
      <c r="L575" s="10">
        <v>0.0</v>
      </c>
      <c r="M575" s="10">
        <v>0.0</v>
      </c>
      <c r="N575" s="10"/>
      <c r="O575" s="10"/>
      <c r="P575" s="12">
        <f>IF($A575="","",IFERROR((IF($O575="",0,$O575)*Settings!$J$4+IF($L575="",0,$L575)*Settings!$J$5+IF($N575="",0,$N575)*Settings!$J$6)/(IF($O575="",0,Settings!$J$4)+IF($L575="",0,Settings!$J$5)+IF($N575="",0,Settings!$J$6)),0))</f>
        <v>0</v>
      </c>
      <c r="Q575" s="12">
        <f t="array" ref="Q575">IF($A575="","",XLOOKUP($E575,Settings!$A$19:$A$22,Settings!$G$19:$G$22,0))</f>
        <v>196.25</v>
      </c>
      <c r="R575" s="12">
        <f t="shared" si="1"/>
        <v>0</v>
      </c>
      <c r="S575" s="12">
        <f>IF($A575="","",IF($R575&lt;=0,1,1+$R575/SUMIF($R$4:$R$923,"&gt;0",$R$4:$R$923)*(Settings!$B$5*(Settings!$B$6-Settings!$B$7))))</f>
        <v>1</v>
      </c>
      <c r="T575" s="12">
        <f t="array" ref="T575">IF($A575="","",XLOOKUP($F575,Settings!$I$15:$I$20,Settings!$J$15:$J$20,1))</f>
        <v>0.75</v>
      </c>
      <c r="U575" s="12">
        <f>IF($A575="","",1+(($G575-5)/5)*Settings!$J$8)</f>
        <v>1</v>
      </c>
      <c r="V575" s="12">
        <f>IF($A575="","",1+(($H575-5)/5)*Settings!$J$9)</f>
        <v>1.06</v>
      </c>
      <c r="W575" s="12">
        <f t="array" ref="W575">IF($A575="","",XLOOKUP($J575,Lists!$C$3:$C$7,Lists!$D$3:$D$7,1))</f>
        <v>1</v>
      </c>
      <c r="X575" s="12">
        <f>IF($A575="","",IF($I575="Yes",Settings!$J$10,1))</f>
        <v>1</v>
      </c>
      <c r="Y575" s="12">
        <f t="shared" si="2"/>
        <v>1</v>
      </c>
      <c r="Z575" s="12">
        <f>IF($A575="","",IFERROR(ROUND(AVERAGEIFS('Historical Drafts'!$G$4:$G$300,'Historical Drafts'!$D$4:$D$300,$E575,'Historical Drafts'!$J$4:$J$300,"&gt;="&amp;$L575*0.85,'Historical Drafts'!$J$4:$J$300,"&lt;="&amp;$L575*1.15),0),$Y575))</f>
        <v>1</v>
      </c>
      <c r="AA575" s="12" t="str">
        <f>IF($A575="","",IF(COUNTIF('Auction Log'!$B$3:$B$300,$A575)&gt;0,"Sold","Available"))</f>
        <v>Available</v>
      </c>
      <c r="AB575" s="12" t="str">
        <f t="array" ref="AB575">IF($A575="","",IFERROR(XLOOKUP($A575,'Auction Log'!$B$3:$B$300,'Auction Log'!$G$3:$G$300,""),""))</f>
        <v/>
      </c>
      <c r="AC575" s="12" t="str">
        <f t="array" ref="AC575">IF($A575="","",IFERROR(XLOOKUP($A575,'Auction Log'!$B$3:$B$300,'Auction Log'!$F$3:$F$300,""),""))</f>
        <v/>
      </c>
      <c r="AD575" s="12">
        <f t="array" ref="AD575">IF($A575="","",ROUND($Y575*XLOOKUP($F575,Settings!$I$15:$I$20,Settings!$K$15:$K$20,0.4),0))</f>
        <v>0</v>
      </c>
      <c r="AE575" s="12">
        <f t="array" ref="AE575">IF($A575="","",ROUND($Y575*XLOOKUP($F575,Settings!$I$15:$I$20,Settings!$L$15:$L$20,0.8),0))</f>
        <v>1</v>
      </c>
      <c r="AF575" s="12">
        <f t="array" ref="AF575">IF($A575="","",ROUND($Y575*XLOOKUP($F575,Settings!$I$15:$I$20,Settings!$M$15:$M$20,1),0))</f>
        <v>1</v>
      </c>
      <c r="AG575" s="12">
        <f t="array" ref="AG575">IF($A575="","",ROUND($Y575*XLOOKUP($F575,Settings!$I$15:$I$20,Settings!$N$15:$N$20,1.1),0))</f>
        <v>1</v>
      </c>
      <c r="AH575" s="12">
        <f t="array" ref="AH575">IF($A575="","",ROUND($Y575*XLOOKUP($F575,Settings!$I$15:$I$20,Settings!$O$15:$O$20,1.1)*Settings!$J$7,0))</f>
        <v>1</v>
      </c>
      <c r="AI575" s="12">
        <f t="array" ref="AI575">IF($A575="","",IF($AA575="Sold","",MIN($AH575,IFERROR(XLOOKUP(Settings!$B$12,Managers!$B$4:$B$15,Managers!$H$4:$H$15),$AH575))))</f>
        <v>1</v>
      </c>
      <c r="AJ575" s="12" t="str">
        <f t="shared" si="3"/>
        <v>Recommended</v>
      </c>
      <c r="AK575" s="12">
        <f t="shared" si="4"/>
        <v>26</v>
      </c>
      <c r="AL575" s="12" t="str">
        <f t="shared" si="5"/>
        <v/>
      </c>
    </row>
    <row r="576" ht="15.75" customHeight="1">
      <c r="A576" s="10" t="s">
        <v>1433</v>
      </c>
      <c r="B576" s="10" t="s">
        <v>1434</v>
      </c>
      <c r="C576" s="10" t="s">
        <v>243</v>
      </c>
      <c r="D576" s="10" t="s">
        <v>118</v>
      </c>
      <c r="E576" s="10" t="s">
        <v>118</v>
      </c>
      <c r="F576" s="10" t="s">
        <v>117</v>
      </c>
      <c r="G576" s="10">
        <v>5.0</v>
      </c>
      <c r="H576" s="10">
        <v>7.0</v>
      </c>
      <c r="I576" s="10" t="s">
        <v>2140</v>
      </c>
      <c r="J576" s="10" t="s">
        <v>2136</v>
      </c>
      <c r="K576" s="10"/>
      <c r="L576" s="10">
        <v>0.0</v>
      </c>
      <c r="M576" s="10">
        <v>0.0</v>
      </c>
      <c r="N576" s="10"/>
      <c r="O576" s="10"/>
      <c r="P576" s="12">
        <f>IF($A576="","",IFERROR((IF($O576="",0,$O576)*Settings!$J$4+IF($L576="",0,$L576)*Settings!$J$5+IF($N576="",0,$N576)*Settings!$J$6)/(IF($O576="",0,Settings!$J$4)+IF($L576="",0,Settings!$J$5)+IF($N576="",0,Settings!$J$6)),0))</f>
        <v>0</v>
      </c>
      <c r="Q576" s="12">
        <f t="array" ref="Q576">IF($A576="","",XLOOKUP($E576,Settings!$A$19:$A$22,Settings!$G$19:$G$22,0))</f>
        <v>196.25</v>
      </c>
      <c r="R576" s="12">
        <f t="shared" si="1"/>
        <v>0</v>
      </c>
      <c r="S576" s="12">
        <f>IF($A576="","",IF($R576&lt;=0,1,1+$R576/SUMIF($R$4:$R$923,"&gt;0",$R$4:$R$923)*(Settings!$B$5*(Settings!$B$6-Settings!$B$7))))</f>
        <v>1</v>
      </c>
      <c r="T576" s="12">
        <f t="array" ref="T576">IF($A576="","",XLOOKUP($F576,Settings!$I$15:$I$20,Settings!$J$15:$J$20,1))</f>
        <v>0.75</v>
      </c>
      <c r="U576" s="12">
        <f>IF($A576="","",1+(($G576-5)/5)*Settings!$J$8)</f>
        <v>1</v>
      </c>
      <c r="V576" s="12">
        <f>IF($A576="","",1+(($H576-5)/5)*Settings!$J$9)</f>
        <v>1.06</v>
      </c>
      <c r="W576" s="12">
        <f t="array" ref="W576">IF($A576="","",XLOOKUP($J576,Lists!$C$3:$C$7,Lists!$D$3:$D$7,1))</f>
        <v>1</v>
      </c>
      <c r="X576" s="12">
        <f>IF($A576="","",IF($I576="Yes",Settings!$J$10,1))</f>
        <v>1</v>
      </c>
      <c r="Y576" s="12">
        <f t="shared" si="2"/>
        <v>1</v>
      </c>
      <c r="Z576" s="12">
        <f>IF($A576="","",IFERROR(ROUND(AVERAGEIFS('Historical Drafts'!$G$4:$G$300,'Historical Drafts'!$D$4:$D$300,$E576,'Historical Drafts'!$J$4:$J$300,"&gt;="&amp;$L576*0.85,'Historical Drafts'!$J$4:$J$300,"&lt;="&amp;$L576*1.15),0),$Y576))</f>
        <v>1</v>
      </c>
      <c r="AA576" s="12" t="str">
        <f>IF($A576="","",IF(COUNTIF('Auction Log'!$B$3:$B$300,$A576)&gt;0,"Sold","Available"))</f>
        <v>Available</v>
      </c>
      <c r="AB576" s="12" t="str">
        <f t="array" ref="AB576">IF($A576="","",IFERROR(XLOOKUP($A576,'Auction Log'!$B$3:$B$300,'Auction Log'!$G$3:$G$300,""),""))</f>
        <v/>
      </c>
      <c r="AC576" s="12" t="str">
        <f t="array" ref="AC576">IF($A576="","",IFERROR(XLOOKUP($A576,'Auction Log'!$B$3:$B$300,'Auction Log'!$F$3:$F$300,""),""))</f>
        <v/>
      </c>
      <c r="AD576" s="12">
        <f t="array" ref="AD576">IF($A576="","",ROUND($Y576*XLOOKUP($F576,Settings!$I$15:$I$20,Settings!$K$15:$K$20,0.4),0))</f>
        <v>0</v>
      </c>
      <c r="AE576" s="12">
        <f t="array" ref="AE576">IF($A576="","",ROUND($Y576*XLOOKUP($F576,Settings!$I$15:$I$20,Settings!$L$15:$L$20,0.8),0))</f>
        <v>1</v>
      </c>
      <c r="AF576" s="12">
        <f t="array" ref="AF576">IF($A576="","",ROUND($Y576*XLOOKUP($F576,Settings!$I$15:$I$20,Settings!$M$15:$M$20,1),0))</f>
        <v>1</v>
      </c>
      <c r="AG576" s="12">
        <f t="array" ref="AG576">IF($A576="","",ROUND($Y576*XLOOKUP($F576,Settings!$I$15:$I$20,Settings!$N$15:$N$20,1.1),0))</f>
        <v>1</v>
      </c>
      <c r="AH576" s="12">
        <f t="array" ref="AH576">IF($A576="","",ROUND($Y576*XLOOKUP($F576,Settings!$I$15:$I$20,Settings!$O$15:$O$20,1.1)*Settings!$J$7,0))</f>
        <v>1</v>
      </c>
      <c r="AI576" s="12">
        <f t="array" ref="AI576">IF($A576="","",IF($AA576="Sold","",MIN($AH576,IFERROR(XLOOKUP(Settings!$B$12,Managers!$B$4:$B$15,Managers!$H$4:$H$15),$AH576))))</f>
        <v>1</v>
      </c>
      <c r="AJ576" s="12" t="str">
        <f t="shared" si="3"/>
        <v>Recommended</v>
      </c>
      <c r="AK576" s="12">
        <f t="shared" si="4"/>
        <v>26</v>
      </c>
      <c r="AL576" s="12" t="str">
        <f t="shared" si="5"/>
        <v/>
      </c>
    </row>
    <row r="577" ht="15.75" customHeight="1">
      <c r="A577" s="10" t="s">
        <v>1435</v>
      </c>
      <c r="B577" s="10" t="s">
        <v>1436</v>
      </c>
      <c r="C577" s="10" t="s">
        <v>453</v>
      </c>
      <c r="D577" s="10" t="s">
        <v>121</v>
      </c>
      <c r="E577" s="10" t="s">
        <v>121</v>
      </c>
      <c r="F577" s="10" t="s">
        <v>117</v>
      </c>
      <c r="G577" s="10">
        <v>5.0</v>
      </c>
      <c r="H577" s="10">
        <v>7.0</v>
      </c>
      <c r="I577" s="10" t="s">
        <v>2140</v>
      </c>
      <c r="J577" s="10" t="s">
        <v>2136</v>
      </c>
      <c r="K577" s="10"/>
      <c r="L577" s="10">
        <v>0.0</v>
      </c>
      <c r="M577" s="10">
        <v>0.0</v>
      </c>
      <c r="N577" s="10"/>
      <c r="O577" s="10"/>
      <c r="P577" s="12">
        <f>IF($A577="","",IFERROR((IF($O577="",0,$O577)*Settings!$J$4+IF($L577="",0,$L577)*Settings!$J$5+IF($N577="",0,$N577)*Settings!$J$6)/(IF($O577="",0,Settings!$J$4)+IF($L577="",0,Settings!$J$5)+IF($N577="",0,Settings!$J$6)),0))</f>
        <v>0</v>
      </c>
      <c r="Q577" s="12">
        <f t="array" ref="Q577">IF($A577="","",XLOOKUP($E577,Settings!$A$19:$A$22,Settings!$G$19:$G$22,0))</f>
        <v>206</v>
      </c>
      <c r="R577" s="12">
        <f t="shared" si="1"/>
        <v>0</v>
      </c>
      <c r="S577" s="12">
        <f>IF($A577="","",IF($R577&lt;=0,1,1+$R577/SUMIF($R$4:$R$923,"&gt;0",$R$4:$R$923)*(Settings!$B$5*(Settings!$B$6-Settings!$B$7))))</f>
        <v>1</v>
      </c>
      <c r="T577" s="12">
        <f t="array" ref="T577">IF($A577="","",XLOOKUP($F577,Settings!$I$15:$I$20,Settings!$J$15:$J$20,1))</f>
        <v>0.75</v>
      </c>
      <c r="U577" s="12">
        <f>IF($A577="","",1+(($G577-5)/5)*Settings!$J$8)</f>
        <v>1</v>
      </c>
      <c r="V577" s="12">
        <f>IF($A577="","",1+(($H577-5)/5)*Settings!$J$9)</f>
        <v>1.06</v>
      </c>
      <c r="W577" s="12">
        <f t="array" ref="W577">IF($A577="","",XLOOKUP($J577,Lists!$C$3:$C$7,Lists!$D$3:$D$7,1))</f>
        <v>1</v>
      </c>
      <c r="X577" s="12">
        <f>IF($A577="","",IF($I577="Yes",Settings!$J$10,1))</f>
        <v>1</v>
      </c>
      <c r="Y577" s="12">
        <f t="shared" si="2"/>
        <v>1</v>
      </c>
      <c r="Z577" s="12">
        <f>IF($A577="","",IFERROR(ROUND(AVERAGEIFS('Historical Drafts'!$G$4:$G$300,'Historical Drafts'!$D$4:$D$300,$E577,'Historical Drafts'!$J$4:$J$300,"&gt;="&amp;$L577*0.85,'Historical Drafts'!$J$4:$J$300,"&lt;="&amp;$L577*1.15),0),$Y577))</f>
        <v>3</v>
      </c>
      <c r="AA577" s="12" t="str">
        <f>IF($A577="","",IF(COUNTIF('Auction Log'!$B$3:$B$300,$A577)&gt;0,"Sold","Available"))</f>
        <v>Available</v>
      </c>
      <c r="AB577" s="12" t="str">
        <f t="array" ref="AB577">IF($A577="","",IFERROR(XLOOKUP($A577,'Auction Log'!$B$3:$B$300,'Auction Log'!$G$3:$G$300,""),""))</f>
        <v/>
      </c>
      <c r="AC577" s="12" t="str">
        <f t="array" ref="AC577">IF($A577="","",IFERROR(XLOOKUP($A577,'Auction Log'!$B$3:$B$300,'Auction Log'!$F$3:$F$300,""),""))</f>
        <v/>
      </c>
      <c r="AD577" s="12">
        <f t="array" ref="AD577">IF($A577="","",ROUND($Y577*XLOOKUP($F577,Settings!$I$15:$I$20,Settings!$K$15:$K$20,0.4),0))</f>
        <v>0</v>
      </c>
      <c r="AE577" s="12">
        <f t="array" ref="AE577">IF($A577="","",ROUND($Y577*XLOOKUP($F577,Settings!$I$15:$I$20,Settings!$L$15:$L$20,0.8),0))</f>
        <v>1</v>
      </c>
      <c r="AF577" s="12">
        <f t="array" ref="AF577">IF($A577="","",ROUND($Y577*XLOOKUP($F577,Settings!$I$15:$I$20,Settings!$M$15:$M$20,1),0))</f>
        <v>1</v>
      </c>
      <c r="AG577" s="12">
        <f t="array" ref="AG577">IF($A577="","",ROUND($Y577*XLOOKUP($F577,Settings!$I$15:$I$20,Settings!$N$15:$N$20,1.1),0))</f>
        <v>1</v>
      </c>
      <c r="AH577" s="12">
        <f t="array" ref="AH577">IF($A577="","",ROUND($Y577*XLOOKUP($F577,Settings!$I$15:$I$20,Settings!$O$15:$O$20,1.1)*Settings!$J$7,0))</f>
        <v>1</v>
      </c>
      <c r="AI577" s="12">
        <f t="array" ref="AI577">IF($A577="","",IF($AA577="Sold","",MIN($AH577,IFERROR(XLOOKUP(Settings!$B$12,Managers!$B$4:$B$15,Managers!$H$4:$H$15),$AH577))))</f>
        <v>1</v>
      </c>
      <c r="AJ577" s="12" t="str">
        <f t="shared" si="3"/>
        <v>Budget Drainer</v>
      </c>
      <c r="AK577" s="12">
        <f t="shared" si="4"/>
        <v>28</v>
      </c>
      <c r="AL577" s="12" t="str">
        <f t="shared" si="5"/>
        <v/>
      </c>
    </row>
    <row r="578" ht="15.75" customHeight="1">
      <c r="A578" s="10" t="s">
        <v>1437</v>
      </c>
      <c r="B578" s="10" t="s">
        <v>1438</v>
      </c>
      <c r="C578" s="10" t="s">
        <v>453</v>
      </c>
      <c r="D578" s="10" t="s">
        <v>121</v>
      </c>
      <c r="E578" s="10" t="s">
        <v>121</v>
      </c>
      <c r="F578" s="10" t="s">
        <v>117</v>
      </c>
      <c r="G578" s="10">
        <v>5.0</v>
      </c>
      <c r="H578" s="10">
        <v>7.0</v>
      </c>
      <c r="I578" s="10" t="s">
        <v>2140</v>
      </c>
      <c r="J578" s="10" t="s">
        <v>2136</v>
      </c>
      <c r="K578" s="10"/>
      <c r="L578" s="10">
        <v>0.0</v>
      </c>
      <c r="M578" s="10">
        <v>0.0</v>
      </c>
      <c r="N578" s="10"/>
      <c r="O578" s="10"/>
      <c r="P578" s="12">
        <f>IF($A578="","",IFERROR((IF($O578="",0,$O578)*Settings!$J$4+IF($L578="",0,$L578)*Settings!$J$5+IF($N578="",0,$N578)*Settings!$J$6)/(IF($O578="",0,Settings!$J$4)+IF($L578="",0,Settings!$J$5)+IF($N578="",0,Settings!$J$6)),0))</f>
        <v>0</v>
      </c>
      <c r="Q578" s="12">
        <f t="array" ref="Q578">IF($A578="","",XLOOKUP($E578,Settings!$A$19:$A$22,Settings!$G$19:$G$22,0))</f>
        <v>206</v>
      </c>
      <c r="R578" s="12">
        <f t="shared" si="1"/>
        <v>0</v>
      </c>
      <c r="S578" s="12">
        <f>IF($A578="","",IF($R578&lt;=0,1,1+$R578/SUMIF($R$4:$R$923,"&gt;0",$R$4:$R$923)*(Settings!$B$5*(Settings!$B$6-Settings!$B$7))))</f>
        <v>1</v>
      </c>
      <c r="T578" s="12">
        <f t="array" ref="T578">IF($A578="","",XLOOKUP($F578,Settings!$I$15:$I$20,Settings!$J$15:$J$20,1))</f>
        <v>0.75</v>
      </c>
      <c r="U578" s="12">
        <f>IF($A578="","",1+(($G578-5)/5)*Settings!$J$8)</f>
        <v>1</v>
      </c>
      <c r="V578" s="12">
        <f>IF($A578="","",1+(($H578-5)/5)*Settings!$J$9)</f>
        <v>1.06</v>
      </c>
      <c r="W578" s="12">
        <f t="array" ref="W578">IF($A578="","",XLOOKUP($J578,Lists!$C$3:$C$7,Lists!$D$3:$D$7,1))</f>
        <v>1</v>
      </c>
      <c r="X578" s="12">
        <f>IF($A578="","",IF($I578="Yes",Settings!$J$10,1))</f>
        <v>1</v>
      </c>
      <c r="Y578" s="12">
        <f t="shared" si="2"/>
        <v>1</v>
      </c>
      <c r="Z578" s="12">
        <f>IF($A578="","",IFERROR(ROUND(AVERAGEIFS('Historical Drafts'!$G$4:$G$300,'Historical Drafts'!$D$4:$D$300,$E578,'Historical Drafts'!$J$4:$J$300,"&gt;="&amp;$L578*0.85,'Historical Drafts'!$J$4:$J$300,"&lt;="&amp;$L578*1.15),0),$Y578))</f>
        <v>3</v>
      </c>
      <c r="AA578" s="12" t="str">
        <f>IF($A578="","",IF(COUNTIF('Auction Log'!$B$3:$B$300,$A578)&gt;0,"Sold","Available"))</f>
        <v>Available</v>
      </c>
      <c r="AB578" s="12" t="str">
        <f t="array" ref="AB578">IF($A578="","",IFERROR(XLOOKUP($A578,'Auction Log'!$B$3:$B$300,'Auction Log'!$G$3:$G$300,""),""))</f>
        <v/>
      </c>
      <c r="AC578" s="12" t="str">
        <f t="array" ref="AC578">IF($A578="","",IFERROR(XLOOKUP($A578,'Auction Log'!$B$3:$B$300,'Auction Log'!$F$3:$F$300,""),""))</f>
        <v/>
      </c>
      <c r="AD578" s="12">
        <f t="array" ref="AD578">IF($A578="","",ROUND($Y578*XLOOKUP($F578,Settings!$I$15:$I$20,Settings!$K$15:$K$20,0.4),0))</f>
        <v>0</v>
      </c>
      <c r="AE578" s="12">
        <f t="array" ref="AE578">IF($A578="","",ROUND($Y578*XLOOKUP($F578,Settings!$I$15:$I$20,Settings!$L$15:$L$20,0.8),0))</f>
        <v>1</v>
      </c>
      <c r="AF578" s="12">
        <f t="array" ref="AF578">IF($A578="","",ROUND($Y578*XLOOKUP($F578,Settings!$I$15:$I$20,Settings!$M$15:$M$20,1),0))</f>
        <v>1</v>
      </c>
      <c r="AG578" s="12">
        <f t="array" ref="AG578">IF($A578="","",ROUND($Y578*XLOOKUP($F578,Settings!$I$15:$I$20,Settings!$N$15:$N$20,1.1),0))</f>
        <v>1</v>
      </c>
      <c r="AH578" s="12">
        <f t="array" ref="AH578">IF($A578="","",ROUND($Y578*XLOOKUP($F578,Settings!$I$15:$I$20,Settings!$O$15:$O$20,1.1)*Settings!$J$7,0))</f>
        <v>1</v>
      </c>
      <c r="AI578" s="12">
        <f t="array" ref="AI578">IF($A578="","",IF($AA578="Sold","",MIN($AH578,IFERROR(XLOOKUP(Settings!$B$12,Managers!$B$4:$B$15,Managers!$H$4:$H$15),$AH578))))</f>
        <v>1</v>
      </c>
      <c r="AJ578" s="12" t="str">
        <f t="shared" si="3"/>
        <v>Budget Drainer</v>
      </c>
      <c r="AK578" s="12">
        <f t="shared" si="4"/>
        <v>28</v>
      </c>
      <c r="AL578" s="12" t="str">
        <f t="shared" si="5"/>
        <v/>
      </c>
    </row>
    <row r="579" ht="15.75" customHeight="1">
      <c r="A579" s="10" t="s">
        <v>1439</v>
      </c>
      <c r="B579" s="10" t="s">
        <v>1440</v>
      </c>
      <c r="C579" s="10" t="s">
        <v>188</v>
      </c>
      <c r="D579" s="10" t="s">
        <v>118</v>
      </c>
      <c r="E579" s="10" t="s">
        <v>118</v>
      </c>
      <c r="F579" s="10" t="s">
        <v>117</v>
      </c>
      <c r="G579" s="10">
        <v>5.0</v>
      </c>
      <c r="H579" s="10">
        <v>7.0</v>
      </c>
      <c r="I579" s="10" t="s">
        <v>2140</v>
      </c>
      <c r="J579" s="10" t="s">
        <v>2136</v>
      </c>
      <c r="K579" s="10"/>
      <c r="L579" s="10">
        <v>0.0</v>
      </c>
      <c r="M579" s="10">
        <v>0.0</v>
      </c>
      <c r="N579" s="10"/>
      <c r="O579" s="10"/>
      <c r="P579" s="12">
        <f>IF($A579="","",IFERROR((IF($O579="",0,$O579)*Settings!$J$4+IF($L579="",0,$L579)*Settings!$J$5+IF($N579="",0,$N579)*Settings!$J$6)/(IF($O579="",0,Settings!$J$4)+IF($L579="",0,Settings!$J$5)+IF($N579="",0,Settings!$J$6)),0))</f>
        <v>0</v>
      </c>
      <c r="Q579" s="12">
        <f t="array" ref="Q579">IF($A579="","",XLOOKUP($E579,Settings!$A$19:$A$22,Settings!$G$19:$G$22,0))</f>
        <v>196.25</v>
      </c>
      <c r="R579" s="12">
        <f t="shared" si="1"/>
        <v>0</v>
      </c>
      <c r="S579" s="12">
        <f>IF($A579="","",IF($R579&lt;=0,1,1+$R579/SUMIF($R$4:$R$923,"&gt;0",$R$4:$R$923)*(Settings!$B$5*(Settings!$B$6-Settings!$B$7))))</f>
        <v>1</v>
      </c>
      <c r="T579" s="12">
        <f t="array" ref="T579">IF($A579="","",XLOOKUP($F579,Settings!$I$15:$I$20,Settings!$J$15:$J$20,1))</f>
        <v>0.75</v>
      </c>
      <c r="U579" s="12">
        <f>IF($A579="","",1+(($G579-5)/5)*Settings!$J$8)</f>
        <v>1</v>
      </c>
      <c r="V579" s="12">
        <f>IF($A579="","",1+(($H579-5)/5)*Settings!$J$9)</f>
        <v>1.06</v>
      </c>
      <c r="W579" s="12">
        <f t="array" ref="W579">IF($A579="","",XLOOKUP($J579,Lists!$C$3:$C$7,Lists!$D$3:$D$7,1))</f>
        <v>1</v>
      </c>
      <c r="X579" s="12">
        <f>IF($A579="","",IF($I579="Yes",Settings!$J$10,1))</f>
        <v>1</v>
      </c>
      <c r="Y579" s="12">
        <f t="shared" si="2"/>
        <v>1</v>
      </c>
      <c r="Z579" s="12">
        <f>IF($A579="","",IFERROR(ROUND(AVERAGEIFS('Historical Drafts'!$G$4:$G$300,'Historical Drafts'!$D$4:$D$300,$E579,'Historical Drafts'!$J$4:$J$300,"&gt;="&amp;$L579*0.85,'Historical Drafts'!$J$4:$J$300,"&lt;="&amp;$L579*1.15),0),$Y579))</f>
        <v>1</v>
      </c>
      <c r="AA579" s="12" t="str">
        <f>IF($A579="","",IF(COUNTIF('Auction Log'!$B$3:$B$300,$A579)&gt;0,"Sold","Available"))</f>
        <v>Available</v>
      </c>
      <c r="AB579" s="12" t="str">
        <f t="array" ref="AB579">IF($A579="","",IFERROR(XLOOKUP($A579,'Auction Log'!$B$3:$B$300,'Auction Log'!$G$3:$G$300,""),""))</f>
        <v/>
      </c>
      <c r="AC579" s="12" t="str">
        <f t="array" ref="AC579">IF($A579="","",IFERROR(XLOOKUP($A579,'Auction Log'!$B$3:$B$300,'Auction Log'!$F$3:$F$300,""),""))</f>
        <v/>
      </c>
      <c r="AD579" s="12">
        <f t="array" ref="AD579">IF($A579="","",ROUND($Y579*XLOOKUP($F579,Settings!$I$15:$I$20,Settings!$K$15:$K$20,0.4),0))</f>
        <v>0</v>
      </c>
      <c r="AE579" s="12">
        <f t="array" ref="AE579">IF($A579="","",ROUND($Y579*XLOOKUP($F579,Settings!$I$15:$I$20,Settings!$L$15:$L$20,0.8),0))</f>
        <v>1</v>
      </c>
      <c r="AF579" s="12">
        <f t="array" ref="AF579">IF($A579="","",ROUND($Y579*XLOOKUP($F579,Settings!$I$15:$I$20,Settings!$M$15:$M$20,1),0))</f>
        <v>1</v>
      </c>
      <c r="AG579" s="12">
        <f t="array" ref="AG579">IF($A579="","",ROUND($Y579*XLOOKUP($F579,Settings!$I$15:$I$20,Settings!$N$15:$N$20,1.1),0))</f>
        <v>1</v>
      </c>
      <c r="AH579" s="12">
        <f t="array" ref="AH579">IF($A579="","",ROUND($Y579*XLOOKUP($F579,Settings!$I$15:$I$20,Settings!$O$15:$O$20,1.1)*Settings!$J$7,0))</f>
        <v>1</v>
      </c>
      <c r="AI579" s="12">
        <f t="array" ref="AI579">IF($A579="","",IF($AA579="Sold","",MIN($AH579,IFERROR(XLOOKUP(Settings!$B$12,Managers!$B$4:$B$15,Managers!$H$4:$H$15),$AH579))))</f>
        <v>1</v>
      </c>
      <c r="AJ579" s="12" t="str">
        <f t="shared" si="3"/>
        <v>Recommended</v>
      </c>
      <c r="AK579" s="12">
        <f t="shared" si="4"/>
        <v>26</v>
      </c>
      <c r="AL579" s="12" t="str">
        <f t="shared" si="5"/>
        <v/>
      </c>
    </row>
    <row r="580" ht="15.75" customHeight="1">
      <c r="A580" s="10" t="s">
        <v>1441</v>
      </c>
      <c r="B580" s="10" t="s">
        <v>1442</v>
      </c>
      <c r="C580" s="10" t="s">
        <v>387</v>
      </c>
      <c r="D580" s="10" t="s">
        <v>658</v>
      </c>
      <c r="E580" s="10" t="s">
        <v>658</v>
      </c>
      <c r="F580" s="10" t="s">
        <v>117</v>
      </c>
      <c r="G580" s="10">
        <v>5.0</v>
      </c>
      <c r="H580" s="10">
        <v>7.0</v>
      </c>
      <c r="I580" s="10" t="s">
        <v>2140</v>
      </c>
      <c r="J580" s="10" t="s">
        <v>2136</v>
      </c>
      <c r="K580" s="10"/>
      <c r="L580" s="10">
        <v>0.0</v>
      </c>
      <c r="M580" s="10">
        <v>0.0</v>
      </c>
      <c r="N580" s="10"/>
      <c r="O580" s="10"/>
      <c r="P580" s="12">
        <f>IF($A580="","",IFERROR((IF($O580="",0,$O580)*Settings!$J$4+IF($L580="",0,$L580)*Settings!$J$5+IF($N580="",0,$N580)*Settings!$J$6)/(IF($O580="",0,Settings!$J$4)+IF($L580="",0,Settings!$J$5)+IF($N580="",0,Settings!$J$6)),0))</f>
        <v>0</v>
      </c>
      <c r="Q580" s="12">
        <f t="array" ref="Q580">IF($A580="","",XLOOKUP($E580,Settings!$A$19:$A$22,Settings!$G$19:$G$22,0))</f>
        <v>0</v>
      </c>
      <c r="R580" s="12">
        <f t="shared" si="1"/>
        <v>0</v>
      </c>
      <c r="S580" s="12">
        <f>IF($A580="","",IF($R580&lt;=0,1,1+$R580/SUMIF($R$4:$R$923,"&gt;0",$R$4:$R$923)*(Settings!$B$5*(Settings!$B$6-Settings!$B$7))))</f>
        <v>1</v>
      </c>
      <c r="T580" s="12">
        <f t="array" ref="T580">IF($A580="","",XLOOKUP($F580,Settings!$I$15:$I$20,Settings!$J$15:$J$20,1))</f>
        <v>0.75</v>
      </c>
      <c r="U580" s="12">
        <f>IF($A580="","",1+(($G580-5)/5)*Settings!$J$8)</f>
        <v>1</v>
      </c>
      <c r="V580" s="12">
        <f>IF($A580="","",1+(($H580-5)/5)*Settings!$J$9)</f>
        <v>1.06</v>
      </c>
      <c r="W580" s="12">
        <f t="array" ref="W580">IF($A580="","",XLOOKUP($J580,Lists!$C$3:$C$7,Lists!$D$3:$D$7,1))</f>
        <v>1</v>
      </c>
      <c r="X580" s="12">
        <f>IF($A580="","",IF($I580="Yes",Settings!$J$10,1))</f>
        <v>1</v>
      </c>
      <c r="Y580" s="12">
        <f t="shared" si="2"/>
        <v>1</v>
      </c>
      <c r="Z580" s="12">
        <f>IF($A580="","",IFERROR(ROUND(AVERAGEIFS('Historical Drafts'!$G$4:$G$300,'Historical Drafts'!$D$4:$D$300,$E580,'Historical Drafts'!$J$4:$J$300,"&gt;="&amp;$L580*0.85,'Historical Drafts'!$J$4:$J$300,"&lt;="&amp;$L580*1.15),0),$Y580))</f>
        <v>1</v>
      </c>
      <c r="AA580" s="12" t="str">
        <f>IF($A580="","",IF(COUNTIF('Auction Log'!$B$3:$B$300,$A580)&gt;0,"Sold","Available"))</f>
        <v>Available</v>
      </c>
      <c r="AB580" s="12" t="str">
        <f t="array" ref="AB580">IF($A580="","",IFERROR(XLOOKUP($A580,'Auction Log'!$B$3:$B$300,'Auction Log'!$G$3:$G$300,""),""))</f>
        <v/>
      </c>
      <c r="AC580" s="12" t="str">
        <f t="array" ref="AC580">IF($A580="","",IFERROR(XLOOKUP($A580,'Auction Log'!$B$3:$B$300,'Auction Log'!$F$3:$F$300,""),""))</f>
        <v/>
      </c>
      <c r="AD580" s="12">
        <f t="array" ref="AD580">IF($A580="","",ROUND($Y580*XLOOKUP($F580,Settings!$I$15:$I$20,Settings!$K$15:$K$20,0.4),0))</f>
        <v>0</v>
      </c>
      <c r="AE580" s="12">
        <f t="array" ref="AE580">IF($A580="","",ROUND($Y580*XLOOKUP($F580,Settings!$I$15:$I$20,Settings!$L$15:$L$20,0.8),0))</f>
        <v>1</v>
      </c>
      <c r="AF580" s="12">
        <f t="array" ref="AF580">IF($A580="","",ROUND($Y580*XLOOKUP($F580,Settings!$I$15:$I$20,Settings!$M$15:$M$20,1),0))</f>
        <v>1</v>
      </c>
      <c r="AG580" s="12">
        <f t="array" ref="AG580">IF($A580="","",ROUND($Y580*XLOOKUP($F580,Settings!$I$15:$I$20,Settings!$N$15:$N$20,1.1),0))</f>
        <v>1</v>
      </c>
      <c r="AH580" s="12">
        <f t="array" ref="AH580">IF($A580="","",ROUND($Y580*XLOOKUP($F580,Settings!$I$15:$I$20,Settings!$O$15:$O$20,1.1)*Settings!$J$7,0))</f>
        <v>1</v>
      </c>
      <c r="AI580" s="12">
        <f t="array" ref="AI580">IF($A580="","",IF($AA580="Sold","",MIN($AH580,IFERROR(XLOOKUP(Settings!$B$12,Managers!$B$4:$B$15,Managers!$H$4:$H$15),$AH580))))</f>
        <v>1</v>
      </c>
      <c r="AJ580" s="12" t="str">
        <f t="shared" si="3"/>
        <v>Recommended</v>
      </c>
      <c r="AK580" s="12">
        <f t="shared" si="4"/>
        <v>26</v>
      </c>
      <c r="AL580" s="12" t="str">
        <f t="shared" si="5"/>
        <v/>
      </c>
    </row>
    <row r="581" ht="15.75" customHeight="1">
      <c r="A581" s="10" t="s">
        <v>1443</v>
      </c>
      <c r="B581" s="10" t="s">
        <v>1444</v>
      </c>
      <c r="C581" s="10" t="s">
        <v>188</v>
      </c>
      <c r="D581" s="10" t="s">
        <v>121</v>
      </c>
      <c r="E581" s="10" t="s">
        <v>121</v>
      </c>
      <c r="F581" s="10" t="s">
        <v>117</v>
      </c>
      <c r="G581" s="10">
        <v>5.0</v>
      </c>
      <c r="H581" s="10">
        <v>7.0</v>
      </c>
      <c r="I581" s="10" t="s">
        <v>2140</v>
      </c>
      <c r="J581" s="10" t="s">
        <v>2136</v>
      </c>
      <c r="K581" s="10"/>
      <c r="L581" s="10">
        <v>0.0</v>
      </c>
      <c r="M581" s="10">
        <v>0.0</v>
      </c>
      <c r="N581" s="10"/>
      <c r="O581" s="10"/>
      <c r="P581" s="12">
        <f>IF($A581="","",IFERROR((IF($O581="",0,$O581)*Settings!$J$4+IF($L581="",0,$L581)*Settings!$J$5+IF($N581="",0,$N581)*Settings!$J$6)/(IF($O581="",0,Settings!$J$4)+IF($L581="",0,Settings!$J$5)+IF($N581="",0,Settings!$J$6)),0))</f>
        <v>0</v>
      </c>
      <c r="Q581" s="12">
        <f t="array" ref="Q581">IF($A581="","",XLOOKUP($E581,Settings!$A$19:$A$22,Settings!$G$19:$G$22,0))</f>
        <v>206</v>
      </c>
      <c r="R581" s="12">
        <f t="shared" si="1"/>
        <v>0</v>
      </c>
      <c r="S581" s="12">
        <f>IF($A581="","",IF($R581&lt;=0,1,1+$R581/SUMIF($R$4:$R$923,"&gt;0",$R$4:$R$923)*(Settings!$B$5*(Settings!$B$6-Settings!$B$7))))</f>
        <v>1</v>
      </c>
      <c r="T581" s="12">
        <f t="array" ref="T581">IF($A581="","",XLOOKUP($F581,Settings!$I$15:$I$20,Settings!$J$15:$J$20,1))</f>
        <v>0.75</v>
      </c>
      <c r="U581" s="12">
        <f>IF($A581="","",1+(($G581-5)/5)*Settings!$J$8)</f>
        <v>1</v>
      </c>
      <c r="V581" s="12">
        <f>IF($A581="","",1+(($H581-5)/5)*Settings!$J$9)</f>
        <v>1.06</v>
      </c>
      <c r="W581" s="12">
        <f t="array" ref="W581">IF($A581="","",XLOOKUP($J581,Lists!$C$3:$C$7,Lists!$D$3:$D$7,1))</f>
        <v>1</v>
      </c>
      <c r="X581" s="12">
        <f>IF($A581="","",IF($I581="Yes",Settings!$J$10,1))</f>
        <v>1</v>
      </c>
      <c r="Y581" s="12">
        <f t="shared" si="2"/>
        <v>1</v>
      </c>
      <c r="Z581" s="12">
        <f>IF($A581="","",IFERROR(ROUND(AVERAGEIFS('Historical Drafts'!$G$4:$G$300,'Historical Drafts'!$D$4:$D$300,$E581,'Historical Drafts'!$J$4:$J$300,"&gt;="&amp;$L581*0.85,'Historical Drafts'!$J$4:$J$300,"&lt;="&amp;$L581*1.15),0),$Y581))</f>
        <v>3</v>
      </c>
      <c r="AA581" s="12" t="str">
        <f>IF($A581="","",IF(COUNTIF('Auction Log'!$B$3:$B$300,$A581)&gt;0,"Sold","Available"))</f>
        <v>Available</v>
      </c>
      <c r="AB581" s="12" t="str">
        <f t="array" ref="AB581">IF($A581="","",IFERROR(XLOOKUP($A581,'Auction Log'!$B$3:$B$300,'Auction Log'!$G$3:$G$300,""),""))</f>
        <v/>
      </c>
      <c r="AC581" s="12" t="str">
        <f t="array" ref="AC581">IF($A581="","",IFERROR(XLOOKUP($A581,'Auction Log'!$B$3:$B$300,'Auction Log'!$F$3:$F$300,""),""))</f>
        <v/>
      </c>
      <c r="AD581" s="12">
        <f t="array" ref="AD581">IF($A581="","",ROUND($Y581*XLOOKUP($F581,Settings!$I$15:$I$20,Settings!$K$15:$K$20,0.4),0))</f>
        <v>0</v>
      </c>
      <c r="AE581" s="12">
        <f t="array" ref="AE581">IF($A581="","",ROUND($Y581*XLOOKUP($F581,Settings!$I$15:$I$20,Settings!$L$15:$L$20,0.8),0))</f>
        <v>1</v>
      </c>
      <c r="AF581" s="12">
        <f t="array" ref="AF581">IF($A581="","",ROUND($Y581*XLOOKUP($F581,Settings!$I$15:$I$20,Settings!$M$15:$M$20,1),0))</f>
        <v>1</v>
      </c>
      <c r="AG581" s="12">
        <f t="array" ref="AG581">IF($A581="","",ROUND($Y581*XLOOKUP($F581,Settings!$I$15:$I$20,Settings!$N$15:$N$20,1.1),0))</f>
        <v>1</v>
      </c>
      <c r="AH581" s="12">
        <f t="array" ref="AH581">IF($A581="","",ROUND($Y581*XLOOKUP($F581,Settings!$I$15:$I$20,Settings!$O$15:$O$20,1.1)*Settings!$J$7,0))</f>
        <v>1</v>
      </c>
      <c r="AI581" s="12">
        <f t="array" ref="AI581">IF($A581="","",IF($AA581="Sold","",MIN($AH581,IFERROR(XLOOKUP(Settings!$B$12,Managers!$B$4:$B$15,Managers!$H$4:$H$15),$AH581))))</f>
        <v>1</v>
      </c>
      <c r="AJ581" s="12" t="str">
        <f t="shared" si="3"/>
        <v>Budget Drainer</v>
      </c>
      <c r="AK581" s="12">
        <f t="shared" si="4"/>
        <v>28</v>
      </c>
      <c r="AL581" s="12" t="str">
        <f t="shared" si="5"/>
        <v/>
      </c>
    </row>
    <row r="582" ht="15.75" customHeight="1">
      <c r="A582" s="10" t="s">
        <v>1445</v>
      </c>
      <c r="B582" s="10" t="s">
        <v>1446</v>
      </c>
      <c r="C582" s="10" t="s">
        <v>566</v>
      </c>
      <c r="D582" s="10" t="s">
        <v>123</v>
      </c>
      <c r="E582" s="10" t="s">
        <v>123</v>
      </c>
      <c r="F582" s="10" t="s">
        <v>117</v>
      </c>
      <c r="G582" s="10">
        <v>5.0</v>
      </c>
      <c r="H582" s="10">
        <v>7.0</v>
      </c>
      <c r="I582" s="10" t="s">
        <v>2140</v>
      </c>
      <c r="J582" s="10" t="s">
        <v>2136</v>
      </c>
      <c r="K582" s="10"/>
      <c r="L582" s="10">
        <v>0.0</v>
      </c>
      <c r="M582" s="10">
        <v>0.0</v>
      </c>
      <c r="N582" s="10"/>
      <c r="O582" s="10"/>
      <c r="P582" s="12">
        <f>IF($A582="","",IFERROR((IF($O582="",0,$O582)*Settings!$J$4+IF($L582="",0,$L582)*Settings!$J$5+IF($N582="",0,$N582)*Settings!$J$6)/(IF($O582="",0,Settings!$J$4)+IF($L582="",0,Settings!$J$5)+IF($N582="",0,Settings!$J$6)),0))</f>
        <v>0</v>
      </c>
      <c r="Q582" s="12">
        <f t="array" ref="Q582">IF($A582="","",XLOOKUP($E582,Settings!$A$19:$A$22,Settings!$G$19:$G$22,0))</f>
        <v>203</v>
      </c>
      <c r="R582" s="12">
        <f t="shared" si="1"/>
        <v>0</v>
      </c>
      <c r="S582" s="12">
        <f>IF($A582="","",IF($R582&lt;=0,1,1+$R582/SUMIF($R$4:$R$923,"&gt;0",$R$4:$R$923)*(Settings!$B$5*(Settings!$B$6-Settings!$B$7))))</f>
        <v>1</v>
      </c>
      <c r="T582" s="12">
        <f t="array" ref="T582">IF($A582="","",XLOOKUP($F582,Settings!$I$15:$I$20,Settings!$J$15:$J$20,1))</f>
        <v>0.75</v>
      </c>
      <c r="U582" s="12">
        <f>IF($A582="","",1+(($G582-5)/5)*Settings!$J$8)</f>
        <v>1</v>
      </c>
      <c r="V582" s="12">
        <f>IF($A582="","",1+(($H582-5)/5)*Settings!$J$9)</f>
        <v>1.06</v>
      </c>
      <c r="W582" s="12">
        <f t="array" ref="W582">IF($A582="","",XLOOKUP($J582,Lists!$C$3:$C$7,Lists!$D$3:$D$7,1))</f>
        <v>1</v>
      </c>
      <c r="X582" s="12">
        <f>IF($A582="","",IF($I582="Yes",Settings!$J$10,1))</f>
        <v>1</v>
      </c>
      <c r="Y582" s="12">
        <f t="shared" si="2"/>
        <v>1</v>
      </c>
      <c r="Z582" s="12">
        <f>IF($A582="","",IFERROR(ROUND(AVERAGEIFS('Historical Drafts'!$G$4:$G$300,'Historical Drafts'!$D$4:$D$300,$E582,'Historical Drafts'!$J$4:$J$300,"&gt;="&amp;$L582*0.85,'Historical Drafts'!$J$4:$J$300,"&lt;="&amp;$L582*1.15),0),$Y582))</f>
        <v>3</v>
      </c>
      <c r="AA582" s="12" t="str">
        <f>IF($A582="","",IF(COUNTIF('Auction Log'!$B$3:$B$300,$A582)&gt;0,"Sold","Available"))</f>
        <v>Available</v>
      </c>
      <c r="AB582" s="12" t="str">
        <f t="array" ref="AB582">IF($A582="","",IFERROR(XLOOKUP($A582,'Auction Log'!$B$3:$B$300,'Auction Log'!$G$3:$G$300,""),""))</f>
        <v/>
      </c>
      <c r="AC582" s="12" t="str">
        <f t="array" ref="AC582">IF($A582="","",IFERROR(XLOOKUP($A582,'Auction Log'!$B$3:$B$300,'Auction Log'!$F$3:$F$300,""),""))</f>
        <v/>
      </c>
      <c r="AD582" s="12">
        <f t="array" ref="AD582">IF($A582="","",ROUND($Y582*XLOOKUP($F582,Settings!$I$15:$I$20,Settings!$K$15:$K$20,0.4),0))</f>
        <v>0</v>
      </c>
      <c r="AE582" s="12">
        <f t="array" ref="AE582">IF($A582="","",ROUND($Y582*XLOOKUP($F582,Settings!$I$15:$I$20,Settings!$L$15:$L$20,0.8),0))</f>
        <v>1</v>
      </c>
      <c r="AF582" s="12">
        <f t="array" ref="AF582">IF($A582="","",ROUND($Y582*XLOOKUP($F582,Settings!$I$15:$I$20,Settings!$M$15:$M$20,1),0))</f>
        <v>1</v>
      </c>
      <c r="AG582" s="12">
        <f t="array" ref="AG582">IF($A582="","",ROUND($Y582*XLOOKUP($F582,Settings!$I$15:$I$20,Settings!$N$15:$N$20,1.1),0))</f>
        <v>1</v>
      </c>
      <c r="AH582" s="12">
        <f t="array" ref="AH582">IF($A582="","",ROUND($Y582*XLOOKUP($F582,Settings!$I$15:$I$20,Settings!$O$15:$O$20,1.1)*Settings!$J$7,0))</f>
        <v>1</v>
      </c>
      <c r="AI582" s="12">
        <f t="array" ref="AI582">IF($A582="","",IF($AA582="Sold","",MIN($AH582,IFERROR(XLOOKUP(Settings!$B$12,Managers!$B$4:$B$15,Managers!$H$4:$H$15),$AH582))))</f>
        <v>1</v>
      </c>
      <c r="AJ582" s="12" t="str">
        <f t="shared" si="3"/>
        <v>Budget Drainer</v>
      </c>
      <c r="AK582" s="12">
        <f t="shared" si="4"/>
        <v>28</v>
      </c>
      <c r="AL582" s="12" t="str">
        <f t="shared" si="5"/>
        <v/>
      </c>
    </row>
    <row r="583" ht="15.75" customHeight="1">
      <c r="A583" s="10" t="s">
        <v>1447</v>
      </c>
      <c r="B583" s="10" t="s">
        <v>1448</v>
      </c>
      <c r="C583" s="10" t="s">
        <v>566</v>
      </c>
      <c r="D583" s="10" t="s">
        <v>121</v>
      </c>
      <c r="E583" s="10" t="s">
        <v>121</v>
      </c>
      <c r="F583" s="10" t="s">
        <v>117</v>
      </c>
      <c r="G583" s="10">
        <v>5.0</v>
      </c>
      <c r="H583" s="10">
        <v>7.0</v>
      </c>
      <c r="I583" s="10" t="s">
        <v>2140</v>
      </c>
      <c r="J583" s="10" t="s">
        <v>2136</v>
      </c>
      <c r="K583" s="10"/>
      <c r="L583" s="10">
        <v>0.0</v>
      </c>
      <c r="M583" s="10">
        <v>0.0</v>
      </c>
      <c r="N583" s="10"/>
      <c r="O583" s="10"/>
      <c r="P583" s="12">
        <f>IF($A583="","",IFERROR((IF($O583="",0,$O583)*Settings!$J$4+IF($L583="",0,$L583)*Settings!$J$5+IF($N583="",0,$N583)*Settings!$J$6)/(IF($O583="",0,Settings!$J$4)+IF($L583="",0,Settings!$J$5)+IF($N583="",0,Settings!$J$6)),0))</f>
        <v>0</v>
      </c>
      <c r="Q583" s="12">
        <f t="array" ref="Q583">IF($A583="","",XLOOKUP($E583,Settings!$A$19:$A$22,Settings!$G$19:$G$22,0))</f>
        <v>206</v>
      </c>
      <c r="R583" s="12">
        <f t="shared" si="1"/>
        <v>0</v>
      </c>
      <c r="S583" s="12">
        <f>IF($A583="","",IF($R583&lt;=0,1,1+$R583/SUMIF($R$4:$R$923,"&gt;0",$R$4:$R$923)*(Settings!$B$5*(Settings!$B$6-Settings!$B$7))))</f>
        <v>1</v>
      </c>
      <c r="T583" s="12">
        <f t="array" ref="T583">IF($A583="","",XLOOKUP($F583,Settings!$I$15:$I$20,Settings!$J$15:$J$20,1))</f>
        <v>0.75</v>
      </c>
      <c r="U583" s="12">
        <f>IF($A583="","",1+(($G583-5)/5)*Settings!$J$8)</f>
        <v>1</v>
      </c>
      <c r="V583" s="12">
        <f>IF($A583="","",1+(($H583-5)/5)*Settings!$J$9)</f>
        <v>1.06</v>
      </c>
      <c r="W583" s="12">
        <f t="array" ref="W583">IF($A583="","",XLOOKUP($J583,Lists!$C$3:$C$7,Lists!$D$3:$D$7,1))</f>
        <v>1</v>
      </c>
      <c r="X583" s="12">
        <f>IF($A583="","",IF($I583="Yes",Settings!$J$10,1))</f>
        <v>1</v>
      </c>
      <c r="Y583" s="12">
        <f t="shared" si="2"/>
        <v>1</v>
      </c>
      <c r="Z583" s="12">
        <f>IF($A583="","",IFERROR(ROUND(AVERAGEIFS('Historical Drafts'!$G$4:$G$300,'Historical Drafts'!$D$4:$D$300,$E583,'Historical Drafts'!$J$4:$J$300,"&gt;="&amp;$L583*0.85,'Historical Drafts'!$J$4:$J$300,"&lt;="&amp;$L583*1.15),0),$Y583))</f>
        <v>3</v>
      </c>
      <c r="AA583" s="12" t="str">
        <f>IF($A583="","",IF(COUNTIF('Auction Log'!$B$3:$B$300,$A583)&gt;0,"Sold","Available"))</f>
        <v>Available</v>
      </c>
      <c r="AB583" s="12" t="str">
        <f t="array" ref="AB583">IF($A583="","",IFERROR(XLOOKUP($A583,'Auction Log'!$B$3:$B$300,'Auction Log'!$G$3:$G$300,""),""))</f>
        <v/>
      </c>
      <c r="AC583" s="12" t="str">
        <f t="array" ref="AC583">IF($A583="","",IFERROR(XLOOKUP($A583,'Auction Log'!$B$3:$B$300,'Auction Log'!$F$3:$F$300,""),""))</f>
        <v/>
      </c>
      <c r="AD583" s="12">
        <f t="array" ref="AD583">IF($A583="","",ROUND($Y583*XLOOKUP($F583,Settings!$I$15:$I$20,Settings!$K$15:$K$20,0.4),0))</f>
        <v>0</v>
      </c>
      <c r="AE583" s="12">
        <f t="array" ref="AE583">IF($A583="","",ROUND($Y583*XLOOKUP($F583,Settings!$I$15:$I$20,Settings!$L$15:$L$20,0.8),0))</f>
        <v>1</v>
      </c>
      <c r="AF583" s="12">
        <f t="array" ref="AF583">IF($A583="","",ROUND($Y583*XLOOKUP($F583,Settings!$I$15:$I$20,Settings!$M$15:$M$20,1),0))</f>
        <v>1</v>
      </c>
      <c r="AG583" s="12">
        <f t="array" ref="AG583">IF($A583="","",ROUND($Y583*XLOOKUP($F583,Settings!$I$15:$I$20,Settings!$N$15:$N$20,1.1),0))</f>
        <v>1</v>
      </c>
      <c r="AH583" s="12">
        <f t="array" ref="AH583">IF($A583="","",ROUND($Y583*XLOOKUP($F583,Settings!$I$15:$I$20,Settings!$O$15:$O$20,1.1)*Settings!$J$7,0))</f>
        <v>1</v>
      </c>
      <c r="AI583" s="12">
        <f t="array" ref="AI583">IF($A583="","",IF($AA583="Sold","",MIN($AH583,IFERROR(XLOOKUP(Settings!$B$12,Managers!$B$4:$B$15,Managers!$H$4:$H$15),$AH583))))</f>
        <v>1</v>
      </c>
      <c r="AJ583" s="12" t="str">
        <f t="shared" si="3"/>
        <v>Budget Drainer</v>
      </c>
      <c r="AK583" s="12">
        <f t="shared" si="4"/>
        <v>28</v>
      </c>
      <c r="AL583" s="12" t="str">
        <f t="shared" si="5"/>
        <v/>
      </c>
    </row>
    <row r="584" ht="15.75" customHeight="1">
      <c r="A584" s="10" t="s">
        <v>1449</v>
      </c>
      <c r="B584" s="10" t="s">
        <v>1448</v>
      </c>
      <c r="C584" s="10" t="s">
        <v>566</v>
      </c>
      <c r="D584" s="10" t="s">
        <v>121</v>
      </c>
      <c r="E584" s="10" t="s">
        <v>121</v>
      </c>
      <c r="F584" s="10" t="s">
        <v>117</v>
      </c>
      <c r="G584" s="10">
        <v>5.0</v>
      </c>
      <c r="H584" s="10">
        <v>7.0</v>
      </c>
      <c r="I584" s="10" t="s">
        <v>2140</v>
      </c>
      <c r="J584" s="10" t="s">
        <v>2136</v>
      </c>
      <c r="K584" s="10"/>
      <c r="L584" s="10">
        <v>0.0</v>
      </c>
      <c r="M584" s="10">
        <v>0.0</v>
      </c>
      <c r="N584" s="10"/>
      <c r="O584" s="10"/>
      <c r="P584" s="12">
        <f>IF($A584="","",IFERROR((IF($O584="",0,$O584)*Settings!$J$4+IF($L584="",0,$L584)*Settings!$J$5+IF($N584="",0,$N584)*Settings!$J$6)/(IF($O584="",0,Settings!$J$4)+IF($L584="",0,Settings!$J$5)+IF($N584="",0,Settings!$J$6)),0))</f>
        <v>0</v>
      </c>
      <c r="Q584" s="12">
        <f t="array" ref="Q584">IF($A584="","",XLOOKUP($E584,Settings!$A$19:$A$22,Settings!$G$19:$G$22,0))</f>
        <v>206</v>
      </c>
      <c r="R584" s="12">
        <f t="shared" si="1"/>
        <v>0</v>
      </c>
      <c r="S584" s="12">
        <f>IF($A584="","",IF($R584&lt;=0,1,1+$R584/SUMIF($R$4:$R$923,"&gt;0",$R$4:$R$923)*(Settings!$B$5*(Settings!$B$6-Settings!$B$7))))</f>
        <v>1</v>
      </c>
      <c r="T584" s="12">
        <f t="array" ref="T584">IF($A584="","",XLOOKUP($F584,Settings!$I$15:$I$20,Settings!$J$15:$J$20,1))</f>
        <v>0.75</v>
      </c>
      <c r="U584" s="12">
        <f>IF($A584="","",1+(($G584-5)/5)*Settings!$J$8)</f>
        <v>1</v>
      </c>
      <c r="V584" s="12">
        <f>IF($A584="","",1+(($H584-5)/5)*Settings!$J$9)</f>
        <v>1.06</v>
      </c>
      <c r="W584" s="12">
        <f t="array" ref="W584">IF($A584="","",XLOOKUP($J584,Lists!$C$3:$C$7,Lists!$D$3:$D$7,1))</f>
        <v>1</v>
      </c>
      <c r="X584" s="12">
        <f>IF($A584="","",IF($I584="Yes",Settings!$J$10,1))</f>
        <v>1</v>
      </c>
      <c r="Y584" s="12">
        <f t="shared" si="2"/>
        <v>1</v>
      </c>
      <c r="Z584" s="12">
        <f>IF($A584="","",IFERROR(ROUND(AVERAGEIFS('Historical Drafts'!$G$4:$G$300,'Historical Drafts'!$D$4:$D$300,$E584,'Historical Drafts'!$J$4:$J$300,"&gt;="&amp;$L584*0.85,'Historical Drafts'!$J$4:$J$300,"&lt;="&amp;$L584*1.15),0),$Y584))</f>
        <v>3</v>
      </c>
      <c r="AA584" s="12" t="str">
        <f>IF($A584="","",IF(COUNTIF('Auction Log'!$B$3:$B$300,$A584)&gt;0,"Sold","Available"))</f>
        <v>Available</v>
      </c>
      <c r="AB584" s="12" t="str">
        <f t="array" ref="AB584">IF($A584="","",IFERROR(XLOOKUP($A584,'Auction Log'!$B$3:$B$300,'Auction Log'!$G$3:$G$300,""),""))</f>
        <v/>
      </c>
      <c r="AC584" s="12" t="str">
        <f t="array" ref="AC584">IF($A584="","",IFERROR(XLOOKUP($A584,'Auction Log'!$B$3:$B$300,'Auction Log'!$F$3:$F$300,""),""))</f>
        <v/>
      </c>
      <c r="AD584" s="12">
        <f t="array" ref="AD584">IF($A584="","",ROUND($Y584*XLOOKUP($F584,Settings!$I$15:$I$20,Settings!$K$15:$K$20,0.4),0))</f>
        <v>0</v>
      </c>
      <c r="AE584" s="12">
        <f t="array" ref="AE584">IF($A584="","",ROUND($Y584*XLOOKUP($F584,Settings!$I$15:$I$20,Settings!$L$15:$L$20,0.8),0))</f>
        <v>1</v>
      </c>
      <c r="AF584" s="12">
        <f t="array" ref="AF584">IF($A584="","",ROUND($Y584*XLOOKUP($F584,Settings!$I$15:$I$20,Settings!$M$15:$M$20,1),0))</f>
        <v>1</v>
      </c>
      <c r="AG584" s="12">
        <f t="array" ref="AG584">IF($A584="","",ROUND($Y584*XLOOKUP($F584,Settings!$I$15:$I$20,Settings!$N$15:$N$20,1.1),0))</f>
        <v>1</v>
      </c>
      <c r="AH584" s="12">
        <f t="array" ref="AH584">IF($A584="","",ROUND($Y584*XLOOKUP($F584,Settings!$I$15:$I$20,Settings!$O$15:$O$20,1.1)*Settings!$J$7,0))</f>
        <v>1</v>
      </c>
      <c r="AI584" s="12">
        <f t="array" ref="AI584">IF($A584="","",IF($AA584="Sold","",MIN($AH584,IFERROR(XLOOKUP(Settings!$B$12,Managers!$B$4:$B$15,Managers!$H$4:$H$15),$AH584))))</f>
        <v>1</v>
      </c>
      <c r="AJ584" s="12" t="str">
        <f t="shared" si="3"/>
        <v>Budget Drainer</v>
      </c>
      <c r="AK584" s="12">
        <f t="shared" si="4"/>
        <v>28</v>
      </c>
      <c r="AL584" s="12" t="str">
        <f t="shared" si="5"/>
        <v/>
      </c>
    </row>
    <row r="585" ht="15.75" customHeight="1">
      <c r="A585" s="10" t="s">
        <v>1450</v>
      </c>
      <c r="B585" s="10" t="s">
        <v>1451</v>
      </c>
      <c r="C585" s="10" t="s">
        <v>257</v>
      </c>
      <c r="D585" s="10" t="s">
        <v>121</v>
      </c>
      <c r="E585" s="10" t="s">
        <v>121</v>
      </c>
      <c r="F585" s="10" t="s">
        <v>117</v>
      </c>
      <c r="G585" s="10">
        <v>5.0</v>
      </c>
      <c r="H585" s="10">
        <v>7.0</v>
      </c>
      <c r="I585" s="10" t="s">
        <v>2140</v>
      </c>
      <c r="J585" s="10" t="s">
        <v>2136</v>
      </c>
      <c r="K585" s="10"/>
      <c r="L585" s="10">
        <v>0.0</v>
      </c>
      <c r="M585" s="10">
        <v>0.0</v>
      </c>
      <c r="N585" s="10"/>
      <c r="O585" s="10"/>
      <c r="P585" s="12">
        <f>IF($A585="","",IFERROR((IF($O585="",0,$O585)*Settings!$J$4+IF($L585="",0,$L585)*Settings!$J$5+IF($N585="",0,$N585)*Settings!$J$6)/(IF($O585="",0,Settings!$J$4)+IF($L585="",0,Settings!$J$5)+IF($N585="",0,Settings!$J$6)),0))</f>
        <v>0</v>
      </c>
      <c r="Q585" s="12">
        <f t="array" ref="Q585">IF($A585="","",XLOOKUP($E585,Settings!$A$19:$A$22,Settings!$G$19:$G$22,0))</f>
        <v>206</v>
      </c>
      <c r="R585" s="12">
        <f t="shared" si="1"/>
        <v>0</v>
      </c>
      <c r="S585" s="12">
        <f>IF($A585="","",IF($R585&lt;=0,1,1+$R585/SUMIF($R$4:$R$923,"&gt;0",$R$4:$R$923)*(Settings!$B$5*(Settings!$B$6-Settings!$B$7))))</f>
        <v>1</v>
      </c>
      <c r="T585" s="12">
        <f t="array" ref="T585">IF($A585="","",XLOOKUP($F585,Settings!$I$15:$I$20,Settings!$J$15:$J$20,1))</f>
        <v>0.75</v>
      </c>
      <c r="U585" s="12">
        <f>IF($A585="","",1+(($G585-5)/5)*Settings!$J$8)</f>
        <v>1</v>
      </c>
      <c r="V585" s="12">
        <f>IF($A585="","",1+(($H585-5)/5)*Settings!$J$9)</f>
        <v>1.06</v>
      </c>
      <c r="W585" s="12">
        <f t="array" ref="W585">IF($A585="","",XLOOKUP($J585,Lists!$C$3:$C$7,Lists!$D$3:$D$7,1))</f>
        <v>1</v>
      </c>
      <c r="X585" s="12">
        <f>IF($A585="","",IF($I585="Yes",Settings!$J$10,1))</f>
        <v>1</v>
      </c>
      <c r="Y585" s="12">
        <f t="shared" si="2"/>
        <v>1</v>
      </c>
      <c r="Z585" s="12">
        <f>IF($A585="","",IFERROR(ROUND(AVERAGEIFS('Historical Drafts'!$G$4:$G$300,'Historical Drafts'!$D$4:$D$300,$E585,'Historical Drafts'!$J$4:$J$300,"&gt;="&amp;$L585*0.85,'Historical Drafts'!$J$4:$J$300,"&lt;="&amp;$L585*1.15),0),$Y585))</f>
        <v>3</v>
      </c>
      <c r="AA585" s="12" t="str">
        <f>IF($A585="","",IF(COUNTIF('Auction Log'!$B$3:$B$300,$A585)&gt;0,"Sold","Available"))</f>
        <v>Available</v>
      </c>
      <c r="AB585" s="12" t="str">
        <f t="array" ref="AB585">IF($A585="","",IFERROR(XLOOKUP($A585,'Auction Log'!$B$3:$B$300,'Auction Log'!$G$3:$G$300,""),""))</f>
        <v/>
      </c>
      <c r="AC585" s="12" t="str">
        <f t="array" ref="AC585">IF($A585="","",IFERROR(XLOOKUP($A585,'Auction Log'!$B$3:$B$300,'Auction Log'!$F$3:$F$300,""),""))</f>
        <v/>
      </c>
      <c r="AD585" s="12">
        <f t="array" ref="AD585">IF($A585="","",ROUND($Y585*XLOOKUP($F585,Settings!$I$15:$I$20,Settings!$K$15:$K$20,0.4),0))</f>
        <v>0</v>
      </c>
      <c r="AE585" s="12">
        <f t="array" ref="AE585">IF($A585="","",ROUND($Y585*XLOOKUP($F585,Settings!$I$15:$I$20,Settings!$L$15:$L$20,0.8),0))</f>
        <v>1</v>
      </c>
      <c r="AF585" s="12">
        <f t="array" ref="AF585">IF($A585="","",ROUND($Y585*XLOOKUP($F585,Settings!$I$15:$I$20,Settings!$M$15:$M$20,1),0))</f>
        <v>1</v>
      </c>
      <c r="AG585" s="12">
        <f t="array" ref="AG585">IF($A585="","",ROUND($Y585*XLOOKUP($F585,Settings!$I$15:$I$20,Settings!$N$15:$N$20,1.1),0))</f>
        <v>1</v>
      </c>
      <c r="AH585" s="12">
        <f t="array" ref="AH585">IF($A585="","",ROUND($Y585*XLOOKUP($F585,Settings!$I$15:$I$20,Settings!$O$15:$O$20,1.1)*Settings!$J$7,0))</f>
        <v>1</v>
      </c>
      <c r="AI585" s="12">
        <f t="array" ref="AI585">IF($A585="","",IF($AA585="Sold","",MIN($AH585,IFERROR(XLOOKUP(Settings!$B$12,Managers!$B$4:$B$15,Managers!$H$4:$H$15),$AH585))))</f>
        <v>1</v>
      </c>
      <c r="AJ585" s="12" t="str">
        <f t="shared" si="3"/>
        <v>Budget Drainer</v>
      </c>
      <c r="AK585" s="12">
        <f t="shared" si="4"/>
        <v>28</v>
      </c>
      <c r="AL585" s="12" t="str">
        <f t="shared" si="5"/>
        <v/>
      </c>
    </row>
    <row r="586" ht="15.75" customHeight="1">
      <c r="A586" s="10" t="s">
        <v>1452</v>
      </c>
      <c r="B586" s="10" t="s">
        <v>1453</v>
      </c>
      <c r="C586" s="10" t="s">
        <v>180</v>
      </c>
      <c r="D586" s="10" t="s">
        <v>121</v>
      </c>
      <c r="E586" s="10" t="s">
        <v>121</v>
      </c>
      <c r="F586" s="10" t="s">
        <v>117</v>
      </c>
      <c r="G586" s="10">
        <v>5.0</v>
      </c>
      <c r="H586" s="10">
        <v>7.0</v>
      </c>
      <c r="I586" s="10" t="s">
        <v>2140</v>
      </c>
      <c r="J586" s="10" t="s">
        <v>2136</v>
      </c>
      <c r="K586" s="10"/>
      <c r="L586" s="10">
        <v>0.0</v>
      </c>
      <c r="M586" s="10">
        <v>0.0</v>
      </c>
      <c r="N586" s="10"/>
      <c r="O586" s="10"/>
      <c r="P586" s="12">
        <f>IF($A586="","",IFERROR((IF($O586="",0,$O586)*Settings!$J$4+IF($L586="",0,$L586)*Settings!$J$5+IF($N586="",0,$N586)*Settings!$J$6)/(IF($O586="",0,Settings!$J$4)+IF($L586="",0,Settings!$J$5)+IF($N586="",0,Settings!$J$6)),0))</f>
        <v>0</v>
      </c>
      <c r="Q586" s="12">
        <f t="array" ref="Q586">IF($A586="","",XLOOKUP($E586,Settings!$A$19:$A$22,Settings!$G$19:$G$22,0))</f>
        <v>206</v>
      </c>
      <c r="R586" s="12">
        <f t="shared" si="1"/>
        <v>0</v>
      </c>
      <c r="S586" s="12">
        <f>IF($A586="","",IF($R586&lt;=0,1,1+$R586/SUMIF($R$4:$R$923,"&gt;0",$R$4:$R$923)*(Settings!$B$5*(Settings!$B$6-Settings!$B$7))))</f>
        <v>1</v>
      </c>
      <c r="T586" s="12">
        <f t="array" ref="T586">IF($A586="","",XLOOKUP($F586,Settings!$I$15:$I$20,Settings!$J$15:$J$20,1))</f>
        <v>0.75</v>
      </c>
      <c r="U586" s="12">
        <f>IF($A586="","",1+(($G586-5)/5)*Settings!$J$8)</f>
        <v>1</v>
      </c>
      <c r="V586" s="12">
        <f>IF($A586="","",1+(($H586-5)/5)*Settings!$J$9)</f>
        <v>1.06</v>
      </c>
      <c r="W586" s="12">
        <f t="array" ref="W586">IF($A586="","",XLOOKUP($J586,Lists!$C$3:$C$7,Lists!$D$3:$D$7,1))</f>
        <v>1</v>
      </c>
      <c r="X586" s="12">
        <f>IF($A586="","",IF($I586="Yes",Settings!$J$10,1))</f>
        <v>1</v>
      </c>
      <c r="Y586" s="12">
        <f t="shared" si="2"/>
        <v>1</v>
      </c>
      <c r="Z586" s="12">
        <f>IF($A586="","",IFERROR(ROUND(AVERAGEIFS('Historical Drafts'!$G$4:$G$300,'Historical Drafts'!$D$4:$D$300,$E586,'Historical Drafts'!$J$4:$J$300,"&gt;="&amp;$L586*0.85,'Historical Drafts'!$J$4:$J$300,"&lt;="&amp;$L586*1.15),0),$Y586))</f>
        <v>3</v>
      </c>
      <c r="AA586" s="12" t="str">
        <f>IF($A586="","",IF(COUNTIF('Auction Log'!$B$3:$B$300,$A586)&gt;0,"Sold","Available"))</f>
        <v>Available</v>
      </c>
      <c r="AB586" s="12" t="str">
        <f t="array" ref="AB586">IF($A586="","",IFERROR(XLOOKUP($A586,'Auction Log'!$B$3:$B$300,'Auction Log'!$G$3:$G$300,""),""))</f>
        <v/>
      </c>
      <c r="AC586" s="12" t="str">
        <f t="array" ref="AC586">IF($A586="","",IFERROR(XLOOKUP($A586,'Auction Log'!$B$3:$B$300,'Auction Log'!$F$3:$F$300,""),""))</f>
        <v/>
      </c>
      <c r="AD586" s="12">
        <f t="array" ref="AD586">IF($A586="","",ROUND($Y586*XLOOKUP($F586,Settings!$I$15:$I$20,Settings!$K$15:$K$20,0.4),0))</f>
        <v>0</v>
      </c>
      <c r="AE586" s="12">
        <f t="array" ref="AE586">IF($A586="","",ROUND($Y586*XLOOKUP($F586,Settings!$I$15:$I$20,Settings!$L$15:$L$20,0.8),0))</f>
        <v>1</v>
      </c>
      <c r="AF586" s="12">
        <f t="array" ref="AF586">IF($A586="","",ROUND($Y586*XLOOKUP($F586,Settings!$I$15:$I$20,Settings!$M$15:$M$20,1),0))</f>
        <v>1</v>
      </c>
      <c r="AG586" s="12">
        <f t="array" ref="AG586">IF($A586="","",ROUND($Y586*XLOOKUP($F586,Settings!$I$15:$I$20,Settings!$N$15:$N$20,1.1),0))</f>
        <v>1</v>
      </c>
      <c r="AH586" s="12">
        <f t="array" ref="AH586">IF($A586="","",ROUND($Y586*XLOOKUP($F586,Settings!$I$15:$I$20,Settings!$O$15:$O$20,1.1)*Settings!$J$7,0))</f>
        <v>1</v>
      </c>
      <c r="AI586" s="12">
        <f t="array" ref="AI586">IF($A586="","",IF($AA586="Sold","",MIN($AH586,IFERROR(XLOOKUP(Settings!$B$12,Managers!$B$4:$B$15,Managers!$H$4:$H$15),$AH586))))</f>
        <v>1</v>
      </c>
      <c r="AJ586" s="12" t="str">
        <f t="shared" si="3"/>
        <v>Budget Drainer</v>
      </c>
      <c r="AK586" s="12">
        <f t="shared" si="4"/>
        <v>28</v>
      </c>
      <c r="AL586" s="12" t="str">
        <f t="shared" si="5"/>
        <v/>
      </c>
    </row>
    <row r="587" ht="15.75" customHeight="1">
      <c r="A587" s="10" t="s">
        <v>1454</v>
      </c>
      <c r="B587" s="10" t="s">
        <v>1455</v>
      </c>
      <c r="C587" s="10" t="s">
        <v>185</v>
      </c>
      <c r="D587" s="10" t="s">
        <v>121</v>
      </c>
      <c r="E587" s="10" t="s">
        <v>121</v>
      </c>
      <c r="F587" s="10" t="s">
        <v>117</v>
      </c>
      <c r="G587" s="10">
        <v>5.0</v>
      </c>
      <c r="H587" s="10">
        <v>7.0</v>
      </c>
      <c r="I587" s="10" t="s">
        <v>2140</v>
      </c>
      <c r="J587" s="10" t="s">
        <v>2136</v>
      </c>
      <c r="K587" s="10"/>
      <c r="L587" s="10">
        <v>0.0</v>
      </c>
      <c r="M587" s="10">
        <v>0.0</v>
      </c>
      <c r="N587" s="10"/>
      <c r="O587" s="10"/>
      <c r="P587" s="12">
        <f>IF($A587="","",IFERROR((IF($O587="",0,$O587)*Settings!$J$4+IF($L587="",0,$L587)*Settings!$J$5+IF($N587="",0,$N587)*Settings!$J$6)/(IF($O587="",0,Settings!$J$4)+IF($L587="",0,Settings!$J$5)+IF($N587="",0,Settings!$J$6)),0))</f>
        <v>0</v>
      </c>
      <c r="Q587" s="12">
        <f t="array" ref="Q587">IF($A587="","",XLOOKUP($E587,Settings!$A$19:$A$22,Settings!$G$19:$G$22,0))</f>
        <v>206</v>
      </c>
      <c r="R587" s="12">
        <f t="shared" si="1"/>
        <v>0</v>
      </c>
      <c r="S587" s="12">
        <f>IF($A587="","",IF($R587&lt;=0,1,1+$R587/SUMIF($R$4:$R$923,"&gt;0",$R$4:$R$923)*(Settings!$B$5*(Settings!$B$6-Settings!$B$7))))</f>
        <v>1</v>
      </c>
      <c r="T587" s="12">
        <f t="array" ref="T587">IF($A587="","",XLOOKUP($F587,Settings!$I$15:$I$20,Settings!$J$15:$J$20,1))</f>
        <v>0.75</v>
      </c>
      <c r="U587" s="12">
        <f>IF($A587="","",1+(($G587-5)/5)*Settings!$J$8)</f>
        <v>1</v>
      </c>
      <c r="V587" s="12">
        <f>IF($A587="","",1+(($H587-5)/5)*Settings!$J$9)</f>
        <v>1.06</v>
      </c>
      <c r="W587" s="12">
        <f t="array" ref="W587">IF($A587="","",XLOOKUP($J587,Lists!$C$3:$C$7,Lists!$D$3:$D$7,1))</f>
        <v>1</v>
      </c>
      <c r="X587" s="12">
        <f>IF($A587="","",IF($I587="Yes",Settings!$J$10,1))</f>
        <v>1</v>
      </c>
      <c r="Y587" s="12">
        <f t="shared" si="2"/>
        <v>1</v>
      </c>
      <c r="Z587" s="12">
        <f>IF($A587="","",IFERROR(ROUND(AVERAGEIFS('Historical Drafts'!$G$4:$G$300,'Historical Drafts'!$D$4:$D$300,$E587,'Historical Drafts'!$J$4:$J$300,"&gt;="&amp;$L587*0.85,'Historical Drafts'!$J$4:$J$300,"&lt;="&amp;$L587*1.15),0),$Y587))</f>
        <v>3</v>
      </c>
      <c r="AA587" s="12" t="str">
        <f>IF($A587="","",IF(COUNTIF('Auction Log'!$B$3:$B$300,$A587)&gt;0,"Sold","Available"))</f>
        <v>Available</v>
      </c>
      <c r="AB587" s="12" t="str">
        <f t="array" ref="AB587">IF($A587="","",IFERROR(XLOOKUP($A587,'Auction Log'!$B$3:$B$300,'Auction Log'!$G$3:$G$300,""),""))</f>
        <v/>
      </c>
      <c r="AC587" s="12" t="str">
        <f t="array" ref="AC587">IF($A587="","",IFERROR(XLOOKUP($A587,'Auction Log'!$B$3:$B$300,'Auction Log'!$F$3:$F$300,""),""))</f>
        <v/>
      </c>
      <c r="AD587" s="12">
        <f t="array" ref="AD587">IF($A587="","",ROUND($Y587*XLOOKUP($F587,Settings!$I$15:$I$20,Settings!$K$15:$K$20,0.4),0))</f>
        <v>0</v>
      </c>
      <c r="AE587" s="12">
        <f t="array" ref="AE587">IF($A587="","",ROUND($Y587*XLOOKUP($F587,Settings!$I$15:$I$20,Settings!$L$15:$L$20,0.8),0))</f>
        <v>1</v>
      </c>
      <c r="AF587" s="12">
        <f t="array" ref="AF587">IF($A587="","",ROUND($Y587*XLOOKUP($F587,Settings!$I$15:$I$20,Settings!$M$15:$M$20,1),0))</f>
        <v>1</v>
      </c>
      <c r="AG587" s="12">
        <f t="array" ref="AG587">IF($A587="","",ROUND($Y587*XLOOKUP($F587,Settings!$I$15:$I$20,Settings!$N$15:$N$20,1.1),0))</f>
        <v>1</v>
      </c>
      <c r="AH587" s="12">
        <f t="array" ref="AH587">IF($A587="","",ROUND($Y587*XLOOKUP($F587,Settings!$I$15:$I$20,Settings!$O$15:$O$20,1.1)*Settings!$J$7,0))</f>
        <v>1</v>
      </c>
      <c r="AI587" s="12">
        <f t="array" ref="AI587">IF($A587="","",IF($AA587="Sold","",MIN($AH587,IFERROR(XLOOKUP(Settings!$B$12,Managers!$B$4:$B$15,Managers!$H$4:$H$15),$AH587))))</f>
        <v>1</v>
      </c>
      <c r="AJ587" s="12" t="str">
        <f t="shared" si="3"/>
        <v>Budget Drainer</v>
      </c>
      <c r="AK587" s="12">
        <f t="shared" si="4"/>
        <v>28</v>
      </c>
      <c r="AL587" s="12" t="str">
        <f t="shared" si="5"/>
        <v/>
      </c>
    </row>
    <row r="588" ht="15.75" customHeight="1">
      <c r="A588" s="10" t="s">
        <v>1456</v>
      </c>
      <c r="B588" s="10" t="s">
        <v>1457</v>
      </c>
      <c r="C588" s="10" t="s">
        <v>191</v>
      </c>
      <c r="D588" s="10" t="s">
        <v>121</v>
      </c>
      <c r="E588" s="10" t="s">
        <v>121</v>
      </c>
      <c r="F588" s="10" t="s">
        <v>117</v>
      </c>
      <c r="G588" s="10">
        <v>5.0</v>
      </c>
      <c r="H588" s="10">
        <v>7.0</v>
      </c>
      <c r="I588" s="10" t="s">
        <v>2140</v>
      </c>
      <c r="J588" s="10" t="s">
        <v>2136</v>
      </c>
      <c r="K588" s="10"/>
      <c r="L588" s="10">
        <v>0.0</v>
      </c>
      <c r="M588" s="10">
        <v>0.0</v>
      </c>
      <c r="N588" s="10"/>
      <c r="O588" s="10"/>
      <c r="P588" s="12">
        <f>IF($A588="","",IFERROR((IF($O588="",0,$O588)*Settings!$J$4+IF($L588="",0,$L588)*Settings!$J$5+IF($N588="",0,$N588)*Settings!$J$6)/(IF($O588="",0,Settings!$J$4)+IF($L588="",0,Settings!$J$5)+IF($N588="",0,Settings!$J$6)),0))</f>
        <v>0</v>
      </c>
      <c r="Q588" s="12">
        <f t="array" ref="Q588">IF($A588="","",XLOOKUP($E588,Settings!$A$19:$A$22,Settings!$G$19:$G$22,0))</f>
        <v>206</v>
      </c>
      <c r="R588" s="12">
        <f t="shared" si="1"/>
        <v>0</v>
      </c>
      <c r="S588" s="12">
        <f>IF($A588="","",IF($R588&lt;=0,1,1+$R588/SUMIF($R$4:$R$923,"&gt;0",$R$4:$R$923)*(Settings!$B$5*(Settings!$B$6-Settings!$B$7))))</f>
        <v>1</v>
      </c>
      <c r="T588" s="12">
        <f t="array" ref="T588">IF($A588="","",XLOOKUP($F588,Settings!$I$15:$I$20,Settings!$J$15:$J$20,1))</f>
        <v>0.75</v>
      </c>
      <c r="U588" s="12">
        <f>IF($A588="","",1+(($G588-5)/5)*Settings!$J$8)</f>
        <v>1</v>
      </c>
      <c r="V588" s="12">
        <f>IF($A588="","",1+(($H588-5)/5)*Settings!$J$9)</f>
        <v>1.06</v>
      </c>
      <c r="W588" s="12">
        <f t="array" ref="W588">IF($A588="","",XLOOKUP($J588,Lists!$C$3:$C$7,Lists!$D$3:$D$7,1))</f>
        <v>1</v>
      </c>
      <c r="X588" s="12">
        <f>IF($A588="","",IF($I588="Yes",Settings!$J$10,1))</f>
        <v>1</v>
      </c>
      <c r="Y588" s="12">
        <f t="shared" si="2"/>
        <v>1</v>
      </c>
      <c r="Z588" s="12">
        <f>IF($A588="","",IFERROR(ROUND(AVERAGEIFS('Historical Drafts'!$G$4:$G$300,'Historical Drafts'!$D$4:$D$300,$E588,'Historical Drafts'!$J$4:$J$300,"&gt;="&amp;$L588*0.85,'Historical Drafts'!$J$4:$J$300,"&lt;="&amp;$L588*1.15),0),$Y588))</f>
        <v>3</v>
      </c>
      <c r="AA588" s="12" t="str">
        <f>IF($A588="","",IF(COUNTIF('Auction Log'!$B$3:$B$300,$A588)&gt;0,"Sold","Available"))</f>
        <v>Available</v>
      </c>
      <c r="AB588" s="12" t="str">
        <f t="array" ref="AB588">IF($A588="","",IFERROR(XLOOKUP($A588,'Auction Log'!$B$3:$B$300,'Auction Log'!$G$3:$G$300,""),""))</f>
        <v/>
      </c>
      <c r="AC588" s="12" t="str">
        <f t="array" ref="AC588">IF($A588="","",IFERROR(XLOOKUP($A588,'Auction Log'!$B$3:$B$300,'Auction Log'!$F$3:$F$300,""),""))</f>
        <v/>
      </c>
      <c r="AD588" s="12">
        <f t="array" ref="AD588">IF($A588="","",ROUND($Y588*XLOOKUP($F588,Settings!$I$15:$I$20,Settings!$K$15:$K$20,0.4),0))</f>
        <v>0</v>
      </c>
      <c r="AE588" s="12">
        <f t="array" ref="AE588">IF($A588="","",ROUND($Y588*XLOOKUP($F588,Settings!$I$15:$I$20,Settings!$L$15:$L$20,0.8),0))</f>
        <v>1</v>
      </c>
      <c r="AF588" s="12">
        <f t="array" ref="AF588">IF($A588="","",ROUND($Y588*XLOOKUP($F588,Settings!$I$15:$I$20,Settings!$M$15:$M$20,1),0))</f>
        <v>1</v>
      </c>
      <c r="AG588" s="12">
        <f t="array" ref="AG588">IF($A588="","",ROUND($Y588*XLOOKUP($F588,Settings!$I$15:$I$20,Settings!$N$15:$N$20,1.1),0))</f>
        <v>1</v>
      </c>
      <c r="AH588" s="12">
        <f t="array" ref="AH588">IF($A588="","",ROUND($Y588*XLOOKUP($F588,Settings!$I$15:$I$20,Settings!$O$15:$O$20,1.1)*Settings!$J$7,0))</f>
        <v>1</v>
      </c>
      <c r="AI588" s="12">
        <f t="array" ref="AI588">IF($A588="","",IF($AA588="Sold","",MIN($AH588,IFERROR(XLOOKUP(Settings!$B$12,Managers!$B$4:$B$15,Managers!$H$4:$H$15),$AH588))))</f>
        <v>1</v>
      </c>
      <c r="AJ588" s="12" t="str">
        <f t="shared" si="3"/>
        <v>Budget Drainer</v>
      </c>
      <c r="AK588" s="12">
        <f t="shared" si="4"/>
        <v>28</v>
      </c>
      <c r="AL588" s="12" t="str">
        <f t="shared" si="5"/>
        <v/>
      </c>
    </row>
    <row r="589" ht="15.75" customHeight="1">
      <c r="A589" s="10" t="s">
        <v>1458</v>
      </c>
      <c r="B589" s="10" t="s">
        <v>1459</v>
      </c>
      <c r="C589" s="10" t="s">
        <v>226</v>
      </c>
      <c r="D589" s="10" t="s">
        <v>123</v>
      </c>
      <c r="E589" s="10" t="s">
        <v>123</v>
      </c>
      <c r="F589" s="10" t="s">
        <v>117</v>
      </c>
      <c r="G589" s="10">
        <v>5.0</v>
      </c>
      <c r="H589" s="10">
        <v>7.0</v>
      </c>
      <c r="I589" s="10" t="s">
        <v>2140</v>
      </c>
      <c r="J589" s="10" t="s">
        <v>2136</v>
      </c>
      <c r="K589" s="10"/>
      <c r="L589" s="10">
        <v>0.0</v>
      </c>
      <c r="M589" s="10">
        <v>0.0</v>
      </c>
      <c r="N589" s="10"/>
      <c r="O589" s="10"/>
      <c r="P589" s="12">
        <f>IF($A589="","",IFERROR((IF($O589="",0,$O589)*Settings!$J$4+IF($L589="",0,$L589)*Settings!$J$5+IF($N589="",0,$N589)*Settings!$J$6)/(IF($O589="",0,Settings!$J$4)+IF($L589="",0,Settings!$J$5)+IF($N589="",0,Settings!$J$6)),0))</f>
        <v>0</v>
      </c>
      <c r="Q589" s="12">
        <f t="array" ref="Q589">IF($A589="","",XLOOKUP($E589,Settings!$A$19:$A$22,Settings!$G$19:$G$22,0))</f>
        <v>203</v>
      </c>
      <c r="R589" s="12">
        <f t="shared" si="1"/>
        <v>0</v>
      </c>
      <c r="S589" s="12">
        <f>IF($A589="","",IF($R589&lt;=0,1,1+$R589/SUMIF($R$4:$R$923,"&gt;0",$R$4:$R$923)*(Settings!$B$5*(Settings!$B$6-Settings!$B$7))))</f>
        <v>1</v>
      </c>
      <c r="T589" s="12">
        <f t="array" ref="T589">IF($A589="","",XLOOKUP($F589,Settings!$I$15:$I$20,Settings!$J$15:$J$20,1))</f>
        <v>0.75</v>
      </c>
      <c r="U589" s="12">
        <f>IF($A589="","",1+(($G589-5)/5)*Settings!$J$8)</f>
        <v>1</v>
      </c>
      <c r="V589" s="12">
        <f>IF($A589="","",1+(($H589-5)/5)*Settings!$J$9)</f>
        <v>1.06</v>
      </c>
      <c r="W589" s="12">
        <f t="array" ref="W589">IF($A589="","",XLOOKUP($J589,Lists!$C$3:$C$7,Lists!$D$3:$D$7,1))</f>
        <v>1</v>
      </c>
      <c r="X589" s="12">
        <f>IF($A589="","",IF($I589="Yes",Settings!$J$10,1))</f>
        <v>1</v>
      </c>
      <c r="Y589" s="12">
        <f t="shared" si="2"/>
        <v>1</v>
      </c>
      <c r="Z589" s="12">
        <f>IF($A589="","",IFERROR(ROUND(AVERAGEIFS('Historical Drafts'!$G$4:$G$300,'Historical Drafts'!$D$4:$D$300,$E589,'Historical Drafts'!$J$4:$J$300,"&gt;="&amp;$L589*0.85,'Historical Drafts'!$J$4:$J$300,"&lt;="&amp;$L589*1.15),0),$Y589))</f>
        <v>3</v>
      </c>
      <c r="AA589" s="12" t="str">
        <f>IF($A589="","",IF(COUNTIF('Auction Log'!$B$3:$B$300,$A589)&gt;0,"Sold","Available"))</f>
        <v>Available</v>
      </c>
      <c r="AB589" s="12" t="str">
        <f t="array" ref="AB589">IF($A589="","",IFERROR(XLOOKUP($A589,'Auction Log'!$B$3:$B$300,'Auction Log'!$G$3:$G$300,""),""))</f>
        <v/>
      </c>
      <c r="AC589" s="12" t="str">
        <f t="array" ref="AC589">IF($A589="","",IFERROR(XLOOKUP($A589,'Auction Log'!$B$3:$B$300,'Auction Log'!$F$3:$F$300,""),""))</f>
        <v/>
      </c>
      <c r="AD589" s="12">
        <f t="array" ref="AD589">IF($A589="","",ROUND($Y589*XLOOKUP($F589,Settings!$I$15:$I$20,Settings!$K$15:$K$20,0.4),0))</f>
        <v>0</v>
      </c>
      <c r="AE589" s="12">
        <f t="array" ref="AE589">IF($A589="","",ROUND($Y589*XLOOKUP($F589,Settings!$I$15:$I$20,Settings!$L$15:$L$20,0.8),0))</f>
        <v>1</v>
      </c>
      <c r="AF589" s="12">
        <f t="array" ref="AF589">IF($A589="","",ROUND($Y589*XLOOKUP($F589,Settings!$I$15:$I$20,Settings!$M$15:$M$20,1),0))</f>
        <v>1</v>
      </c>
      <c r="AG589" s="12">
        <f t="array" ref="AG589">IF($A589="","",ROUND($Y589*XLOOKUP($F589,Settings!$I$15:$I$20,Settings!$N$15:$N$20,1.1),0))</f>
        <v>1</v>
      </c>
      <c r="AH589" s="12">
        <f t="array" ref="AH589">IF($A589="","",ROUND($Y589*XLOOKUP($F589,Settings!$I$15:$I$20,Settings!$O$15:$O$20,1.1)*Settings!$J$7,0))</f>
        <v>1</v>
      </c>
      <c r="AI589" s="12">
        <f t="array" ref="AI589">IF($A589="","",IF($AA589="Sold","",MIN($AH589,IFERROR(XLOOKUP(Settings!$B$12,Managers!$B$4:$B$15,Managers!$H$4:$H$15),$AH589))))</f>
        <v>1</v>
      </c>
      <c r="AJ589" s="12" t="str">
        <f t="shared" si="3"/>
        <v>Budget Drainer</v>
      </c>
      <c r="AK589" s="12">
        <f t="shared" si="4"/>
        <v>28</v>
      </c>
      <c r="AL589" s="12" t="str">
        <f t="shared" si="5"/>
        <v/>
      </c>
    </row>
    <row r="590" ht="15.75" customHeight="1">
      <c r="A590" s="10" t="s">
        <v>1460</v>
      </c>
      <c r="B590" s="10" t="s">
        <v>1461</v>
      </c>
      <c r="C590" s="10" t="s">
        <v>327</v>
      </c>
      <c r="D590" s="10" t="s">
        <v>115</v>
      </c>
      <c r="E590" s="10" t="s">
        <v>115</v>
      </c>
      <c r="F590" s="10" t="s">
        <v>117</v>
      </c>
      <c r="G590" s="10">
        <v>5.0</v>
      </c>
      <c r="H590" s="10">
        <v>7.0</v>
      </c>
      <c r="I590" s="10" t="s">
        <v>2140</v>
      </c>
      <c r="J590" s="10" t="s">
        <v>2136</v>
      </c>
      <c r="K590" s="10"/>
      <c r="L590" s="10">
        <v>0.0</v>
      </c>
      <c r="M590" s="10">
        <v>0.0</v>
      </c>
      <c r="N590" s="10"/>
      <c r="O590" s="10"/>
      <c r="P590" s="12">
        <f>IF($A590="","",IFERROR((IF($O590="",0,$O590)*Settings!$J$4+IF($L590="",0,$L590)*Settings!$J$5+IF($N590="",0,$N590)*Settings!$J$6)/(IF($O590="",0,Settings!$J$4)+IF($L590="",0,Settings!$J$5)+IF($N590="",0,Settings!$J$6)),0))</f>
        <v>0</v>
      </c>
      <c r="Q590" s="12">
        <f t="array" ref="Q590">IF($A590="","",XLOOKUP($E590,Settings!$A$19:$A$22,Settings!$G$19:$G$22,0))</f>
        <v>249.25</v>
      </c>
      <c r="R590" s="12">
        <f t="shared" si="1"/>
        <v>0</v>
      </c>
      <c r="S590" s="12">
        <f>IF($A590="","",IF($R590&lt;=0,1,1+$R590/SUMIF($R$4:$R$923,"&gt;0",$R$4:$R$923)*(Settings!$B$5*(Settings!$B$6-Settings!$B$7))))</f>
        <v>1</v>
      </c>
      <c r="T590" s="12">
        <f t="array" ref="T590">IF($A590="","",XLOOKUP($F590,Settings!$I$15:$I$20,Settings!$J$15:$J$20,1))</f>
        <v>0.75</v>
      </c>
      <c r="U590" s="12">
        <f>IF($A590="","",1+(($G590-5)/5)*Settings!$J$8)</f>
        <v>1</v>
      </c>
      <c r="V590" s="12">
        <f>IF($A590="","",1+(($H590-5)/5)*Settings!$J$9)</f>
        <v>1.06</v>
      </c>
      <c r="W590" s="12">
        <f t="array" ref="W590">IF($A590="","",XLOOKUP($J590,Lists!$C$3:$C$7,Lists!$D$3:$D$7,1))</f>
        <v>1</v>
      </c>
      <c r="X590" s="12">
        <f>IF($A590="","",IF($I590="Yes",Settings!$J$10,1))</f>
        <v>1</v>
      </c>
      <c r="Y590" s="12">
        <f t="shared" si="2"/>
        <v>1</v>
      </c>
      <c r="Z590" s="12">
        <f>IF($A590="","",IFERROR(ROUND(AVERAGEIFS('Historical Drafts'!$G$4:$G$300,'Historical Drafts'!$D$4:$D$300,$E590,'Historical Drafts'!$J$4:$J$300,"&gt;="&amp;$L590*0.85,'Historical Drafts'!$J$4:$J$300,"&lt;="&amp;$L590*1.15),0),$Y590))</f>
        <v>1</v>
      </c>
      <c r="AA590" s="12" t="str">
        <f>IF($A590="","",IF(COUNTIF('Auction Log'!$B$3:$B$300,$A590)&gt;0,"Sold","Available"))</f>
        <v>Available</v>
      </c>
      <c r="AB590" s="12" t="str">
        <f t="array" ref="AB590">IF($A590="","",IFERROR(XLOOKUP($A590,'Auction Log'!$B$3:$B$300,'Auction Log'!$G$3:$G$300,""),""))</f>
        <v/>
      </c>
      <c r="AC590" s="12" t="str">
        <f t="array" ref="AC590">IF($A590="","",IFERROR(XLOOKUP($A590,'Auction Log'!$B$3:$B$300,'Auction Log'!$F$3:$F$300,""),""))</f>
        <v/>
      </c>
      <c r="AD590" s="12">
        <f t="array" ref="AD590">IF($A590="","",ROUND($Y590*XLOOKUP($F590,Settings!$I$15:$I$20,Settings!$K$15:$K$20,0.4),0))</f>
        <v>0</v>
      </c>
      <c r="AE590" s="12">
        <f t="array" ref="AE590">IF($A590="","",ROUND($Y590*XLOOKUP($F590,Settings!$I$15:$I$20,Settings!$L$15:$L$20,0.8),0))</f>
        <v>1</v>
      </c>
      <c r="AF590" s="12">
        <f t="array" ref="AF590">IF($A590="","",ROUND($Y590*XLOOKUP($F590,Settings!$I$15:$I$20,Settings!$M$15:$M$20,1),0))</f>
        <v>1</v>
      </c>
      <c r="AG590" s="12">
        <f t="array" ref="AG590">IF($A590="","",ROUND($Y590*XLOOKUP($F590,Settings!$I$15:$I$20,Settings!$N$15:$N$20,1.1),0))</f>
        <v>1</v>
      </c>
      <c r="AH590" s="12">
        <f t="array" ref="AH590">IF($A590="","",ROUND($Y590*XLOOKUP($F590,Settings!$I$15:$I$20,Settings!$O$15:$O$20,1.1)*Settings!$J$7,0))</f>
        <v>1</v>
      </c>
      <c r="AI590" s="12">
        <f t="array" ref="AI590">IF($A590="","",IF($AA590="Sold","",MIN($AH590,IFERROR(XLOOKUP(Settings!$B$12,Managers!$B$4:$B$15,Managers!$H$4:$H$15),$AH590))))</f>
        <v>1</v>
      </c>
      <c r="AJ590" s="12" t="str">
        <f t="shared" si="3"/>
        <v>Recommended</v>
      </c>
      <c r="AK590" s="12">
        <f t="shared" si="4"/>
        <v>26</v>
      </c>
      <c r="AL590" s="12" t="str">
        <f t="shared" si="5"/>
        <v/>
      </c>
    </row>
    <row r="591" ht="15.75" customHeight="1">
      <c r="A591" s="10" t="s">
        <v>1462</v>
      </c>
      <c r="B591" s="10" t="s">
        <v>1463</v>
      </c>
      <c r="C591" s="10" t="s">
        <v>453</v>
      </c>
      <c r="D591" s="10" t="s">
        <v>121</v>
      </c>
      <c r="E591" s="10" t="s">
        <v>121</v>
      </c>
      <c r="F591" s="10" t="s">
        <v>117</v>
      </c>
      <c r="G591" s="10">
        <v>5.0</v>
      </c>
      <c r="H591" s="10">
        <v>7.0</v>
      </c>
      <c r="I591" s="10" t="s">
        <v>2140</v>
      </c>
      <c r="J591" s="10" t="s">
        <v>2136</v>
      </c>
      <c r="K591" s="10"/>
      <c r="L591" s="10">
        <v>0.0</v>
      </c>
      <c r="M591" s="10">
        <v>0.0</v>
      </c>
      <c r="N591" s="10"/>
      <c r="O591" s="10"/>
      <c r="P591" s="12">
        <f>IF($A591="","",IFERROR((IF($O591="",0,$O591)*Settings!$J$4+IF($L591="",0,$L591)*Settings!$J$5+IF($N591="",0,$N591)*Settings!$J$6)/(IF($O591="",0,Settings!$J$4)+IF($L591="",0,Settings!$J$5)+IF($N591="",0,Settings!$J$6)),0))</f>
        <v>0</v>
      </c>
      <c r="Q591" s="12">
        <f t="array" ref="Q591">IF($A591="","",XLOOKUP($E591,Settings!$A$19:$A$22,Settings!$G$19:$G$22,0))</f>
        <v>206</v>
      </c>
      <c r="R591" s="12">
        <f t="shared" si="1"/>
        <v>0</v>
      </c>
      <c r="S591" s="12">
        <f>IF($A591="","",IF($R591&lt;=0,1,1+$R591/SUMIF($R$4:$R$923,"&gt;0",$R$4:$R$923)*(Settings!$B$5*(Settings!$B$6-Settings!$B$7))))</f>
        <v>1</v>
      </c>
      <c r="T591" s="12">
        <f t="array" ref="T591">IF($A591="","",XLOOKUP($F591,Settings!$I$15:$I$20,Settings!$J$15:$J$20,1))</f>
        <v>0.75</v>
      </c>
      <c r="U591" s="12">
        <f>IF($A591="","",1+(($G591-5)/5)*Settings!$J$8)</f>
        <v>1</v>
      </c>
      <c r="V591" s="12">
        <f>IF($A591="","",1+(($H591-5)/5)*Settings!$J$9)</f>
        <v>1.06</v>
      </c>
      <c r="W591" s="12">
        <f t="array" ref="W591">IF($A591="","",XLOOKUP($J591,Lists!$C$3:$C$7,Lists!$D$3:$D$7,1))</f>
        <v>1</v>
      </c>
      <c r="X591" s="12">
        <f>IF($A591="","",IF($I591="Yes",Settings!$J$10,1))</f>
        <v>1</v>
      </c>
      <c r="Y591" s="12">
        <f t="shared" si="2"/>
        <v>1</v>
      </c>
      <c r="Z591" s="12">
        <f>IF($A591="","",IFERROR(ROUND(AVERAGEIFS('Historical Drafts'!$G$4:$G$300,'Historical Drafts'!$D$4:$D$300,$E591,'Historical Drafts'!$J$4:$J$300,"&gt;="&amp;$L591*0.85,'Historical Drafts'!$J$4:$J$300,"&lt;="&amp;$L591*1.15),0),$Y591))</f>
        <v>3</v>
      </c>
      <c r="AA591" s="12" t="str">
        <f>IF($A591="","",IF(COUNTIF('Auction Log'!$B$3:$B$300,$A591)&gt;0,"Sold","Available"))</f>
        <v>Available</v>
      </c>
      <c r="AB591" s="12" t="str">
        <f t="array" ref="AB591">IF($A591="","",IFERROR(XLOOKUP($A591,'Auction Log'!$B$3:$B$300,'Auction Log'!$G$3:$G$300,""),""))</f>
        <v/>
      </c>
      <c r="AC591" s="12" t="str">
        <f t="array" ref="AC591">IF($A591="","",IFERROR(XLOOKUP($A591,'Auction Log'!$B$3:$B$300,'Auction Log'!$F$3:$F$300,""),""))</f>
        <v/>
      </c>
      <c r="AD591" s="12">
        <f t="array" ref="AD591">IF($A591="","",ROUND($Y591*XLOOKUP($F591,Settings!$I$15:$I$20,Settings!$K$15:$K$20,0.4),0))</f>
        <v>0</v>
      </c>
      <c r="AE591" s="12">
        <f t="array" ref="AE591">IF($A591="","",ROUND($Y591*XLOOKUP($F591,Settings!$I$15:$I$20,Settings!$L$15:$L$20,0.8),0))</f>
        <v>1</v>
      </c>
      <c r="AF591" s="12">
        <f t="array" ref="AF591">IF($A591="","",ROUND($Y591*XLOOKUP($F591,Settings!$I$15:$I$20,Settings!$M$15:$M$20,1),0))</f>
        <v>1</v>
      </c>
      <c r="AG591" s="12">
        <f t="array" ref="AG591">IF($A591="","",ROUND($Y591*XLOOKUP($F591,Settings!$I$15:$I$20,Settings!$N$15:$N$20,1.1),0))</f>
        <v>1</v>
      </c>
      <c r="AH591" s="12">
        <f t="array" ref="AH591">IF($A591="","",ROUND($Y591*XLOOKUP($F591,Settings!$I$15:$I$20,Settings!$O$15:$O$20,1.1)*Settings!$J$7,0))</f>
        <v>1</v>
      </c>
      <c r="AI591" s="12">
        <f t="array" ref="AI591">IF($A591="","",IF($AA591="Sold","",MIN($AH591,IFERROR(XLOOKUP(Settings!$B$12,Managers!$B$4:$B$15,Managers!$H$4:$H$15),$AH591))))</f>
        <v>1</v>
      </c>
      <c r="AJ591" s="12" t="str">
        <f t="shared" si="3"/>
        <v>Budget Drainer</v>
      </c>
      <c r="AK591" s="12">
        <f t="shared" si="4"/>
        <v>28</v>
      </c>
      <c r="AL591" s="12" t="str">
        <f t="shared" si="5"/>
        <v/>
      </c>
    </row>
    <row r="592" ht="15.75" customHeight="1">
      <c r="A592" s="10" t="s">
        <v>1464</v>
      </c>
      <c r="B592" s="10" t="s">
        <v>1465</v>
      </c>
      <c r="C592" s="10" t="s">
        <v>453</v>
      </c>
      <c r="D592" s="10" t="s">
        <v>121</v>
      </c>
      <c r="E592" s="10" t="s">
        <v>121</v>
      </c>
      <c r="F592" s="10" t="s">
        <v>117</v>
      </c>
      <c r="G592" s="10">
        <v>5.0</v>
      </c>
      <c r="H592" s="10">
        <v>7.0</v>
      </c>
      <c r="I592" s="10" t="s">
        <v>2140</v>
      </c>
      <c r="J592" s="10" t="s">
        <v>2136</v>
      </c>
      <c r="K592" s="10"/>
      <c r="L592" s="10">
        <v>0.0</v>
      </c>
      <c r="M592" s="10">
        <v>0.0</v>
      </c>
      <c r="N592" s="10"/>
      <c r="O592" s="10"/>
      <c r="P592" s="12">
        <f>IF($A592="","",IFERROR((IF($O592="",0,$O592)*Settings!$J$4+IF($L592="",0,$L592)*Settings!$J$5+IF($N592="",0,$N592)*Settings!$J$6)/(IF($O592="",0,Settings!$J$4)+IF($L592="",0,Settings!$J$5)+IF($N592="",0,Settings!$J$6)),0))</f>
        <v>0</v>
      </c>
      <c r="Q592" s="12">
        <f t="array" ref="Q592">IF($A592="","",XLOOKUP($E592,Settings!$A$19:$A$22,Settings!$G$19:$G$22,0))</f>
        <v>206</v>
      </c>
      <c r="R592" s="12">
        <f t="shared" si="1"/>
        <v>0</v>
      </c>
      <c r="S592" s="12">
        <f>IF($A592="","",IF($R592&lt;=0,1,1+$R592/SUMIF($R$4:$R$923,"&gt;0",$R$4:$R$923)*(Settings!$B$5*(Settings!$B$6-Settings!$B$7))))</f>
        <v>1</v>
      </c>
      <c r="T592" s="12">
        <f t="array" ref="T592">IF($A592="","",XLOOKUP($F592,Settings!$I$15:$I$20,Settings!$J$15:$J$20,1))</f>
        <v>0.75</v>
      </c>
      <c r="U592" s="12">
        <f>IF($A592="","",1+(($G592-5)/5)*Settings!$J$8)</f>
        <v>1</v>
      </c>
      <c r="V592" s="12">
        <f>IF($A592="","",1+(($H592-5)/5)*Settings!$J$9)</f>
        <v>1.06</v>
      </c>
      <c r="W592" s="12">
        <f t="array" ref="W592">IF($A592="","",XLOOKUP($J592,Lists!$C$3:$C$7,Lists!$D$3:$D$7,1))</f>
        <v>1</v>
      </c>
      <c r="X592" s="12">
        <f>IF($A592="","",IF($I592="Yes",Settings!$J$10,1))</f>
        <v>1</v>
      </c>
      <c r="Y592" s="12">
        <f t="shared" si="2"/>
        <v>1</v>
      </c>
      <c r="Z592" s="12">
        <f>IF($A592="","",IFERROR(ROUND(AVERAGEIFS('Historical Drafts'!$G$4:$G$300,'Historical Drafts'!$D$4:$D$300,$E592,'Historical Drafts'!$J$4:$J$300,"&gt;="&amp;$L592*0.85,'Historical Drafts'!$J$4:$J$300,"&lt;="&amp;$L592*1.15),0),$Y592))</f>
        <v>3</v>
      </c>
      <c r="AA592" s="12" t="str">
        <f>IF($A592="","",IF(COUNTIF('Auction Log'!$B$3:$B$300,$A592)&gt;0,"Sold","Available"))</f>
        <v>Available</v>
      </c>
      <c r="AB592" s="12" t="str">
        <f t="array" ref="AB592">IF($A592="","",IFERROR(XLOOKUP($A592,'Auction Log'!$B$3:$B$300,'Auction Log'!$G$3:$G$300,""),""))</f>
        <v/>
      </c>
      <c r="AC592" s="12" t="str">
        <f t="array" ref="AC592">IF($A592="","",IFERROR(XLOOKUP($A592,'Auction Log'!$B$3:$B$300,'Auction Log'!$F$3:$F$300,""),""))</f>
        <v/>
      </c>
      <c r="AD592" s="12">
        <f t="array" ref="AD592">IF($A592="","",ROUND($Y592*XLOOKUP($F592,Settings!$I$15:$I$20,Settings!$K$15:$K$20,0.4),0))</f>
        <v>0</v>
      </c>
      <c r="AE592" s="12">
        <f t="array" ref="AE592">IF($A592="","",ROUND($Y592*XLOOKUP($F592,Settings!$I$15:$I$20,Settings!$L$15:$L$20,0.8),0))</f>
        <v>1</v>
      </c>
      <c r="AF592" s="12">
        <f t="array" ref="AF592">IF($A592="","",ROUND($Y592*XLOOKUP($F592,Settings!$I$15:$I$20,Settings!$M$15:$M$20,1),0))</f>
        <v>1</v>
      </c>
      <c r="AG592" s="12">
        <f t="array" ref="AG592">IF($A592="","",ROUND($Y592*XLOOKUP($F592,Settings!$I$15:$I$20,Settings!$N$15:$N$20,1.1),0))</f>
        <v>1</v>
      </c>
      <c r="AH592" s="12">
        <f t="array" ref="AH592">IF($A592="","",ROUND($Y592*XLOOKUP($F592,Settings!$I$15:$I$20,Settings!$O$15:$O$20,1.1)*Settings!$J$7,0))</f>
        <v>1</v>
      </c>
      <c r="AI592" s="12">
        <f t="array" ref="AI592">IF($A592="","",IF($AA592="Sold","",MIN($AH592,IFERROR(XLOOKUP(Settings!$B$12,Managers!$B$4:$B$15,Managers!$H$4:$H$15),$AH592))))</f>
        <v>1</v>
      </c>
      <c r="AJ592" s="12" t="str">
        <f t="shared" si="3"/>
        <v>Budget Drainer</v>
      </c>
      <c r="AK592" s="12">
        <f t="shared" si="4"/>
        <v>28</v>
      </c>
      <c r="AL592" s="12" t="str">
        <f t="shared" si="5"/>
        <v/>
      </c>
    </row>
    <row r="593" ht="15.75" customHeight="1">
      <c r="A593" s="10" t="s">
        <v>1466</v>
      </c>
      <c r="B593" s="10" t="s">
        <v>1467</v>
      </c>
      <c r="C593" s="10" t="s">
        <v>188</v>
      </c>
      <c r="D593" s="10" t="s">
        <v>115</v>
      </c>
      <c r="E593" s="10" t="s">
        <v>115</v>
      </c>
      <c r="F593" s="10" t="s">
        <v>117</v>
      </c>
      <c r="G593" s="10">
        <v>5.0</v>
      </c>
      <c r="H593" s="10">
        <v>7.0</v>
      </c>
      <c r="I593" s="10" t="s">
        <v>2140</v>
      </c>
      <c r="J593" s="10" t="s">
        <v>2136</v>
      </c>
      <c r="K593" s="10"/>
      <c r="L593" s="10">
        <v>0.0</v>
      </c>
      <c r="M593" s="10">
        <v>0.0</v>
      </c>
      <c r="N593" s="10"/>
      <c r="O593" s="10"/>
      <c r="P593" s="12">
        <f>IF($A593="","",IFERROR((IF($O593="",0,$O593)*Settings!$J$4+IF($L593="",0,$L593)*Settings!$J$5+IF($N593="",0,$N593)*Settings!$J$6)/(IF($O593="",0,Settings!$J$4)+IF($L593="",0,Settings!$J$5)+IF($N593="",0,Settings!$J$6)),0))</f>
        <v>0</v>
      </c>
      <c r="Q593" s="12">
        <f t="array" ref="Q593">IF($A593="","",XLOOKUP($E593,Settings!$A$19:$A$22,Settings!$G$19:$G$22,0))</f>
        <v>249.25</v>
      </c>
      <c r="R593" s="12">
        <f t="shared" si="1"/>
        <v>0</v>
      </c>
      <c r="S593" s="12">
        <f>IF($A593="","",IF($R593&lt;=0,1,1+$R593/SUMIF($R$4:$R$923,"&gt;0",$R$4:$R$923)*(Settings!$B$5*(Settings!$B$6-Settings!$B$7))))</f>
        <v>1</v>
      </c>
      <c r="T593" s="12">
        <f t="array" ref="T593">IF($A593="","",XLOOKUP($F593,Settings!$I$15:$I$20,Settings!$J$15:$J$20,1))</f>
        <v>0.75</v>
      </c>
      <c r="U593" s="12">
        <f>IF($A593="","",1+(($G593-5)/5)*Settings!$J$8)</f>
        <v>1</v>
      </c>
      <c r="V593" s="12">
        <f>IF($A593="","",1+(($H593-5)/5)*Settings!$J$9)</f>
        <v>1.06</v>
      </c>
      <c r="W593" s="12">
        <f t="array" ref="W593">IF($A593="","",XLOOKUP($J593,Lists!$C$3:$C$7,Lists!$D$3:$D$7,1))</f>
        <v>1</v>
      </c>
      <c r="X593" s="12">
        <f>IF($A593="","",IF($I593="Yes",Settings!$J$10,1))</f>
        <v>1</v>
      </c>
      <c r="Y593" s="12">
        <f t="shared" si="2"/>
        <v>1</v>
      </c>
      <c r="Z593" s="12">
        <f>IF($A593="","",IFERROR(ROUND(AVERAGEIFS('Historical Drafts'!$G$4:$G$300,'Historical Drafts'!$D$4:$D$300,$E593,'Historical Drafts'!$J$4:$J$300,"&gt;="&amp;$L593*0.85,'Historical Drafts'!$J$4:$J$300,"&lt;="&amp;$L593*1.15),0),$Y593))</f>
        <v>1</v>
      </c>
      <c r="AA593" s="12" t="str">
        <f>IF($A593="","",IF(COUNTIF('Auction Log'!$B$3:$B$300,$A593)&gt;0,"Sold","Available"))</f>
        <v>Available</v>
      </c>
      <c r="AB593" s="12" t="str">
        <f t="array" ref="AB593">IF($A593="","",IFERROR(XLOOKUP($A593,'Auction Log'!$B$3:$B$300,'Auction Log'!$G$3:$G$300,""),""))</f>
        <v/>
      </c>
      <c r="AC593" s="12" t="str">
        <f t="array" ref="AC593">IF($A593="","",IFERROR(XLOOKUP($A593,'Auction Log'!$B$3:$B$300,'Auction Log'!$F$3:$F$300,""),""))</f>
        <v/>
      </c>
      <c r="AD593" s="12">
        <f t="array" ref="AD593">IF($A593="","",ROUND($Y593*XLOOKUP($F593,Settings!$I$15:$I$20,Settings!$K$15:$K$20,0.4),0))</f>
        <v>0</v>
      </c>
      <c r="AE593" s="12">
        <f t="array" ref="AE593">IF($A593="","",ROUND($Y593*XLOOKUP($F593,Settings!$I$15:$I$20,Settings!$L$15:$L$20,0.8),0))</f>
        <v>1</v>
      </c>
      <c r="AF593" s="12">
        <f t="array" ref="AF593">IF($A593="","",ROUND($Y593*XLOOKUP($F593,Settings!$I$15:$I$20,Settings!$M$15:$M$20,1),0))</f>
        <v>1</v>
      </c>
      <c r="AG593" s="12">
        <f t="array" ref="AG593">IF($A593="","",ROUND($Y593*XLOOKUP($F593,Settings!$I$15:$I$20,Settings!$N$15:$N$20,1.1),0))</f>
        <v>1</v>
      </c>
      <c r="AH593" s="12">
        <f t="array" ref="AH593">IF($A593="","",ROUND($Y593*XLOOKUP($F593,Settings!$I$15:$I$20,Settings!$O$15:$O$20,1.1)*Settings!$J$7,0))</f>
        <v>1</v>
      </c>
      <c r="AI593" s="12">
        <f t="array" ref="AI593">IF($A593="","",IF($AA593="Sold","",MIN($AH593,IFERROR(XLOOKUP(Settings!$B$12,Managers!$B$4:$B$15,Managers!$H$4:$H$15),$AH593))))</f>
        <v>1</v>
      </c>
      <c r="AJ593" s="12" t="str">
        <f t="shared" si="3"/>
        <v>Recommended</v>
      </c>
      <c r="AK593" s="12">
        <f t="shared" si="4"/>
        <v>26</v>
      </c>
      <c r="AL593" s="12" t="str">
        <f t="shared" si="5"/>
        <v/>
      </c>
    </row>
    <row r="594" ht="15.75" customHeight="1">
      <c r="A594" s="10" t="s">
        <v>1468</v>
      </c>
      <c r="B594" s="10" t="s">
        <v>1469</v>
      </c>
      <c r="C594" s="10" t="s">
        <v>285</v>
      </c>
      <c r="D594" s="10" t="s">
        <v>121</v>
      </c>
      <c r="E594" s="10" t="s">
        <v>121</v>
      </c>
      <c r="F594" s="10" t="s">
        <v>117</v>
      </c>
      <c r="G594" s="10">
        <v>5.0</v>
      </c>
      <c r="H594" s="10">
        <v>7.0</v>
      </c>
      <c r="I594" s="10" t="s">
        <v>2140</v>
      </c>
      <c r="J594" s="10" t="s">
        <v>2136</v>
      </c>
      <c r="K594" s="10"/>
      <c r="L594" s="10">
        <v>0.0</v>
      </c>
      <c r="M594" s="10">
        <v>0.0</v>
      </c>
      <c r="N594" s="10"/>
      <c r="O594" s="10"/>
      <c r="P594" s="12">
        <f>IF($A594="","",IFERROR((IF($O594="",0,$O594)*Settings!$J$4+IF($L594="",0,$L594)*Settings!$J$5+IF($N594="",0,$N594)*Settings!$J$6)/(IF($O594="",0,Settings!$J$4)+IF($L594="",0,Settings!$J$5)+IF($N594="",0,Settings!$J$6)),0))</f>
        <v>0</v>
      </c>
      <c r="Q594" s="12">
        <f t="array" ref="Q594">IF($A594="","",XLOOKUP($E594,Settings!$A$19:$A$22,Settings!$G$19:$G$22,0))</f>
        <v>206</v>
      </c>
      <c r="R594" s="12">
        <f t="shared" si="1"/>
        <v>0</v>
      </c>
      <c r="S594" s="12">
        <f>IF($A594="","",IF($R594&lt;=0,1,1+$R594/SUMIF($R$4:$R$923,"&gt;0",$R$4:$R$923)*(Settings!$B$5*(Settings!$B$6-Settings!$B$7))))</f>
        <v>1</v>
      </c>
      <c r="T594" s="12">
        <f t="array" ref="T594">IF($A594="","",XLOOKUP($F594,Settings!$I$15:$I$20,Settings!$J$15:$J$20,1))</f>
        <v>0.75</v>
      </c>
      <c r="U594" s="12">
        <f>IF($A594="","",1+(($G594-5)/5)*Settings!$J$8)</f>
        <v>1</v>
      </c>
      <c r="V594" s="12">
        <f>IF($A594="","",1+(($H594-5)/5)*Settings!$J$9)</f>
        <v>1.06</v>
      </c>
      <c r="W594" s="12">
        <f t="array" ref="W594">IF($A594="","",XLOOKUP($J594,Lists!$C$3:$C$7,Lists!$D$3:$D$7,1))</f>
        <v>1</v>
      </c>
      <c r="X594" s="12">
        <f>IF($A594="","",IF($I594="Yes",Settings!$J$10,1))</f>
        <v>1</v>
      </c>
      <c r="Y594" s="12">
        <f t="shared" si="2"/>
        <v>1</v>
      </c>
      <c r="Z594" s="12">
        <f>IF($A594="","",IFERROR(ROUND(AVERAGEIFS('Historical Drafts'!$G$4:$G$300,'Historical Drafts'!$D$4:$D$300,$E594,'Historical Drafts'!$J$4:$J$300,"&gt;="&amp;$L594*0.85,'Historical Drafts'!$J$4:$J$300,"&lt;="&amp;$L594*1.15),0),$Y594))</f>
        <v>3</v>
      </c>
      <c r="AA594" s="12" t="str">
        <f>IF($A594="","",IF(COUNTIF('Auction Log'!$B$3:$B$300,$A594)&gt;0,"Sold","Available"))</f>
        <v>Available</v>
      </c>
      <c r="AB594" s="12" t="str">
        <f t="array" ref="AB594">IF($A594="","",IFERROR(XLOOKUP($A594,'Auction Log'!$B$3:$B$300,'Auction Log'!$G$3:$G$300,""),""))</f>
        <v/>
      </c>
      <c r="AC594" s="12" t="str">
        <f t="array" ref="AC594">IF($A594="","",IFERROR(XLOOKUP($A594,'Auction Log'!$B$3:$B$300,'Auction Log'!$F$3:$F$300,""),""))</f>
        <v/>
      </c>
      <c r="AD594" s="12">
        <f t="array" ref="AD594">IF($A594="","",ROUND($Y594*XLOOKUP($F594,Settings!$I$15:$I$20,Settings!$K$15:$K$20,0.4),0))</f>
        <v>0</v>
      </c>
      <c r="AE594" s="12">
        <f t="array" ref="AE594">IF($A594="","",ROUND($Y594*XLOOKUP($F594,Settings!$I$15:$I$20,Settings!$L$15:$L$20,0.8),0))</f>
        <v>1</v>
      </c>
      <c r="AF594" s="12">
        <f t="array" ref="AF594">IF($A594="","",ROUND($Y594*XLOOKUP($F594,Settings!$I$15:$I$20,Settings!$M$15:$M$20,1),0))</f>
        <v>1</v>
      </c>
      <c r="AG594" s="12">
        <f t="array" ref="AG594">IF($A594="","",ROUND($Y594*XLOOKUP($F594,Settings!$I$15:$I$20,Settings!$N$15:$N$20,1.1),0))</f>
        <v>1</v>
      </c>
      <c r="AH594" s="12">
        <f t="array" ref="AH594">IF($A594="","",ROUND($Y594*XLOOKUP($F594,Settings!$I$15:$I$20,Settings!$O$15:$O$20,1.1)*Settings!$J$7,0))</f>
        <v>1</v>
      </c>
      <c r="AI594" s="12">
        <f t="array" ref="AI594">IF($A594="","",IF($AA594="Sold","",MIN($AH594,IFERROR(XLOOKUP(Settings!$B$12,Managers!$B$4:$B$15,Managers!$H$4:$H$15),$AH594))))</f>
        <v>1</v>
      </c>
      <c r="AJ594" s="12" t="str">
        <f t="shared" si="3"/>
        <v>Budget Drainer</v>
      </c>
      <c r="AK594" s="12">
        <f t="shared" si="4"/>
        <v>28</v>
      </c>
      <c r="AL594" s="12" t="str">
        <f t="shared" si="5"/>
        <v/>
      </c>
    </row>
    <row r="595" ht="15.75" customHeight="1">
      <c r="A595" s="10" t="s">
        <v>1470</v>
      </c>
      <c r="B595" s="10" t="s">
        <v>1471</v>
      </c>
      <c r="C595" s="10" t="s">
        <v>285</v>
      </c>
      <c r="D595" s="10" t="s">
        <v>123</v>
      </c>
      <c r="E595" s="10" t="s">
        <v>123</v>
      </c>
      <c r="F595" s="10" t="s">
        <v>117</v>
      </c>
      <c r="G595" s="10">
        <v>5.0</v>
      </c>
      <c r="H595" s="10">
        <v>7.0</v>
      </c>
      <c r="I595" s="10" t="s">
        <v>2140</v>
      </c>
      <c r="J595" s="10" t="s">
        <v>2136</v>
      </c>
      <c r="K595" s="10"/>
      <c r="L595" s="10">
        <v>0.0</v>
      </c>
      <c r="M595" s="10">
        <v>0.0</v>
      </c>
      <c r="N595" s="10"/>
      <c r="O595" s="10"/>
      <c r="P595" s="12">
        <f>IF($A595="","",IFERROR((IF($O595="",0,$O595)*Settings!$J$4+IF($L595="",0,$L595)*Settings!$J$5+IF($N595="",0,$N595)*Settings!$J$6)/(IF($O595="",0,Settings!$J$4)+IF($L595="",0,Settings!$J$5)+IF($N595="",0,Settings!$J$6)),0))</f>
        <v>0</v>
      </c>
      <c r="Q595" s="12">
        <f t="array" ref="Q595">IF($A595="","",XLOOKUP($E595,Settings!$A$19:$A$22,Settings!$G$19:$G$22,0))</f>
        <v>203</v>
      </c>
      <c r="R595" s="12">
        <f t="shared" si="1"/>
        <v>0</v>
      </c>
      <c r="S595" s="12">
        <f>IF($A595="","",IF($R595&lt;=0,1,1+$R595/SUMIF($R$4:$R$923,"&gt;0",$R$4:$R$923)*(Settings!$B$5*(Settings!$B$6-Settings!$B$7))))</f>
        <v>1</v>
      </c>
      <c r="T595" s="12">
        <f t="array" ref="T595">IF($A595="","",XLOOKUP($F595,Settings!$I$15:$I$20,Settings!$J$15:$J$20,1))</f>
        <v>0.75</v>
      </c>
      <c r="U595" s="12">
        <f>IF($A595="","",1+(($G595-5)/5)*Settings!$J$8)</f>
        <v>1</v>
      </c>
      <c r="V595" s="12">
        <f>IF($A595="","",1+(($H595-5)/5)*Settings!$J$9)</f>
        <v>1.06</v>
      </c>
      <c r="W595" s="12">
        <f t="array" ref="W595">IF($A595="","",XLOOKUP($J595,Lists!$C$3:$C$7,Lists!$D$3:$D$7,1))</f>
        <v>1</v>
      </c>
      <c r="X595" s="12">
        <f>IF($A595="","",IF($I595="Yes",Settings!$J$10,1))</f>
        <v>1</v>
      </c>
      <c r="Y595" s="12">
        <f t="shared" si="2"/>
        <v>1</v>
      </c>
      <c r="Z595" s="12">
        <f>IF($A595="","",IFERROR(ROUND(AVERAGEIFS('Historical Drafts'!$G$4:$G$300,'Historical Drafts'!$D$4:$D$300,$E595,'Historical Drafts'!$J$4:$J$300,"&gt;="&amp;$L595*0.85,'Historical Drafts'!$J$4:$J$300,"&lt;="&amp;$L595*1.15),0),$Y595))</f>
        <v>3</v>
      </c>
      <c r="AA595" s="12" t="str">
        <f>IF($A595="","",IF(COUNTIF('Auction Log'!$B$3:$B$300,$A595)&gt;0,"Sold","Available"))</f>
        <v>Available</v>
      </c>
      <c r="AB595" s="12" t="str">
        <f t="array" ref="AB595">IF($A595="","",IFERROR(XLOOKUP($A595,'Auction Log'!$B$3:$B$300,'Auction Log'!$G$3:$G$300,""),""))</f>
        <v/>
      </c>
      <c r="AC595" s="12" t="str">
        <f t="array" ref="AC595">IF($A595="","",IFERROR(XLOOKUP($A595,'Auction Log'!$B$3:$B$300,'Auction Log'!$F$3:$F$300,""),""))</f>
        <v/>
      </c>
      <c r="AD595" s="12">
        <f t="array" ref="AD595">IF($A595="","",ROUND($Y595*XLOOKUP($F595,Settings!$I$15:$I$20,Settings!$K$15:$K$20,0.4),0))</f>
        <v>0</v>
      </c>
      <c r="AE595" s="12">
        <f t="array" ref="AE595">IF($A595="","",ROUND($Y595*XLOOKUP($F595,Settings!$I$15:$I$20,Settings!$L$15:$L$20,0.8),0))</f>
        <v>1</v>
      </c>
      <c r="AF595" s="12">
        <f t="array" ref="AF595">IF($A595="","",ROUND($Y595*XLOOKUP($F595,Settings!$I$15:$I$20,Settings!$M$15:$M$20,1),0))</f>
        <v>1</v>
      </c>
      <c r="AG595" s="12">
        <f t="array" ref="AG595">IF($A595="","",ROUND($Y595*XLOOKUP($F595,Settings!$I$15:$I$20,Settings!$N$15:$N$20,1.1),0))</f>
        <v>1</v>
      </c>
      <c r="AH595" s="12">
        <f t="array" ref="AH595">IF($A595="","",ROUND($Y595*XLOOKUP($F595,Settings!$I$15:$I$20,Settings!$O$15:$O$20,1.1)*Settings!$J$7,0))</f>
        <v>1</v>
      </c>
      <c r="AI595" s="12">
        <f t="array" ref="AI595">IF($A595="","",IF($AA595="Sold","",MIN($AH595,IFERROR(XLOOKUP(Settings!$B$12,Managers!$B$4:$B$15,Managers!$H$4:$H$15),$AH595))))</f>
        <v>1</v>
      </c>
      <c r="AJ595" s="12" t="str">
        <f t="shared" si="3"/>
        <v>Budget Drainer</v>
      </c>
      <c r="AK595" s="12">
        <f t="shared" si="4"/>
        <v>28</v>
      </c>
      <c r="AL595" s="12" t="str">
        <f t="shared" si="5"/>
        <v/>
      </c>
    </row>
    <row r="596" ht="15.75" customHeight="1">
      <c r="A596" s="10" t="s">
        <v>1472</v>
      </c>
      <c r="B596" s="10" t="s">
        <v>1473</v>
      </c>
      <c r="C596" s="10" t="s">
        <v>177</v>
      </c>
      <c r="D596" s="10" t="s">
        <v>123</v>
      </c>
      <c r="E596" s="10" t="s">
        <v>123</v>
      </c>
      <c r="F596" s="10" t="s">
        <v>117</v>
      </c>
      <c r="G596" s="10">
        <v>5.0</v>
      </c>
      <c r="H596" s="10">
        <v>7.0</v>
      </c>
      <c r="I596" s="10" t="s">
        <v>2140</v>
      </c>
      <c r="J596" s="10" t="s">
        <v>2136</v>
      </c>
      <c r="K596" s="10"/>
      <c r="L596" s="10">
        <v>0.0</v>
      </c>
      <c r="M596" s="10">
        <v>0.0</v>
      </c>
      <c r="N596" s="10"/>
      <c r="O596" s="10"/>
      <c r="P596" s="12">
        <f>IF($A596="","",IFERROR((IF($O596="",0,$O596)*Settings!$J$4+IF($L596="",0,$L596)*Settings!$J$5+IF($N596="",0,$N596)*Settings!$J$6)/(IF($O596="",0,Settings!$J$4)+IF($L596="",0,Settings!$J$5)+IF($N596="",0,Settings!$J$6)),0))</f>
        <v>0</v>
      </c>
      <c r="Q596" s="12">
        <f t="array" ref="Q596">IF($A596="","",XLOOKUP($E596,Settings!$A$19:$A$22,Settings!$G$19:$G$22,0))</f>
        <v>203</v>
      </c>
      <c r="R596" s="12">
        <f t="shared" si="1"/>
        <v>0</v>
      </c>
      <c r="S596" s="12">
        <f>IF($A596="","",IF($R596&lt;=0,1,1+$R596/SUMIF($R$4:$R$923,"&gt;0",$R$4:$R$923)*(Settings!$B$5*(Settings!$B$6-Settings!$B$7))))</f>
        <v>1</v>
      </c>
      <c r="T596" s="12">
        <f t="array" ref="T596">IF($A596="","",XLOOKUP($F596,Settings!$I$15:$I$20,Settings!$J$15:$J$20,1))</f>
        <v>0.75</v>
      </c>
      <c r="U596" s="12">
        <f>IF($A596="","",1+(($G596-5)/5)*Settings!$J$8)</f>
        <v>1</v>
      </c>
      <c r="V596" s="12">
        <f>IF($A596="","",1+(($H596-5)/5)*Settings!$J$9)</f>
        <v>1.06</v>
      </c>
      <c r="W596" s="12">
        <f t="array" ref="W596">IF($A596="","",XLOOKUP($J596,Lists!$C$3:$C$7,Lists!$D$3:$D$7,1))</f>
        <v>1</v>
      </c>
      <c r="X596" s="12">
        <f>IF($A596="","",IF($I596="Yes",Settings!$J$10,1))</f>
        <v>1</v>
      </c>
      <c r="Y596" s="12">
        <f t="shared" si="2"/>
        <v>1</v>
      </c>
      <c r="Z596" s="12">
        <f>IF($A596="","",IFERROR(ROUND(AVERAGEIFS('Historical Drafts'!$G$4:$G$300,'Historical Drafts'!$D$4:$D$300,$E596,'Historical Drafts'!$J$4:$J$300,"&gt;="&amp;$L596*0.85,'Historical Drafts'!$J$4:$J$300,"&lt;="&amp;$L596*1.15),0),$Y596))</f>
        <v>3</v>
      </c>
      <c r="AA596" s="12" t="str">
        <f>IF($A596="","",IF(COUNTIF('Auction Log'!$B$3:$B$300,$A596)&gt;0,"Sold","Available"))</f>
        <v>Available</v>
      </c>
      <c r="AB596" s="12" t="str">
        <f t="array" ref="AB596">IF($A596="","",IFERROR(XLOOKUP($A596,'Auction Log'!$B$3:$B$300,'Auction Log'!$G$3:$G$300,""),""))</f>
        <v/>
      </c>
      <c r="AC596" s="12" t="str">
        <f t="array" ref="AC596">IF($A596="","",IFERROR(XLOOKUP($A596,'Auction Log'!$B$3:$B$300,'Auction Log'!$F$3:$F$300,""),""))</f>
        <v/>
      </c>
      <c r="AD596" s="12">
        <f t="array" ref="AD596">IF($A596="","",ROUND($Y596*XLOOKUP($F596,Settings!$I$15:$I$20,Settings!$K$15:$K$20,0.4),0))</f>
        <v>0</v>
      </c>
      <c r="AE596" s="12">
        <f t="array" ref="AE596">IF($A596="","",ROUND($Y596*XLOOKUP($F596,Settings!$I$15:$I$20,Settings!$L$15:$L$20,0.8),0))</f>
        <v>1</v>
      </c>
      <c r="AF596" s="12">
        <f t="array" ref="AF596">IF($A596="","",ROUND($Y596*XLOOKUP($F596,Settings!$I$15:$I$20,Settings!$M$15:$M$20,1),0))</f>
        <v>1</v>
      </c>
      <c r="AG596" s="12">
        <f t="array" ref="AG596">IF($A596="","",ROUND($Y596*XLOOKUP($F596,Settings!$I$15:$I$20,Settings!$N$15:$N$20,1.1),0))</f>
        <v>1</v>
      </c>
      <c r="AH596" s="12">
        <f t="array" ref="AH596">IF($A596="","",ROUND($Y596*XLOOKUP($F596,Settings!$I$15:$I$20,Settings!$O$15:$O$20,1.1)*Settings!$J$7,0))</f>
        <v>1</v>
      </c>
      <c r="AI596" s="12">
        <f t="array" ref="AI596">IF($A596="","",IF($AA596="Sold","",MIN($AH596,IFERROR(XLOOKUP(Settings!$B$12,Managers!$B$4:$B$15,Managers!$H$4:$H$15),$AH596))))</f>
        <v>1</v>
      </c>
      <c r="AJ596" s="12" t="str">
        <f t="shared" si="3"/>
        <v>Budget Drainer</v>
      </c>
      <c r="AK596" s="12">
        <f t="shared" si="4"/>
        <v>28</v>
      </c>
      <c r="AL596" s="12" t="str">
        <f t="shared" si="5"/>
        <v/>
      </c>
    </row>
    <row r="597" ht="15.75" customHeight="1">
      <c r="A597" s="10" t="s">
        <v>1474</v>
      </c>
      <c r="B597" s="10" t="s">
        <v>1475</v>
      </c>
      <c r="C597" s="10" t="s">
        <v>177</v>
      </c>
      <c r="D597" s="10" t="s">
        <v>118</v>
      </c>
      <c r="E597" s="10" t="s">
        <v>118</v>
      </c>
      <c r="F597" s="10" t="s">
        <v>117</v>
      </c>
      <c r="G597" s="10">
        <v>5.0</v>
      </c>
      <c r="H597" s="10">
        <v>7.0</v>
      </c>
      <c r="I597" s="10" t="s">
        <v>2140</v>
      </c>
      <c r="J597" s="10" t="s">
        <v>2136</v>
      </c>
      <c r="K597" s="10"/>
      <c r="L597" s="10">
        <v>0.0</v>
      </c>
      <c r="M597" s="10">
        <v>0.0</v>
      </c>
      <c r="N597" s="10"/>
      <c r="O597" s="10"/>
      <c r="P597" s="12">
        <f>IF($A597="","",IFERROR((IF($O597="",0,$O597)*Settings!$J$4+IF($L597="",0,$L597)*Settings!$J$5+IF($N597="",0,$N597)*Settings!$J$6)/(IF($O597="",0,Settings!$J$4)+IF($L597="",0,Settings!$J$5)+IF($N597="",0,Settings!$J$6)),0))</f>
        <v>0</v>
      </c>
      <c r="Q597" s="12">
        <f t="array" ref="Q597">IF($A597="","",XLOOKUP($E597,Settings!$A$19:$A$22,Settings!$G$19:$G$22,0))</f>
        <v>196.25</v>
      </c>
      <c r="R597" s="12">
        <f t="shared" si="1"/>
        <v>0</v>
      </c>
      <c r="S597" s="12">
        <f>IF($A597="","",IF($R597&lt;=0,1,1+$R597/SUMIF($R$4:$R$923,"&gt;0",$R$4:$R$923)*(Settings!$B$5*(Settings!$B$6-Settings!$B$7))))</f>
        <v>1</v>
      </c>
      <c r="T597" s="12">
        <f t="array" ref="T597">IF($A597="","",XLOOKUP($F597,Settings!$I$15:$I$20,Settings!$J$15:$J$20,1))</f>
        <v>0.75</v>
      </c>
      <c r="U597" s="12">
        <f>IF($A597="","",1+(($G597-5)/5)*Settings!$J$8)</f>
        <v>1</v>
      </c>
      <c r="V597" s="12">
        <f>IF($A597="","",1+(($H597-5)/5)*Settings!$J$9)</f>
        <v>1.06</v>
      </c>
      <c r="W597" s="12">
        <f t="array" ref="W597">IF($A597="","",XLOOKUP($J597,Lists!$C$3:$C$7,Lists!$D$3:$D$7,1))</f>
        <v>1</v>
      </c>
      <c r="X597" s="12">
        <f>IF($A597="","",IF($I597="Yes",Settings!$J$10,1))</f>
        <v>1</v>
      </c>
      <c r="Y597" s="12">
        <f t="shared" si="2"/>
        <v>1</v>
      </c>
      <c r="Z597" s="12">
        <f>IF($A597="","",IFERROR(ROUND(AVERAGEIFS('Historical Drafts'!$G$4:$G$300,'Historical Drafts'!$D$4:$D$300,$E597,'Historical Drafts'!$J$4:$J$300,"&gt;="&amp;$L597*0.85,'Historical Drafts'!$J$4:$J$300,"&lt;="&amp;$L597*1.15),0),$Y597))</f>
        <v>1</v>
      </c>
      <c r="AA597" s="12" t="str">
        <f>IF($A597="","",IF(COUNTIF('Auction Log'!$B$3:$B$300,$A597)&gt;0,"Sold","Available"))</f>
        <v>Available</v>
      </c>
      <c r="AB597" s="12" t="str">
        <f t="array" ref="AB597">IF($A597="","",IFERROR(XLOOKUP($A597,'Auction Log'!$B$3:$B$300,'Auction Log'!$G$3:$G$300,""),""))</f>
        <v/>
      </c>
      <c r="AC597" s="12" t="str">
        <f t="array" ref="AC597">IF($A597="","",IFERROR(XLOOKUP($A597,'Auction Log'!$B$3:$B$300,'Auction Log'!$F$3:$F$300,""),""))</f>
        <v/>
      </c>
      <c r="AD597" s="12">
        <f t="array" ref="AD597">IF($A597="","",ROUND($Y597*XLOOKUP($F597,Settings!$I$15:$I$20,Settings!$K$15:$K$20,0.4),0))</f>
        <v>0</v>
      </c>
      <c r="AE597" s="12">
        <f t="array" ref="AE597">IF($A597="","",ROUND($Y597*XLOOKUP($F597,Settings!$I$15:$I$20,Settings!$L$15:$L$20,0.8),0))</f>
        <v>1</v>
      </c>
      <c r="AF597" s="12">
        <f t="array" ref="AF597">IF($A597="","",ROUND($Y597*XLOOKUP($F597,Settings!$I$15:$I$20,Settings!$M$15:$M$20,1),0))</f>
        <v>1</v>
      </c>
      <c r="AG597" s="12">
        <f t="array" ref="AG597">IF($A597="","",ROUND($Y597*XLOOKUP($F597,Settings!$I$15:$I$20,Settings!$N$15:$N$20,1.1),0))</f>
        <v>1</v>
      </c>
      <c r="AH597" s="12">
        <f t="array" ref="AH597">IF($A597="","",ROUND($Y597*XLOOKUP($F597,Settings!$I$15:$I$20,Settings!$O$15:$O$20,1.1)*Settings!$J$7,0))</f>
        <v>1</v>
      </c>
      <c r="AI597" s="12">
        <f t="array" ref="AI597">IF($A597="","",IF($AA597="Sold","",MIN($AH597,IFERROR(XLOOKUP(Settings!$B$12,Managers!$B$4:$B$15,Managers!$H$4:$H$15),$AH597))))</f>
        <v>1</v>
      </c>
      <c r="AJ597" s="12" t="str">
        <f t="shared" si="3"/>
        <v>Recommended</v>
      </c>
      <c r="AK597" s="12">
        <f t="shared" si="4"/>
        <v>26</v>
      </c>
      <c r="AL597" s="12" t="str">
        <f t="shared" si="5"/>
        <v/>
      </c>
    </row>
    <row r="598" ht="15.75" customHeight="1">
      <c r="A598" s="10" t="s">
        <v>1476</v>
      </c>
      <c r="B598" s="10" t="s">
        <v>1477</v>
      </c>
      <c r="C598" s="10" t="s">
        <v>177</v>
      </c>
      <c r="D598" s="10" t="s">
        <v>115</v>
      </c>
      <c r="E598" s="10" t="s">
        <v>115</v>
      </c>
      <c r="F598" s="10" t="s">
        <v>117</v>
      </c>
      <c r="G598" s="10">
        <v>5.0</v>
      </c>
      <c r="H598" s="10">
        <v>7.0</v>
      </c>
      <c r="I598" s="10" t="s">
        <v>2140</v>
      </c>
      <c r="J598" s="10" t="s">
        <v>2136</v>
      </c>
      <c r="K598" s="10"/>
      <c r="L598" s="10">
        <v>0.0</v>
      </c>
      <c r="M598" s="10">
        <v>0.0</v>
      </c>
      <c r="N598" s="10"/>
      <c r="O598" s="10"/>
      <c r="P598" s="12">
        <f>IF($A598="","",IFERROR((IF($O598="",0,$O598)*Settings!$J$4+IF($L598="",0,$L598)*Settings!$J$5+IF($N598="",0,$N598)*Settings!$J$6)/(IF($O598="",0,Settings!$J$4)+IF($L598="",0,Settings!$J$5)+IF($N598="",0,Settings!$J$6)),0))</f>
        <v>0</v>
      </c>
      <c r="Q598" s="12">
        <f t="array" ref="Q598">IF($A598="","",XLOOKUP($E598,Settings!$A$19:$A$22,Settings!$G$19:$G$22,0))</f>
        <v>249.25</v>
      </c>
      <c r="R598" s="12">
        <f t="shared" si="1"/>
        <v>0</v>
      </c>
      <c r="S598" s="12">
        <f>IF($A598="","",IF($R598&lt;=0,1,1+$R598/SUMIF($R$4:$R$923,"&gt;0",$R$4:$R$923)*(Settings!$B$5*(Settings!$B$6-Settings!$B$7))))</f>
        <v>1</v>
      </c>
      <c r="T598" s="12">
        <f t="array" ref="T598">IF($A598="","",XLOOKUP($F598,Settings!$I$15:$I$20,Settings!$J$15:$J$20,1))</f>
        <v>0.75</v>
      </c>
      <c r="U598" s="12">
        <f>IF($A598="","",1+(($G598-5)/5)*Settings!$J$8)</f>
        <v>1</v>
      </c>
      <c r="V598" s="12">
        <f>IF($A598="","",1+(($H598-5)/5)*Settings!$J$9)</f>
        <v>1.06</v>
      </c>
      <c r="W598" s="12">
        <f t="array" ref="W598">IF($A598="","",XLOOKUP($J598,Lists!$C$3:$C$7,Lists!$D$3:$D$7,1))</f>
        <v>1</v>
      </c>
      <c r="X598" s="12">
        <f>IF($A598="","",IF($I598="Yes",Settings!$J$10,1))</f>
        <v>1</v>
      </c>
      <c r="Y598" s="12">
        <f t="shared" si="2"/>
        <v>1</v>
      </c>
      <c r="Z598" s="12">
        <f>IF($A598="","",IFERROR(ROUND(AVERAGEIFS('Historical Drafts'!$G$4:$G$300,'Historical Drafts'!$D$4:$D$300,$E598,'Historical Drafts'!$J$4:$J$300,"&gt;="&amp;$L598*0.85,'Historical Drafts'!$J$4:$J$300,"&lt;="&amp;$L598*1.15),0),$Y598))</f>
        <v>1</v>
      </c>
      <c r="AA598" s="12" t="str">
        <f>IF($A598="","",IF(COUNTIF('Auction Log'!$B$3:$B$300,$A598)&gt;0,"Sold","Available"))</f>
        <v>Available</v>
      </c>
      <c r="AB598" s="12" t="str">
        <f t="array" ref="AB598">IF($A598="","",IFERROR(XLOOKUP($A598,'Auction Log'!$B$3:$B$300,'Auction Log'!$G$3:$G$300,""),""))</f>
        <v/>
      </c>
      <c r="AC598" s="12" t="str">
        <f t="array" ref="AC598">IF($A598="","",IFERROR(XLOOKUP($A598,'Auction Log'!$B$3:$B$300,'Auction Log'!$F$3:$F$300,""),""))</f>
        <v/>
      </c>
      <c r="AD598" s="12">
        <f t="array" ref="AD598">IF($A598="","",ROUND($Y598*XLOOKUP($F598,Settings!$I$15:$I$20,Settings!$K$15:$K$20,0.4),0))</f>
        <v>0</v>
      </c>
      <c r="AE598" s="12">
        <f t="array" ref="AE598">IF($A598="","",ROUND($Y598*XLOOKUP($F598,Settings!$I$15:$I$20,Settings!$L$15:$L$20,0.8),0))</f>
        <v>1</v>
      </c>
      <c r="AF598" s="12">
        <f t="array" ref="AF598">IF($A598="","",ROUND($Y598*XLOOKUP($F598,Settings!$I$15:$I$20,Settings!$M$15:$M$20,1),0))</f>
        <v>1</v>
      </c>
      <c r="AG598" s="12">
        <f t="array" ref="AG598">IF($A598="","",ROUND($Y598*XLOOKUP($F598,Settings!$I$15:$I$20,Settings!$N$15:$N$20,1.1),0))</f>
        <v>1</v>
      </c>
      <c r="AH598" s="12">
        <f t="array" ref="AH598">IF($A598="","",ROUND($Y598*XLOOKUP($F598,Settings!$I$15:$I$20,Settings!$O$15:$O$20,1.1)*Settings!$J$7,0))</f>
        <v>1</v>
      </c>
      <c r="AI598" s="12">
        <f t="array" ref="AI598">IF($A598="","",IF($AA598="Sold","",MIN($AH598,IFERROR(XLOOKUP(Settings!$B$12,Managers!$B$4:$B$15,Managers!$H$4:$H$15),$AH598))))</f>
        <v>1</v>
      </c>
      <c r="AJ598" s="12" t="str">
        <f t="shared" si="3"/>
        <v>Recommended</v>
      </c>
      <c r="AK598" s="12">
        <f t="shared" si="4"/>
        <v>26</v>
      </c>
      <c r="AL598" s="12" t="str">
        <f t="shared" si="5"/>
        <v/>
      </c>
    </row>
    <row r="599" ht="15.75" customHeight="1">
      <c r="A599" s="10" t="s">
        <v>1478</v>
      </c>
      <c r="B599" s="10" t="s">
        <v>1479</v>
      </c>
      <c r="C599" s="10" t="s">
        <v>566</v>
      </c>
      <c r="D599" s="10" t="s">
        <v>118</v>
      </c>
      <c r="E599" s="10" t="s">
        <v>118</v>
      </c>
      <c r="F599" s="10" t="s">
        <v>117</v>
      </c>
      <c r="G599" s="10">
        <v>5.0</v>
      </c>
      <c r="H599" s="10">
        <v>7.0</v>
      </c>
      <c r="I599" s="10" t="s">
        <v>2140</v>
      </c>
      <c r="J599" s="10" t="s">
        <v>2136</v>
      </c>
      <c r="K599" s="10"/>
      <c r="L599" s="10">
        <v>0.0</v>
      </c>
      <c r="M599" s="10">
        <v>0.0</v>
      </c>
      <c r="N599" s="10"/>
      <c r="O599" s="10"/>
      <c r="P599" s="12">
        <f>IF($A599="","",IFERROR((IF($O599="",0,$O599)*Settings!$J$4+IF($L599="",0,$L599)*Settings!$J$5+IF($N599="",0,$N599)*Settings!$J$6)/(IF($O599="",0,Settings!$J$4)+IF($L599="",0,Settings!$J$5)+IF($N599="",0,Settings!$J$6)),0))</f>
        <v>0</v>
      </c>
      <c r="Q599" s="12">
        <f t="array" ref="Q599">IF($A599="","",XLOOKUP($E599,Settings!$A$19:$A$22,Settings!$G$19:$G$22,0))</f>
        <v>196.25</v>
      </c>
      <c r="R599" s="12">
        <f t="shared" si="1"/>
        <v>0</v>
      </c>
      <c r="S599" s="12">
        <f>IF($A599="","",IF($R599&lt;=0,1,1+$R599/SUMIF($R$4:$R$923,"&gt;0",$R$4:$R$923)*(Settings!$B$5*(Settings!$B$6-Settings!$B$7))))</f>
        <v>1</v>
      </c>
      <c r="T599" s="12">
        <f t="array" ref="T599">IF($A599="","",XLOOKUP($F599,Settings!$I$15:$I$20,Settings!$J$15:$J$20,1))</f>
        <v>0.75</v>
      </c>
      <c r="U599" s="12">
        <f>IF($A599="","",1+(($G599-5)/5)*Settings!$J$8)</f>
        <v>1</v>
      </c>
      <c r="V599" s="12">
        <f>IF($A599="","",1+(($H599-5)/5)*Settings!$J$9)</f>
        <v>1.06</v>
      </c>
      <c r="W599" s="12">
        <f t="array" ref="W599">IF($A599="","",XLOOKUP($J599,Lists!$C$3:$C$7,Lists!$D$3:$D$7,1))</f>
        <v>1</v>
      </c>
      <c r="X599" s="12">
        <f>IF($A599="","",IF($I599="Yes",Settings!$J$10,1))</f>
        <v>1</v>
      </c>
      <c r="Y599" s="12">
        <f t="shared" si="2"/>
        <v>1</v>
      </c>
      <c r="Z599" s="12">
        <f>IF($A599="","",IFERROR(ROUND(AVERAGEIFS('Historical Drafts'!$G$4:$G$300,'Historical Drafts'!$D$4:$D$300,$E599,'Historical Drafts'!$J$4:$J$300,"&gt;="&amp;$L599*0.85,'Historical Drafts'!$J$4:$J$300,"&lt;="&amp;$L599*1.15),0),$Y599))</f>
        <v>1</v>
      </c>
      <c r="AA599" s="12" t="str">
        <f>IF($A599="","",IF(COUNTIF('Auction Log'!$B$3:$B$300,$A599)&gt;0,"Sold","Available"))</f>
        <v>Available</v>
      </c>
      <c r="AB599" s="12" t="str">
        <f t="array" ref="AB599">IF($A599="","",IFERROR(XLOOKUP($A599,'Auction Log'!$B$3:$B$300,'Auction Log'!$G$3:$G$300,""),""))</f>
        <v/>
      </c>
      <c r="AC599" s="12" t="str">
        <f t="array" ref="AC599">IF($A599="","",IFERROR(XLOOKUP($A599,'Auction Log'!$B$3:$B$300,'Auction Log'!$F$3:$F$300,""),""))</f>
        <v/>
      </c>
      <c r="AD599" s="12">
        <f t="array" ref="AD599">IF($A599="","",ROUND($Y599*XLOOKUP($F599,Settings!$I$15:$I$20,Settings!$K$15:$K$20,0.4),0))</f>
        <v>0</v>
      </c>
      <c r="AE599" s="12">
        <f t="array" ref="AE599">IF($A599="","",ROUND($Y599*XLOOKUP($F599,Settings!$I$15:$I$20,Settings!$L$15:$L$20,0.8),0))</f>
        <v>1</v>
      </c>
      <c r="AF599" s="12">
        <f t="array" ref="AF599">IF($A599="","",ROUND($Y599*XLOOKUP($F599,Settings!$I$15:$I$20,Settings!$M$15:$M$20,1),0))</f>
        <v>1</v>
      </c>
      <c r="AG599" s="12">
        <f t="array" ref="AG599">IF($A599="","",ROUND($Y599*XLOOKUP($F599,Settings!$I$15:$I$20,Settings!$N$15:$N$20,1.1),0))</f>
        <v>1</v>
      </c>
      <c r="AH599" s="12">
        <f t="array" ref="AH599">IF($A599="","",ROUND($Y599*XLOOKUP($F599,Settings!$I$15:$I$20,Settings!$O$15:$O$20,1.1)*Settings!$J$7,0))</f>
        <v>1</v>
      </c>
      <c r="AI599" s="12">
        <f t="array" ref="AI599">IF($A599="","",IF($AA599="Sold","",MIN($AH599,IFERROR(XLOOKUP(Settings!$B$12,Managers!$B$4:$B$15,Managers!$H$4:$H$15),$AH599))))</f>
        <v>1</v>
      </c>
      <c r="AJ599" s="12" t="str">
        <f t="shared" si="3"/>
        <v>Recommended</v>
      </c>
      <c r="AK599" s="12">
        <f t="shared" si="4"/>
        <v>26</v>
      </c>
      <c r="AL599" s="12" t="str">
        <f t="shared" si="5"/>
        <v/>
      </c>
    </row>
    <row r="600" ht="15.75" customHeight="1">
      <c r="A600" s="10" t="s">
        <v>1480</v>
      </c>
      <c r="B600" s="10" t="s">
        <v>1481</v>
      </c>
      <c r="C600" s="10" t="s">
        <v>199</v>
      </c>
      <c r="D600" s="10" t="s">
        <v>121</v>
      </c>
      <c r="E600" s="10" t="s">
        <v>121</v>
      </c>
      <c r="F600" s="10" t="s">
        <v>117</v>
      </c>
      <c r="G600" s="10">
        <v>5.0</v>
      </c>
      <c r="H600" s="10">
        <v>7.0</v>
      </c>
      <c r="I600" s="10" t="s">
        <v>2140</v>
      </c>
      <c r="J600" s="10" t="s">
        <v>2136</v>
      </c>
      <c r="K600" s="10"/>
      <c r="L600" s="10">
        <v>0.0</v>
      </c>
      <c r="M600" s="10">
        <v>0.0</v>
      </c>
      <c r="N600" s="10"/>
      <c r="O600" s="10"/>
      <c r="P600" s="12">
        <f>IF($A600="","",IFERROR((IF($O600="",0,$O600)*Settings!$J$4+IF($L600="",0,$L600)*Settings!$J$5+IF($N600="",0,$N600)*Settings!$J$6)/(IF($O600="",0,Settings!$J$4)+IF($L600="",0,Settings!$J$5)+IF($N600="",0,Settings!$J$6)),0))</f>
        <v>0</v>
      </c>
      <c r="Q600" s="12">
        <f t="array" ref="Q600">IF($A600="","",XLOOKUP($E600,Settings!$A$19:$A$22,Settings!$G$19:$G$22,0))</f>
        <v>206</v>
      </c>
      <c r="R600" s="12">
        <f t="shared" si="1"/>
        <v>0</v>
      </c>
      <c r="S600" s="12">
        <f>IF($A600="","",IF($R600&lt;=0,1,1+$R600/SUMIF($R$4:$R$923,"&gt;0",$R$4:$R$923)*(Settings!$B$5*(Settings!$B$6-Settings!$B$7))))</f>
        <v>1</v>
      </c>
      <c r="T600" s="12">
        <f t="array" ref="T600">IF($A600="","",XLOOKUP($F600,Settings!$I$15:$I$20,Settings!$J$15:$J$20,1))</f>
        <v>0.75</v>
      </c>
      <c r="U600" s="12">
        <f>IF($A600="","",1+(($G600-5)/5)*Settings!$J$8)</f>
        <v>1</v>
      </c>
      <c r="V600" s="12">
        <f>IF($A600="","",1+(($H600-5)/5)*Settings!$J$9)</f>
        <v>1.06</v>
      </c>
      <c r="W600" s="12">
        <f t="array" ref="W600">IF($A600="","",XLOOKUP($J600,Lists!$C$3:$C$7,Lists!$D$3:$D$7,1))</f>
        <v>1</v>
      </c>
      <c r="X600" s="12">
        <f>IF($A600="","",IF($I600="Yes",Settings!$J$10,1))</f>
        <v>1</v>
      </c>
      <c r="Y600" s="12">
        <f t="shared" si="2"/>
        <v>1</v>
      </c>
      <c r="Z600" s="12">
        <f>IF($A600="","",IFERROR(ROUND(AVERAGEIFS('Historical Drafts'!$G$4:$G$300,'Historical Drafts'!$D$4:$D$300,$E600,'Historical Drafts'!$J$4:$J$300,"&gt;="&amp;$L600*0.85,'Historical Drafts'!$J$4:$J$300,"&lt;="&amp;$L600*1.15),0),$Y600))</f>
        <v>3</v>
      </c>
      <c r="AA600" s="12" t="str">
        <f>IF($A600="","",IF(COUNTIF('Auction Log'!$B$3:$B$300,$A600)&gt;0,"Sold","Available"))</f>
        <v>Available</v>
      </c>
      <c r="AB600" s="12" t="str">
        <f t="array" ref="AB600">IF($A600="","",IFERROR(XLOOKUP($A600,'Auction Log'!$B$3:$B$300,'Auction Log'!$G$3:$G$300,""),""))</f>
        <v/>
      </c>
      <c r="AC600" s="12" t="str">
        <f t="array" ref="AC600">IF($A600="","",IFERROR(XLOOKUP($A600,'Auction Log'!$B$3:$B$300,'Auction Log'!$F$3:$F$300,""),""))</f>
        <v/>
      </c>
      <c r="AD600" s="12">
        <f t="array" ref="AD600">IF($A600="","",ROUND($Y600*XLOOKUP($F600,Settings!$I$15:$I$20,Settings!$K$15:$K$20,0.4),0))</f>
        <v>0</v>
      </c>
      <c r="AE600" s="12">
        <f t="array" ref="AE600">IF($A600="","",ROUND($Y600*XLOOKUP($F600,Settings!$I$15:$I$20,Settings!$L$15:$L$20,0.8),0))</f>
        <v>1</v>
      </c>
      <c r="AF600" s="12">
        <f t="array" ref="AF600">IF($A600="","",ROUND($Y600*XLOOKUP($F600,Settings!$I$15:$I$20,Settings!$M$15:$M$20,1),0))</f>
        <v>1</v>
      </c>
      <c r="AG600" s="12">
        <f t="array" ref="AG600">IF($A600="","",ROUND($Y600*XLOOKUP($F600,Settings!$I$15:$I$20,Settings!$N$15:$N$20,1.1),0))</f>
        <v>1</v>
      </c>
      <c r="AH600" s="12">
        <f t="array" ref="AH600">IF($A600="","",ROUND($Y600*XLOOKUP($F600,Settings!$I$15:$I$20,Settings!$O$15:$O$20,1.1)*Settings!$J$7,0))</f>
        <v>1</v>
      </c>
      <c r="AI600" s="12">
        <f t="array" ref="AI600">IF($A600="","",IF($AA600="Sold","",MIN($AH600,IFERROR(XLOOKUP(Settings!$B$12,Managers!$B$4:$B$15,Managers!$H$4:$H$15),$AH600))))</f>
        <v>1</v>
      </c>
      <c r="AJ600" s="12" t="str">
        <f t="shared" si="3"/>
        <v>Budget Drainer</v>
      </c>
      <c r="AK600" s="12">
        <f t="shared" si="4"/>
        <v>28</v>
      </c>
      <c r="AL600" s="12" t="str">
        <f t="shared" si="5"/>
        <v/>
      </c>
    </row>
    <row r="601" ht="15.75" customHeight="1">
      <c r="A601" s="10" t="s">
        <v>1482</v>
      </c>
      <c r="B601" s="10" t="s">
        <v>1483</v>
      </c>
      <c r="C601" s="10" t="s">
        <v>236</v>
      </c>
      <c r="D601" s="10" t="s">
        <v>123</v>
      </c>
      <c r="E601" s="10" t="s">
        <v>123</v>
      </c>
      <c r="F601" s="10" t="s">
        <v>117</v>
      </c>
      <c r="G601" s="10">
        <v>5.0</v>
      </c>
      <c r="H601" s="10">
        <v>7.0</v>
      </c>
      <c r="I601" s="10" t="s">
        <v>2140</v>
      </c>
      <c r="J601" s="10" t="s">
        <v>2136</v>
      </c>
      <c r="K601" s="10"/>
      <c r="L601" s="10">
        <v>0.0</v>
      </c>
      <c r="M601" s="10">
        <v>0.0</v>
      </c>
      <c r="N601" s="10"/>
      <c r="O601" s="10"/>
      <c r="P601" s="12">
        <f>IF($A601="","",IFERROR((IF($O601="",0,$O601)*Settings!$J$4+IF($L601="",0,$L601)*Settings!$J$5+IF($N601="",0,$N601)*Settings!$J$6)/(IF($O601="",0,Settings!$J$4)+IF($L601="",0,Settings!$J$5)+IF($N601="",0,Settings!$J$6)),0))</f>
        <v>0</v>
      </c>
      <c r="Q601" s="12">
        <f t="array" ref="Q601">IF($A601="","",XLOOKUP($E601,Settings!$A$19:$A$22,Settings!$G$19:$G$22,0))</f>
        <v>203</v>
      </c>
      <c r="R601" s="12">
        <f t="shared" si="1"/>
        <v>0</v>
      </c>
      <c r="S601" s="12">
        <f>IF($A601="","",IF($R601&lt;=0,1,1+$R601/SUMIF($R$4:$R$923,"&gt;0",$R$4:$R$923)*(Settings!$B$5*(Settings!$B$6-Settings!$B$7))))</f>
        <v>1</v>
      </c>
      <c r="T601" s="12">
        <f t="array" ref="T601">IF($A601="","",XLOOKUP($F601,Settings!$I$15:$I$20,Settings!$J$15:$J$20,1))</f>
        <v>0.75</v>
      </c>
      <c r="U601" s="12">
        <f>IF($A601="","",1+(($G601-5)/5)*Settings!$J$8)</f>
        <v>1</v>
      </c>
      <c r="V601" s="12">
        <f>IF($A601="","",1+(($H601-5)/5)*Settings!$J$9)</f>
        <v>1.06</v>
      </c>
      <c r="W601" s="12">
        <f t="array" ref="W601">IF($A601="","",XLOOKUP($J601,Lists!$C$3:$C$7,Lists!$D$3:$D$7,1))</f>
        <v>1</v>
      </c>
      <c r="X601" s="12">
        <f>IF($A601="","",IF($I601="Yes",Settings!$J$10,1))</f>
        <v>1</v>
      </c>
      <c r="Y601" s="12">
        <f t="shared" si="2"/>
        <v>1</v>
      </c>
      <c r="Z601" s="12">
        <f>IF($A601="","",IFERROR(ROUND(AVERAGEIFS('Historical Drafts'!$G$4:$G$300,'Historical Drafts'!$D$4:$D$300,$E601,'Historical Drafts'!$J$4:$J$300,"&gt;="&amp;$L601*0.85,'Historical Drafts'!$J$4:$J$300,"&lt;="&amp;$L601*1.15),0),$Y601))</f>
        <v>3</v>
      </c>
      <c r="AA601" s="12" t="str">
        <f>IF($A601="","",IF(COUNTIF('Auction Log'!$B$3:$B$300,$A601)&gt;0,"Sold","Available"))</f>
        <v>Available</v>
      </c>
      <c r="AB601" s="12" t="str">
        <f t="array" ref="AB601">IF($A601="","",IFERROR(XLOOKUP($A601,'Auction Log'!$B$3:$B$300,'Auction Log'!$G$3:$G$300,""),""))</f>
        <v/>
      </c>
      <c r="AC601" s="12" t="str">
        <f t="array" ref="AC601">IF($A601="","",IFERROR(XLOOKUP($A601,'Auction Log'!$B$3:$B$300,'Auction Log'!$F$3:$F$300,""),""))</f>
        <v/>
      </c>
      <c r="AD601" s="12">
        <f t="array" ref="AD601">IF($A601="","",ROUND($Y601*XLOOKUP($F601,Settings!$I$15:$I$20,Settings!$K$15:$K$20,0.4),0))</f>
        <v>0</v>
      </c>
      <c r="AE601" s="12">
        <f t="array" ref="AE601">IF($A601="","",ROUND($Y601*XLOOKUP($F601,Settings!$I$15:$I$20,Settings!$L$15:$L$20,0.8),0))</f>
        <v>1</v>
      </c>
      <c r="AF601" s="12">
        <f t="array" ref="AF601">IF($A601="","",ROUND($Y601*XLOOKUP($F601,Settings!$I$15:$I$20,Settings!$M$15:$M$20,1),0))</f>
        <v>1</v>
      </c>
      <c r="AG601" s="12">
        <f t="array" ref="AG601">IF($A601="","",ROUND($Y601*XLOOKUP($F601,Settings!$I$15:$I$20,Settings!$N$15:$N$20,1.1),0))</f>
        <v>1</v>
      </c>
      <c r="AH601" s="12">
        <f t="array" ref="AH601">IF($A601="","",ROUND($Y601*XLOOKUP($F601,Settings!$I$15:$I$20,Settings!$O$15:$O$20,1.1)*Settings!$J$7,0))</f>
        <v>1</v>
      </c>
      <c r="AI601" s="12">
        <f t="array" ref="AI601">IF($A601="","",IF($AA601="Sold","",MIN($AH601,IFERROR(XLOOKUP(Settings!$B$12,Managers!$B$4:$B$15,Managers!$H$4:$H$15),$AH601))))</f>
        <v>1</v>
      </c>
      <c r="AJ601" s="12" t="str">
        <f t="shared" si="3"/>
        <v>Budget Drainer</v>
      </c>
      <c r="AK601" s="12">
        <f t="shared" si="4"/>
        <v>28</v>
      </c>
      <c r="AL601" s="12" t="str">
        <f t="shared" si="5"/>
        <v/>
      </c>
    </row>
    <row r="602" ht="15.75" customHeight="1">
      <c r="A602" s="10" t="s">
        <v>1484</v>
      </c>
      <c r="B602" s="10" t="s">
        <v>1485</v>
      </c>
      <c r="C602" s="10" t="s">
        <v>285</v>
      </c>
      <c r="D602" s="10" t="s">
        <v>115</v>
      </c>
      <c r="E602" s="10" t="s">
        <v>115</v>
      </c>
      <c r="F602" s="10" t="s">
        <v>117</v>
      </c>
      <c r="G602" s="10">
        <v>5.0</v>
      </c>
      <c r="H602" s="10">
        <v>7.0</v>
      </c>
      <c r="I602" s="10" t="s">
        <v>2140</v>
      </c>
      <c r="J602" s="10" t="s">
        <v>2136</v>
      </c>
      <c r="K602" s="10"/>
      <c r="L602" s="10">
        <v>0.0</v>
      </c>
      <c r="M602" s="10">
        <v>0.0</v>
      </c>
      <c r="N602" s="10"/>
      <c r="O602" s="10"/>
      <c r="P602" s="12">
        <f>IF($A602="","",IFERROR((IF($O602="",0,$O602)*Settings!$J$4+IF($L602="",0,$L602)*Settings!$J$5+IF($N602="",0,$N602)*Settings!$J$6)/(IF($O602="",0,Settings!$J$4)+IF($L602="",0,Settings!$J$5)+IF($N602="",0,Settings!$J$6)),0))</f>
        <v>0</v>
      </c>
      <c r="Q602" s="12">
        <f t="array" ref="Q602">IF($A602="","",XLOOKUP($E602,Settings!$A$19:$A$22,Settings!$G$19:$G$22,0))</f>
        <v>249.25</v>
      </c>
      <c r="R602" s="12">
        <f t="shared" si="1"/>
        <v>0</v>
      </c>
      <c r="S602" s="12">
        <f>IF($A602="","",IF($R602&lt;=0,1,1+$R602/SUMIF($R$4:$R$923,"&gt;0",$R$4:$R$923)*(Settings!$B$5*(Settings!$B$6-Settings!$B$7))))</f>
        <v>1</v>
      </c>
      <c r="T602" s="12">
        <f t="array" ref="T602">IF($A602="","",XLOOKUP($F602,Settings!$I$15:$I$20,Settings!$J$15:$J$20,1))</f>
        <v>0.75</v>
      </c>
      <c r="U602" s="12">
        <f>IF($A602="","",1+(($G602-5)/5)*Settings!$J$8)</f>
        <v>1</v>
      </c>
      <c r="V602" s="12">
        <f>IF($A602="","",1+(($H602-5)/5)*Settings!$J$9)</f>
        <v>1.06</v>
      </c>
      <c r="W602" s="12">
        <f t="array" ref="W602">IF($A602="","",XLOOKUP($J602,Lists!$C$3:$C$7,Lists!$D$3:$D$7,1))</f>
        <v>1</v>
      </c>
      <c r="X602" s="12">
        <f>IF($A602="","",IF($I602="Yes",Settings!$J$10,1))</f>
        <v>1</v>
      </c>
      <c r="Y602" s="12">
        <f t="shared" si="2"/>
        <v>1</v>
      </c>
      <c r="Z602" s="12">
        <f>IF($A602="","",IFERROR(ROUND(AVERAGEIFS('Historical Drafts'!$G$4:$G$300,'Historical Drafts'!$D$4:$D$300,$E602,'Historical Drafts'!$J$4:$J$300,"&gt;="&amp;$L602*0.85,'Historical Drafts'!$J$4:$J$300,"&lt;="&amp;$L602*1.15),0),$Y602))</f>
        <v>1</v>
      </c>
      <c r="AA602" s="12" t="str">
        <f>IF($A602="","",IF(COUNTIF('Auction Log'!$B$3:$B$300,$A602)&gt;0,"Sold","Available"))</f>
        <v>Available</v>
      </c>
      <c r="AB602" s="12" t="str">
        <f t="array" ref="AB602">IF($A602="","",IFERROR(XLOOKUP($A602,'Auction Log'!$B$3:$B$300,'Auction Log'!$G$3:$G$300,""),""))</f>
        <v/>
      </c>
      <c r="AC602" s="12" t="str">
        <f t="array" ref="AC602">IF($A602="","",IFERROR(XLOOKUP($A602,'Auction Log'!$B$3:$B$300,'Auction Log'!$F$3:$F$300,""),""))</f>
        <v/>
      </c>
      <c r="AD602" s="12">
        <f t="array" ref="AD602">IF($A602="","",ROUND($Y602*XLOOKUP($F602,Settings!$I$15:$I$20,Settings!$K$15:$K$20,0.4),0))</f>
        <v>0</v>
      </c>
      <c r="AE602" s="12">
        <f t="array" ref="AE602">IF($A602="","",ROUND($Y602*XLOOKUP($F602,Settings!$I$15:$I$20,Settings!$L$15:$L$20,0.8),0))</f>
        <v>1</v>
      </c>
      <c r="AF602" s="12">
        <f t="array" ref="AF602">IF($A602="","",ROUND($Y602*XLOOKUP($F602,Settings!$I$15:$I$20,Settings!$M$15:$M$20,1),0))</f>
        <v>1</v>
      </c>
      <c r="AG602" s="12">
        <f t="array" ref="AG602">IF($A602="","",ROUND($Y602*XLOOKUP($F602,Settings!$I$15:$I$20,Settings!$N$15:$N$20,1.1),0))</f>
        <v>1</v>
      </c>
      <c r="AH602" s="12">
        <f t="array" ref="AH602">IF($A602="","",ROUND($Y602*XLOOKUP($F602,Settings!$I$15:$I$20,Settings!$O$15:$O$20,1.1)*Settings!$J$7,0))</f>
        <v>1</v>
      </c>
      <c r="AI602" s="12">
        <f t="array" ref="AI602">IF($A602="","",IF($AA602="Sold","",MIN($AH602,IFERROR(XLOOKUP(Settings!$B$12,Managers!$B$4:$B$15,Managers!$H$4:$H$15),$AH602))))</f>
        <v>1</v>
      </c>
      <c r="AJ602" s="12" t="str">
        <f t="shared" si="3"/>
        <v>Recommended</v>
      </c>
      <c r="AK602" s="12">
        <f t="shared" si="4"/>
        <v>26</v>
      </c>
      <c r="AL602" s="12" t="str">
        <f t="shared" si="5"/>
        <v/>
      </c>
    </row>
    <row r="603" ht="15.75" customHeight="1">
      <c r="A603" s="10" t="s">
        <v>1486</v>
      </c>
      <c r="B603" s="10" t="s">
        <v>1487</v>
      </c>
      <c r="C603" s="10" t="s">
        <v>243</v>
      </c>
      <c r="D603" s="10" t="s">
        <v>121</v>
      </c>
      <c r="E603" s="10" t="s">
        <v>121</v>
      </c>
      <c r="F603" s="10" t="s">
        <v>117</v>
      </c>
      <c r="G603" s="10">
        <v>5.0</v>
      </c>
      <c r="H603" s="10">
        <v>7.0</v>
      </c>
      <c r="I603" s="10" t="s">
        <v>2140</v>
      </c>
      <c r="J603" s="10" t="s">
        <v>2136</v>
      </c>
      <c r="K603" s="10"/>
      <c r="L603" s="10">
        <v>0.0</v>
      </c>
      <c r="M603" s="10">
        <v>0.0</v>
      </c>
      <c r="N603" s="10"/>
      <c r="O603" s="10"/>
      <c r="P603" s="12">
        <f>IF($A603="","",IFERROR((IF($O603="",0,$O603)*Settings!$J$4+IF($L603="",0,$L603)*Settings!$J$5+IF($N603="",0,$N603)*Settings!$J$6)/(IF($O603="",0,Settings!$J$4)+IF($L603="",0,Settings!$J$5)+IF($N603="",0,Settings!$J$6)),0))</f>
        <v>0</v>
      </c>
      <c r="Q603" s="12">
        <f t="array" ref="Q603">IF($A603="","",XLOOKUP($E603,Settings!$A$19:$A$22,Settings!$G$19:$G$22,0))</f>
        <v>206</v>
      </c>
      <c r="R603" s="12">
        <f t="shared" si="1"/>
        <v>0</v>
      </c>
      <c r="S603" s="12">
        <f>IF($A603="","",IF($R603&lt;=0,1,1+$R603/SUMIF($R$4:$R$923,"&gt;0",$R$4:$R$923)*(Settings!$B$5*(Settings!$B$6-Settings!$B$7))))</f>
        <v>1</v>
      </c>
      <c r="T603" s="12">
        <f t="array" ref="T603">IF($A603="","",XLOOKUP($F603,Settings!$I$15:$I$20,Settings!$J$15:$J$20,1))</f>
        <v>0.75</v>
      </c>
      <c r="U603" s="12">
        <f>IF($A603="","",1+(($G603-5)/5)*Settings!$J$8)</f>
        <v>1</v>
      </c>
      <c r="V603" s="12">
        <f>IF($A603="","",1+(($H603-5)/5)*Settings!$J$9)</f>
        <v>1.06</v>
      </c>
      <c r="W603" s="12">
        <f t="array" ref="W603">IF($A603="","",XLOOKUP($J603,Lists!$C$3:$C$7,Lists!$D$3:$D$7,1))</f>
        <v>1</v>
      </c>
      <c r="X603" s="12">
        <f>IF($A603="","",IF($I603="Yes",Settings!$J$10,1))</f>
        <v>1</v>
      </c>
      <c r="Y603" s="12">
        <f t="shared" si="2"/>
        <v>1</v>
      </c>
      <c r="Z603" s="12">
        <f>IF($A603="","",IFERROR(ROUND(AVERAGEIFS('Historical Drafts'!$G$4:$G$300,'Historical Drafts'!$D$4:$D$300,$E603,'Historical Drafts'!$J$4:$J$300,"&gt;="&amp;$L603*0.85,'Historical Drafts'!$J$4:$J$300,"&lt;="&amp;$L603*1.15),0),$Y603))</f>
        <v>3</v>
      </c>
      <c r="AA603" s="12" t="str">
        <f>IF($A603="","",IF(COUNTIF('Auction Log'!$B$3:$B$300,$A603)&gt;0,"Sold","Available"))</f>
        <v>Available</v>
      </c>
      <c r="AB603" s="12" t="str">
        <f t="array" ref="AB603">IF($A603="","",IFERROR(XLOOKUP($A603,'Auction Log'!$B$3:$B$300,'Auction Log'!$G$3:$G$300,""),""))</f>
        <v/>
      </c>
      <c r="AC603" s="12" t="str">
        <f t="array" ref="AC603">IF($A603="","",IFERROR(XLOOKUP($A603,'Auction Log'!$B$3:$B$300,'Auction Log'!$F$3:$F$300,""),""))</f>
        <v/>
      </c>
      <c r="AD603" s="12">
        <f t="array" ref="AD603">IF($A603="","",ROUND($Y603*XLOOKUP($F603,Settings!$I$15:$I$20,Settings!$K$15:$K$20,0.4),0))</f>
        <v>0</v>
      </c>
      <c r="AE603" s="12">
        <f t="array" ref="AE603">IF($A603="","",ROUND($Y603*XLOOKUP($F603,Settings!$I$15:$I$20,Settings!$L$15:$L$20,0.8),0))</f>
        <v>1</v>
      </c>
      <c r="AF603" s="12">
        <f t="array" ref="AF603">IF($A603="","",ROUND($Y603*XLOOKUP($F603,Settings!$I$15:$I$20,Settings!$M$15:$M$20,1),0))</f>
        <v>1</v>
      </c>
      <c r="AG603" s="12">
        <f t="array" ref="AG603">IF($A603="","",ROUND($Y603*XLOOKUP($F603,Settings!$I$15:$I$20,Settings!$N$15:$N$20,1.1),0))</f>
        <v>1</v>
      </c>
      <c r="AH603" s="12">
        <f t="array" ref="AH603">IF($A603="","",ROUND($Y603*XLOOKUP($F603,Settings!$I$15:$I$20,Settings!$O$15:$O$20,1.1)*Settings!$J$7,0))</f>
        <v>1</v>
      </c>
      <c r="AI603" s="12">
        <f t="array" ref="AI603">IF($A603="","",IF($AA603="Sold","",MIN($AH603,IFERROR(XLOOKUP(Settings!$B$12,Managers!$B$4:$B$15,Managers!$H$4:$H$15),$AH603))))</f>
        <v>1</v>
      </c>
      <c r="AJ603" s="12" t="str">
        <f t="shared" si="3"/>
        <v>Budget Drainer</v>
      </c>
      <c r="AK603" s="12">
        <f t="shared" si="4"/>
        <v>28</v>
      </c>
      <c r="AL603" s="12" t="str">
        <f t="shared" si="5"/>
        <v/>
      </c>
    </row>
    <row r="604" ht="15.75" customHeight="1">
      <c r="A604" s="10" t="s">
        <v>1488</v>
      </c>
      <c r="B604" s="10" t="s">
        <v>1489</v>
      </c>
      <c r="C604" s="10" t="s">
        <v>177</v>
      </c>
      <c r="D604" s="10" t="s">
        <v>123</v>
      </c>
      <c r="E604" s="10" t="s">
        <v>123</v>
      </c>
      <c r="F604" s="10" t="s">
        <v>117</v>
      </c>
      <c r="G604" s="10">
        <v>5.0</v>
      </c>
      <c r="H604" s="10">
        <v>7.0</v>
      </c>
      <c r="I604" s="10" t="s">
        <v>2140</v>
      </c>
      <c r="J604" s="10" t="s">
        <v>2136</v>
      </c>
      <c r="K604" s="10"/>
      <c r="L604" s="10">
        <v>0.0</v>
      </c>
      <c r="M604" s="10">
        <v>0.0</v>
      </c>
      <c r="N604" s="10"/>
      <c r="O604" s="10"/>
      <c r="P604" s="12">
        <f>IF($A604="","",IFERROR((IF($O604="",0,$O604)*Settings!$J$4+IF($L604="",0,$L604)*Settings!$J$5+IF($N604="",0,$N604)*Settings!$J$6)/(IF($O604="",0,Settings!$J$4)+IF($L604="",0,Settings!$J$5)+IF($N604="",0,Settings!$J$6)),0))</f>
        <v>0</v>
      </c>
      <c r="Q604" s="12">
        <f t="array" ref="Q604">IF($A604="","",XLOOKUP($E604,Settings!$A$19:$A$22,Settings!$G$19:$G$22,0))</f>
        <v>203</v>
      </c>
      <c r="R604" s="12">
        <f t="shared" si="1"/>
        <v>0</v>
      </c>
      <c r="S604" s="12">
        <f>IF($A604="","",IF($R604&lt;=0,1,1+$R604/SUMIF($R$4:$R$923,"&gt;0",$R$4:$R$923)*(Settings!$B$5*(Settings!$B$6-Settings!$B$7))))</f>
        <v>1</v>
      </c>
      <c r="T604" s="12">
        <f t="array" ref="T604">IF($A604="","",XLOOKUP($F604,Settings!$I$15:$I$20,Settings!$J$15:$J$20,1))</f>
        <v>0.75</v>
      </c>
      <c r="U604" s="12">
        <f>IF($A604="","",1+(($G604-5)/5)*Settings!$J$8)</f>
        <v>1</v>
      </c>
      <c r="V604" s="12">
        <f>IF($A604="","",1+(($H604-5)/5)*Settings!$J$9)</f>
        <v>1.06</v>
      </c>
      <c r="W604" s="12">
        <f t="array" ref="W604">IF($A604="","",XLOOKUP($J604,Lists!$C$3:$C$7,Lists!$D$3:$D$7,1))</f>
        <v>1</v>
      </c>
      <c r="X604" s="12">
        <f>IF($A604="","",IF($I604="Yes",Settings!$J$10,1))</f>
        <v>1</v>
      </c>
      <c r="Y604" s="12">
        <f t="shared" si="2"/>
        <v>1</v>
      </c>
      <c r="Z604" s="12">
        <f>IF($A604="","",IFERROR(ROUND(AVERAGEIFS('Historical Drafts'!$G$4:$G$300,'Historical Drafts'!$D$4:$D$300,$E604,'Historical Drafts'!$J$4:$J$300,"&gt;="&amp;$L604*0.85,'Historical Drafts'!$J$4:$J$300,"&lt;="&amp;$L604*1.15),0),$Y604))</f>
        <v>3</v>
      </c>
      <c r="AA604" s="12" t="str">
        <f>IF($A604="","",IF(COUNTIF('Auction Log'!$B$3:$B$300,$A604)&gt;0,"Sold","Available"))</f>
        <v>Available</v>
      </c>
      <c r="AB604" s="12" t="str">
        <f t="array" ref="AB604">IF($A604="","",IFERROR(XLOOKUP($A604,'Auction Log'!$B$3:$B$300,'Auction Log'!$G$3:$G$300,""),""))</f>
        <v/>
      </c>
      <c r="AC604" s="12" t="str">
        <f t="array" ref="AC604">IF($A604="","",IFERROR(XLOOKUP($A604,'Auction Log'!$B$3:$B$300,'Auction Log'!$F$3:$F$300,""),""))</f>
        <v/>
      </c>
      <c r="AD604" s="12">
        <f t="array" ref="AD604">IF($A604="","",ROUND($Y604*XLOOKUP($F604,Settings!$I$15:$I$20,Settings!$K$15:$K$20,0.4),0))</f>
        <v>0</v>
      </c>
      <c r="AE604" s="12">
        <f t="array" ref="AE604">IF($A604="","",ROUND($Y604*XLOOKUP($F604,Settings!$I$15:$I$20,Settings!$L$15:$L$20,0.8),0))</f>
        <v>1</v>
      </c>
      <c r="AF604" s="12">
        <f t="array" ref="AF604">IF($A604="","",ROUND($Y604*XLOOKUP($F604,Settings!$I$15:$I$20,Settings!$M$15:$M$20,1),0))</f>
        <v>1</v>
      </c>
      <c r="AG604" s="12">
        <f t="array" ref="AG604">IF($A604="","",ROUND($Y604*XLOOKUP($F604,Settings!$I$15:$I$20,Settings!$N$15:$N$20,1.1),0))</f>
        <v>1</v>
      </c>
      <c r="AH604" s="12">
        <f t="array" ref="AH604">IF($A604="","",ROUND($Y604*XLOOKUP($F604,Settings!$I$15:$I$20,Settings!$O$15:$O$20,1.1)*Settings!$J$7,0))</f>
        <v>1</v>
      </c>
      <c r="AI604" s="12">
        <f t="array" ref="AI604">IF($A604="","",IF($AA604="Sold","",MIN($AH604,IFERROR(XLOOKUP(Settings!$B$12,Managers!$B$4:$B$15,Managers!$H$4:$H$15),$AH604))))</f>
        <v>1</v>
      </c>
      <c r="AJ604" s="12" t="str">
        <f t="shared" si="3"/>
        <v>Budget Drainer</v>
      </c>
      <c r="AK604" s="12">
        <f t="shared" si="4"/>
        <v>28</v>
      </c>
      <c r="AL604" s="12" t="str">
        <f t="shared" si="5"/>
        <v/>
      </c>
    </row>
    <row r="605" ht="15.75" customHeight="1">
      <c r="A605" s="10" t="s">
        <v>1490</v>
      </c>
      <c r="B605" s="10" t="s">
        <v>1491</v>
      </c>
      <c r="C605" s="10" t="s">
        <v>191</v>
      </c>
      <c r="D605" s="10" t="s">
        <v>118</v>
      </c>
      <c r="E605" s="10" t="s">
        <v>118</v>
      </c>
      <c r="F605" s="10" t="s">
        <v>117</v>
      </c>
      <c r="G605" s="10">
        <v>5.0</v>
      </c>
      <c r="H605" s="10">
        <v>7.0</v>
      </c>
      <c r="I605" s="10" t="s">
        <v>2140</v>
      </c>
      <c r="J605" s="10" t="s">
        <v>2136</v>
      </c>
      <c r="K605" s="10"/>
      <c r="L605" s="10">
        <v>0.0</v>
      </c>
      <c r="M605" s="10">
        <v>0.0</v>
      </c>
      <c r="N605" s="10"/>
      <c r="O605" s="10"/>
      <c r="P605" s="12">
        <f>IF($A605="","",IFERROR((IF($O605="",0,$O605)*Settings!$J$4+IF($L605="",0,$L605)*Settings!$J$5+IF($N605="",0,$N605)*Settings!$J$6)/(IF($O605="",0,Settings!$J$4)+IF($L605="",0,Settings!$J$5)+IF($N605="",0,Settings!$J$6)),0))</f>
        <v>0</v>
      </c>
      <c r="Q605" s="12">
        <f t="array" ref="Q605">IF($A605="","",XLOOKUP($E605,Settings!$A$19:$A$22,Settings!$G$19:$G$22,0))</f>
        <v>196.25</v>
      </c>
      <c r="R605" s="12">
        <f t="shared" si="1"/>
        <v>0</v>
      </c>
      <c r="S605" s="12">
        <f>IF($A605="","",IF($R605&lt;=0,1,1+$R605/SUMIF($R$4:$R$923,"&gt;0",$R$4:$R$923)*(Settings!$B$5*(Settings!$B$6-Settings!$B$7))))</f>
        <v>1</v>
      </c>
      <c r="T605" s="12">
        <f t="array" ref="T605">IF($A605="","",XLOOKUP($F605,Settings!$I$15:$I$20,Settings!$J$15:$J$20,1))</f>
        <v>0.75</v>
      </c>
      <c r="U605" s="12">
        <f>IF($A605="","",1+(($G605-5)/5)*Settings!$J$8)</f>
        <v>1</v>
      </c>
      <c r="V605" s="12">
        <f>IF($A605="","",1+(($H605-5)/5)*Settings!$J$9)</f>
        <v>1.06</v>
      </c>
      <c r="W605" s="12">
        <f t="array" ref="W605">IF($A605="","",XLOOKUP($J605,Lists!$C$3:$C$7,Lists!$D$3:$D$7,1))</f>
        <v>1</v>
      </c>
      <c r="X605" s="12">
        <f>IF($A605="","",IF($I605="Yes",Settings!$J$10,1))</f>
        <v>1</v>
      </c>
      <c r="Y605" s="12">
        <f t="shared" si="2"/>
        <v>1</v>
      </c>
      <c r="Z605" s="12">
        <f>IF($A605="","",IFERROR(ROUND(AVERAGEIFS('Historical Drafts'!$G$4:$G$300,'Historical Drafts'!$D$4:$D$300,$E605,'Historical Drafts'!$J$4:$J$300,"&gt;="&amp;$L605*0.85,'Historical Drafts'!$J$4:$J$300,"&lt;="&amp;$L605*1.15),0),$Y605))</f>
        <v>1</v>
      </c>
      <c r="AA605" s="12" t="str">
        <f>IF($A605="","",IF(COUNTIF('Auction Log'!$B$3:$B$300,$A605)&gt;0,"Sold","Available"))</f>
        <v>Available</v>
      </c>
      <c r="AB605" s="12" t="str">
        <f t="array" ref="AB605">IF($A605="","",IFERROR(XLOOKUP($A605,'Auction Log'!$B$3:$B$300,'Auction Log'!$G$3:$G$300,""),""))</f>
        <v/>
      </c>
      <c r="AC605" s="12" t="str">
        <f t="array" ref="AC605">IF($A605="","",IFERROR(XLOOKUP($A605,'Auction Log'!$B$3:$B$300,'Auction Log'!$F$3:$F$300,""),""))</f>
        <v/>
      </c>
      <c r="AD605" s="12">
        <f t="array" ref="AD605">IF($A605="","",ROUND($Y605*XLOOKUP($F605,Settings!$I$15:$I$20,Settings!$K$15:$K$20,0.4),0))</f>
        <v>0</v>
      </c>
      <c r="AE605" s="12">
        <f t="array" ref="AE605">IF($A605="","",ROUND($Y605*XLOOKUP($F605,Settings!$I$15:$I$20,Settings!$L$15:$L$20,0.8),0))</f>
        <v>1</v>
      </c>
      <c r="AF605" s="12">
        <f t="array" ref="AF605">IF($A605="","",ROUND($Y605*XLOOKUP($F605,Settings!$I$15:$I$20,Settings!$M$15:$M$20,1),0))</f>
        <v>1</v>
      </c>
      <c r="AG605" s="12">
        <f t="array" ref="AG605">IF($A605="","",ROUND($Y605*XLOOKUP($F605,Settings!$I$15:$I$20,Settings!$N$15:$N$20,1.1),0))</f>
        <v>1</v>
      </c>
      <c r="AH605" s="12">
        <f t="array" ref="AH605">IF($A605="","",ROUND($Y605*XLOOKUP($F605,Settings!$I$15:$I$20,Settings!$O$15:$O$20,1.1)*Settings!$J$7,0))</f>
        <v>1</v>
      </c>
      <c r="AI605" s="12">
        <f t="array" ref="AI605">IF($A605="","",IF($AA605="Sold","",MIN($AH605,IFERROR(XLOOKUP(Settings!$B$12,Managers!$B$4:$B$15,Managers!$H$4:$H$15),$AH605))))</f>
        <v>1</v>
      </c>
      <c r="AJ605" s="12" t="str">
        <f t="shared" si="3"/>
        <v>Recommended</v>
      </c>
      <c r="AK605" s="12">
        <f t="shared" si="4"/>
        <v>26</v>
      </c>
      <c r="AL605" s="12" t="str">
        <f t="shared" si="5"/>
        <v/>
      </c>
    </row>
    <row r="606" ht="15.75" customHeight="1">
      <c r="A606" s="10" t="s">
        <v>1492</v>
      </c>
      <c r="B606" s="10" t="s">
        <v>1493</v>
      </c>
      <c r="C606" s="10" t="s">
        <v>199</v>
      </c>
      <c r="D606" s="10" t="s">
        <v>123</v>
      </c>
      <c r="E606" s="10" t="s">
        <v>123</v>
      </c>
      <c r="F606" s="10" t="s">
        <v>117</v>
      </c>
      <c r="G606" s="10">
        <v>5.0</v>
      </c>
      <c r="H606" s="10">
        <v>7.0</v>
      </c>
      <c r="I606" s="10" t="s">
        <v>2140</v>
      </c>
      <c r="J606" s="10" t="s">
        <v>2136</v>
      </c>
      <c r="K606" s="10"/>
      <c r="L606" s="10">
        <v>0.0</v>
      </c>
      <c r="M606" s="10">
        <v>0.0</v>
      </c>
      <c r="N606" s="10"/>
      <c r="O606" s="10"/>
      <c r="P606" s="12">
        <f>IF($A606="","",IFERROR((IF($O606="",0,$O606)*Settings!$J$4+IF($L606="",0,$L606)*Settings!$J$5+IF($N606="",0,$N606)*Settings!$J$6)/(IF($O606="",0,Settings!$J$4)+IF($L606="",0,Settings!$J$5)+IF($N606="",0,Settings!$J$6)),0))</f>
        <v>0</v>
      </c>
      <c r="Q606" s="12">
        <f t="array" ref="Q606">IF($A606="","",XLOOKUP($E606,Settings!$A$19:$A$22,Settings!$G$19:$G$22,0))</f>
        <v>203</v>
      </c>
      <c r="R606" s="12">
        <f t="shared" si="1"/>
        <v>0</v>
      </c>
      <c r="S606" s="12">
        <f>IF($A606="","",IF($R606&lt;=0,1,1+$R606/SUMIF($R$4:$R$923,"&gt;0",$R$4:$R$923)*(Settings!$B$5*(Settings!$B$6-Settings!$B$7))))</f>
        <v>1</v>
      </c>
      <c r="T606" s="12">
        <f t="array" ref="T606">IF($A606="","",XLOOKUP($F606,Settings!$I$15:$I$20,Settings!$J$15:$J$20,1))</f>
        <v>0.75</v>
      </c>
      <c r="U606" s="12">
        <f>IF($A606="","",1+(($G606-5)/5)*Settings!$J$8)</f>
        <v>1</v>
      </c>
      <c r="V606" s="12">
        <f>IF($A606="","",1+(($H606-5)/5)*Settings!$J$9)</f>
        <v>1.06</v>
      </c>
      <c r="W606" s="12">
        <f t="array" ref="W606">IF($A606="","",XLOOKUP($J606,Lists!$C$3:$C$7,Lists!$D$3:$D$7,1))</f>
        <v>1</v>
      </c>
      <c r="X606" s="12">
        <f>IF($A606="","",IF($I606="Yes",Settings!$J$10,1))</f>
        <v>1</v>
      </c>
      <c r="Y606" s="12">
        <f t="shared" si="2"/>
        <v>1</v>
      </c>
      <c r="Z606" s="12">
        <f>IF($A606="","",IFERROR(ROUND(AVERAGEIFS('Historical Drafts'!$G$4:$G$300,'Historical Drafts'!$D$4:$D$300,$E606,'Historical Drafts'!$J$4:$J$300,"&gt;="&amp;$L606*0.85,'Historical Drafts'!$J$4:$J$300,"&lt;="&amp;$L606*1.15),0),$Y606))</f>
        <v>3</v>
      </c>
      <c r="AA606" s="12" t="str">
        <f>IF($A606="","",IF(COUNTIF('Auction Log'!$B$3:$B$300,$A606)&gt;0,"Sold","Available"))</f>
        <v>Available</v>
      </c>
      <c r="AB606" s="12" t="str">
        <f t="array" ref="AB606">IF($A606="","",IFERROR(XLOOKUP($A606,'Auction Log'!$B$3:$B$300,'Auction Log'!$G$3:$G$300,""),""))</f>
        <v/>
      </c>
      <c r="AC606" s="12" t="str">
        <f t="array" ref="AC606">IF($A606="","",IFERROR(XLOOKUP($A606,'Auction Log'!$B$3:$B$300,'Auction Log'!$F$3:$F$300,""),""))</f>
        <v/>
      </c>
      <c r="AD606" s="12">
        <f t="array" ref="AD606">IF($A606="","",ROUND($Y606*XLOOKUP($F606,Settings!$I$15:$I$20,Settings!$K$15:$K$20,0.4),0))</f>
        <v>0</v>
      </c>
      <c r="AE606" s="12">
        <f t="array" ref="AE606">IF($A606="","",ROUND($Y606*XLOOKUP($F606,Settings!$I$15:$I$20,Settings!$L$15:$L$20,0.8),0))</f>
        <v>1</v>
      </c>
      <c r="AF606" s="12">
        <f t="array" ref="AF606">IF($A606="","",ROUND($Y606*XLOOKUP($F606,Settings!$I$15:$I$20,Settings!$M$15:$M$20,1),0))</f>
        <v>1</v>
      </c>
      <c r="AG606" s="12">
        <f t="array" ref="AG606">IF($A606="","",ROUND($Y606*XLOOKUP($F606,Settings!$I$15:$I$20,Settings!$N$15:$N$20,1.1),0))</f>
        <v>1</v>
      </c>
      <c r="AH606" s="12">
        <f t="array" ref="AH606">IF($A606="","",ROUND($Y606*XLOOKUP($F606,Settings!$I$15:$I$20,Settings!$O$15:$O$20,1.1)*Settings!$J$7,0))</f>
        <v>1</v>
      </c>
      <c r="AI606" s="12">
        <f t="array" ref="AI606">IF($A606="","",IF($AA606="Sold","",MIN($AH606,IFERROR(XLOOKUP(Settings!$B$12,Managers!$B$4:$B$15,Managers!$H$4:$H$15),$AH606))))</f>
        <v>1</v>
      </c>
      <c r="AJ606" s="12" t="str">
        <f t="shared" si="3"/>
        <v>Budget Drainer</v>
      </c>
      <c r="AK606" s="12">
        <f t="shared" si="4"/>
        <v>28</v>
      </c>
      <c r="AL606" s="12" t="str">
        <f t="shared" si="5"/>
        <v/>
      </c>
    </row>
    <row r="607" ht="15.75" customHeight="1">
      <c r="A607" s="10" t="s">
        <v>1494</v>
      </c>
      <c r="B607" s="10" t="s">
        <v>1495</v>
      </c>
      <c r="C607" s="10" t="s">
        <v>566</v>
      </c>
      <c r="D607" s="10" t="s">
        <v>118</v>
      </c>
      <c r="E607" s="10" t="s">
        <v>118</v>
      </c>
      <c r="F607" s="10" t="s">
        <v>117</v>
      </c>
      <c r="G607" s="10">
        <v>5.0</v>
      </c>
      <c r="H607" s="10">
        <v>7.0</v>
      </c>
      <c r="I607" s="10" t="s">
        <v>2140</v>
      </c>
      <c r="J607" s="10" t="s">
        <v>2136</v>
      </c>
      <c r="K607" s="10"/>
      <c r="L607" s="10">
        <v>0.0</v>
      </c>
      <c r="M607" s="10">
        <v>0.0</v>
      </c>
      <c r="N607" s="10"/>
      <c r="O607" s="10"/>
      <c r="P607" s="12">
        <f>IF($A607="","",IFERROR((IF($O607="",0,$O607)*Settings!$J$4+IF($L607="",0,$L607)*Settings!$J$5+IF($N607="",0,$N607)*Settings!$J$6)/(IF($O607="",0,Settings!$J$4)+IF($L607="",0,Settings!$J$5)+IF($N607="",0,Settings!$J$6)),0))</f>
        <v>0</v>
      </c>
      <c r="Q607" s="12">
        <f t="array" ref="Q607">IF($A607="","",XLOOKUP($E607,Settings!$A$19:$A$22,Settings!$G$19:$G$22,0))</f>
        <v>196.25</v>
      </c>
      <c r="R607" s="12">
        <f t="shared" si="1"/>
        <v>0</v>
      </c>
      <c r="S607" s="12">
        <f>IF($A607="","",IF($R607&lt;=0,1,1+$R607/SUMIF($R$4:$R$923,"&gt;0",$R$4:$R$923)*(Settings!$B$5*(Settings!$B$6-Settings!$B$7))))</f>
        <v>1</v>
      </c>
      <c r="T607" s="12">
        <f t="array" ref="T607">IF($A607="","",XLOOKUP($F607,Settings!$I$15:$I$20,Settings!$J$15:$J$20,1))</f>
        <v>0.75</v>
      </c>
      <c r="U607" s="12">
        <f>IF($A607="","",1+(($G607-5)/5)*Settings!$J$8)</f>
        <v>1</v>
      </c>
      <c r="V607" s="12">
        <f>IF($A607="","",1+(($H607-5)/5)*Settings!$J$9)</f>
        <v>1.06</v>
      </c>
      <c r="W607" s="12">
        <f t="array" ref="W607">IF($A607="","",XLOOKUP($J607,Lists!$C$3:$C$7,Lists!$D$3:$D$7,1))</f>
        <v>1</v>
      </c>
      <c r="X607" s="12">
        <f>IF($A607="","",IF($I607="Yes",Settings!$J$10,1))</f>
        <v>1</v>
      </c>
      <c r="Y607" s="12">
        <f t="shared" si="2"/>
        <v>1</v>
      </c>
      <c r="Z607" s="12">
        <f>IF($A607="","",IFERROR(ROUND(AVERAGEIFS('Historical Drafts'!$G$4:$G$300,'Historical Drafts'!$D$4:$D$300,$E607,'Historical Drafts'!$J$4:$J$300,"&gt;="&amp;$L607*0.85,'Historical Drafts'!$J$4:$J$300,"&lt;="&amp;$L607*1.15),0),$Y607))</f>
        <v>1</v>
      </c>
      <c r="AA607" s="12" t="str">
        <f>IF($A607="","",IF(COUNTIF('Auction Log'!$B$3:$B$300,$A607)&gt;0,"Sold","Available"))</f>
        <v>Available</v>
      </c>
      <c r="AB607" s="12" t="str">
        <f t="array" ref="AB607">IF($A607="","",IFERROR(XLOOKUP($A607,'Auction Log'!$B$3:$B$300,'Auction Log'!$G$3:$G$300,""),""))</f>
        <v/>
      </c>
      <c r="AC607" s="12" t="str">
        <f t="array" ref="AC607">IF($A607="","",IFERROR(XLOOKUP($A607,'Auction Log'!$B$3:$B$300,'Auction Log'!$F$3:$F$300,""),""))</f>
        <v/>
      </c>
      <c r="AD607" s="12">
        <f t="array" ref="AD607">IF($A607="","",ROUND($Y607*XLOOKUP($F607,Settings!$I$15:$I$20,Settings!$K$15:$K$20,0.4),0))</f>
        <v>0</v>
      </c>
      <c r="AE607" s="12">
        <f t="array" ref="AE607">IF($A607="","",ROUND($Y607*XLOOKUP($F607,Settings!$I$15:$I$20,Settings!$L$15:$L$20,0.8),0))</f>
        <v>1</v>
      </c>
      <c r="AF607" s="12">
        <f t="array" ref="AF607">IF($A607="","",ROUND($Y607*XLOOKUP($F607,Settings!$I$15:$I$20,Settings!$M$15:$M$20,1),0))</f>
        <v>1</v>
      </c>
      <c r="AG607" s="12">
        <f t="array" ref="AG607">IF($A607="","",ROUND($Y607*XLOOKUP($F607,Settings!$I$15:$I$20,Settings!$N$15:$N$20,1.1),0))</f>
        <v>1</v>
      </c>
      <c r="AH607" s="12">
        <f t="array" ref="AH607">IF($A607="","",ROUND($Y607*XLOOKUP($F607,Settings!$I$15:$I$20,Settings!$O$15:$O$20,1.1)*Settings!$J$7,0))</f>
        <v>1</v>
      </c>
      <c r="AI607" s="12">
        <f t="array" ref="AI607">IF($A607="","",IF($AA607="Sold","",MIN($AH607,IFERROR(XLOOKUP(Settings!$B$12,Managers!$B$4:$B$15,Managers!$H$4:$H$15),$AH607))))</f>
        <v>1</v>
      </c>
      <c r="AJ607" s="12" t="str">
        <f t="shared" si="3"/>
        <v>Recommended</v>
      </c>
      <c r="AK607" s="12">
        <f t="shared" si="4"/>
        <v>26</v>
      </c>
      <c r="AL607" s="12" t="str">
        <f t="shared" si="5"/>
        <v/>
      </c>
    </row>
    <row r="608" ht="15.75" customHeight="1">
      <c r="A608" s="10" t="s">
        <v>1496</v>
      </c>
      <c r="B608" s="10" t="s">
        <v>1497</v>
      </c>
      <c r="C608" s="10" t="s">
        <v>243</v>
      </c>
      <c r="D608" s="10" t="s">
        <v>123</v>
      </c>
      <c r="E608" s="10" t="s">
        <v>123</v>
      </c>
      <c r="F608" s="10" t="s">
        <v>117</v>
      </c>
      <c r="G608" s="10">
        <v>5.0</v>
      </c>
      <c r="H608" s="10">
        <v>7.0</v>
      </c>
      <c r="I608" s="10" t="s">
        <v>2140</v>
      </c>
      <c r="J608" s="10" t="s">
        <v>2136</v>
      </c>
      <c r="K608" s="10"/>
      <c r="L608" s="10">
        <v>0.0</v>
      </c>
      <c r="M608" s="10">
        <v>0.0</v>
      </c>
      <c r="N608" s="10"/>
      <c r="O608" s="10"/>
      <c r="P608" s="12">
        <f>IF($A608="","",IFERROR((IF($O608="",0,$O608)*Settings!$J$4+IF($L608="",0,$L608)*Settings!$J$5+IF($N608="",0,$N608)*Settings!$J$6)/(IF($O608="",0,Settings!$J$4)+IF($L608="",0,Settings!$J$5)+IF($N608="",0,Settings!$J$6)),0))</f>
        <v>0</v>
      </c>
      <c r="Q608" s="12">
        <f t="array" ref="Q608">IF($A608="","",XLOOKUP($E608,Settings!$A$19:$A$22,Settings!$G$19:$G$22,0))</f>
        <v>203</v>
      </c>
      <c r="R608" s="12">
        <f t="shared" si="1"/>
        <v>0</v>
      </c>
      <c r="S608" s="12">
        <f>IF($A608="","",IF($R608&lt;=0,1,1+$R608/SUMIF($R$4:$R$923,"&gt;0",$R$4:$R$923)*(Settings!$B$5*(Settings!$B$6-Settings!$B$7))))</f>
        <v>1</v>
      </c>
      <c r="T608" s="12">
        <f t="array" ref="T608">IF($A608="","",XLOOKUP($F608,Settings!$I$15:$I$20,Settings!$J$15:$J$20,1))</f>
        <v>0.75</v>
      </c>
      <c r="U608" s="12">
        <f>IF($A608="","",1+(($G608-5)/5)*Settings!$J$8)</f>
        <v>1</v>
      </c>
      <c r="V608" s="12">
        <f>IF($A608="","",1+(($H608-5)/5)*Settings!$J$9)</f>
        <v>1.06</v>
      </c>
      <c r="W608" s="12">
        <f t="array" ref="W608">IF($A608="","",XLOOKUP($J608,Lists!$C$3:$C$7,Lists!$D$3:$D$7,1))</f>
        <v>1</v>
      </c>
      <c r="X608" s="12">
        <f>IF($A608="","",IF($I608="Yes",Settings!$J$10,1))</f>
        <v>1</v>
      </c>
      <c r="Y608" s="12">
        <f t="shared" si="2"/>
        <v>1</v>
      </c>
      <c r="Z608" s="12">
        <f>IF($A608="","",IFERROR(ROUND(AVERAGEIFS('Historical Drafts'!$G$4:$G$300,'Historical Drafts'!$D$4:$D$300,$E608,'Historical Drafts'!$J$4:$J$300,"&gt;="&amp;$L608*0.85,'Historical Drafts'!$J$4:$J$300,"&lt;="&amp;$L608*1.15),0),$Y608))</f>
        <v>3</v>
      </c>
      <c r="AA608" s="12" t="str">
        <f>IF($A608="","",IF(COUNTIF('Auction Log'!$B$3:$B$300,$A608)&gt;0,"Sold","Available"))</f>
        <v>Available</v>
      </c>
      <c r="AB608" s="12" t="str">
        <f t="array" ref="AB608">IF($A608="","",IFERROR(XLOOKUP($A608,'Auction Log'!$B$3:$B$300,'Auction Log'!$G$3:$G$300,""),""))</f>
        <v/>
      </c>
      <c r="AC608" s="12" t="str">
        <f t="array" ref="AC608">IF($A608="","",IFERROR(XLOOKUP($A608,'Auction Log'!$B$3:$B$300,'Auction Log'!$F$3:$F$300,""),""))</f>
        <v/>
      </c>
      <c r="AD608" s="12">
        <f t="array" ref="AD608">IF($A608="","",ROUND($Y608*XLOOKUP($F608,Settings!$I$15:$I$20,Settings!$K$15:$K$20,0.4),0))</f>
        <v>0</v>
      </c>
      <c r="AE608" s="12">
        <f t="array" ref="AE608">IF($A608="","",ROUND($Y608*XLOOKUP($F608,Settings!$I$15:$I$20,Settings!$L$15:$L$20,0.8),0))</f>
        <v>1</v>
      </c>
      <c r="AF608" s="12">
        <f t="array" ref="AF608">IF($A608="","",ROUND($Y608*XLOOKUP($F608,Settings!$I$15:$I$20,Settings!$M$15:$M$20,1),0))</f>
        <v>1</v>
      </c>
      <c r="AG608" s="12">
        <f t="array" ref="AG608">IF($A608="","",ROUND($Y608*XLOOKUP($F608,Settings!$I$15:$I$20,Settings!$N$15:$N$20,1.1),0))</f>
        <v>1</v>
      </c>
      <c r="AH608" s="12">
        <f t="array" ref="AH608">IF($A608="","",ROUND($Y608*XLOOKUP($F608,Settings!$I$15:$I$20,Settings!$O$15:$O$20,1.1)*Settings!$J$7,0))</f>
        <v>1</v>
      </c>
      <c r="AI608" s="12">
        <f t="array" ref="AI608">IF($A608="","",IF($AA608="Sold","",MIN($AH608,IFERROR(XLOOKUP(Settings!$B$12,Managers!$B$4:$B$15,Managers!$H$4:$H$15),$AH608))))</f>
        <v>1</v>
      </c>
      <c r="AJ608" s="12" t="str">
        <f t="shared" si="3"/>
        <v>Budget Drainer</v>
      </c>
      <c r="AK608" s="12">
        <f t="shared" si="4"/>
        <v>28</v>
      </c>
      <c r="AL608" s="12" t="str">
        <f t="shared" si="5"/>
        <v/>
      </c>
    </row>
    <row r="609" ht="15.75" customHeight="1">
      <c r="A609" s="10" t="s">
        <v>1498</v>
      </c>
      <c r="B609" s="10" t="s">
        <v>1499</v>
      </c>
      <c r="C609" s="10" t="s">
        <v>221</v>
      </c>
      <c r="D609" s="10" t="s">
        <v>121</v>
      </c>
      <c r="E609" s="10" t="s">
        <v>121</v>
      </c>
      <c r="F609" s="10" t="s">
        <v>117</v>
      </c>
      <c r="G609" s="10">
        <v>5.0</v>
      </c>
      <c r="H609" s="10">
        <v>7.0</v>
      </c>
      <c r="I609" s="10" t="s">
        <v>2140</v>
      </c>
      <c r="J609" s="10" t="s">
        <v>2136</v>
      </c>
      <c r="K609" s="10"/>
      <c r="L609" s="10">
        <v>0.0</v>
      </c>
      <c r="M609" s="10">
        <v>0.0</v>
      </c>
      <c r="N609" s="10"/>
      <c r="O609" s="10"/>
      <c r="P609" s="12">
        <f>IF($A609="","",IFERROR((IF($O609="",0,$O609)*Settings!$J$4+IF($L609="",0,$L609)*Settings!$J$5+IF($N609="",0,$N609)*Settings!$J$6)/(IF($O609="",0,Settings!$J$4)+IF($L609="",0,Settings!$J$5)+IF($N609="",0,Settings!$J$6)),0))</f>
        <v>0</v>
      </c>
      <c r="Q609" s="12">
        <f t="array" ref="Q609">IF($A609="","",XLOOKUP($E609,Settings!$A$19:$A$22,Settings!$G$19:$G$22,0))</f>
        <v>206</v>
      </c>
      <c r="R609" s="12">
        <f t="shared" si="1"/>
        <v>0</v>
      </c>
      <c r="S609" s="12">
        <f>IF($A609="","",IF($R609&lt;=0,1,1+$R609/SUMIF($R$4:$R$923,"&gt;0",$R$4:$R$923)*(Settings!$B$5*(Settings!$B$6-Settings!$B$7))))</f>
        <v>1</v>
      </c>
      <c r="T609" s="12">
        <f t="array" ref="T609">IF($A609="","",XLOOKUP($F609,Settings!$I$15:$I$20,Settings!$J$15:$J$20,1))</f>
        <v>0.75</v>
      </c>
      <c r="U609" s="12">
        <f>IF($A609="","",1+(($G609-5)/5)*Settings!$J$8)</f>
        <v>1</v>
      </c>
      <c r="V609" s="12">
        <f>IF($A609="","",1+(($H609-5)/5)*Settings!$J$9)</f>
        <v>1.06</v>
      </c>
      <c r="W609" s="12">
        <f t="array" ref="W609">IF($A609="","",XLOOKUP($J609,Lists!$C$3:$C$7,Lists!$D$3:$D$7,1))</f>
        <v>1</v>
      </c>
      <c r="X609" s="12">
        <f>IF($A609="","",IF($I609="Yes",Settings!$J$10,1))</f>
        <v>1</v>
      </c>
      <c r="Y609" s="12">
        <f t="shared" si="2"/>
        <v>1</v>
      </c>
      <c r="Z609" s="12">
        <f>IF($A609="","",IFERROR(ROUND(AVERAGEIFS('Historical Drafts'!$G$4:$G$300,'Historical Drafts'!$D$4:$D$300,$E609,'Historical Drafts'!$J$4:$J$300,"&gt;="&amp;$L609*0.85,'Historical Drafts'!$J$4:$J$300,"&lt;="&amp;$L609*1.15),0),$Y609))</f>
        <v>3</v>
      </c>
      <c r="AA609" s="12" t="str">
        <f>IF($A609="","",IF(COUNTIF('Auction Log'!$B$3:$B$300,$A609)&gt;0,"Sold","Available"))</f>
        <v>Available</v>
      </c>
      <c r="AB609" s="12" t="str">
        <f t="array" ref="AB609">IF($A609="","",IFERROR(XLOOKUP($A609,'Auction Log'!$B$3:$B$300,'Auction Log'!$G$3:$G$300,""),""))</f>
        <v/>
      </c>
      <c r="AC609" s="12" t="str">
        <f t="array" ref="AC609">IF($A609="","",IFERROR(XLOOKUP($A609,'Auction Log'!$B$3:$B$300,'Auction Log'!$F$3:$F$300,""),""))</f>
        <v/>
      </c>
      <c r="AD609" s="12">
        <f t="array" ref="AD609">IF($A609="","",ROUND($Y609*XLOOKUP($F609,Settings!$I$15:$I$20,Settings!$K$15:$K$20,0.4),0))</f>
        <v>0</v>
      </c>
      <c r="AE609" s="12">
        <f t="array" ref="AE609">IF($A609="","",ROUND($Y609*XLOOKUP($F609,Settings!$I$15:$I$20,Settings!$L$15:$L$20,0.8),0))</f>
        <v>1</v>
      </c>
      <c r="AF609" s="12">
        <f t="array" ref="AF609">IF($A609="","",ROUND($Y609*XLOOKUP($F609,Settings!$I$15:$I$20,Settings!$M$15:$M$20,1),0))</f>
        <v>1</v>
      </c>
      <c r="AG609" s="12">
        <f t="array" ref="AG609">IF($A609="","",ROUND($Y609*XLOOKUP($F609,Settings!$I$15:$I$20,Settings!$N$15:$N$20,1.1),0))</f>
        <v>1</v>
      </c>
      <c r="AH609" s="12">
        <f t="array" ref="AH609">IF($A609="","",ROUND($Y609*XLOOKUP($F609,Settings!$I$15:$I$20,Settings!$O$15:$O$20,1.1)*Settings!$J$7,0))</f>
        <v>1</v>
      </c>
      <c r="AI609" s="12">
        <f t="array" ref="AI609">IF($A609="","",IF($AA609="Sold","",MIN($AH609,IFERROR(XLOOKUP(Settings!$B$12,Managers!$B$4:$B$15,Managers!$H$4:$H$15),$AH609))))</f>
        <v>1</v>
      </c>
      <c r="AJ609" s="12" t="str">
        <f t="shared" si="3"/>
        <v>Budget Drainer</v>
      </c>
      <c r="AK609" s="12">
        <f t="shared" si="4"/>
        <v>28</v>
      </c>
      <c r="AL609" s="12" t="str">
        <f t="shared" si="5"/>
        <v/>
      </c>
    </row>
    <row r="610" ht="15.75" customHeight="1">
      <c r="A610" s="10" t="s">
        <v>1500</v>
      </c>
      <c r="B610" s="10" t="s">
        <v>1501</v>
      </c>
      <c r="C610" s="10" t="s">
        <v>191</v>
      </c>
      <c r="D610" s="10" t="s">
        <v>121</v>
      </c>
      <c r="E610" s="10" t="s">
        <v>121</v>
      </c>
      <c r="F610" s="10" t="s">
        <v>117</v>
      </c>
      <c r="G610" s="10">
        <v>5.0</v>
      </c>
      <c r="H610" s="10">
        <v>7.0</v>
      </c>
      <c r="I610" s="10" t="s">
        <v>2140</v>
      </c>
      <c r="J610" s="10" t="s">
        <v>2136</v>
      </c>
      <c r="K610" s="10"/>
      <c r="L610" s="10">
        <v>0.0</v>
      </c>
      <c r="M610" s="10">
        <v>0.0</v>
      </c>
      <c r="N610" s="10"/>
      <c r="O610" s="10"/>
      <c r="P610" s="12">
        <f>IF($A610="","",IFERROR((IF($O610="",0,$O610)*Settings!$J$4+IF($L610="",0,$L610)*Settings!$J$5+IF($N610="",0,$N610)*Settings!$J$6)/(IF($O610="",0,Settings!$J$4)+IF($L610="",0,Settings!$J$5)+IF($N610="",0,Settings!$J$6)),0))</f>
        <v>0</v>
      </c>
      <c r="Q610" s="12">
        <f t="array" ref="Q610">IF($A610="","",XLOOKUP($E610,Settings!$A$19:$A$22,Settings!$G$19:$G$22,0))</f>
        <v>206</v>
      </c>
      <c r="R610" s="12">
        <f t="shared" si="1"/>
        <v>0</v>
      </c>
      <c r="S610" s="12">
        <f>IF($A610="","",IF($R610&lt;=0,1,1+$R610/SUMIF($R$4:$R$923,"&gt;0",$R$4:$R$923)*(Settings!$B$5*(Settings!$B$6-Settings!$B$7))))</f>
        <v>1</v>
      </c>
      <c r="T610" s="12">
        <f t="array" ref="T610">IF($A610="","",XLOOKUP($F610,Settings!$I$15:$I$20,Settings!$J$15:$J$20,1))</f>
        <v>0.75</v>
      </c>
      <c r="U610" s="12">
        <f>IF($A610="","",1+(($G610-5)/5)*Settings!$J$8)</f>
        <v>1</v>
      </c>
      <c r="V610" s="12">
        <f>IF($A610="","",1+(($H610-5)/5)*Settings!$J$9)</f>
        <v>1.06</v>
      </c>
      <c r="W610" s="12">
        <f t="array" ref="W610">IF($A610="","",XLOOKUP($J610,Lists!$C$3:$C$7,Lists!$D$3:$D$7,1))</f>
        <v>1</v>
      </c>
      <c r="X610" s="12">
        <f>IF($A610="","",IF($I610="Yes",Settings!$J$10,1))</f>
        <v>1</v>
      </c>
      <c r="Y610" s="12">
        <f t="shared" si="2"/>
        <v>1</v>
      </c>
      <c r="Z610" s="12">
        <f>IF($A610="","",IFERROR(ROUND(AVERAGEIFS('Historical Drafts'!$G$4:$G$300,'Historical Drafts'!$D$4:$D$300,$E610,'Historical Drafts'!$J$4:$J$300,"&gt;="&amp;$L610*0.85,'Historical Drafts'!$J$4:$J$300,"&lt;="&amp;$L610*1.15),0),$Y610))</f>
        <v>3</v>
      </c>
      <c r="AA610" s="12" t="str">
        <f>IF($A610="","",IF(COUNTIF('Auction Log'!$B$3:$B$300,$A610)&gt;0,"Sold","Available"))</f>
        <v>Available</v>
      </c>
      <c r="AB610" s="12" t="str">
        <f t="array" ref="AB610">IF($A610="","",IFERROR(XLOOKUP($A610,'Auction Log'!$B$3:$B$300,'Auction Log'!$G$3:$G$300,""),""))</f>
        <v/>
      </c>
      <c r="AC610" s="12" t="str">
        <f t="array" ref="AC610">IF($A610="","",IFERROR(XLOOKUP($A610,'Auction Log'!$B$3:$B$300,'Auction Log'!$F$3:$F$300,""),""))</f>
        <v/>
      </c>
      <c r="AD610" s="12">
        <f t="array" ref="AD610">IF($A610="","",ROUND($Y610*XLOOKUP($F610,Settings!$I$15:$I$20,Settings!$K$15:$K$20,0.4),0))</f>
        <v>0</v>
      </c>
      <c r="AE610" s="12">
        <f t="array" ref="AE610">IF($A610="","",ROUND($Y610*XLOOKUP($F610,Settings!$I$15:$I$20,Settings!$L$15:$L$20,0.8),0))</f>
        <v>1</v>
      </c>
      <c r="AF610" s="12">
        <f t="array" ref="AF610">IF($A610="","",ROUND($Y610*XLOOKUP($F610,Settings!$I$15:$I$20,Settings!$M$15:$M$20,1),0))</f>
        <v>1</v>
      </c>
      <c r="AG610" s="12">
        <f t="array" ref="AG610">IF($A610="","",ROUND($Y610*XLOOKUP($F610,Settings!$I$15:$I$20,Settings!$N$15:$N$20,1.1),0))</f>
        <v>1</v>
      </c>
      <c r="AH610" s="12">
        <f t="array" ref="AH610">IF($A610="","",ROUND($Y610*XLOOKUP($F610,Settings!$I$15:$I$20,Settings!$O$15:$O$20,1.1)*Settings!$J$7,0))</f>
        <v>1</v>
      </c>
      <c r="AI610" s="12">
        <f t="array" ref="AI610">IF($A610="","",IF($AA610="Sold","",MIN($AH610,IFERROR(XLOOKUP(Settings!$B$12,Managers!$B$4:$B$15,Managers!$H$4:$H$15),$AH610))))</f>
        <v>1</v>
      </c>
      <c r="AJ610" s="12" t="str">
        <f t="shared" si="3"/>
        <v>Budget Drainer</v>
      </c>
      <c r="AK610" s="12">
        <f t="shared" si="4"/>
        <v>28</v>
      </c>
      <c r="AL610" s="12" t="str">
        <f t="shared" si="5"/>
        <v/>
      </c>
    </row>
    <row r="611" ht="15.75" customHeight="1">
      <c r="A611" s="10" t="s">
        <v>1502</v>
      </c>
      <c r="B611" s="10" t="s">
        <v>1503</v>
      </c>
      <c r="C611" s="10" t="s">
        <v>215</v>
      </c>
      <c r="D611" s="10" t="s">
        <v>121</v>
      </c>
      <c r="E611" s="10" t="s">
        <v>121</v>
      </c>
      <c r="F611" s="10" t="s">
        <v>117</v>
      </c>
      <c r="G611" s="10">
        <v>5.0</v>
      </c>
      <c r="H611" s="10">
        <v>7.0</v>
      </c>
      <c r="I611" s="10" t="s">
        <v>2140</v>
      </c>
      <c r="J611" s="10" t="s">
        <v>2136</v>
      </c>
      <c r="K611" s="10"/>
      <c r="L611" s="10">
        <v>0.0</v>
      </c>
      <c r="M611" s="10">
        <v>0.0</v>
      </c>
      <c r="N611" s="10"/>
      <c r="O611" s="10"/>
      <c r="P611" s="12">
        <f>IF($A611="","",IFERROR((IF($O611="",0,$O611)*Settings!$J$4+IF($L611="",0,$L611)*Settings!$J$5+IF($N611="",0,$N611)*Settings!$J$6)/(IF($O611="",0,Settings!$J$4)+IF($L611="",0,Settings!$J$5)+IF($N611="",0,Settings!$J$6)),0))</f>
        <v>0</v>
      </c>
      <c r="Q611" s="12">
        <f t="array" ref="Q611">IF($A611="","",XLOOKUP($E611,Settings!$A$19:$A$22,Settings!$G$19:$G$22,0))</f>
        <v>206</v>
      </c>
      <c r="R611" s="12">
        <f t="shared" si="1"/>
        <v>0</v>
      </c>
      <c r="S611" s="12">
        <f>IF($A611="","",IF($R611&lt;=0,1,1+$R611/SUMIF($R$4:$R$923,"&gt;0",$R$4:$R$923)*(Settings!$B$5*(Settings!$B$6-Settings!$B$7))))</f>
        <v>1</v>
      </c>
      <c r="T611" s="12">
        <f t="array" ref="T611">IF($A611="","",XLOOKUP($F611,Settings!$I$15:$I$20,Settings!$J$15:$J$20,1))</f>
        <v>0.75</v>
      </c>
      <c r="U611" s="12">
        <f>IF($A611="","",1+(($G611-5)/5)*Settings!$J$8)</f>
        <v>1</v>
      </c>
      <c r="V611" s="12">
        <f>IF($A611="","",1+(($H611-5)/5)*Settings!$J$9)</f>
        <v>1.06</v>
      </c>
      <c r="W611" s="12">
        <f t="array" ref="W611">IF($A611="","",XLOOKUP($J611,Lists!$C$3:$C$7,Lists!$D$3:$D$7,1))</f>
        <v>1</v>
      </c>
      <c r="X611" s="12">
        <f>IF($A611="","",IF($I611="Yes",Settings!$J$10,1))</f>
        <v>1</v>
      </c>
      <c r="Y611" s="12">
        <f t="shared" si="2"/>
        <v>1</v>
      </c>
      <c r="Z611" s="12">
        <f>IF($A611="","",IFERROR(ROUND(AVERAGEIFS('Historical Drafts'!$G$4:$G$300,'Historical Drafts'!$D$4:$D$300,$E611,'Historical Drafts'!$J$4:$J$300,"&gt;="&amp;$L611*0.85,'Historical Drafts'!$J$4:$J$300,"&lt;="&amp;$L611*1.15),0),$Y611))</f>
        <v>3</v>
      </c>
      <c r="AA611" s="12" t="str">
        <f>IF($A611="","",IF(COUNTIF('Auction Log'!$B$3:$B$300,$A611)&gt;0,"Sold","Available"))</f>
        <v>Available</v>
      </c>
      <c r="AB611" s="12" t="str">
        <f t="array" ref="AB611">IF($A611="","",IFERROR(XLOOKUP($A611,'Auction Log'!$B$3:$B$300,'Auction Log'!$G$3:$G$300,""),""))</f>
        <v/>
      </c>
      <c r="AC611" s="12" t="str">
        <f t="array" ref="AC611">IF($A611="","",IFERROR(XLOOKUP($A611,'Auction Log'!$B$3:$B$300,'Auction Log'!$F$3:$F$300,""),""))</f>
        <v/>
      </c>
      <c r="AD611" s="12">
        <f t="array" ref="AD611">IF($A611="","",ROUND($Y611*XLOOKUP($F611,Settings!$I$15:$I$20,Settings!$K$15:$K$20,0.4),0))</f>
        <v>0</v>
      </c>
      <c r="AE611" s="12">
        <f t="array" ref="AE611">IF($A611="","",ROUND($Y611*XLOOKUP($F611,Settings!$I$15:$I$20,Settings!$L$15:$L$20,0.8),0))</f>
        <v>1</v>
      </c>
      <c r="AF611" s="12">
        <f t="array" ref="AF611">IF($A611="","",ROUND($Y611*XLOOKUP($F611,Settings!$I$15:$I$20,Settings!$M$15:$M$20,1),0))</f>
        <v>1</v>
      </c>
      <c r="AG611" s="12">
        <f t="array" ref="AG611">IF($A611="","",ROUND($Y611*XLOOKUP($F611,Settings!$I$15:$I$20,Settings!$N$15:$N$20,1.1),0))</f>
        <v>1</v>
      </c>
      <c r="AH611" s="12">
        <f t="array" ref="AH611">IF($A611="","",ROUND($Y611*XLOOKUP($F611,Settings!$I$15:$I$20,Settings!$O$15:$O$20,1.1)*Settings!$J$7,0))</f>
        <v>1</v>
      </c>
      <c r="AI611" s="12">
        <f t="array" ref="AI611">IF($A611="","",IF($AA611="Sold","",MIN($AH611,IFERROR(XLOOKUP(Settings!$B$12,Managers!$B$4:$B$15,Managers!$H$4:$H$15),$AH611))))</f>
        <v>1</v>
      </c>
      <c r="AJ611" s="12" t="str">
        <f t="shared" si="3"/>
        <v>Budget Drainer</v>
      </c>
      <c r="AK611" s="12">
        <f t="shared" si="4"/>
        <v>28</v>
      </c>
      <c r="AL611" s="12" t="str">
        <f t="shared" si="5"/>
        <v/>
      </c>
    </row>
    <row r="612" ht="15.75" customHeight="1">
      <c r="A612" s="10" t="s">
        <v>1504</v>
      </c>
      <c r="B612" s="10" t="s">
        <v>1505</v>
      </c>
      <c r="C612" s="10" t="s">
        <v>221</v>
      </c>
      <c r="D612" s="10" t="s">
        <v>123</v>
      </c>
      <c r="E612" s="10" t="s">
        <v>123</v>
      </c>
      <c r="F612" s="10" t="s">
        <v>117</v>
      </c>
      <c r="G612" s="10">
        <v>5.0</v>
      </c>
      <c r="H612" s="10">
        <v>7.0</v>
      </c>
      <c r="I612" s="10" t="s">
        <v>2140</v>
      </c>
      <c r="J612" s="10" t="s">
        <v>2136</v>
      </c>
      <c r="K612" s="10"/>
      <c r="L612" s="10">
        <v>0.0</v>
      </c>
      <c r="M612" s="10">
        <v>0.0</v>
      </c>
      <c r="N612" s="10"/>
      <c r="O612" s="10"/>
      <c r="P612" s="12">
        <f>IF($A612="","",IFERROR((IF($O612="",0,$O612)*Settings!$J$4+IF($L612="",0,$L612)*Settings!$J$5+IF($N612="",0,$N612)*Settings!$J$6)/(IF($O612="",0,Settings!$J$4)+IF($L612="",0,Settings!$J$5)+IF($N612="",0,Settings!$J$6)),0))</f>
        <v>0</v>
      </c>
      <c r="Q612" s="12">
        <f t="array" ref="Q612">IF($A612="","",XLOOKUP($E612,Settings!$A$19:$A$22,Settings!$G$19:$G$22,0))</f>
        <v>203</v>
      </c>
      <c r="R612" s="12">
        <f t="shared" si="1"/>
        <v>0</v>
      </c>
      <c r="S612" s="12">
        <f>IF($A612="","",IF($R612&lt;=0,1,1+$R612/SUMIF($R$4:$R$923,"&gt;0",$R$4:$R$923)*(Settings!$B$5*(Settings!$B$6-Settings!$B$7))))</f>
        <v>1</v>
      </c>
      <c r="T612" s="12">
        <f t="array" ref="T612">IF($A612="","",XLOOKUP($F612,Settings!$I$15:$I$20,Settings!$J$15:$J$20,1))</f>
        <v>0.75</v>
      </c>
      <c r="U612" s="12">
        <f>IF($A612="","",1+(($G612-5)/5)*Settings!$J$8)</f>
        <v>1</v>
      </c>
      <c r="V612" s="12">
        <f>IF($A612="","",1+(($H612-5)/5)*Settings!$J$9)</f>
        <v>1.06</v>
      </c>
      <c r="W612" s="12">
        <f t="array" ref="W612">IF($A612="","",XLOOKUP($J612,Lists!$C$3:$C$7,Lists!$D$3:$D$7,1))</f>
        <v>1</v>
      </c>
      <c r="X612" s="12">
        <f>IF($A612="","",IF($I612="Yes",Settings!$J$10,1))</f>
        <v>1</v>
      </c>
      <c r="Y612" s="12">
        <f t="shared" si="2"/>
        <v>1</v>
      </c>
      <c r="Z612" s="12">
        <f>IF($A612="","",IFERROR(ROUND(AVERAGEIFS('Historical Drafts'!$G$4:$G$300,'Historical Drafts'!$D$4:$D$300,$E612,'Historical Drafts'!$J$4:$J$300,"&gt;="&amp;$L612*0.85,'Historical Drafts'!$J$4:$J$300,"&lt;="&amp;$L612*1.15),0),$Y612))</f>
        <v>3</v>
      </c>
      <c r="AA612" s="12" t="str">
        <f>IF($A612="","",IF(COUNTIF('Auction Log'!$B$3:$B$300,$A612)&gt;0,"Sold","Available"))</f>
        <v>Available</v>
      </c>
      <c r="AB612" s="12" t="str">
        <f t="array" ref="AB612">IF($A612="","",IFERROR(XLOOKUP($A612,'Auction Log'!$B$3:$B$300,'Auction Log'!$G$3:$G$300,""),""))</f>
        <v/>
      </c>
      <c r="AC612" s="12" t="str">
        <f t="array" ref="AC612">IF($A612="","",IFERROR(XLOOKUP($A612,'Auction Log'!$B$3:$B$300,'Auction Log'!$F$3:$F$300,""),""))</f>
        <v/>
      </c>
      <c r="AD612" s="12">
        <f t="array" ref="AD612">IF($A612="","",ROUND($Y612*XLOOKUP($F612,Settings!$I$15:$I$20,Settings!$K$15:$K$20,0.4),0))</f>
        <v>0</v>
      </c>
      <c r="AE612" s="12">
        <f t="array" ref="AE612">IF($A612="","",ROUND($Y612*XLOOKUP($F612,Settings!$I$15:$I$20,Settings!$L$15:$L$20,0.8),0))</f>
        <v>1</v>
      </c>
      <c r="AF612" s="12">
        <f t="array" ref="AF612">IF($A612="","",ROUND($Y612*XLOOKUP($F612,Settings!$I$15:$I$20,Settings!$M$15:$M$20,1),0))</f>
        <v>1</v>
      </c>
      <c r="AG612" s="12">
        <f t="array" ref="AG612">IF($A612="","",ROUND($Y612*XLOOKUP($F612,Settings!$I$15:$I$20,Settings!$N$15:$N$20,1.1),0))</f>
        <v>1</v>
      </c>
      <c r="AH612" s="12">
        <f t="array" ref="AH612">IF($A612="","",ROUND($Y612*XLOOKUP($F612,Settings!$I$15:$I$20,Settings!$O$15:$O$20,1.1)*Settings!$J$7,0))</f>
        <v>1</v>
      </c>
      <c r="AI612" s="12">
        <f t="array" ref="AI612">IF($A612="","",IF($AA612="Sold","",MIN($AH612,IFERROR(XLOOKUP(Settings!$B$12,Managers!$B$4:$B$15,Managers!$H$4:$H$15),$AH612))))</f>
        <v>1</v>
      </c>
      <c r="AJ612" s="12" t="str">
        <f t="shared" si="3"/>
        <v>Budget Drainer</v>
      </c>
      <c r="AK612" s="12">
        <f t="shared" si="4"/>
        <v>28</v>
      </c>
      <c r="AL612" s="12" t="str">
        <f t="shared" si="5"/>
        <v/>
      </c>
    </row>
    <row r="613" ht="15.75" customHeight="1">
      <c r="A613" s="10" t="s">
        <v>1506</v>
      </c>
      <c r="B613" s="10" t="s">
        <v>1507</v>
      </c>
      <c r="C613" s="10" t="s">
        <v>188</v>
      </c>
      <c r="D613" s="10" t="s">
        <v>121</v>
      </c>
      <c r="E613" s="10" t="s">
        <v>121</v>
      </c>
      <c r="F613" s="10" t="s">
        <v>117</v>
      </c>
      <c r="G613" s="10">
        <v>5.0</v>
      </c>
      <c r="H613" s="10">
        <v>7.0</v>
      </c>
      <c r="I613" s="10" t="s">
        <v>2140</v>
      </c>
      <c r="J613" s="10" t="s">
        <v>2136</v>
      </c>
      <c r="K613" s="10"/>
      <c r="L613" s="10">
        <v>0.0</v>
      </c>
      <c r="M613" s="10">
        <v>0.0</v>
      </c>
      <c r="N613" s="10"/>
      <c r="O613" s="10"/>
      <c r="P613" s="12">
        <f>IF($A613="","",IFERROR((IF($O613="",0,$O613)*Settings!$J$4+IF($L613="",0,$L613)*Settings!$J$5+IF($N613="",0,$N613)*Settings!$J$6)/(IF($O613="",0,Settings!$J$4)+IF($L613="",0,Settings!$J$5)+IF($N613="",0,Settings!$J$6)),0))</f>
        <v>0</v>
      </c>
      <c r="Q613" s="12">
        <f t="array" ref="Q613">IF($A613="","",XLOOKUP($E613,Settings!$A$19:$A$22,Settings!$G$19:$G$22,0))</f>
        <v>206</v>
      </c>
      <c r="R613" s="12">
        <f t="shared" si="1"/>
        <v>0</v>
      </c>
      <c r="S613" s="12">
        <f>IF($A613="","",IF($R613&lt;=0,1,1+$R613/SUMIF($R$4:$R$923,"&gt;0",$R$4:$R$923)*(Settings!$B$5*(Settings!$B$6-Settings!$B$7))))</f>
        <v>1</v>
      </c>
      <c r="T613" s="12">
        <f t="array" ref="T613">IF($A613="","",XLOOKUP($F613,Settings!$I$15:$I$20,Settings!$J$15:$J$20,1))</f>
        <v>0.75</v>
      </c>
      <c r="U613" s="12">
        <f>IF($A613="","",1+(($G613-5)/5)*Settings!$J$8)</f>
        <v>1</v>
      </c>
      <c r="V613" s="12">
        <f>IF($A613="","",1+(($H613-5)/5)*Settings!$J$9)</f>
        <v>1.06</v>
      </c>
      <c r="W613" s="12">
        <f t="array" ref="W613">IF($A613="","",XLOOKUP($J613,Lists!$C$3:$C$7,Lists!$D$3:$D$7,1))</f>
        <v>1</v>
      </c>
      <c r="X613" s="12">
        <f>IF($A613="","",IF($I613="Yes",Settings!$J$10,1))</f>
        <v>1</v>
      </c>
      <c r="Y613" s="12">
        <f t="shared" si="2"/>
        <v>1</v>
      </c>
      <c r="Z613" s="12">
        <f>IF($A613="","",IFERROR(ROUND(AVERAGEIFS('Historical Drafts'!$G$4:$G$300,'Historical Drafts'!$D$4:$D$300,$E613,'Historical Drafts'!$J$4:$J$300,"&gt;="&amp;$L613*0.85,'Historical Drafts'!$J$4:$J$300,"&lt;="&amp;$L613*1.15),0),$Y613))</f>
        <v>3</v>
      </c>
      <c r="AA613" s="12" t="str">
        <f>IF($A613="","",IF(COUNTIF('Auction Log'!$B$3:$B$300,$A613)&gt;0,"Sold","Available"))</f>
        <v>Available</v>
      </c>
      <c r="AB613" s="12" t="str">
        <f t="array" ref="AB613">IF($A613="","",IFERROR(XLOOKUP($A613,'Auction Log'!$B$3:$B$300,'Auction Log'!$G$3:$G$300,""),""))</f>
        <v/>
      </c>
      <c r="AC613" s="12" t="str">
        <f t="array" ref="AC613">IF($A613="","",IFERROR(XLOOKUP($A613,'Auction Log'!$B$3:$B$300,'Auction Log'!$F$3:$F$300,""),""))</f>
        <v/>
      </c>
      <c r="AD613" s="12">
        <f t="array" ref="AD613">IF($A613="","",ROUND($Y613*XLOOKUP($F613,Settings!$I$15:$I$20,Settings!$K$15:$K$20,0.4),0))</f>
        <v>0</v>
      </c>
      <c r="AE613" s="12">
        <f t="array" ref="AE613">IF($A613="","",ROUND($Y613*XLOOKUP($F613,Settings!$I$15:$I$20,Settings!$L$15:$L$20,0.8),0))</f>
        <v>1</v>
      </c>
      <c r="AF613" s="12">
        <f t="array" ref="AF613">IF($A613="","",ROUND($Y613*XLOOKUP($F613,Settings!$I$15:$I$20,Settings!$M$15:$M$20,1),0))</f>
        <v>1</v>
      </c>
      <c r="AG613" s="12">
        <f t="array" ref="AG613">IF($A613="","",ROUND($Y613*XLOOKUP($F613,Settings!$I$15:$I$20,Settings!$N$15:$N$20,1.1),0))</f>
        <v>1</v>
      </c>
      <c r="AH613" s="12">
        <f t="array" ref="AH613">IF($A613="","",ROUND($Y613*XLOOKUP($F613,Settings!$I$15:$I$20,Settings!$O$15:$O$20,1.1)*Settings!$J$7,0))</f>
        <v>1</v>
      </c>
      <c r="AI613" s="12">
        <f t="array" ref="AI613">IF($A613="","",IF($AA613="Sold","",MIN($AH613,IFERROR(XLOOKUP(Settings!$B$12,Managers!$B$4:$B$15,Managers!$H$4:$H$15),$AH613))))</f>
        <v>1</v>
      </c>
      <c r="AJ613" s="12" t="str">
        <f t="shared" si="3"/>
        <v>Budget Drainer</v>
      </c>
      <c r="AK613" s="12">
        <f t="shared" si="4"/>
        <v>28</v>
      </c>
      <c r="AL613" s="12" t="str">
        <f t="shared" si="5"/>
        <v/>
      </c>
    </row>
    <row r="614" ht="15.75" customHeight="1">
      <c r="A614" s="10" t="s">
        <v>1508</v>
      </c>
      <c r="B614" s="10" t="s">
        <v>1509</v>
      </c>
      <c r="C614" s="10" t="s">
        <v>180</v>
      </c>
      <c r="D614" s="10" t="s">
        <v>121</v>
      </c>
      <c r="E614" s="10" t="s">
        <v>121</v>
      </c>
      <c r="F614" s="10" t="s">
        <v>117</v>
      </c>
      <c r="G614" s="10">
        <v>5.0</v>
      </c>
      <c r="H614" s="10">
        <v>7.0</v>
      </c>
      <c r="I614" s="10" t="s">
        <v>2140</v>
      </c>
      <c r="J614" s="10" t="s">
        <v>2136</v>
      </c>
      <c r="K614" s="10"/>
      <c r="L614" s="10">
        <v>0.0</v>
      </c>
      <c r="M614" s="10">
        <v>0.0</v>
      </c>
      <c r="N614" s="10"/>
      <c r="O614" s="10"/>
      <c r="P614" s="12">
        <f>IF($A614="","",IFERROR((IF($O614="",0,$O614)*Settings!$J$4+IF($L614="",0,$L614)*Settings!$J$5+IF($N614="",0,$N614)*Settings!$J$6)/(IF($O614="",0,Settings!$J$4)+IF($L614="",0,Settings!$J$5)+IF($N614="",0,Settings!$J$6)),0))</f>
        <v>0</v>
      </c>
      <c r="Q614" s="12">
        <f t="array" ref="Q614">IF($A614="","",XLOOKUP($E614,Settings!$A$19:$A$22,Settings!$G$19:$G$22,0))</f>
        <v>206</v>
      </c>
      <c r="R614" s="12">
        <f t="shared" si="1"/>
        <v>0</v>
      </c>
      <c r="S614" s="12">
        <f>IF($A614="","",IF($R614&lt;=0,1,1+$R614/SUMIF($R$4:$R$923,"&gt;0",$R$4:$R$923)*(Settings!$B$5*(Settings!$B$6-Settings!$B$7))))</f>
        <v>1</v>
      </c>
      <c r="T614" s="12">
        <f t="array" ref="T614">IF($A614="","",XLOOKUP($F614,Settings!$I$15:$I$20,Settings!$J$15:$J$20,1))</f>
        <v>0.75</v>
      </c>
      <c r="U614" s="12">
        <f>IF($A614="","",1+(($G614-5)/5)*Settings!$J$8)</f>
        <v>1</v>
      </c>
      <c r="V614" s="12">
        <f>IF($A614="","",1+(($H614-5)/5)*Settings!$J$9)</f>
        <v>1.06</v>
      </c>
      <c r="W614" s="12">
        <f t="array" ref="W614">IF($A614="","",XLOOKUP($J614,Lists!$C$3:$C$7,Lists!$D$3:$D$7,1))</f>
        <v>1</v>
      </c>
      <c r="X614" s="12">
        <f>IF($A614="","",IF($I614="Yes",Settings!$J$10,1))</f>
        <v>1</v>
      </c>
      <c r="Y614" s="12">
        <f t="shared" si="2"/>
        <v>1</v>
      </c>
      <c r="Z614" s="12">
        <f>IF($A614="","",IFERROR(ROUND(AVERAGEIFS('Historical Drafts'!$G$4:$G$300,'Historical Drafts'!$D$4:$D$300,$E614,'Historical Drafts'!$J$4:$J$300,"&gt;="&amp;$L614*0.85,'Historical Drafts'!$J$4:$J$300,"&lt;="&amp;$L614*1.15),0),$Y614))</f>
        <v>3</v>
      </c>
      <c r="AA614" s="12" t="str">
        <f>IF($A614="","",IF(COUNTIF('Auction Log'!$B$3:$B$300,$A614)&gt;0,"Sold","Available"))</f>
        <v>Available</v>
      </c>
      <c r="AB614" s="12" t="str">
        <f t="array" ref="AB614">IF($A614="","",IFERROR(XLOOKUP($A614,'Auction Log'!$B$3:$B$300,'Auction Log'!$G$3:$G$300,""),""))</f>
        <v/>
      </c>
      <c r="AC614" s="12" t="str">
        <f t="array" ref="AC614">IF($A614="","",IFERROR(XLOOKUP($A614,'Auction Log'!$B$3:$B$300,'Auction Log'!$F$3:$F$300,""),""))</f>
        <v/>
      </c>
      <c r="AD614" s="12">
        <f t="array" ref="AD614">IF($A614="","",ROUND($Y614*XLOOKUP($F614,Settings!$I$15:$I$20,Settings!$K$15:$K$20,0.4),0))</f>
        <v>0</v>
      </c>
      <c r="AE614" s="12">
        <f t="array" ref="AE614">IF($A614="","",ROUND($Y614*XLOOKUP($F614,Settings!$I$15:$I$20,Settings!$L$15:$L$20,0.8),0))</f>
        <v>1</v>
      </c>
      <c r="AF614" s="12">
        <f t="array" ref="AF614">IF($A614="","",ROUND($Y614*XLOOKUP($F614,Settings!$I$15:$I$20,Settings!$M$15:$M$20,1),0))</f>
        <v>1</v>
      </c>
      <c r="AG614" s="12">
        <f t="array" ref="AG614">IF($A614="","",ROUND($Y614*XLOOKUP($F614,Settings!$I$15:$I$20,Settings!$N$15:$N$20,1.1),0))</f>
        <v>1</v>
      </c>
      <c r="AH614" s="12">
        <f t="array" ref="AH614">IF($A614="","",ROUND($Y614*XLOOKUP($F614,Settings!$I$15:$I$20,Settings!$O$15:$O$20,1.1)*Settings!$J$7,0))</f>
        <v>1</v>
      </c>
      <c r="AI614" s="12">
        <f t="array" ref="AI614">IF($A614="","",IF($AA614="Sold","",MIN($AH614,IFERROR(XLOOKUP(Settings!$B$12,Managers!$B$4:$B$15,Managers!$H$4:$H$15),$AH614))))</f>
        <v>1</v>
      </c>
      <c r="AJ614" s="12" t="str">
        <f t="shared" si="3"/>
        <v>Budget Drainer</v>
      </c>
      <c r="AK614" s="12">
        <f t="shared" si="4"/>
        <v>28</v>
      </c>
      <c r="AL614" s="12" t="str">
        <f t="shared" si="5"/>
        <v/>
      </c>
    </row>
    <row r="615" ht="15.75" customHeight="1">
      <c r="A615" s="10" t="s">
        <v>1510</v>
      </c>
      <c r="B615" s="10" t="s">
        <v>1511</v>
      </c>
      <c r="C615" s="10" t="s">
        <v>314</v>
      </c>
      <c r="D615" s="10" t="s">
        <v>121</v>
      </c>
      <c r="E615" s="10" t="s">
        <v>121</v>
      </c>
      <c r="F615" s="10" t="s">
        <v>117</v>
      </c>
      <c r="G615" s="10">
        <v>5.0</v>
      </c>
      <c r="H615" s="10">
        <v>7.0</v>
      </c>
      <c r="I615" s="10" t="s">
        <v>2140</v>
      </c>
      <c r="J615" s="10" t="s">
        <v>2136</v>
      </c>
      <c r="K615" s="10"/>
      <c r="L615" s="10">
        <v>0.0</v>
      </c>
      <c r="M615" s="10">
        <v>0.0</v>
      </c>
      <c r="N615" s="10"/>
      <c r="O615" s="10"/>
      <c r="P615" s="12">
        <f>IF($A615="","",IFERROR((IF($O615="",0,$O615)*Settings!$J$4+IF($L615="",0,$L615)*Settings!$J$5+IF($N615="",0,$N615)*Settings!$J$6)/(IF($O615="",0,Settings!$J$4)+IF($L615="",0,Settings!$J$5)+IF($N615="",0,Settings!$J$6)),0))</f>
        <v>0</v>
      </c>
      <c r="Q615" s="12">
        <f t="array" ref="Q615">IF($A615="","",XLOOKUP($E615,Settings!$A$19:$A$22,Settings!$G$19:$G$22,0))</f>
        <v>206</v>
      </c>
      <c r="R615" s="12">
        <f t="shared" si="1"/>
        <v>0</v>
      </c>
      <c r="S615" s="12">
        <f>IF($A615="","",IF($R615&lt;=0,1,1+$R615/SUMIF($R$4:$R$923,"&gt;0",$R$4:$R$923)*(Settings!$B$5*(Settings!$B$6-Settings!$B$7))))</f>
        <v>1</v>
      </c>
      <c r="T615" s="12">
        <f t="array" ref="T615">IF($A615="","",XLOOKUP($F615,Settings!$I$15:$I$20,Settings!$J$15:$J$20,1))</f>
        <v>0.75</v>
      </c>
      <c r="U615" s="12">
        <f>IF($A615="","",1+(($G615-5)/5)*Settings!$J$8)</f>
        <v>1</v>
      </c>
      <c r="V615" s="12">
        <f>IF($A615="","",1+(($H615-5)/5)*Settings!$J$9)</f>
        <v>1.06</v>
      </c>
      <c r="W615" s="12">
        <f t="array" ref="W615">IF($A615="","",XLOOKUP($J615,Lists!$C$3:$C$7,Lists!$D$3:$D$7,1))</f>
        <v>1</v>
      </c>
      <c r="X615" s="12">
        <f>IF($A615="","",IF($I615="Yes",Settings!$J$10,1))</f>
        <v>1</v>
      </c>
      <c r="Y615" s="12">
        <f t="shared" si="2"/>
        <v>1</v>
      </c>
      <c r="Z615" s="12">
        <f>IF($A615="","",IFERROR(ROUND(AVERAGEIFS('Historical Drafts'!$G$4:$G$300,'Historical Drafts'!$D$4:$D$300,$E615,'Historical Drafts'!$J$4:$J$300,"&gt;="&amp;$L615*0.85,'Historical Drafts'!$J$4:$J$300,"&lt;="&amp;$L615*1.15),0),$Y615))</f>
        <v>3</v>
      </c>
      <c r="AA615" s="12" t="str">
        <f>IF($A615="","",IF(COUNTIF('Auction Log'!$B$3:$B$300,$A615)&gt;0,"Sold","Available"))</f>
        <v>Available</v>
      </c>
      <c r="AB615" s="12" t="str">
        <f t="array" ref="AB615">IF($A615="","",IFERROR(XLOOKUP($A615,'Auction Log'!$B$3:$B$300,'Auction Log'!$G$3:$G$300,""),""))</f>
        <v/>
      </c>
      <c r="AC615" s="12" t="str">
        <f t="array" ref="AC615">IF($A615="","",IFERROR(XLOOKUP($A615,'Auction Log'!$B$3:$B$300,'Auction Log'!$F$3:$F$300,""),""))</f>
        <v/>
      </c>
      <c r="AD615" s="12">
        <f t="array" ref="AD615">IF($A615="","",ROUND($Y615*XLOOKUP($F615,Settings!$I$15:$I$20,Settings!$K$15:$K$20,0.4),0))</f>
        <v>0</v>
      </c>
      <c r="AE615" s="12">
        <f t="array" ref="AE615">IF($A615="","",ROUND($Y615*XLOOKUP($F615,Settings!$I$15:$I$20,Settings!$L$15:$L$20,0.8),0))</f>
        <v>1</v>
      </c>
      <c r="AF615" s="12">
        <f t="array" ref="AF615">IF($A615="","",ROUND($Y615*XLOOKUP($F615,Settings!$I$15:$I$20,Settings!$M$15:$M$20,1),0))</f>
        <v>1</v>
      </c>
      <c r="AG615" s="12">
        <f t="array" ref="AG615">IF($A615="","",ROUND($Y615*XLOOKUP($F615,Settings!$I$15:$I$20,Settings!$N$15:$N$20,1.1),0))</f>
        <v>1</v>
      </c>
      <c r="AH615" s="12">
        <f t="array" ref="AH615">IF($A615="","",ROUND($Y615*XLOOKUP($F615,Settings!$I$15:$I$20,Settings!$O$15:$O$20,1.1)*Settings!$J$7,0))</f>
        <v>1</v>
      </c>
      <c r="AI615" s="12">
        <f t="array" ref="AI615">IF($A615="","",IF($AA615="Sold","",MIN($AH615,IFERROR(XLOOKUP(Settings!$B$12,Managers!$B$4:$B$15,Managers!$H$4:$H$15),$AH615))))</f>
        <v>1</v>
      </c>
      <c r="AJ615" s="12" t="str">
        <f t="shared" si="3"/>
        <v>Budget Drainer</v>
      </c>
      <c r="AK615" s="12">
        <f t="shared" si="4"/>
        <v>28</v>
      </c>
      <c r="AL615" s="12" t="str">
        <f t="shared" si="5"/>
        <v/>
      </c>
    </row>
    <row r="616" ht="15.75" customHeight="1">
      <c r="A616" s="10" t="s">
        <v>1512</v>
      </c>
      <c r="B616" s="10" t="s">
        <v>1513</v>
      </c>
      <c r="C616" s="10" t="s">
        <v>188</v>
      </c>
      <c r="D616" s="10" t="s">
        <v>576</v>
      </c>
      <c r="E616" s="10" t="s">
        <v>576</v>
      </c>
      <c r="F616" s="10" t="s">
        <v>117</v>
      </c>
      <c r="G616" s="10">
        <v>5.0</v>
      </c>
      <c r="H616" s="10">
        <v>7.0</v>
      </c>
      <c r="I616" s="10" t="s">
        <v>2140</v>
      </c>
      <c r="J616" s="10" t="s">
        <v>2136</v>
      </c>
      <c r="K616" s="10"/>
      <c r="L616" s="10">
        <v>0.0</v>
      </c>
      <c r="M616" s="10">
        <v>0.0</v>
      </c>
      <c r="N616" s="10"/>
      <c r="O616" s="10"/>
      <c r="P616" s="12">
        <f>IF($A616="","",IFERROR((IF($O616="",0,$O616)*Settings!$J$4+IF($L616="",0,$L616)*Settings!$J$5+IF($N616="",0,$N616)*Settings!$J$6)/(IF($O616="",0,Settings!$J$4)+IF($L616="",0,Settings!$J$5)+IF($N616="",0,Settings!$J$6)),0))</f>
        <v>0</v>
      </c>
      <c r="Q616" s="12">
        <f t="array" ref="Q616">IF($A616="","",XLOOKUP($E616,Settings!$A$19:$A$22,Settings!$G$19:$G$22,0))</f>
        <v>0</v>
      </c>
      <c r="R616" s="12">
        <f t="shared" si="1"/>
        <v>0</v>
      </c>
      <c r="S616" s="12">
        <f>IF($A616="","",IF($R616&lt;=0,1,1+$R616/SUMIF($R$4:$R$923,"&gt;0",$R$4:$R$923)*(Settings!$B$5*(Settings!$B$6-Settings!$B$7))))</f>
        <v>1</v>
      </c>
      <c r="T616" s="12">
        <f t="array" ref="T616">IF($A616="","",XLOOKUP($F616,Settings!$I$15:$I$20,Settings!$J$15:$J$20,1))</f>
        <v>0.75</v>
      </c>
      <c r="U616" s="12">
        <f>IF($A616="","",1+(($G616-5)/5)*Settings!$J$8)</f>
        <v>1</v>
      </c>
      <c r="V616" s="12">
        <f>IF($A616="","",1+(($H616-5)/5)*Settings!$J$9)</f>
        <v>1.06</v>
      </c>
      <c r="W616" s="12">
        <f t="array" ref="W616">IF($A616="","",XLOOKUP($J616,Lists!$C$3:$C$7,Lists!$D$3:$D$7,1))</f>
        <v>1</v>
      </c>
      <c r="X616" s="12">
        <f>IF($A616="","",IF($I616="Yes",Settings!$J$10,1))</f>
        <v>1</v>
      </c>
      <c r="Y616" s="12">
        <f t="shared" si="2"/>
        <v>1</v>
      </c>
      <c r="Z616" s="12">
        <f>IF($A616="","",IFERROR(ROUND(AVERAGEIFS('Historical Drafts'!$G$4:$G$300,'Historical Drafts'!$D$4:$D$300,$E616,'Historical Drafts'!$J$4:$J$300,"&gt;="&amp;$L616*0.85,'Historical Drafts'!$J$4:$J$300,"&lt;="&amp;$L616*1.15),0),$Y616))</f>
        <v>1</v>
      </c>
      <c r="AA616" s="12" t="str">
        <f>IF($A616="","",IF(COUNTIF('Auction Log'!$B$3:$B$300,$A616)&gt;0,"Sold","Available"))</f>
        <v>Available</v>
      </c>
      <c r="AB616" s="12" t="str">
        <f t="array" ref="AB616">IF($A616="","",IFERROR(XLOOKUP($A616,'Auction Log'!$B$3:$B$300,'Auction Log'!$G$3:$G$300,""),""))</f>
        <v/>
      </c>
      <c r="AC616" s="12" t="str">
        <f t="array" ref="AC616">IF($A616="","",IFERROR(XLOOKUP($A616,'Auction Log'!$B$3:$B$300,'Auction Log'!$F$3:$F$300,""),""))</f>
        <v/>
      </c>
      <c r="AD616" s="12">
        <f t="array" ref="AD616">IF($A616="","",ROUND($Y616*XLOOKUP($F616,Settings!$I$15:$I$20,Settings!$K$15:$K$20,0.4),0))</f>
        <v>0</v>
      </c>
      <c r="AE616" s="12">
        <f t="array" ref="AE616">IF($A616="","",ROUND($Y616*XLOOKUP($F616,Settings!$I$15:$I$20,Settings!$L$15:$L$20,0.8),0))</f>
        <v>1</v>
      </c>
      <c r="AF616" s="12">
        <f t="array" ref="AF616">IF($A616="","",ROUND($Y616*XLOOKUP($F616,Settings!$I$15:$I$20,Settings!$M$15:$M$20,1),0))</f>
        <v>1</v>
      </c>
      <c r="AG616" s="12">
        <f t="array" ref="AG616">IF($A616="","",ROUND($Y616*XLOOKUP($F616,Settings!$I$15:$I$20,Settings!$N$15:$N$20,1.1),0))</f>
        <v>1</v>
      </c>
      <c r="AH616" s="12">
        <f t="array" ref="AH616">IF($A616="","",ROUND($Y616*XLOOKUP($F616,Settings!$I$15:$I$20,Settings!$O$15:$O$20,1.1)*Settings!$J$7,0))</f>
        <v>1</v>
      </c>
      <c r="AI616" s="12">
        <f t="array" ref="AI616">IF($A616="","",IF($AA616="Sold","",MIN($AH616,IFERROR(XLOOKUP(Settings!$B$12,Managers!$B$4:$B$15,Managers!$H$4:$H$15),$AH616))))</f>
        <v>1</v>
      </c>
      <c r="AJ616" s="12" t="str">
        <f t="shared" si="3"/>
        <v>Recommended</v>
      </c>
      <c r="AK616" s="12">
        <f t="shared" si="4"/>
        <v>26</v>
      </c>
      <c r="AL616" s="12" t="str">
        <f t="shared" si="5"/>
        <v/>
      </c>
    </row>
    <row r="617" ht="15.75" customHeight="1">
      <c r="A617" s="10" t="s">
        <v>1514</v>
      </c>
      <c r="B617" s="10" t="s">
        <v>1515</v>
      </c>
      <c r="C617" s="10" t="s">
        <v>231</v>
      </c>
      <c r="D617" s="10" t="s">
        <v>121</v>
      </c>
      <c r="E617" s="10" t="s">
        <v>121</v>
      </c>
      <c r="F617" s="10" t="s">
        <v>117</v>
      </c>
      <c r="G617" s="10">
        <v>5.0</v>
      </c>
      <c r="H617" s="10">
        <v>7.0</v>
      </c>
      <c r="I617" s="10" t="s">
        <v>2140</v>
      </c>
      <c r="J617" s="10" t="s">
        <v>2136</v>
      </c>
      <c r="K617" s="10"/>
      <c r="L617" s="10">
        <v>0.0</v>
      </c>
      <c r="M617" s="10">
        <v>0.0</v>
      </c>
      <c r="N617" s="10"/>
      <c r="O617" s="10"/>
      <c r="P617" s="12">
        <f>IF($A617="","",IFERROR((IF($O617="",0,$O617)*Settings!$J$4+IF($L617="",0,$L617)*Settings!$J$5+IF($N617="",0,$N617)*Settings!$J$6)/(IF($O617="",0,Settings!$J$4)+IF($L617="",0,Settings!$J$5)+IF($N617="",0,Settings!$J$6)),0))</f>
        <v>0</v>
      </c>
      <c r="Q617" s="12">
        <f t="array" ref="Q617">IF($A617="","",XLOOKUP($E617,Settings!$A$19:$A$22,Settings!$G$19:$G$22,0))</f>
        <v>206</v>
      </c>
      <c r="R617" s="12">
        <f t="shared" si="1"/>
        <v>0</v>
      </c>
      <c r="S617" s="12">
        <f>IF($A617="","",IF($R617&lt;=0,1,1+$R617/SUMIF($R$4:$R$923,"&gt;0",$R$4:$R$923)*(Settings!$B$5*(Settings!$B$6-Settings!$B$7))))</f>
        <v>1</v>
      </c>
      <c r="T617" s="12">
        <f t="array" ref="T617">IF($A617="","",XLOOKUP($F617,Settings!$I$15:$I$20,Settings!$J$15:$J$20,1))</f>
        <v>0.75</v>
      </c>
      <c r="U617" s="12">
        <f>IF($A617="","",1+(($G617-5)/5)*Settings!$J$8)</f>
        <v>1</v>
      </c>
      <c r="V617" s="12">
        <f>IF($A617="","",1+(($H617-5)/5)*Settings!$J$9)</f>
        <v>1.06</v>
      </c>
      <c r="W617" s="12">
        <f t="array" ref="W617">IF($A617="","",XLOOKUP($J617,Lists!$C$3:$C$7,Lists!$D$3:$D$7,1))</f>
        <v>1</v>
      </c>
      <c r="X617" s="12">
        <f>IF($A617="","",IF($I617="Yes",Settings!$J$10,1))</f>
        <v>1</v>
      </c>
      <c r="Y617" s="12">
        <f t="shared" si="2"/>
        <v>1</v>
      </c>
      <c r="Z617" s="12">
        <f>IF($A617="","",IFERROR(ROUND(AVERAGEIFS('Historical Drafts'!$G$4:$G$300,'Historical Drafts'!$D$4:$D$300,$E617,'Historical Drafts'!$J$4:$J$300,"&gt;="&amp;$L617*0.85,'Historical Drafts'!$J$4:$J$300,"&lt;="&amp;$L617*1.15),0),$Y617))</f>
        <v>3</v>
      </c>
      <c r="AA617" s="12" t="str">
        <f>IF($A617="","",IF(COUNTIF('Auction Log'!$B$3:$B$300,$A617)&gt;0,"Sold","Available"))</f>
        <v>Available</v>
      </c>
      <c r="AB617" s="12" t="str">
        <f t="array" ref="AB617">IF($A617="","",IFERROR(XLOOKUP($A617,'Auction Log'!$B$3:$B$300,'Auction Log'!$G$3:$G$300,""),""))</f>
        <v/>
      </c>
      <c r="AC617" s="12" t="str">
        <f t="array" ref="AC617">IF($A617="","",IFERROR(XLOOKUP($A617,'Auction Log'!$B$3:$B$300,'Auction Log'!$F$3:$F$300,""),""))</f>
        <v/>
      </c>
      <c r="AD617" s="12">
        <f t="array" ref="AD617">IF($A617="","",ROUND($Y617*XLOOKUP($F617,Settings!$I$15:$I$20,Settings!$K$15:$K$20,0.4),0))</f>
        <v>0</v>
      </c>
      <c r="AE617" s="12">
        <f t="array" ref="AE617">IF($A617="","",ROUND($Y617*XLOOKUP($F617,Settings!$I$15:$I$20,Settings!$L$15:$L$20,0.8),0))</f>
        <v>1</v>
      </c>
      <c r="AF617" s="12">
        <f t="array" ref="AF617">IF($A617="","",ROUND($Y617*XLOOKUP($F617,Settings!$I$15:$I$20,Settings!$M$15:$M$20,1),0))</f>
        <v>1</v>
      </c>
      <c r="AG617" s="12">
        <f t="array" ref="AG617">IF($A617="","",ROUND($Y617*XLOOKUP($F617,Settings!$I$15:$I$20,Settings!$N$15:$N$20,1.1),0))</f>
        <v>1</v>
      </c>
      <c r="AH617" s="12">
        <f t="array" ref="AH617">IF($A617="","",ROUND($Y617*XLOOKUP($F617,Settings!$I$15:$I$20,Settings!$O$15:$O$20,1.1)*Settings!$J$7,0))</f>
        <v>1</v>
      </c>
      <c r="AI617" s="12">
        <f t="array" ref="AI617">IF($A617="","",IF($AA617="Sold","",MIN($AH617,IFERROR(XLOOKUP(Settings!$B$12,Managers!$B$4:$B$15,Managers!$H$4:$H$15),$AH617))))</f>
        <v>1</v>
      </c>
      <c r="AJ617" s="12" t="str">
        <f t="shared" si="3"/>
        <v>Budget Drainer</v>
      </c>
      <c r="AK617" s="12">
        <f t="shared" si="4"/>
        <v>28</v>
      </c>
      <c r="AL617" s="12" t="str">
        <f t="shared" si="5"/>
        <v/>
      </c>
    </row>
    <row r="618" ht="15.75" customHeight="1">
      <c r="A618" s="10" t="s">
        <v>1516</v>
      </c>
      <c r="B618" s="10" t="s">
        <v>1517</v>
      </c>
      <c r="C618" s="10" t="s">
        <v>327</v>
      </c>
      <c r="D618" s="10" t="s">
        <v>115</v>
      </c>
      <c r="E618" s="10" t="s">
        <v>115</v>
      </c>
      <c r="F618" s="10" t="s">
        <v>117</v>
      </c>
      <c r="G618" s="10">
        <v>5.0</v>
      </c>
      <c r="H618" s="10">
        <v>7.0</v>
      </c>
      <c r="I618" s="10" t="s">
        <v>2140</v>
      </c>
      <c r="J618" s="10" t="s">
        <v>2136</v>
      </c>
      <c r="K618" s="10"/>
      <c r="L618" s="10">
        <v>0.0</v>
      </c>
      <c r="M618" s="10">
        <v>0.0</v>
      </c>
      <c r="N618" s="10"/>
      <c r="O618" s="10"/>
      <c r="P618" s="12">
        <f>IF($A618="","",IFERROR((IF($O618="",0,$O618)*Settings!$J$4+IF($L618="",0,$L618)*Settings!$J$5+IF($N618="",0,$N618)*Settings!$J$6)/(IF($O618="",0,Settings!$J$4)+IF($L618="",0,Settings!$J$5)+IF($N618="",0,Settings!$J$6)),0))</f>
        <v>0</v>
      </c>
      <c r="Q618" s="12">
        <f t="array" ref="Q618">IF($A618="","",XLOOKUP($E618,Settings!$A$19:$A$22,Settings!$G$19:$G$22,0))</f>
        <v>249.25</v>
      </c>
      <c r="R618" s="12">
        <f t="shared" si="1"/>
        <v>0</v>
      </c>
      <c r="S618" s="12">
        <f>IF($A618="","",IF($R618&lt;=0,1,1+$R618/SUMIF($R$4:$R$923,"&gt;0",$R$4:$R$923)*(Settings!$B$5*(Settings!$B$6-Settings!$B$7))))</f>
        <v>1</v>
      </c>
      <c r="T618" s="12">
        <f t="array" ref="T618">IF($A618="","",XLOOKUP($F618,Settings!$I$15:$I$20,Settings!$J$15:$J$20,1))</f>
        <v>0.75</v>
      </c>
      <c r="U618" s="12">
        <f>IF($A618="","",1+(($G618-5)/5)*Settings!$J$8)</f>
        <v>1</v>
      </c>
      <c r="V618" s="12">
        <f>IF($A618="","",1+(($H618-5)/5)*Settings!$J$9)</f>
        <v>1.06</v>
      </c>
      <c r="W618" s="12">
        <f t="array" ref="W618">IF($A618="","",XLOOKUP($J618,Lists!$C$3:$C$7,Lists!$D$3:$D$7,1))</f>
        <v>1</v>
      </c>
      <c r="X618" s="12">
        <f>IF($A618="","",IF($I618="Yes",Settings!$J$10,1))</f>
        <v>1</v>
      </c>
      <c r="Y618" s="12">
        <f t="shared" si="2"/>
        <v>1</v>
      </c>
      <c r="Z618" s="12">
        <f>IF($A618="","",IFERROR(ROUND(AVERAGEIFS('Historical Drafts'!$G$4:$G$300,'Historical Drafts'!$D$4:$D$300,$E618,'Historical Drafts'!$J$4:$J$300,"&gt;="&amp;$L618*0.85,'Historical Drafts'!$J$4:$J$300,"&lt;="&amp;$L618*1.15),0),$Y618))</f>
        <v>1</v>
      </c>
      <c r="AA618" s="12" t="str">
        <f>IF($A618="","",IF(COUNTIF('Auction Log'!$B$3:$B$300,$A618)&gt;0,"Sold","Available"))</f>
        <v>Available</v>
      </c>
      <c r="AB618" s="12" t="str">
        <f t="array" ref="AB618">IF($A618="","",IFERROR(XLOOKUP($A618,'Auction Log'!$B$3:$B$300,'Auction Log'!$G$3:$G$300,""),""))</f>
        <v/>
      </c>
      <c r="AC618" s="12" t="str">
        <f t="array" ref="AC618">IF($A618="","",IFERROR(XLOOKUP($A618,'Auction Log'!$B$3:$B$300,'Auction Log'!$F$3:$F$300,""),""))</f>
        <v/>
      </c>
      <c r="AD618" s="12">
        <f t="array" ref="AD618">IF($A618="","",ROUND($Y618*XLOOKUP($F618,Settings!$I$15:$I$20,Settings!$K$15:$K$20,0.4),0))</f>
        <v>0</v>
      </c>
      <c r="AE618" s="12">
        <f t="array" ref="AE618">IF($A618="","",ROUND($Y618*XLOOKUP($F618,Settings!$I$15:$I$20,Settings!$L$15:$L$20,0.8),0))</f>
        <v>1</v>
      </c>
      <c r="AF618" s="12">
        <f t="array" ref="AF618">IF($A618="","",ROUND($Y618*XLOOKUP($F618,Settings!$I$15:$I$20,Settings!$M$15:$M$20,1),0))</f>
        <v>1</v>
      </c>
      <c r="AG618" s="12">
        <f t="array" ref="AG618">IF($A618="","",ROUND($Y618*XLOOKUP($F618,Settings!$I$15:$I$20,Settings!$N$15:$N$20,1.1),0))</f>
        <v>1</v>
      </c>
      <c r="AH618" s="12">
        <f t="array" ref="AH618">IF($A618="","",ROUND($Y618*XLOOKUP($F618,Settings!$I$15:$I$20,Settings!$O$15:$O$20,1.1)*Settings!$J$7,0))</f>
        <v>1</v>
      </c>
      <c r="AI618" s="12">
        <f t="array" ref="AI618">IF($A618="","",IF($AA618="Sold","",MIN($AH618,IFERROR(XLOOKUP(Settings!$B$12,Managers!$B$4:$B$15,Managers!$H$4:$H$15),$AH618))))</f>
        <v>1</v>
      </c>
      <c r="AJ618" s="12" t="str">
        <f t="shared" si="3"/>
        <v>Recommended</v>
      </c>
      <c r="AK618" s="12">
        <f t="shared" si="4"/>
        <v>26</v>
      </c>
      <c r="AL618" s="12" t="str">
        <f t="shared" si="5"/>
        <v/>
      </c>
    </row>
    <row r="619" ht="15.75" customHeight="1">
      <c r="A619" s="10" t="s">
        <v>1518</v>
      </c>
      <c r="B619" s="10" t="s">
        <v>1519</v>
      </c>
      <c r="C619" s="10" t="s">
        <v>215</v>
      </c>
      <c r="D619" s="10" t="s">
        <v>115</v>
      </c>
      <c r="E619" s="10" t="s">
        <v>115</v>
      </c>
      <c r="F619" s="10" t="s">
        <v>117</v>
      </c>
      <c r="G619" s="10">
        <v>5.0</v>
      </c>
      <c r="H619" s="10">
        <v>7.0</v>
      </c>
      <c r="I619" s="10" t="s">
        <v>2140</v>
      </c>
      <c r="J619" s="10" t="s">
        <v>2136</v>
      </c>
      <c r="K619" s="10"/>
      <c r="L619" s="10">
        <v>0.0</v>
      </c>
      <c r="M619" s="10">
        <v>0.0</v>
      </c>
      <c r="N619" s="10"/>
      <c r="O619" s="10"/>
      <c r="P619" s="12">
        <f>IF($A619="","",IFERROR((IF($O619="",0,$O619)*Settings!$J$4+IF($L619="",0,$L619)*Settings!$J$5+IF($N619="",0,$N619)*Settings!$J$6)/(IF($O619="",0,Settings!$J$4)+IF($L619="",0,Settings!$J$5)+IF($N619="",0,Settings!$J$6)),0))</f>
        <v>0</v>
      </c>
      <c r="Q619" s="12">
        <f t="array" ref="Q619">IF($A619="","",XLOOKUP($E619,Settings!$A$19:$A$22,Settings!$G$19:$G$22,0))</f>
        <v>249.25</v>
      </c>
      <c r="R619" s="12">
        <f t="shared" si="1"/>
        <v>0</v>
      </c>
      <c r="S619" s="12">
        <f>IF($A619="","",IF($R619&lt;=0,1,1+$R619/SUMIF($R$4:$R$923,"&gt;0",$R$4:$R$923)*(Settings!$B$5*(Settings!$B$6-Settings!$B$7))))</f>
        <v>1</v>
      </c>
      <c r="T619" s="12">
        <f t="array" ref="T619">IF($A619="","",XLOOKUP($F619,Settings!$I$15:$I$20,Settings!$J$15:$J$20,1))</f>
        <v>0.75</v>
      </c>
      <c r="U619" s="12">
        <f>IF($A619="","",1+(($G619-5)/5)*Settings!$J$8)</f>
        <v>1</v>
      </c>
      <c r="V619" s="12">
        <f>IF($A619="","",1+(($H619-5)/5)*Settings!$J$9)</f>
        <v>1.06</v>
      </c>
      <c r="W619" s="12">
        <f t="array" ref="W619">IF($A619="","",XLOOKUP($J619,Lists!$C$3:$C$7,Lists!$D$3:$D$7,1))</f>
        <v>1</v>
      </c>
      <c r="X619" s="12">
        <f>IF($A619="","",IF($I619="Yes",Settings!$J$10,1))</f>
        <v>1</v>
      </c>
      <c r="Y619" s="12">
        <f t="shared" si="2"/>
        <v>1</v>
      </c>
      <c r="Z619" s="12">
        <f>IF($A619="","",IFERROR(ROUND(AVERAGEIFS('Historical Drafts'!$G$4:$G$300,'Historical Drafts'!$D$4:$D$300,$E619,'Historical Drafts'!$J$4:$J$300,"&gt;="&amp;$L619*0.85,'Historical Drafts'!$J$4:$J$300,"&lt;="&amp;$L619*1.15),0),$Y619))</f>
        <v>1</v>
      </c>
      <c r="AA619" s="12" t="str">
        <f>IF($A619="","",IF(COUNTIF('Auction Log'!$B$3:$B$300,$A619)&gt;0,"Sold","Available"))</f>
        <v>Available</v>
      </c>
      <c r="AB619" s="12" t="str">
        <f t="array" ref="AB619">IF($A619="","",IFERROR(XLOOKUP($A619,'Auction Log'!$B$3:$B$300,'Auction Log'!$G$3:$G$300,""),""))</f>
        <v/>
      </c>
      <c r="AC619" s="12" t="str">
        <f t="array" ref="AC619">IF($A619="","",IFERROR(XLOOKUP($A619,'Auction Log'!$B$3:$B$300,'Auction Log'!$F$3:$F$300,""),""))</f>
        <v/>
      </c>
      <c r="AD619" s="12">
        <f t="array" ref="AD619">IF($A619="","",ROUND($Y619*XLOOKUP($F619,Settings!$I$15:$I$20,Settings!$K$15:$K$20,0.4),0))</f>
        <v>0</v>
      </c>
      <c r="AE619" s="12">
        <f t="array" ref="AE619">IF($A619="","",ROUND($Y619*XLOOKUP($F619,Settings!$I$15:$I$20,Settings!$L$15:$L$20,0.8),0))</f>
        <v>1</v>
      </c>
      <c r="AF619" s="12">
        <f t="array" ref="AF619">IF($A619="","",ROUND($Y619*XLOOKUP($F619,Settings!$I$15:$I$20,Settings!$M$15:$M$20,1),0))</f>
        <v>1</v>
      </c>
      <c r="AG619" s="12">
        <f t="array" ref="AG619">IF($A619="","",ROUND($Y619*XLOOKUP($F619,Settings!$I$15:$I$20,Settings!$N$15:$N$20,1.1),0))</f>
        <v>1</v>
      </c>
      <c r="AH619" s="12">
        <f t="array" ref="AH619">IF($A619="","",ROUND($Y619*XLOOKUP($F619,Settings!$I$15:$I$20,Settings!$O$15:$O$20,1.1)*Settings!$J$7,0))</f>
        <v>1</v>
      </c>
      <c r="AI619" s="12">
        <f t="array" ref="AI619">IF($A619="","",IF($AA619="Sold","",MIN($AH619,IFERROR(XLOOKUP(Settings!$B$12,Managers!$B$4:$B$15,Managers!$H$4:$H$15),$AH619))))</f>
        <v>1</v>
      </c>
      <c r="AJ619" s="12" t="str">
        <f t="shared" si="3"/>
        <v>Recommended</v>
      </c>
      <c r="AK619" s="12">
        <f t="shared" si="4"/>
        <v>26</v>
      </c>
      <c r="AL619" s="12" t="str">
        <f t="shared" si="5"/>
        <v/>
      </c>
    </row>
    <row r="620" ht="15.75" customHeight="1">
      <c r="A620" s="10" t="s">
        <v>1520</v>
      </c>
      <c r="B620" s="10" t="s">
        <v>1521</v>
      </c>
      <c r="C620" s="10" t="s">
        <v>285</v>
      </c>
      <c r="D620" s="10" t="s">
        <v>121</v>
      </c>
      <c r="E620" s="10" t="s">
        <v>121</v>
      </c>
      <c r="F620" s="10" t="s">
        <v>117</v>
      </c>
      <c r="G620" s="10">
        <v>5.0</v>
      </c>
      <c r="H620" s="10">
        <v>7.0</v>
      </c>
      <c r="I620" s="10" t="s">
        <v>2140</v>
      </c>
      <c r="J620" s="10" t="s">
        <v>2136</v>
      </c>
      <c r="K620" s="10"/>
      <c r="L620" s="10">
        <v>0.0</v>
      </c>
      <c r="M620" s="10">
        <v>0.0</v>
      </c>
      <c r="N620" s="10"/>
      <c r="O620" s="10"/>
      <c r="P620" s="12">
        <f>IF($A620="","",IFERROR((IF($O620="",0,$O620)*Settings!$J$4+IF($L620="",0,$L620)*Settings!$J$5+IF($N620="",0,$N620)*Settings!$J$6)/(IF($O620="",0,Settings!$J$4)+IF($L620="",0,Settings!$J$5)+IF($N620="",0,Settings!$J$6)),0))</f>
        <v>0</v>
      </c>
      <c r="Q620" s="12">
        <f t="array" ref="Q620">IF($A620="","",XLOOKUP($E620,Settings!$A$19:$A$22,Settings!$G$19:$G$22,0))</f>
        <v>206</v>
      </c>
      <c r="R620" s="12">
        <f t="shared" si="1"/>
        <v>0</v>
      </c>
      <c r="S620" s="12">
        <f>IF($A620="","",IF($R620&lt;=0,1,1+$R620/SUMIF($R$4:$R$923,"&gt;0",$R$4:$R$923)*(Settings!$B$5*(Settings!$B$6-Settings!$B$7))))</f>
        <v>1</v>
      </c>
      <c r="T620" s="12">
        <f t="array" ref="T620">IF($A620="","",XLOOKUP($F620,Settings!$I$15:$I$20,Settings!$J$15:$J$20,1))</f>
        <v>0.75</v>
      </c>
      <c r="U620" s="12">
        <f>IF($A620="","",1+(($G620-5)/5)*Settings!$J$8)</f>
        <v>1</v>
      </c>
      <c r="V620" s="12">
        <f>IF($A620="","",1+(($H620-5)/5)*Settings!$J$9)</f>
        <v>1.06</v>
      </c>
      <c r="W620" s="12">
        <f t="array" ref="W620">IF($A620="","",XLOOKUP($J620,Lists!$C$3:$C$7,Lists!$D$3:$D$7,1))</f>
        <v>1</v>
      </c>
      <c r="X620" s="12">
        <f>IF($A620="","",IF($I620="Yes",Settings!$J$10,1))</f>
        <v>1</v>
      </c>
      <c r="Y620" s="12">
        <f t="shared" si="2"/>
        <v>1</v>
      </c>
      <c r="Z620" s="12">
        <f>IF($A620="","",IFERROR(ROUND(AVERAGEIFS('Historical Drafts'!$G$4:$G$300,'Historical Drafts'!$D$4:$D$300,$E620,'Historical Drafts'!$J$4:$J$300,"&gt;="&amp;$L620*0.85,'Historical Drafts'!$J$4:$J$300,"&lt;="&amp;$L620*1.15),0),$Y620))</f>
        <v>3</v>
      </c>
      <c r="AA620" s="12" t="str">
        <f>IF($A620="","",IF(COUNTIF('Auction Log'!$B$3:$B$300,$A620)&gt;0,"Sold","Available"))</f>
        <v>Available</v>
      </c>
      <c r="AB620" s="12" t="str">
        <f t="array" ref="AB620">IF($A620="","",IFERROR(XLOOKUP($A620,'Auction Log'!$B$3:$B$300,'Auction Log'!$G$3:$G$300,""),""))</f>
        <v/>
      </c>
      <c r="AC620" s="12" t="str">
        <f t="array" ref="AC620">IF($A620="","",IFERROR(XLOOKUP($A620,'Auction Log'!$B$3:$B$300,'Auction Log'!$F$3:$F$300,""),""))</f>
        <v/>
      </c>
      <c r="AD620" s="12">
        <f t="array" ref="AD620">IF($A620="","",ROUND($Y620*XLOOKUP($F620,Settings!$I$15:$I$20,Settings!$K$15:$K$20,0.4),0))</f>
        <v>0</v>
      </c>
      <c r="AE620" s="12">
        <f t="array" ref="AE620">IF($A620="","",ROUND($Y620*XLOOKUP($F620,Settings!$I$15:$I$20,Settings!$L$15:$L$20,0.8),0))</f>
        <v>1</v>
      </c>
      <c r="AF620" s="12">
        <f t="array" ref="AF620">IF($A620="","",ROUND($Y620*XLOOKUP($F620,Settings!$I$15:$I$20,Settings!$M$15:$M$20,1),0))</f>
        <v>1</v>
      </c>
      <c r="AG620" s="12">
        <f t="array" ref="AG620">IF($A620="","",ROUND($Y620*XLOOKUP($F620,Settings!$I$15:$I$20,Settings!$N$15:$N$20,1.1),0))</f>
        <v>1</v>
      </c>
      <c r="AH620" s="12">
        <f t="array" ref="AH620">IF($A620="","",ROUND($Y620*XLOOKUP($F620,Settings!$I$15:$I$20,Settings!$O$15:$O$20,1.1)*Settings!$J$7,0))</f>
        <v>1</v>
      </c>
      <c r="AI620" s="12">
        <f t="array" ref="AI620">IF($A620="","",IF($AA620="Sold","",MIN($AH620,IFERROR(XLOOKUP(Settings!$B$12,Managers!$B$4:$B$15,Managers!$H$4:$H$15),$AH620))))</f>
        <v>1</v>
      </c>
      <c r="AJ620" s="12" t="str">
        <f t="shared" si="3"/>
        <v>Budget Drainer</v>
      </c>
      <c r="AK620" s="12">
        <f t="shared" si="4"/>
        <v>28</v>
      </c>
      <c r="AL620" s="12" t="str">
        <f t="shared" si="5"/>
        <v/>
      </c>
    </row>
    <row r="621" ht="15.75" customHeight="1">
      <c r="A621" s="10" t="s">
        <v>1522</v>
      </c>
      <c r="B621" s="10" t="s">
        <v>1523</v>
      </c>
      <c r="C621" s="10" t="s">
        <v>215</v>
      </c>
      <c r="D621" s="10" t="s">
        <v>121</v>
      </c>
      <c r="E621" s="10" t="s">
        <v>121</v>
      </c>
      <c r="F621" s="10" t="s">
        <v>117</v>
      </c>
      <c r="G621" s="10">
        <v>5.0</v>
      </c>
      <c r="H621" s="10">
        <v>7.0</v>
      </c>
      <c r="I621" s="10" t="s">
        <v>2140</v>
      </c>
      <c r="J621" s="10" t="s">
        <v>2136</v>
      </c>
      <c r="K621" s="10"/>
      <c r="L621" s="10">
        <v>0.0</v>
      </c>
      <c r="M621" s="10">
        <v>0.0</v>
      </c>
      <c r="N621" s="10"/>
      <c r="O621" s="10"/>
      <c r="P621" s="12">
        <f>IF($A621="","",IFERROR((IF($O621="",0,$O621)*Settings!$J$4+IF($L621="",0,$L621)*Settings!$J$5+IF($N621="",0,$N621)*Settings!$J$6)/(IF($O621="",0,Settings!$J$4)+IF($L621="",0,Settings!$J$5)+IF($N621="",0,Settings!$J$6)),0))</f>
        <v>0</v>
      </c>
      <c r="Q621" s="12">
        <f t="array" ref="Q621">IF($A621="","",XLOOKUP($E621,Settings!$A$19:$A$22,Settings!$G$19:$G$22,0))</f>
        <v>206</v>
      </c>
      <c r="R621" s="12">
        <f t="shared" si="1"/>
        <v>0</v>
      </c>
      <c r="S621" s="12">
        <f>IF($A621="","",IF($R621&lt;=0,1,1+$R621/SUMIF($R$4:$R$923,"&gt;0",$R$4:$R$923)*(Settings!$B$5*(Settings!$B$6-Settings!$B$7))))</f>
        <v>1</v>
      </c>
      <c r="T621" s="12">
        <f t="array" ref="T621">IF($A621="","",XLOOKUP($F621,Settings!$I$15:$I$20,Settings!$J$15:$J$20,1))</f>
        <v>0.75</v>
      </c>
      <c r="U621" s="12">
        <f>IF($A621="","",1+(($G621-5)/5)*Settings!$J$8)</f>
        <v>1</v>
      </c>
      <c r="V621" s="12">
        <f>IF($A621="","",1+(($H621-5)/5)*Settings!$J$9)</f>
        <v>1.06</v>
      </c>
      <c r="W621" s="12">
        <f t="array" ref="W621">IF($A621="","",XLOOKUP($J621,Lists!$C$3:$C$7,Lists!$D$3:$D$7,1))</f>
        <v>1</v>
      </c>
      <c r="X621" s="12">
        <f>IF($A621="","",IF($I621="Yes",Settings!$J$10,1))</f>
        <v>1</v>
      </c>
      <c r="Y621" s="12">
        <f t="shared" si="2"/>
        <v>1</v>
      </c>
      <c r="Z621" s="12">
        <f>IF($A621="","",IFERROR(ROUND(AVERAGEIFS('Historical Drafts'!$G$4:$G$300,'Historical Drafts'!$D$4:$D$300,$E621,'Historical Drafts'!$J$4:$J$300,"&gt;="&amp;$L621*0.85,'Historical Drafts'!$J$4:$J$300,"&lt;="&amp;$L621*1.15),0),$Y621))</f>
        <v>3</v>
      </c>
      <c r="AA621" s="12" t="str">
        <f>IF($A621="","",IF(COUNTIF('Auction Log'!$B$3:$B$300,$A621)&gt;0,"Sold","Available"))</f>
        <v>Available</v>
      </c>
      <c r="AB621" s="12" t="str">
        <f t="array" ref="AB621">IF($A621="","",IFERROR(XLOOKUP($A621,'Auction Log'!$B$3:$B$300,'Auction Log'!$G$3:$G$300,""),""))</f>
        <v/>
      </c>
      <c r="AC621" s="12" t="str">
        <f t="array" ref="AC621">IF($A621="","",IFERROR(XLOOKUP($A621,'Auction Log'!$B$3:$B$300,'Auction Log'!$F$3:$F$300,""),""))</f>
        <v/>
      </c>
      <c r="AD621" s="12">
        <f t="array" ref="AD621">IF($A621="","",ROUND($Y621*XLOOKUP($F621,Settings!$I$15:$I$20,Settings!$K$15:$K$20,0.4),0))</f>
        <v>0</v>
      </c>
      <c r="AE621" s="12">
        <f t="array" ref="AE621">IF($A621="","",ROUND($Y621*XLOOKUP($F621,Settings!$I$15:$I$20,Settings!$L$15:$L$20,0.8),0))</f>
        <v>1</v>
      </c>
      <c r="AF621" s="12">
        <f t="array" ref="AF621">IF($A621="","",ROUND($Y621*XLOOKUP($F621,Settings!$I$15:$I$20,Settings!$M$15:$M$20,1),0))</f>
        <v>1</v>
      </c>
      <c r="AG621" s="12">
        <f t="array" ref="AG621">IF($A621="","",ROUND($Y621*XLOOKUP($F621,Settings!$I$15:$I$20,Settings!$N$15:$N$20,1.1),0))</f>
        <v>1</v>
      </c>
      <c r="AH621" s="12">
        <f t="array" ref="AH621">IF($A621="","",ROUND($Y621*XLOOKUP($F621,Settings!$I$15:$I$20,Settings!$O$15:$O$20,1.1)*Settings!$J$7,0))</f>
        <v>1</v>
      </c>
      <c r="AI621" s="12">
        <f t="array" ref="AI621">IF($A621="","",IF($AA621="Sold","",MIN($AH621,IFERROR(XLOOKUP(Settings!$B$12,Managers!$B$4:$B$15,Managers!$H$4:$H$15),$AH621))))</f>
        <v>1</v>
      </c>
      <c r="AJ621" s="12" t="str">
        <f t="shared" si="3"/>
        <v>Budget Drainer</v>
      </c>
      <c r="AK621" s="12">
        <f t="shared" si="4"/>
        <v>28</v>
      </c>
      <c r="AL621" s="12" t="str">
        <f t="shared" si="5"/>
        <v/>
      </c>
    </row>
    <row r="622" ht="15.75" customHeight="1">
      <c r="A622" s="10" t="s">
        <v>1524</v>
      </c>
      <c r="B622" s="10" t="s">
        <v>1525</v>
      </c>
      <c r="C622" s="10" t="s">
        <v>188</v>
      </c>
      <c r="D622" s="10" t="s">
        <v>123</v>
      </c>
      <c r="E622" s="10" t="s">
        <v>123</v>
      </c>
      <c r="F622" s="10" t="s">
        <v>117</v>
      </c>
      <c r="G622" s="10">
        <v>5.0</v>
      </c>
      <c r="H622" s="10">
        <v>7.0</v>
      </c>
      <c r="I622" s="10" t="s">
        <v>2140</v>
      </c>
      <c r="J622" s="10" t="s">
        <v>2136</v>
      </c>
      <c r="K622" s="10"/>
      <c r="L622" s="10">
        <v>0.0</v>
      </c>
      <c r="M622" s="10">
        <v>0.0</v>
      </c>
      <c r="N622" s="10"/>
      <c r="O622" s="10"/>
      <c r="P622" s="12">
        <f>IF($A622="","",IFERROR((IF($O622="",0,$O622)*Settings!$J$4+IF($L622="",0,$L622)*Settings!$J$5+IF($N622="",0,$N622)*Settings!$J$6)/(IF($O622="",0,Settings!$J$4)+IF($L622="",0,Settings!$J$5)+IF($N622="",0,Settings!$J$6)),0))</f>
        <v>0</v>
      </c>
      <c r="Q622" s="12">
        <f t="array" ref="Q622">IF($A622="","",XLOOKUP($E622,Settings!$A$19:$A$22,Settings!$G$19:$G$22,0))</f>
        <v>203</v>
      </c>
      <c r="R622" s="12">
        <f t="shared" si="1"/>
        <v>0</v>
      </c>
      <c r="S622" s="12">
        <f>IF($A622="","",IF($R622&lt;=0,1,1+$R622/SUMIF($R$4:$R$923,"&gt;0",$R$4:$R$923)*(Settings!$B$5*(Settings!$B$6-Settings!$B$7))))</f>
        <v>1</v>
      </c>
      <c r="T622" s="12">
        <f t="array" ref="T622">IF($A622="","",XLOOKUP($F622,Settings!$I$15:$I$20,Settings!$J$15:$J$20,1))</f>
        <v>0.75</v>
      </c>
      <c r="U622" s="12">
        <f>IF($A622="","",1+(($G622-5)/5)*Settings!$J$8)</f>
        <v>1</v>
      </c>
      <c r="V622" s="12">
        <f>IF($A622="","",1+(($H622-5)/5)*Settings!$J$9)</f>
        <v>1.06</v>
      </c>
      <c r="W622" s="12">
        <f t="array" ref="W622">IF($A622="","",XLOOKUP($J622,Lists!$C$3:$C$7,Lists!$D$3:$D$7,1))</f>
        <v>1</v>
      </c>
      <c r="X622" s="12">
        <f>IF($A622="","",IF($I622="Yes",Settings!$J$10,1))</f>
        <v>1</v>
      </c>
      <c r="Y622" s="12">
        <f t="shared" si="2"/>
        <v>1</v>
      </c>
      <c r="Z622" s="12">
        <f>IF($A622="","",IFERROR(ROUND(AVERAGEIFS('Historical Drafts'!$G$4:$G$300,'Historical Drafts'!$D$4:$D$300,$E622,'Historical Drafts'!$J$4:$J$300,"&gt;="&amp;$L622*0.85,'Historical Drafts'!$J$4:$J$300,"&lt;="&amp;$L622*1.15),0),$Y622))</f>
        <v>3</v>
      </c>
      <c r="AA622" s="12" t="str">
        <f>IF($A622="","",IF(COUNTIF('Auction Log'!$B$3:$B$300,$A622)&gt;0,"Sold","Available"))</f>
        <v>Available</v>
      </c>
      <c r="AB622" s="12" t="str">
        <f t="array" ref="AB622">IF($A622="","",IFERROR(XLOOKUP($A622,'Auction Log'!$B$3:$B$300,'Auction Log'!$G$3:$G$300,""),""))</f>
        <v/>
      </c>
      <c r="AC622" s="12" t="str">
        <f t="array" ref="AC622">IF($A622="","",IFERROR(XLOOKUP($A622,'Auction Log'!$B$3:$B$300,'Auction Log'!$F$3:$F$300,""),""))</f>
        <v/>
      </c>
      <c r="AD622" s="12">
        <f t="array" ref="AD622">IF($A622="","",ROUND($Y622*XLOOKUP($F622,Settings!$I$15:$I$20,Settings!$K$15:$K$20,0.4),0))</f>
        <v>0</v>
      </c>
      <c r="AE622" s="12">
        <f t="array" ref="AE622">IF($A622="","",ROUND($Y622*XLOOKUP($F622,Settings!$I$15:$I$20,Settings!$L$15:$L$20,0.8),0))</f>
        <v>1</v>
      </c>
      <c r="AF622" s="12">
        <f t="array" ref="AF622">IF($A622="","",ROUND($Y622*XLOOKUP($F622,Settings!$I$15:$I$20,Settings!$M$15:$M$20,1),0))</f>
        <v>1</v>
      </c>
      <c r="AG622" s="12">
        <f t="array" ref="AG622">IF($A622="","",ROUND($Y622*XLOOKUP($F622,Settings!$I$15:$I$20,Settings!$N$15:$N$20,1.1),0))</f>
        <v>1</v>
      </c>
      <c r="AH622" s="12">
        <f t="array" ref="AH622">IF($A622="","",ROUND($Y622*XLOOKUP($F622,Settings!$I$15:$I$20,Settings!$O$15:$O$20,1.1)*Settings!$J$7,0))</f>
        <v>1</v>
      </c>
      <c r="AI622" s="12">
        <f t="array" ref="AI622">IF($A622="","",IF($AA622="Sold","",MIN($AH622,IFERROR(XLOOKUP(Settings!$B$12,Managers!$B$4:$B$15,Managers!$H$4:$H$15),$AH622))))</f>
        <v>1</v>
      </c>
      <c r="AJ622" s="12" t="str">
        <f t="shared" si="3"/>
        <v>Budget Drainer</v>
      </c>
      <c r="AK622" s="12">
        <f t="shared" si="4"/>
        <v>28</v>
      </c>
      <c r="AL622" s="12" t="str">
        <f t="shared" si="5"/>
        <v/>
      </c>
    </row>
    <row r="623" ht="15.75" customHeight="1">
      <c r="A623" s="10" t="s">
        <v>1526</v>
      </c>
      <c r="B623" s="10" t="s">
        <v>1527</v>
      </c>
      <c r="C623" s="10" t="s">
        <v>453</v>
      </c>
      <c r="D623" s="10" t="s">
        <v>123</v>
      </c>
      <c r="E623" s="10" t="s">
        <v>123</v>
      </c>
      <c r="F623" s="10" t="s">
        <v>117</v>
      </c>
      <c r="G623" s="10">
        <v>5.0</v>
      </c>
      <c r="H623" s="10">
        <v>7.0</v>
      </c>
      <c r="I623" s="10" t="s">
        <v>2140</v>
      </c>
      <c r="J623" s="10" t="s">
        <v>2136</v>
      </c>
      <c r="K623" s="10"/>
      <c r="L623" s="10">
        <v>0.0</v>
      </c>
      <c r="M623" s="10">
        <v>0.0</v>
      </c>
      <c r="N623" s="10"/>
      <c r="O623" s="10"/>
      <c r="P623" s="12">
        <f>IF($A623="","",IFERROR((IF($O623="",0,$O623)*Settings!$J$4+IF($L623="",0,$L623)*Settings!$J$5+IF($N623="",0,$N623)*Settings!$J$6)/(IF($O623="",0,Settings!$J$4)+IF($L623="",0,Settings!$J$5)+IF($N623="",0,Settings!$J$6)),0))</f>
        <v>0</v>
      </c>
      <c r="Q623" s="12">
        <f t="array" ref="Q623">IF($A623="","",XLOOKUP($E623,Settings!$A$19:$A$22,Settings!$G$19:$G$22,0))</f>
        <v>203</v>
      </c>
      <c r="R623" s="12">
        <f t="shared" si="1"/>
        <v>0</v>
      </c>
      <c r="S623" s="12">
        <f>IF($A623="","",IF($R623&lt;=0,1,1+$R623/SUMIF($R$4:$R$923,"&gt;0",$R$4:$R$923)*(Settings!$B$5*(Settings!$B$6-Settings!$B$7))))</f>
        <v>1</v>
      </c>
      <c r="T623" s="12">
        <f t="array" ref="T623">IF($A623="","",XLOOKUP($F623,Settings!$I$15:$I$20,Settings!$J$15:$J$20,1))</f>
        <v>0.75</v>
      </c>
      <c r="U623" s="12">
        <f>IF($A623="","",1+(($G623-5)/5)*Settings!$J$8)</f>
        <v>1</v>
      </c>
      <c r="V623" s="12">
        <f>IF($A623="","",1+(($H623-5)/5)*Settings!$J$9)</f>
        <v>1.06</v>
      </c>
      <c r="W623" s="12">
        <f t="array" ref="W623">IF($A623="","",XLOOKUP($J623,Lists!$C$3:$C$7,Lists!$D$3:$D$7,1))</f>
        <v>1</v>
      </c>
      <c r="X623" s="12">
        <f>IF($A623="","",IF($I623="Yes",Settings!$J$10,1))</f>
        <v>1</v>
      </c>
      <c r="Y623" s="12">
        <f t="shared" si="2"/>
        <v>1</v>
      </c>
      <c r="Z623" s="12">
        <f>IF($A623="","",IFERROR(ROUND(AVERAGEIFS('Historical Drafts'!$G$4:$G$300,'Historical Drafts'!$D$4:$D$300,$E623,'Historical Drafts'!$J$4:$J$300,"&gt;="&amp;$L623*0.85,'Historical Drafts'!$J$4:$J$300,"&lt;="&amp;$L623*1.15),0),$Y623))</f>
        <v>3</v>
      </c>
      <c r="AA623" s="12" t="str">
        <f>IF($A623="","",IF(COUNTIF('Auction Log'!$B$3:$B$300,$A623)&gt;0,"Sold","Available"))</f>
        <v>Available</v>
      </c>
      <c r="AB623" s="12" t="str">
        <f t="array" ref="AB623">IF($A623="","",IFERROR(XLOOKUP($A623,'Auction Log'!$B$3:$B$300,'Auction Log'!$G$3:$G$300,""),""))</f>
        <v/>
      </c>
      <c r="AC623" s="12" t="str">
        <f t="array" ref="AC623">IF($A623="","",IFERROR(XLOOKUP($A623,'Auction Log'!$B$3:$B$300,'Auction Log'!$F$3:$F$300,""),""))</f>
        <v/>
      </c>
      <c r="AD623" s="12">
        <f t="array" ref="AD623">IF($A623="","",ROUND($Y623*XLOOKUP($F623,Settings!$I$15:$I$20,Settings!$K$15:$K$20,0.4),0))</f>
        <v>0</v>
      </c>
      <c r="AE623" s="12">
        <f t="array" ref="AE623">IF($A623="","",ROUND($Y623*XLOOKUP($F623,Settings!$I$15:$I$20,Settings!$L$15:$L$20,0.8),0))</f>
        <v>1</v>
      </c>
      <c r="AF623" s="12">
        <f t="array" ref="AF623">IF($A623="","",ROUND($Y623*XLOOKUP($F623,Settings!$I$15:$I$20,Settings!$M$15:$M$20,1),0))</f>
        <v>1</v>
      </c>
      <c r="AG623" s="12">
        <f t="array" ref="AG623">IF($A623="","",ROUND($Y623*XLOOKUP($F623,Settings!$I$15:$I$20,Settings!$N$15:$N$20,1.1),0))</f>
        <v>1</v>
      </c>
      <c r="AH623" s="12">
        <f t="array" ref="AH623">IF($A623="","",ROUND($Y623*XLOOKUP($F623,Settings!$I$15:$I$20,Settings!$O$15:$O$20,1.1)*Settings!$J$7,0))</f>
        <v>1</v>
      </c>
      <c r="AI623" s="12">
        <f t="array" ref="AI623">IF($A623="","",IF($AA623="Sold","",MIN($AH623,IFERROR(XLOOKUP(Settings!$B$12,Managers!$B$4:$B$15,Managers!$H$4:$H$15),$AH623))))</f>
        <v>1</v>
      </c>
      <c r="AJ623" s="12" t="str">
        <f t="shared" si="3"/>
        <v>Budget Drainer</v>
      </c>
      <c r="AK623" s="12">
        <f t="shared" si="4"/>
        <v>28</v>
      </c>
      <c r="AL623" s="12" t="str">
        <f t="shared" si="5"/>
        <v/>
      </c>
    </row>
    <row r="624" ht="15.75" customHeight="1">
      <c r="A624" s="10" t="s">
        <v>1528</v>
      </c>
      <c r="B624" s="10" t="s">
        <v>1529</v>
      </c>
      <c r="C624" s="10" t="s">
        <v>177</v>
      </c>
      <c r="D624" s="10" t="s">
        <v>123</v>
      </c>
      <c r="E624" s="10" t="s">
        <v>123</v>
      </c>
      <c r="F624" s="10" t="s">
        <v>117</v>
      </c>
      <c r="G624" s="10">
        <v>5.0</v>
      </c>
      <c r="H624" s="10">
        <v>7.0</v>
      </c>
      <c r="I624" s="10" t="s">
        <v>2140</v>
      </c>
      <c r="J624" s="10" t="s">
        <v>2136</v>
      </c>
      <c r="K624" s="10"/>
      <c r="L624" s="10">
        <v>0.0</v>
      </c>
      <c r="M624" s="10">
        <v>0.0</v>
      </c>
      <c r="N624" s="10"/>
      <c r="O624" s="10"/>
      <c r="P624" s="12">
        <f>IF($A624="","",IFERROR((IF($O624="",0,$O624)*Settings!$J$4+IF($L624="",0,$L624)*Settings!$J$5+IF($N624="",0,$N624)*Settings!$J$6)/(IF($O624="",0,Settings!$J$4)+IF($L624="",0,Settings!$J$5)+IF($N624="",0,Settings!$J$6)),0))</f>
        <v>0</v>
      </c>
      <c r="Q624" s="12">
        <f t="array" ref="Q624">IF($A624="","",XLOOKUP($E624,Settings!$A$19:$A$22,Settings!$G$19:$G$22,0))</f>
        <v>203</v>
      </c>
      <c r="R624" s="12">
        <f t="shared" si="1"/>
        <v>0</v>
      </c>
      <c r="S624" s="12">
        <f>IF($A624="","",IF($R624&lt;=0,1,1+$R624/SUMIF($R$4:$R$923,"&gt;0",$R$4:$R$923)*(Settings!$B$5*(Settings!$B$6-Settings!$B$7))))</f>
        <v>1</v>
      </c>
      <c r="T624" s="12">
        <f t="array" ref="T624">IF($A624="","",XLOOKUP($F624,Settings!$I$15:$I$20,Settings!$J$15:$J$20,1))</f>
        <v>0.75</v>
      </c>
      <c r="U624" s="12">
        <f>IF($A624="","",1+(($G624-5)/5)*Settings!$J$8)</f>
        <v>1</v>
      </c>
      <c r="V624" s="12">
        <f>IF($A624="","",1+(($H624-5)/5)*Settings!$J$9)</f>
        <v>1.06</v>
      </c>
      <c r="W624" s="12">
        <f t="array" ref="W624">IF($A624="","",XLOOKUP($J624,Lists!$C$3:$C$7,Lists!$D$3:$D$7,1))</f>
        <v>1</v>
      </c>
      <c r="X624" s="12">
        <f>IF($A624="","",IF($I624="Yes",Settings!$J$10,1))</f>
        <v>1</v>
      </c>
      <c r="Y624" s="12">
        <f t="shared" si="2"/>
        <v>1</v>
      </c>
      <c r="Z624" s="12">
        <f>IF($A624="","",IFERROR(ROUND(AVERAGEIFS('Historical Drafts'!$G$4:$G$300,'Historical Drafts'!$D$4:$D$300,$E624,'Historical Drafts'!$J$4:$J$300,"&gt;="&amp;$L624*0.85,'Historical Drafts'!$J$4:$J$300,"&lt;="&amp;$L624*1.15),0),$Y624))</f>
        <v>3</v>
      </c>
      <c r="AA624" s="12" t="str">
        <f>IF($A624="","",IF(COUNTIF('Auction Log'!$B$3:$B$300,$A624)&gt;0,"Sold","Available"))</f>
        <v>Available</v>
      </c>
      <c r="AB624" s="12" t="str">
        <f t="array" ref="AB624">IF($A624="","",IFERROR(XLOOKUP($A624,'Auction Log'!$B$3:$B$300,'Auction Log'!$G$3:$G$300,""),""))</f>
        <v/>
      </c>
      <c r="AC624" s="12" t="str">
        <f t="array" ref="AC624">IF($A624="","",IFERROR(XLOOKUP($A624,'Auction Log'!$B$3:$B$300,'Auction Log'!$F$3:$F$300,""),""))</f>
        <v/>
      </c>
      <c r="AD624" s="12">
        <f t="array" ref="AD624">IF($A624="","",ROUND($Y624*XLOOKUP($F624,Settings!$I$15:$I$20,Settings!$K$15:$K$20,0.4),0))</f>
        <v>0</v>
      </c>
      <c r="AE624" s="12">
        <f t="array" ref="AE624">IF($A624="","",ROUND($Y624*XLOOKUP($F624,Settings!$I$15:$I$20,Settings!$L$15:$L$20,0.8),0))</f>
        <v>1</v>
      </c>
      <c r="AF624" s="12">
        <f t="array" ref="AF624">IF($A624="","",ROUND($Y624*XLOOKUP($F624,Settings!$I$15:$I$20,Settings!$M$15:$M$20,1),0))</f>
        <v>1</v>
      </c>
      <c r="AG624" s="12">
        <f t="array" ref="AG624">IF($A624="","",ROUND($Y624*XLOOKUP($F624,Settings!$I$15:$I$20,Settings!$N$15:$N$20,1.1),0))</f>
        <v>1</v>
      </c>
      <c r="AH624" s="12">
        <f t="array" ref="AH624">IF($A624="","",ROUND($Y624*XLOOKUP($F624,Settings!$I$15:$I$20,Settings!$O$15:$O$20,1.1)*Settings!$J$7,0))</f>
        <v>1</v>
      </c>
      <c r="AI624" s="12">
        <f t="array" ref="AI624">IF($A624="","",IF($AA624="Sold","",MIN($AH624,IFERROR(XLOOKUP(Settings!$B$12,Managers!$B$4:$B$15,Managers!$H$4:$H$15),$AH624))))</f>
        <v>1</v>
      </c>
      <c r="AJ624" s="12" t="str">
        <f t="shared" si="3"/>
        <v>Budget Drainer</v>
      </c>
      <c r="AK624" s="12">
        <f t="shared" si="4"/>
        <v>28</v>
      </c>
      <c r="AL624" s="12" t="str">
        <f t="shared" si="5"/>
        <v/>
      </c>
    </row>
    <row r="625" ht="15.75" customHeight="1">
      <c r="A625" s="10" t="s">
        <v>1530</v>
      </c>
      <c r="B625" s="10" t="s">
        <v>1531</v>
      </c>
      <c r="C625" s="10" t="s">
        <v>185</v>
      </c>
      <c r="D625" s="10" t="s">
        <v>121</v>
      </c>
      <c r="E625" s="10" t="s">
        <v>121</v>
      </c>
      <c r="F625" s="10" t="s">
        <v>117</v>
      </c>
      <c r="G625" s="10">
        <v>5.0</v>
      </c>
      <c r="H625" s="10">
        <v>7.0</v>
      </c>
      <c r="I625" s="10" t="s">
        <v>2140</v>
      </c>
      <c r="J625" s="10" t="s">
        <v>2136</v>
      </c>
      <c r="K625" s="10"/>
      <c r="L625" s="10">
        <v>0.0</v>
      </c>
      <c r="M625" s="10">
        <v>0.0</v>
      </c>
      <c r="N625" s="10"/>
      <c r="O625" s="10"/>
      <c r="P625" s="12">
        <f>IF($A625="","",IFERROR((IF($O625="",0,$O625)*Settings!$J$4+IF($L625="",0,$L625)*Settings!$J$5+IF($N625="",0,$N625)*Settings!$J$6)/(IF($O625="",0,Settings!$J$4)+IF($L625="",0,Settings!$J$5)+IF($N625="",0,Settings!$J$6)),0))</f>
        <v>0</v>
      </c>
      <c r="Q625" s="12">
        <f t="array" ref="Q625">IF($A625="","",XLOOKUP($E625,Settings!$A$19:$A$22,Settings!$G$19:$G$22,0))</f>
        <v>206</v>
      </c>
      <c r="R625" s="12">
        <f t="shared" si="1"/>
        <v>0</v>
      </c>
      <c r="S625" s="12">
        <f>IF($A625="","",IF($R625&lt;=0,1,1+$R625/SUMIF($R$4:$R$923,"&gt;0",$R$4:$R$923)*(Settings!$B$5*(Settings!$B$6-Settings!$B$7))))</f>
        <v>1</v>
      </c>
      <c r="T625" s="12">
        <f t="array" ref="T625">IF($A625="","",XLOOKUP($F625,Settings!$I$15:$I$20,Settings!$J$15:$J$20,1))</f>
        <v>0.75</v>
      </c>
      <c r="U625" s="12">
        <f>IF($A625="","",1+(($G625-5)/5)*Settings!$J$8)</f>
        <v>1</v>
      </c>
      <c r="V625" s="12">
        <f>IF($A625="","",1+(($H625-5)/5)*Settings!$J$9)</f>
        <v>1.06</v>
      </c>
      <c r="W625" s="12">
        <f t="array" ref="W625">IF($A625="","",XLOOKUP($J625,Lists!$C$3:$C$7,Lists!$D$3:$D$7,1))</f>
        <v>1</v>
      </c>
      <c r="X625" s="12">
        <f>IF($A625="","",IF($I625="Yes",Settings!$J$10,1))</f>
        <v>1</v>
      </c>
      <c r="Y625" s="12">
        <f t="shared" si="2"/>
        <v>1</v>
      </c>
      <c r="Z625" s="12">
        <f>IF($A625="","",IFERROR(ROUND(AVERAGEIFS('Historical Drafts'!$G$4:$G$300,'Historical Drafts'!$D$4:$D$300,$E625,'Historical Drafts'!$J$4:$J$300,"&gt;="&amp;$L625*0.85,'Historical Drafts'!$J$4:$J$300,"&lt;="&amp;$L625*1.15),0),$Y625))</f>
        <v>3</v>
      </c>
      <c r="AA625" s="12" t="str">
        <f>IF($A625="","",IF(COUNTIF('Auction Log'!$B$3:$B$300,$A625)&gt;0,"Sold","Available"))</f>
        <v>Available</v>
      </c>
      <c r="AB625" s="12" t="str">
        <f t="array" ref="AB625">IF($A625="","",IFERROR(XLOOKUP($A625,'Auction Log'!$B$3:$B$300,'Auction Log'!$G$3:$G$300,""),""))</f>
        <v/>
      </c>
      <c r="AC625" s="12" t="str">
        <f t="array" ref="AC625">IF($A625="","",IFERROR(XLOOKUP($A625,'Auction Log'!$B$3:$B$300,'Auction Log'!$F$3:$F$300,""),""))</f>
        <v/>
      </c>
      <c r="AD625" s="12">
        <f t="array" ref="AD625">IF($A625="","",ROUND($Y625*XLOOKUP($F625,Settings!$I$15:$I$20,Settings!$K$15:$K$20,0.4),0))</f>
        <v>0</v>
      </c>
      <c r="AE625" s="12">
        <f t="array" ref="AE625">IF($A625="","",ROUND($Y625*XLOOKUP($F625,Settings!$I$15:$I$20,Settings!$L$15:$L$20,0.8),0))</f>
        <v>1</v>
      </c>
      <c r="AF625" s="12">
        <f t="array" ref="AF625">IF($A625="","",ROUND($Y625*XLOOKUP($F625,Settings!$I$15:$I$20,Settings!$M$15:$M$20,1),0))</f>
        <v>1</v>
      </c>
      <c r="AG625" s="12">
        <f t="array" ref="AG625">IF($A625="","",ROUND($Y625*XLOOKUP($F625,Settings!$I$15:$I$20,Settings!$N$15:$N$20,1.1),0))</f>
        <v>1</v>
      </c>
      <c r="AH625" s="12">
        <f t="array" ref="AH625">IF($A625="","",ROUND($Y625*XLOOKUP($F625,Settings!$I$15:$I$20,Settings!$O$15:$O$20,1.1)*Settings!$J$7,0))</f>
        <v>1</v>
      </c>
      <c r="AI625" s="12">
        <f t="array" ref="AI625">IF($A625="","",IF($AA625="Sold","",MIN($AH625,IFERROR(XLOOKUP(Settings!$B$12,Managers!$B$4:$B$15,Managers!$H$4:$H$15),$AH625))))</f>
        <v>1</v>
      </c>
      <c r="AJ625" s="12" t="str">
        <f t="shared" si="3"/>
        <v>Budget Drainer</v>
      </c>
      <c r="AK625" s="12">
        <f t="shared" si="4"/>
        <v>28</v>
      </c>
      <c r="AL625" s="12" t="str">
        <f t="shared" si="5"/>
        <v/>
      </c>
    </row>
    <row r="626" ht="15.75" customHeight="1">
      <c r="A626" s="10" t="s">
        <v>1532</v>
      </c>
      <c r="B626" s="10" t="s">
        <v>1533</v>
      </c>
      <c r="C626" s="10" t="s">
        <v>215</v>
      </c>
      <c r="D626" s="10" t="s">
        <v>115</v>
      </c>
      <c r="E626" s="10" t="s">
        <v>115</v>
      </c>
      <c r="F626" s="10" t="s">
        <v>117</v>
      </c>
      <c r="G626" s="10">
        <v>5.0</v>
      </c>
      <c r="H626" s="10">
        <v>7.0</v>
      </c>
      <c r="I626" s="10" t="s">
        <v>2140</v>
      </c>
      <c r="J626" s="10" t="s">
        <v>2136</v>
      </c>
      <c r="K626" s="10"/>
      <c r="L626" s="10">
        <v>0.0</v>
      </c>
      <c r="M626" s="10">
        <v>0.0</v>
      </c>
      <c r="N626" s="10"/>
      <c r="O626" s="10"/>
      <c r="P626" s="12">
        <f>IF($A626="","",IFERROR((IF($O626="",0,$O626)*Settings!$J$4+IF($L626="",0,$L626)*Settings!$J$5+IF($N626="",0,$N626)*Settings!$J$6)/(IF($O626="",0,Settings!$J$4)+IF($L626="",0,Settings!$J$5)+IF($N626="",0,Settings!$J$6)),0))</f>
        <v>0</v>
      </c>
      <c r="Q626" s="12">
        <f t="array" ref="Q626">IF($A626="","",XLOOKUP($E626,Settings!$A$19:$A$22,Settings!$G$19:$G$22,0))</f>
        <v>249.25</v>
      </c>
      <c r="R626" s="12">
        <f t="shared" si="1"/>
        <v>0</v>
      </c>
      <c r="S626" s="12">
        <f>IF($A626="","",IF($R626&lt;=0,1,1+$R626/SUMIF($R$4:$R$923,"&gt;0",$R$4:$R$923)*(Settings!$B$5*(Settings!$B$6-Settings!$B$7))))</f>
        <v>1</v>
      </c>
      <c r="T626" s="12">
        <f t="array" ref="T626">IF($A626="","",XLOOKUP($F626,Settings!$I$15:$I$20,Settings!$J$15:$J$20,1))</f>
        <v>0.75</v>
      </c>
      <c r="U626" s="12">
        <f>IF($A626="","",1+(($G626-5)/5)*Settings!$J$8)</f>
        <v>1</v>
      </c>
      <c r="V626" s="12">
        <f>IF($A626="","",1+(($H626-5)/5)*Settings!$J$9)</f>
        <v>1.06</v>
      </c>
      <c r="W626" s="12">
        <f t="array" ref="W626">IF($A626="","",XLOOKUP($J626,Lists!$C$3:$C$7,Lists!$D$3:$D$7,1))</f>
        <v>1</v>
      </c>
      <c r="X626" s="12">
        <f>IF($A626="","",IF($I626="Yes",Settings!$J$10,1))</f>
        <v>1</v>
      </c>
      <c r="Y626" s="12">
        <f t="shared" si="2"/>
        <v>1</v>
      </c>
      <c r="Z626" s="12">
        <f>IF($A626="","",IFERROR(ROUND(AVERAGEIFS('Historical Drafts'!$G$4:$G$300,'Historical Drafts'!$D$4:$D$300,$E626,'Historical Drafts'!$J$4:$J$300,"&gt;="&amp;$L626*0.85,'Historical Drafts'!$J$4:$J$300,"&lt;="&amp;$L626*1.15),0),$Y626))</f>
        <v>1</v>
      </c>
      <c r="AA626" s="12" t="str">
        <f>IF($A626="","",IF(COUNTIF('Auction Log'!$B$3:$B$300,$A626)&gt;0,"Sold","Available"))</f>
        <v>Available</v>
      </c>
      <c r="AB626" s="12" t="str">
        <f t="array" ref="AB626">IF($A626="","",IFERROR(XLOOKUP($A626,'Auction Log'!$B$3:$B$300,'Auction Log'!$G$3:$G$300,""),""))</f>
        <v/>
      </c>
      <c r="AC626" s="12" t="str">
        <f t="array" ref="AC626">IF($A626="","",IFERROR(XLOOKUP($A626,'Auction Log'!$B$3:$B$300,'Auction Log'!$F$3:$F$300,""),""))</f>
        <v/>
      </c>
      <c r="AD626" s="12">
        <f t="array" ref="AD626">IF($A626="","",ROUND($Y626*XLOOKUP($F626,Settings!$I$15:$I$20,Settings!$K$15:$K$20,0.4),0))</f>
        <v>0</v>
      </c>
      <c r="AE626" s="12">
        <f t="array" ref="AE626">IF($A626="","",ROUND($Y626*XLOOKUP($F626,Settings!$I$15:$I$20,Settings!$L$15:$L$20,0.8),0))</f>
        <v>1</v>
      </c>
      <c r="AF626" s="12">
        <f t="array" ref="AF626">IF($A626="","",ROUND($Y626*XLOOKUP($F626,Settings!$I$15:$I$20,Settings!$M$15:$M$20,1),0))</f>
        <v>1</v>
      </c>
      <c r="AG626" s="12">
        <f t="array" ref="AG626">IF($A626="","",ROUND($Y626*XLOOKUP($F626,Settings!$I$15:$I$20,Settings!$N$15:$N$20,1.1),0))</f>
        <v>1</v>
      </c>
      <c r="AH626" s="12">
        <f t="array" ref="AH626">IF($A626="","",ROUND($Y626*XLOOKUP($F626,Settings!$I$15:$I$20,Settings!$O$15:$O$20,1.1)*Settings!$J$7,0))</f>
        <v>1</v>
      </c>
      <c r="AI626" s="12">
        <f t="array" ref="AI626">IF($A626="","",IF($AA626="Sold","",MIN($AH626,IFERROR(XLOOKUP(Settings!$B$12,Managers!$B$4:$B$15,Managers!$H$4:$H$15),$AH626))))</f>
        <v>1</v>
      </c>
      <c r="AJ626" s="12" t="str">
        <f t="shared" si="3"/>
        <v>Recommended</v>
      </c>
      <c r="AK626" s="12">
        <f t="shared" si="4"/>
        <v>26</v>
      </c>
      <c r="AL626" s="12" t="str">
        <f t="shared" si="5"/>
        <v/>
      </c>
    </row>
    <row r="627" ht="15.75" customHeight="1">
      <c r="A627" s="10" t="s">
        <v>1534</v>
      </c>
      <c r="B627" s="10" t="s">
        <v>1535</v>
      </c>
      <c r="C627" s="10" t="s">
        <v>188</v>
      </c>
      <c r="D627" s="10" t="s">
        <v>123</v>
      </c>
      <c r="E627" s="10" t="s">
        <v>123</v>
      </c>
      <c r="F627" s="10" t="s">
        <v>117</v>
      </c>
      <c r="G627" s="10">
        <v>5.0</v>
      </c>
      <c r="H627" s="10">
        <v>7.0</v>
      </c>
      <c r="I627" s="10" t="s">
        <v>2140</v>
      </c>
      <c r="J627" s="10" t="s">
        <v>2136</v>
      </c>
      <c r="K627" s="10"/>
      <c r="L627" s="10">
        <v>0.0</v>
      </c>
      <c r="M627" s="10">
        <v>0.0</v>
      </c>
      <c r="N627" s="10"/>
      <c r="O627" s="10"/>
      <c r="P627" s="12">
        <f>IF($A627="","",IFERROR((IF($O627="",0,$O627)*Settings!$J$4+IF($L627="",0,$L627)*Settings!$J$5+IF($N627="",0,$N627)*Settings!$J$6)/(IF($O627="",0,Settings!$J$4)+IF($L627="",0,Settings!$J$5)+IF($N627="",0,Settings!$J$6)),0))</f>
        <v>0</v>
      </c>
      <c r="Q627" s="12">
        <f t="array" ref="Q627">IF($A627="","",XLOOKUP($E627,Settings!$A$19:$A$22,Settings!$G$19:$G$22,0))</f>
        <v>203</v>
      </c>
      <c r="R627" s="12">
        <f t="shared" si="1"/>
        <v>0</v>
      </c>
      <c r="S627" s="12">
        <f>IF($A627="","",IF($R627&lt;=0,1,1+$R627/SUMIF($R$4:$R$923,"&gt;0",$R$4:$R$923)*(Settings!$B$5*(Settings!$B$6-Settings!$B$7))))</f>
        <v>1</v>
      </c>
      <c r="T627" s="12">
        <f t="array" ref="T627">IF($A627="","",XLOOKUP($F627,Settings!$I$15:$I$20,Settings!$J$15:$J$20,1))</f>
        <v>0.75</v>
      </c>
      <c r="U627" s="12">
        <f>IF($A627="","",1+(($G627-5)/5)*Settings!$J$8)</f>
        <v>1</v>
      </c>
      <c r="V627" s="12">
        <f>IF($A627="","",1+(($H627-5)/5)*Settings!$J$9)</f>
        <v>1.06</v>
      </c>
      <c r="W627" s="12">
        <f t="array" ref="W627">IF($A627="","",XLOOKUP($J627,Lists!$C$3:$C$7,Lists!$D$3:$D$7,1))</f>
        <v>1</v>
      </c>
      <c r="X627" s="12">
        <f>IF($A627="","",IF($I627="Yes",Settings!$J$10,1))</f>
        <v>1</v>
      </c>
      <c r="Y627" s="12">
        <f t="shared" si="2"/>
        <v>1</v>
      </c>
      <c r="Z627" s="12">
        <f>IF($A627="","",IFERROR(ROUND(AVERAGEIFS('Historical Drafts'!$G$4:$G$300,'Historical Drafts'!$D$4:$D$300,$E627,'Historical Drafts'!$J$4:$J$300,"&gt;="&amp;$L627*0.85,'Historical Drafts'!$J$4:$J$300,"&lt;="&amp;$L627*1.15),0),$Y627))</f>
        <v>3</v>
      </c>
      <c r="AA627" s="12" t="str">
        <f>IF($A627="","",IF(COUNTIF('Auction Log'!$B$3:$B$300,$A627)&gt;0,"Sold","Available"))</f>
        <v>Available</v>
      </c>
      <c r="AB627" s="12" t="str">
        <f t="array" ref="AB627">IF($A627="","",IFERROR(XLOOKUP($A627,'Auction Log'!$B$3:$B$300,'Auction Log'!$G$3:$G$300,""),""))</f>
        <v/>
      </c>
      <c r="AC627" s="12" t="str">
        <f t="array" ref="AC627">IF($A627="","",IFERROR(XLOOKUP($A627,'Auction Log'!$B$3:$B$300,'Auction Log'!$F$3:$F$300,""),""))</f>
        <v/>
      </c>
      <c r="AD627" s="12">
        <f t="array" ref="AD627">IF($A627="","",ROUND($Y627*XLOOKUP($F627,Settings!$I$15:$I$20,Settings!$K$15:$K$20,0.4),0))</f>
        <v>0</v>
      </c>
      <c r="AE627" s="12">
        <f t="array" ref="AE627">IF($A627="","",ROUND($Y627*XLOOKUP($F627,Settings!$I$15:$I$20,Settings!$L$15:$L$20,0.8),0))</f>
        <v>1</v>
      </c>
      <c r="AF627" s="12">
        <f t="array" ref="AF627">IF($A627="","",ROUND($Y627*XLOOKUP($F627,Settings!$I$15:$I$20,Settings!$M$15:$M$20,1),0))</f>
        <v>1</v>
      </c>
      <c r="AG627" s="12">
        <f t="array" ref="AG627">IF($A627="","",ROUND($Y627*XLOOKUP($F627,Settings!$I$15:$I$20,Settings!$N$15:$N$20,1.1),0))</f>
        <v>1</v>
      </c>
      <c r="AH627" s="12">
        <f t="array" ref="AH627">IF($A627="","",ROUND($Y627*XLOOKUP($F627,Settings!$I$15:$I$20,Settings!$O$15:$O$20,1.1)*Settings!$J$7,0))</f>
        <v>1</v>
      </c>
      <c r="AI627" s="12">
        <f t="array" ref="AI627">IF($A627="","",IF($AA627="Sold","",MIN($AH627,IFERROR(XLOOKUP(Settings!$B$12,Managers!$B$4:$B$15,Managers!$H$4:$H$15),$AH627))))</f>
        <v>1</v>
      </c>
      <c r="AJ627" s="12" t="str">
        <f t="shared" si="3"/>
        <v>Budget Drainer</v>
      </c>
      <c r="AK627" s="12">
        <f t="shared" si="4"/>
        <v>28</v>
      </c>
      <c r="AL627" s="12" t="str">
        <f t="shared" si="5"/>
        <v/>
      </c>
    </row>
    <row r="628" ht="15.75" customHeight="1">
      <c r="A628" s="10" t="s">
        <v>1536</v>
      </c>
      <c r="B628" s="10" t="s">
        <v>1537</v>
      </c>
      <c r="C628" s="10" t="s">
        <v>1538</v>
      </c>
      <c r="D628" s="10" t="s">
        <v>115</v>
      </c>
      <c r="E628" s="10" t="s">
        <v>115</v>
      </c>
      <c r="F628" s="10" t="s">
        <v>117</v>
      </c>
      <c r="G628" s="10">
        <v>5.0</v>
      </c>
      <c r="H628" s="10">
        <v>7.0</v>
      </c>
      <c r="I628" s="10" t="s">
        <v>2140</v>
      </c>
      <c r="J628" s="10" t="s">
        <v>2136</v>
      </c>
      <c r="K628" s="10"/>
      <c r="L628" s="10">
        <v>0.0</v>
      </c>
      <c r="M628" s="10">
        <v>0.0</v>
      </c>
      <c r="N628" s="10"/>
      <c r="O628" s="10"/>
      <c r="P628" s="12">
        <f>IF($A628="","",IFERROR((IF($O628="",0,$O628)*Settings!$J$4+IF($L628="",0,$L628)*Settings!$J$5+IF($N628="",0,$N628)*Settings!$J$6)/(IF($O628="",0,Settings!$J$4)+IF($L628="",0,Settings!$J$5)+IF($N628="",0,Settings!$J$6)),0))</f>
        <v>0</v>
      </c>
      <c r="Q628" s="12">
        <f t="array" ref="Q628">IF($A628="","",XLOOKUP($E628,Settings!$A$19:$A$22,Settings!$G$19:$G$22,0))</f>
        <v>249.25</v>
      </c>
      <c r="R628" s="12">
        <f t="shared" si="1"/>
        <v>0</v>
      </c>
      <c r="S628" s="12">
        <f>IF($A628="","",IF($R628&lt;=0,1,1+$R628/SUMIF($R$4:$R$923,"&gt;0",$R$4:$R$923)*(Settings!$B$5*(Settings!$B$6-Settings!$B$7))))</f>
        <v>1</v>
      </c>
      <c r="T628" s="12">
        <f t="array" ref="T628">IF($A628="","",XLOOKUP($F628,Settings!$I$15:$I$20,Settings!$J$15:$J$20,1))</f>
        <v>0.75</v>
      </c>
      <c r="U628" s="12">
        <f>IF($A628="","",1+(($G628-5)/5)*Settings!$J$8)</f>
        <v>1</v>
      </c>
      <c r="V628" s="12">
        <f>IF($A628="","",1+(($H628-5)/5)*Settings!$J$9)</f>
        <v>1.06</v>
      </c>
      <c r="W628" s="12">
        <f t="array" ref="W628">IF($A628="","",XLOOKUP($J628,Lists!$C$3:$C$7,Lists!$D$3:$D$7,1))</f>
        <v>1</v>
      </c>
      <c r="X628" s="12">
        <f>IF($A628="","",IF($I628="Yes",Settings!$J$10,1))</f>
        <v>1</v>
      </c>
      <c r="Y628" s="12">
        <f t="shared" si="2"/>
        <v>1</v>
      </c>
      <c r="Z628" s="12">
        <f>IF($A628="","",IFERROR(ROUND(AVERAGEIFS('Historical Drafts'!$G$4:$G$300,'Historical Drafts'!$D$4:$D$300,$E628,'Historical Drafts'!$J$4:$J$300,"&gt;="&amp;$L628*0.85,'Historical Drafts'!$J$4:$J$300,"&lt;="&amp;$L628*1.15),0),$Y628))</f>
        <v>1</v>
      </c>
      <c r="AA628" s="12" t="str">
        <f>IF($A628="","",IF(COUNTIF('Auction Log'!$B$3:$B$300,$A628)&gt;0,"Sold","Available"))</f>
        <v>Available</v>
      </c>
      <c r="AB628" s="12" t="str">
        <f t="array" ref="AB628">IF($A628="","",IFERROR(XLOOKUP($A628,'Auction Log'!$B$3:$B$300,'Auction Log'!$G$3:$G$300,""),""))</f>
        <v/>
      </c>
      <c r="AC628" s="12" t="str">
        <f t="array" ref="AC628">IF($A628="","",IFERROR(XLOOKUP($A628,'Auction Log'!$B$3:$B$300,'Auction Log'!$F$3:$F$300,""),""))</f>
        <v/>
      </c>
      <c r="AD628" s="12">
        <f t="array" ref="AD628">IF($A628="","",ROUND($Y628*XLOOKUP($F628,Settings!$I$15:$I$20,Settings!$K$15:$K$20,0.4),0))</f>
        <v>0</v>
      </c>
      <c r="AE628" s="12">
        <f t="array" ref="AE628">IF($A628="","",ROUND($Y628*XLOOKUP($F628,Settings!$I$15:$I$20,Settings!$L$15:$L$20,0.8),0))</f>
        <v>1</v>
      </c>
      <c r="AF628" s="12">
        <f t="array" ref="AF628">IF($A628="","",ROUND($Y628*XLOOKUP($F628,Settings!$I$15:$I$20,Settings!$M$15:$M$20,1),0))</f>
        <v>1</v>
      </c>
      <c r="AG628" s="12">
        <f t="array" ref="AG628">IF($A628="","",ROUND($Y628*XLOOKUP($F628,Settings!$I$15:$I$20,Settings!$N$15:$N$20,1.1),0))</f>
        <v>1</v>
      </c>
      <c r="AH628" s="12">
        <f t="array" ref="AH628">IF($A628="","",ROUND($Y628*XLOOKUP($F628,Settings!$I$15:$I$20,Settings!$O$15:$O$20,1.1)*Settings!$J$7,0))</f>
        <v>1</v>
      </c>
      <c r="AI628" s="12">
        <f t="array" ref="AI628">IF($A628="","",IF($AA628="Sold","",MIN($AH628,IFERROR(XLOOKUP(Settings!$B$12,Managers!$B$4:$B$15,Managers!$H$4:$H$15),$AH628))))</f>
        <v>1</v>
      </c>
      <c r="AJ628" s="12" t="str">
        <f t="shared" si="3"/>
        <v>Recommended</v>
      </c>
      <c r="AK628" s="12">
        <f t="shared" si="4"/>
        <v>26</v>
      </c>
      <c r="AL628" s="12" t="str">
        <f t="shared" si="5"/>
        <v/>
      </c>
    </row>
    <row r="629" ht="15.75" customHeight="1">
      <c r="A629" s="10" t="s">
        <v>1539</v>
      </c>
      <c r="B629" s="10" t="s">
        <v>1540</v>
      </c>
      <c r="C629" s="10" t="s">
        <v>221</v>
      </c>
      <c r="D629" s="10" t="s">
        <v>123</v>
      </c>
      <c r="E629" s="10" t="s">
        <v>123</v>
      </c>
      <c r="F629" s="10" t="s">
        <v>117</v>
      </c>
      <c r="G629" s="10">
        <v>5.0</v>
      </c>
      <c r="H629" s="10">
        <v>7.0</v>
      </c>
      <c r="I629" s="10" t="s">
        <v>2140</v>
      </c>
      <c r="J629" s="10" t="s">
        <v>2136</v>
      </c>
      <c r="K629" s="10"/>
      <c r="L629" s="10">
        <v>0.0</v>
      </c>
      <c r="M629" s="10">
        <v>0.0</v>
      </c>
      <c r="N629" s="10"/>
      <c r="O629" s="10"/>
      <c r="P629" s="12">
        <f>IF($A629="","",IFERROR((IF($O629="",0,$O629)*Settings!$J$4+IF($L629="",0,$L629)*Settings!$J$5+IF($N629="",0,$N629)*Settings!$J$6)/(IF($O629="",0,Settings!$J$4)+IF($L629="",0,Settings!$J$5)+IF($N629="",0,Settings!$J$6)),0))</f>
        <v>0</v>
      </c>
      <c r="Q629" s="12">
        <f t="array" ref="Q629">IF($A629="","",XLOOKUP($E629,Settings!$A$19:$A$22,Settings!$G$19:$G$22,0))</f>
        <v>203</v>
      </c>
      <c r="R629" s="12">
        <f t="shared" si="1"/>
        <v>0</v>
      </c>
      <c r="S629" s="12">
        <f>IF($A629="","",IF($R629&lt;=0,1,1+$R629/SUMIF($R$4:$R$923,"&gt;0",$R$4:$R$923)*(Settings!$B$5*(Settings!$B$6-Settings!$B$7))))</f>
        <v>1</v>
      </c>
      <c r="T629" s="12">
        <f t="array" ref="T629">IF($A629="","",XLOOKUP($F629,Settings!$I$15:$I$20,Settings!$J$15:$J$20,1))</f>
        <v>0.75</v>
      </c>
      <c r="U629" s="12">
        <f>IF($A629="","",1+(($G629-5)/5)*Settings!$J$8)</f>
        <v>1</v>
      </c>
      <c r="V629" s="12">
        <f>IF($A629="","",1+(($H629-5)/5)*Settings!$J$9)</f>
        <v>1.06</v>
      </c>
      <c r="W629" s="12">
        <f t="array" ref="W629">IF($A629="","",XLOOKUP($J629,Lists!$C$3:$C$7,Lists!$D$3:$D$7,1))</f>
        <v>1</v>
      </c>
      <c r="X629" s="12">
        <f>IF($A629="","",IF($I629="Yes",Settings!$J$10,1))</f>
        <v>1</v>
      </c>
      <c r="Y629" s="12">
        <f t="shared" si="2"/>
        <v>1</v>
      </c>
      <c r="Z629" s="12">
        <f>IF($A629="","",IFERROR(ROUND(AVERAGEIFS('Historical Drafts'!$G$4:$G$300,'Historical Drafts'!$D$4:$D$300,$E629,'Historical Drafts'!$J$4:$J$300,"&gt;="&amp;$L629*0.85,'Historical Drafts'!$J$4:$J$300,"&lt;="&amp;$L629*1.15),0),$Y629))</f>
        <v>3</v>
      </c>
      <c r="AA629" s="12" t="str">
        <f>IF($A629="","",IF(COUNTIF('Auction Log'!$B$3:$B$300,$A629)&gt;0,"Sold","Available"))</f>
        <v>Available</v>
      </c>
      <c r="AB629" s="12" t="str">
        <f t="array" ref="AB629">IF($A629="","",IFERROR(XLOOKUP($A629,'Auction Log'!$B$3:$B$300,'Auction Log'!$G$3:$G$300,""),""))</f>
        <v/>
      </c>
      <c r="AC629" s="12" t="str">
        <f t="array" ref="AC629">IF($A629="","",IFERROR(XLOOKUP($A629,'Auction Log'!$B$3:$B$300,'Auction Log'!$F$3:$F$300,""),""))</f>
        <v/>
      </c>
      <c r="AD629" s="12">
        <f t="array" ref="AD629">IF($A629="","",ROUND($Y629*XLOOKUP($F629,Settings!$I$15:$I$20,Settings!$K$15:$K$20,0.4),0))</f>
        <v>0</v>
      </c>
      <c r="AE629" s="12">
        <f t="array" ref="AE629">IF($A629="","",ROUND($Y629*XLOOKUP($F629,Settings!$I$15:$I$20,Settings!$L$15:$L$20,0.8),0))</f>
        <v>1</v>
      </c>
      <c r="AF629" s="12">
        <f t="array" ref="AF629">IF($A629="","",ROUND($Y629*XLOOKUP($F629,Settings!$I$15:$I$20,Settings!$M$15:$M$20,1),0))</f>
        <v>1</v>
      </c>
      <c r="AG629" s="12">
        <f t="array" ref="AG629">IF($A629="","",ROUND($Y629*XLOOKUP($F629,Settings!$I$15:$I$20,Settings!$N$15:$N$20,1.1),0))</f>
        <v>1</v>
      </c>
      <c r="AH629" s="12">
        <f t="array" ref="AH629">IF($A629="","",ROUND($Y629*XLOOKUP($F629,Settings!$I$15:$I$20,Settings!$O$15:$O$20,1.1)*Settings!$J$7,0))</f>
        <v>1</v>
      </c>
      <c r="AI629" s="12">
        <f t="array" ref="AI629">IF($A629="","",IF($AA629="Sold","",MIN($AH629,IFERROR(XLOOKUP(Settings!$B$12,Managers!$B$4:$B$15,Managers!$H$4:$H$15),$AH629))))</f>
        <v>1</v>
      </c>
      <c r="AJ629" s="12" t="str">
        <f t="shared" si="3"/>
        <v>Budget Drainer</v>
      </c>
      <c r="AK629" s="12">
        <f t="shared" si="4"/>
        <v>28</v>
      </c>
      <c r="AL629" s="12" t="str">
        <f t="shared" si="5"/>
        <v/>
      </c>
    </row>
    <row r="630" ht="15.75" customHeight="1">
      <c r="A630" s="10" t="s">
        <v>1541</v>
      </c>
      <c r="B630" s="10" t="s">
        <v>1542</v>
      </c>
      <c r="C630" s="10" t="s">
        <v>327</v>
      </c>
      <c r="D630" s="10" t="s">
        <v>123</v>
      </c>
      <c r="E630" s="10" t="s">
        <v>123</v>
      </c>
      <c r="F630" s="10" t="s">
        <v>117</v>
      </c>
      <c r="G630" s="10">
        <v>5.0</v>
      </c>
      <c r="H630" s="10">
        <v>7.0</v>
      </c>
      <c r="I630" s="10" t="s">
        <v>2140</v>
      </c>
      <c r="J630" s="10" t="s">
        <v>2136</v>
      </c>
      <c r="K630" s="10"/>
      <c r="L630" s="10">
        <v>0.0</v>
      </c>
      <c r="M630" s="10">
        <v>0.0</v>
      </c>
      <c r="N630" s="10"/>
      <c r="O630" s="10"/>
      <c r="P630" s="12">
        <f>IF($A630="","",IFERROR((IF($O630="",0,$O630)*Settings!$J$4+IF($L630="",0,$L630)*Settings!$J$5+IF($N630="",0,$N630)*Settings!$J$6)/(IF($O630="",0,Settings!$J$4)+IF($L630="",0,Settings!$J$5)+IF($N630="",0,Settings!$J$6)),0))</f>
        <v>0</v>
      </c>
      <c r="Q630" s="12">
        <f t="array" ref="Q630">IF($A630="","",XLOOKUP($E630,Settings!$A$19:$A$22,Settings!$G$19:$G$22,0))</f>
        <v>203</v>
      </c>
      <c r="R630" s="12">
        <f t="shared" si="1"/>
        <v>0</v>
      </c>
      <c r="S630" s="12">
        <f>IF($A630="","",IF($R630&lt;=0,1,1+$R630/SUMIF($R$4:$R$923,"&gt;0",$R$4:$R$923)*(Settings!$B$5*(Settings!$B$6-Settings!$B$7))))</f>
        <v>1</v>
      </c>
      <c r="T630" s="12">
        <f t="array" ref="T630">IF($A630="","",XLOOKUP($F630,Settings!$I$15:$I$20,Settings!$J$15:$J$20,1))</f>
        <v>0.75</v>
      </c>
      <c r="U630" s="12">
        <f>IF($A630="","",1+(($G630-5)/5)*Settings!$J$8)</f>
        <v>1</v>
      </c>
      <c r="V630" s="12">
        <f>IF($A630="","",1+(($H630-5)/5)*Settings!$J$9)</f>
        <v>1.06</v>
      </c>
      <c r="W630" s="12">
        <f t="array" ref="W630">IF($A630="","",XLOOKUP($J630,Lists!$C$3:$C$7,Lists!$D$3:$D$7,1))</f>
        <v>1</v>
      </c>
      <c r="X630" s="12">
        <f>IF($A630="","",IF($I630="Yes",Settings!$J$10,1))</f>
        <v>1</v>
      </c>
      <c r="Y630" s="12">
        <f t="shared" si="2"/>
        <v>1</v>
      </c>
      <c r="Z630" s="12">
        <f>IF($A630="","",IFERROR(ROUND(AVERAGEIFS('Historical Drafts'!$G$4:$G$300,'Historical Drafts'!$D$4:$D$300,$E630,'Historical Drafts'!$J$4:$J$300,"&gt;="&amp;$L630*0.85,'Historical Drafts'!$J$4:$J$300,"&lt;="&amp;$L630*1.15),0),$Y630))</f>
        <v>3</v>
      </c>
      <c r="AA630" s="12" t="str">
        <f>IF($A630="","",IF(COUNTIF('Auction Log'!$B$3:$B$300,$A630)&gt;0,"Sold","Available"))</f>
        <v>Available</v>
      </c>
      <c r="AB630" s="12" t="str">
        <f t="array" ref="AB630">IF($A630="","",IFERROR(XLOOKUP($A630,'Auction Log'!$B$3:$B$300,'Auction Log'!$G$3:$G$300,""),""))</f>
        <v/>
      </c>
      <c r="AC630" s="12" t="str">
        <f t="array" ref="AC630">IF($A630="","",IFERROR(XLOOKUP($A630,'Auction Log'!$B$3:$B$300,'Auction Log'!$F$3:$F$300,""),""))</f>
        <v/>
      </c>
      <c r="AD630" s="12">
        <f t="array" ref="AD630">IF($A630="","",ROUND($Y630*XLOOKUP($F630,Settings!$I$15:$I$20,Settings!$K$15:$K$20,0.4),0))</f>
        <v>0</v>
      </c>
      <c r="AE630" s="12">
        <f t="array" ref="AE630">IF($A630="","",ROUND($Y630*XLOOKUP($F630,Settings!$I$15:$I$20,Settings!$L$15:$L$20,0.8),0))</f>
        <v>1</v>
      </c>
      <c r="AF630" s="12">
        <f t="array" ref="AF630">IF($A630="","",ROUND($Y630*XLOOKUP($F630,Settings!$I$15:$I$20,Settings!$M$15:$M$20,1),0))</f>
        <v>1</v>
      </c>
      <c r="AG630" s="12">
        <f t="array" ref="AG630">IF($A630="","",ROUND($Y630*XLOOKUP($F630,Settings!$I$15:$I$20,Settings!$N$15:$N$20,1.1),0))</f>
        <v>1</v>
      </c>
      <c r="AH630" s="12">
        <f t="array" ref="AH630">IF($A630="","",ROUND($Y630*XLOOKUP($F630,Settings!$I$15:$I$20,Settings!$O$15:$O$20,1.1)*Settings!$J$7,0))</f>
        <v>1</v>
      </c>
      <c r="AI630" s="12">
        <f t="array" ref="AI630">IF($A630="","",IF($AA630="Sold","",MIN($AH630,IFERROR(XLOOKUP(Settings!$B$12,Managers!$B$4:$B$15,Managers!$H$4:$H$15),$AH630))))</f>
        <v>1</v>
      </c>
      <c r="AJ630" s="12" t="str">
        <f t="shared" si="3"/>
        <v>Budget Drainer</v>
      </c>
      <c r="AK630" s="12">
        <f t="shared" si="4"/>
        <v>28</v>
      </c>
      <c r="AL630" s="12" t="str">
        <f t="shared" si="5"/>
        <v/>
      </c>
    </row>
    <row r="631" ht="15.75" customHeight="1">
      <c r="A631" s="10" t="s">
        <v>1543</v>
      </c>
      <c r="B631" s="10" t="s">
        <v>1544</v>
      </c>
      <c r="C631" s="10" t="s">
        <v>387</v>
      </c>
      <c r="D631" s="10" t="s">
        <v>123</v>
      </c>
      <c r="E631" s="10" t="s">
        <v>123</v>
      </c>
      <c r="F631" s="10" t="s">
        <v>117</v>
      </c>
      <c r="G631" s="10">
        <v>5.0</v>
      </c>
      <c r="H631" s="10">
        <v>7.0</v>
      </c>
      <c r="I631" s="10" t="s">
        <v>2140</v>
      </c>
      <c r="J631" s="10" t="s">
        <v>2136</v>
      </c>
      <c r="K631" s="10"/>
      <c r="L631" s="10">
        <v>0.0</v>
      </c>
      <c r="M631" s="10">
        <v>0.0</v>
      </c>
      <c r="N631" s="10"/>
      <c r="O631" s="10"/>
      <c r="P631" s="12">
        <f>IF($A631="","",IFERROR((IF($O631="",0,$O631)*Settings!$J$4+IF($L631="",0,$L631)*Settings!$J$5+IF($N631="",0,$N631)*Settings!$J$6)/(IF($O631="",0,Settings!$J$4)+IF($L631="",0,Settings!$J$5)+IF($N631="",0,Settings!$J$6)),0))</f>
        <v>0</v>
      </c>
      <c r="Q631" s="12">
        <f t="array" ref="Q631">IF($A631="","",XLOOKUP($E631,Settings!$A$19:$A$22,Settings!$G$19:$G$22,0))</f>
        <v>203</v>
      </c>
      <c r="R631" s="12">
        <f t="shared" si="1"/>
        <v>0</v>
      </c>
      <c r="S631" s="12">
        <f>IF($A631="","",IF($R631&lt;=0,1,1+$R631/SUMIF($R$4:$R$923,"&gt;0",$R$4:$R$923)*(Settings!$B$5*(Settings!$B$6-Settings!$B$7))))</f>
        <v>1</v>
      </c>
      <c r="T631" s="12">
        <f t="array" ref="T631">IF($A631="","",XLOOKUP($F631,Settings!$I$15:$I$20,Settings!$J$15:$J$20,1))</f>
        <v>0.75</v>
      </c>
      <c r="U631" s="12">
        <f>IF($A631="","",1+(($G631-5)/5)*Settings!$J$8)</f>
        <v>1</v>
      </c>
      <c r="V631" s="12">
        <f>IF($A631="","",1+(($H631-5)/5)*Settings!$J$9)</f>
        <v>1.06</v>
      </c>
      <c r="W631" s="12">
        <f t="array" ref="W631">IF($A631="","",XLOOKUP($J631,Lists!$C$3:$C$7,Lists!$D$3:$D$7,1))</f>
        <v>1</v>
      </c>
      <c r="X631" s="12">
        <f>IF($A631="","",IF($I631="Yes",Settings!$J$10,1))</f>
        <v>1</v>
      </c>
      <c r="Y631" s="12">
        <f t="shared" si="2"/>
        <v>1</v>
      </c>
      <c r="Z631" s="12">
        <f>IF($A631="","",IFERROR(ROUND(AVERAGEIFS('Historical Drafts'!$G$4:$G$300,'Historical Drafts'!$D$4:$D$300,$E631,'Historical Drafts'!$J$4:$J$300,"&gt;="&amp;$L631*0.85,'Historical Drafts'!$J$4:$J$300,"&lt;="&amp;$L631*1.15),0),$Y631))</f>
        <v>3</v>
      </c>
      <c r="AA631" s="12" t="str">
        <f>IF($A631="","",IF(COUNTIF('Auction Log'!$B$3:$B$300,$A631)&gt;0,"Sold","Available"))</f>
        <v>Available</v>
      </c>
      <c r="AB631" s="12" t="str">
        <f t="array" ref="AB631">IF($A631="","",IFERROR(XLOOKUP($A631,'Auction Log'!$B$3:$B$300,'Auction Log'!$G$3:$G$300,""),""))</f>
        <v/>
      </c>
      <c r="AC631" s="12" t="str">
        <f t="array" ref="AC631">IF($A631="","",IFERROR(XLOOKUP($A631,'Auction Log'!$B$3:$B$300,'Auction Log'!$F$3:$F$300,""),""))</f>
        <v/>
      </c>
      <c r="AD631" s="12">
        <f t="array" ref="AD631">IF($A631="","",ROUND($Y631*XLOOKUP($F631,Settings!$I$15:$I$20,Settings!$K$15:$K$20,0.4),0))</f>
        <v>0</v>
      </c>
      <c r="AE631" s="12">
        <f t="array" ref="AE631">IF($A631="","",ROUND($Y631*XLOOKUP($F631,Settings!$I$15:$I$20,Settings!$L$15:$L$20,0.8),0))</f>
        <v>1</v>
      </c>
      <c r="AF631" s="12">
        <f t="array" ref="AF631">IF($A631="","",ROUND($Y631*XLOOKUP($F631,Settings!$I$15:$I$20,Settings!$M$15:$M$20,1),0))</f>
        <v>1</v>
      </c>
      <c r="AG631" s="12">
        <f t="array" ref="AG631">IF($A631="","",ROUND($Y631*XLOOKUP($F631,Settings!$I$15:$I$20,Settings!$N$15:$N$20,1.1),0))</f>
        <v>1</v>
      </c>
      <c r="AH631" s="12">
        <f t="array" ref="AH631">IF($A631="","",ROUND($Y631*XLOOKUP($F631,Settings!$I$15:$I$20,Settings!$O$15:$O$20,1.1)*Settings!$J$7,0))</f>
        <v>1</v>
      </c>
      <c r="AI631" s="12">
        <f t="array" ref="AI631">IF($A631="","",IF($AA631="Sold","",MIN($AH631,IFERROR(XLOOKUP(Settings!$B$12,Managers!$B$4:$B$15,Managers!$H$4:$H$15),$AH631))))</f>
        <v>1</v>
      </c>
      <c r="AJ631" s="12" t="str">
        <f t="shared" si="3"/>
        <v>Budget Drainer</v>
      </c>
      <c r="AK631" s="12">
        <f t="shared" si="4"/>
        <v>28</v>
      </c>
      <c r="AL631" s="12" t="str">
        <f t="shared" si="5"/>
        <v/>
      </c>
    </row>
    <row r="632" ht="15.75" customHeight="1">
      <c r="A632" s="10" t="s">
        <v>1545</v>
      </c>
      <c r="B632" s="10" t="s">
        <v>1546</v>
      </c>
      <c r="C632" s="10" t="s">
        <v>199</v>
      </c>
      <c r="D632" s="10" t="s">
        <v>115</v>
      </c>
      <c r="E632" s="10" t="s">
        <v>115</v>
      </c>
      <c r="F632" s="10" t="s">
        <v>117</v>
      </c>
      <c r="G632" s="10">
        <v>5.0</v>
      </c>
      <c r="H632" s="10">
        <v>7.0</v>
      </c>
      <c r="I632" s="10" t="s">
        <v>2140</v>
      </c>
      <c r="J632" s="10" t="s">
        <v>2136</v>
      </c>
      <c r="K632" s="10"/>
      <c r="L632" s="10">
        <v>0.0</v>
      </c>
      <c r="M632" s="10">
        <v>0.0</v>
      </c>
      <c r="N632" s="10"/>
      <c r="O632" s="10"/>
      <c r="P632" s="12">
        <f>IF($A632="","",IFERROR((IF($O632="",0,$O632)*Settings!$J$4+IF($L632="",0,$L632)*Settings!$J$5+IF($N632="",0,$N632)*Settings!$J$6)/(IF($O632="",0,Settings!$J$4)+IF($L632="",0,Settings!$J$5)+IF($N632="",0,Settings!$J$6)),0))</f>
        <v>0</v>
      </c>
      <c r="Q632" s="12">
        <f t="array" ref="Q632">IF($A632="","",XLOOKUP($E632,Settings!$A$19:$A$22,Settings!$G$19:$G$22,0))</f>
        <v>249.25</v>
      </c>
      <c r="R632" s="12">
        <f t="shared" si="1"/>
        <v>0</v>
      </c>
      <c r="S632" s="12">
        <f>IF($A632="","",IF($R632&lt;=0,1,1+$R632/SUMIF($R$4:$R$923,"&gt;0",$R$4:$R$923)*(Settings!$B$5*(Settings!$B$6-Settings!$B$7))))</f>
        <v>1</v>
      </c>
      <c r="T632" s="12">
        <f t="array" ref="T632">IF($A632="","",XLOOKUP($F632,Settings!$I$15:$I$20,Settings!$J$15:$J$20,1))</f>
        <v>0.75</v>
      </c>
      <c r="U632" s="12">
        <f>IF($A632="","",1+(($G632-5)/5)*Settings!$J$8)</f>
        <v>1</v>
      </c>
      <c r="V632" s="12">
        <f>IF($A632="","",1+(($H632-5)/5)*Settings!$J$9)</f>
        <v>1.06</v>
      </c>
      <c r="W632" s="12">
        <f t="array" ref="W632">IF($A632="","",XLOOKUP($J632,Lists!$C$3:$C$7,Lists!$D$3:$D$7,1))</f>
        <v>1</v>
      </c>
      <c r="X632" s="12">
        <f>IF($A632="","",IF($I632="Yes",Settings!$J$10,1))</f>
        <v>1</v>
      </c>
      <c r="Y632" s="12">
        <f t="shared" si="2"/>
        <v>1</v>
      </c>
      <c r="Z632" s="12">
        <f>IF($A632="","",IFERROR(ROUND(AVERAGEIFS('Historical Drafts'!$G$4:$G$300,'Historical Drafts'!$D$4:$D$300,$E632,'Historical Drafts'!$J$4:$J$300,"&gt;="&amp;$L632*0.85,'Historical Drafts'!$J$4:$J$300,"&lt;="&amp;$L632*1.15),0),$Y632))</f>
        <v>1</v>
      </c>
      <c r="AA632" s="12" t="str">
        <f>IF($A632="","",IF(COUNTIF('Auction Log'!$B$3:$B$300,$A632)&gt;0,"Sold","Available"))</f>
        <v>Available</v>
      </c>
      <c r="AB632" s="12" t="str">
        <f t="array" ref="AB632">IF($A632="","",IFERROR(XLOOKUP($A632,'Auction Log'!$B$3:$B$300,'Auction Log'!$G$3:$G$300,""),""))</f>
        <v/>
      </c>
      <c r="AC632" s="12" t="str">
        <f t="array" ref="AC632">IF($A632="","",IFERROR(XLOOKUP($A632,'Auction Log'!$B$3:$B$300,'Auction Log'!$F$3:$F$300,""),""))</f>
        <v/>
      </c>
      <c r="AD632" s="12">
        <f t="array" ref="AD632">IF($A632="","",ROUND($Y632*XLOOKUP($F632,Settings!$I$15:$I$20,Settings!$K$15:$K$20,0.4),0))</f>
        <v>0</v>
      </c>
      <c r="AE632" s="12">
        <f t="array" ref="AE632">IF($A632="","",ROUND($Y632*XLOOKUP($F632,Settings!$I$15:$I$20,Settings!$L$15:$L$20,0.8),0))</f>
        <v>1</v>
      </c>
      <c r="AF632" s="12">
        <f t="array" ref="AF632">IF($A632="","",ROUND($Y632*XLOOKUP($F632,Settings!$I$15:$I$20,Settings!$M$15:$M$20,1),0))</f>
        <v>1</v>
      </c>
      <c r="AG632" s="12">
        <f t="array" ref="AG632">IF($A632="","",ROUND($Y632*XLOOKUP($F632,Settings!$I$15:$I$20,Settings!$N$15:$N$20,1.1),0))</f>
        <v>1</v>
      </c>
      <c r="AH632" s="12">
        <f t="array" ref="AH632">IF($A632="","",ROUND($Y632*XLOOKUP($F632,Settings!$I$15:$I$20,Settings!$O$15:$O$20,1.1)*Settings!$J$7,0))</f>
        <v>1</v>
      </c>
      <c r="AI632" s="12">
        <f t="array" ref="AI632">IF($A632="","",IF($AA632="Sold","",MIN($AH632,IFERROR(XLOOKUP(Settings!$B$12,Managers!$B$4:$B$15,Managers!$H$4:$H$15),$AH632))))</f>
        <v>1</v>
      </c>
      <c r="AJ632" s="12" t="str">
        <f t="shared" si="3"/>
        <v>Recommended</v>
      </c>
      <c r="AK632" s="12">
        <f t="shared" si="4"/>
        <v>26</v>
      </c>
      <c r="AL632" s="12" t="str">
        <f t="shared" si="5"/>
        <v/>
      </c>
    </row>
    <row r="633" ht="15.75" customHeight="1">
      <c r="A633" s="10" t="s">
        <v>1547</v>
      </c>
      <c r="B633" s="10" t="s">
        <v>1548</v>
      </c>
      <c r="C633" s="10" t="s">
        <v>453</v>
      </c>
      <c r="D633" s="10" t="s">
        <v>123</v>
      </c>
      <c r="E633" s="10" t="s">
        <v>123</v>
      </c>
      <c r="F633" s="10" t="s">
        <v>117</v>
      </c>
      <c r="G633" s="10">
        <v>5.0</v>
      </c>
      <c r="H633" s="10">
        <v>7.0</v>
      </c>
      <c r="I633" s="10" t="s">
        <v>2140</v>
      </c>
      <c r="J633" s="10" t="s">
        <v>2136</v>
      </c>
      <c r="K633" s="10"/>
      <c r="L633" s="10">
        <v>0.0</v>
      </c>
      <c r="M633" s="10">
        <v>0.0</v>
      </c>
      <c r="N633" s="10"/>
      <c r="O633" s="10"/>
      <c r="P633" s="12">
        <f>IF($A633="","",IFERROR((IF($O633="",0,$O633)*Settings!$J$4+IF($L633="",0,$L633)*Settings!$J$5+IF($N633="",0,$N633)*Settings!$J$6)/(IF($O633="",0,Settings!$J$4)+IF($L633="",0,Settings!$J$5)+IF($N633="",0,Settings!$J$6)),0))</f>
        <v>0</v>
      </c>
      <c r="Q633" s="12">
        <f t="array" ref="Q633">IF($A633="","",XLOOKUP($E633,Settings!$A$19:$A$22,Settings!$G$19:$G$22,0))</f>
        <v>203</v>
      </c>
      <c r="R633" s="12">
        <f t="shared" si="1"/>
        <v>0</v>
      </c>
      <c r="S633" s="12">
        <f>IF($A633="","",IF($R633&lt;=0,1,1+$R633/SUMIF($R$4:$R$923,"&gt;0",$R$4:$R$923)*(Settings!$B$5*(Settings!$B$6-Settings!$B$7))))</f>
        <v>1</v>
      </c>
      <c r="T633" s="12">
        <f t="array" ref="T633">IF($A633="","",XLOOKUP($F633,Settings!$I$15:$I$20,Settings!$J$15:$J$20,1))</f>
        <v>0.75</v>
      </c>
      <c r="U633" s="12">
        <f>IF($A633="","",1+(($G633-5)/5)*Settings!$J$8)</f>
        <v>1</v>
      </c>
      <c r="V633" s="12">
        <f>IF($A633="","",1+(($H633-5)/5)*Settings!$J$9)</f>
        <v>1.06</v>
      </c>
      <c r="W633" s="12">
        <f t="array" ref="W633">IF($A633="","",XLOOKUP($J633,Lists!$C$3:$C$7,Lists!$D$3:$D$7,1))</f>
        <v>1</v>
      </c>
      <c r="X633" s="12">
        <f>IF($A633="","",IF($I633="Yes",Settings!$J$10,1))</f>
        <v>1</v>
      </c>
      <c r="Y633" s="12">
        <f t="shared" si="2"/>
        <v>1</v>
      </c>
      <c r="Z633" s="12">
        <f>IF($A633="","",IFERROR(ROUND(AVERAGEIFS('Historical Drafts'!$G$4:$G$300,'Historical Drafts'!$D$4:$D$300,$E633,'Historical Drafts'!$J$4:$J$300,"&gt;="&amp;$L633*0.85,'Historical Drafts'!$J$4:$J$300,"&lt;="&amp;$L633*1.15),0),$Y633))</f>
        <v>3</v>
      </c>
      <c r="AA633" s="12" t="str">
        <f>IF($A633="","",IF(COUNTIF('Auction Log'!$B$3:$B$300,$A633)&gt;0,"Sold","Available"))</f>
        <v>Available</v>
      </c>
      <c r="AB633" s="12" t="str">
        <f t="array" ref="AB633">IF($A633="","",IFERROR(XLOOKUP($A633,'Auction Log'!$B$3:$B$300,'Auction Log'!$G$3:$G$300,""),""))</f>
        <v/>
      </c>
      <c r="AC633" s="12" t="str">
        <f t="array" ref="AC633">IF($A633="","",IFERROR(XLOOKUP($A633,'Auction Log'!$B$3:$B$300,'Auction Log'!$F$3:$F$300,""),""))</f>
        <v/>
      </c>
      <c r="AD633" s="12">
        <f t="array" ref="AD633">IF($A633="","",ROUND($Y633*XLOOKUP($F633,Settings!$I$15:$I$20,Settings!$K$15:$K$20,0.4),0))</f>
        <v>0</v>
      </c>
      <c r="AE633" s="12">
        <f t="array" ref="AE633">IF($A633="","",ROUND($Y633*XLOOKUP($F633,Settings!$I$15:$I$20,Settings!$L$15:$L$20,0.8),0))</f>
        <v>1</v>
      </c>
      <c r="AF633" s="12">
        <f t="array" ref="AF633">IF($A633="","",ROUND($Y633*XLOOKUP($F633,Settings!$I$15:$I$20,Settings!$M$15:$M$20,1),0))</f>
        <v>1</v>
      </c>
      <c r="AG633" s="12">
        <f t="array" ref="AG633">IF($A633="","",ROUND($Y633*XLOOKUP($F633,Settings!$I$15:$I$20,Settings!$N$15:$N$20,1.1),0))</f>
        <v>1</v>
      </c>
      <c r="AH633" s="12">
        <f t="array" ref="AH633">IF($A633="","",ROUND($Y633*XLOOKUP($F633,Settings!$I$15:$I$20,Settings!$O$15:$O$20,1.1)*Settings!$J$7,0))</f>
        <v>1</v>
      </c>
      <c r="AI633" s="12">
        <f t="array" ref="AI633">IF($A633="","",IF($AA633="Sold","",MIN($AH633,IFERROR(XLOOKUP(Settings!$B$12,Managers!$B$4:$B$15,Managers!$H$4:$H$15),$AH633))))</f>
        <v>1</v>
      </c>
      <c r="AJ633" s="12" t="str">
        <f t="shared" si="3"/>
        <v>Budget Drainer</v>
      </c>
      <c r="AK633" s="12">
        <f t="shared" si="4"/>
        <v>28</v>
      </c>
      <c r="AL633" s="12" t="str">
        <f t="shared" si="5"/>
        <v/>
      </c>
    </row>
    <row r="634" ht="15.75" customHeight="1">
      <c r="A634" s="10" t="s">
        <v>1549</v>
      </c>
      <c r="B634" s="10" t="s">
        <v>1550</v>
      </c>
      <c r="C634" s="10" t="s">
        <v>314</v>
      </c>
      <c r="D634" s="10" t="s">
        <v>123</v>
      </c>
      <c r="E634" s="10" t="s">
        <v>123</v>
      </c>
      <c r="F634" s="10" t="s">
        <v>117</v>
      </c>
      <c r="G634" s="10">
        <v>5.0</v>
      </c>
      <c r="H634" s="10">
        <v>7.0</v>
      </c>
      <c r="I634" s="10" t="s">
        <v>2140</v>
      </c>
      <c r="J634" s="10" t="s">
        <v>2136</v>
      </c>
      <c r="K634" s="10"/>
      <c r="L634" s="10">
        <v>0.0</v>
      </c>
      <c r="M634" s="10">
        <v>0.0</v>
      </c>
      <c r="N634" s="10"/>
      <c r="O634" s="10"/>
      <c r="P634" s="12">
        <f>IF($A634="","",IFERROR((IF($O634="",0,$O634)*Settings!$J$4+IF($L634="",0,$L634)*Settings!$J$5+IF($N634="",0,$N634)*Settings!$J$6)/(IF($O634="",0,Settings!$J$4)+IF($L634="",0,Settings!$J$5)+IF($N634="",0,Settings!$J$6)),0))</f>
        <v>0</v>
      </c>
      <c r="Q634" s="12">
        <f t="array" ref="Q634">IF($A634="","",XLOOKUP($E634,Settings!$A$19:$A$22,Settings!$G$19:$G$22,0))</f>
        <v>203</v>
      </c>
      <c r="R634" s="12">
        <f t="shared" si="1"/>
        <v>0</v>
      </c>
      <c r="S634" s="12">
        <f>IF($A634="","",IF($R634&lt;=0,1,1+$R634/SUMIF($R$4:$R$923,"&gt;0",$R$4:$R$923)*(Settings!$B$5*(Settings!$B$6-Settings!$B$7))))</f>
        <v>1</v>
      </c>
      <c r="T634" s="12">
        <f t="array" ref="T634">IF($A634="","",XLOOKUP($F634,Settings!$I$15:$I$20,Settings!$J$15:$J$20,1))</f>
        <v>0.75</v>
      </c>
      <c r="U634" s="12">
        <f>IF($A634="","",1+(($G634-5)/5)*Settings!$J$8)</f>
        <v>1</v>
      </c>
      <c r="V634" s="12">
        <f>IF($A634="","",1+(($H634-5)/5)*Settings!$J$9)</f>
        <v>1.06</v>
      </c>
      <c r="W634" s="12">
        <f t="array" ref="W634">IF($A634="","",XLOOKUP($J634,Lists!$C$3:$C$7,Lists!$D$3:$D$7,1))</f>
        <v>1</v>
      </c>
      <c r="X634" s="12">
        <f>IF($A634="","",IF($I634="Yes",Settings!$J$10,1))</f>
        <v>1</v>
      </c>
      <c r="Y634" s="12">
        <f t="shared" si="2"/>
        <v>1</v>
      </c>
      <c r="Z634" s="12">
        <f>IF($A634="","",IFERROR(ROUND(AVERAGEIFS('Historical Drafts'!$G$4:$G$300,'Historical Drafts'!$D$4:$D$300,$E634,'Historical Drafts'!$J$4:$J$300,"&gt;="&amp;$L634*0.85,'Historical Drafts'!$J$4:$J$300,"&lt;="&amp;$L634*1.15),0),$Y634))</f>
        <v>3</v>
      </c>
      <c r="AA634" s="12" t="str">
        <f>IF($A634="","",IF(COUNTIF('Auction Log'!$B$3:$B$300,$A634)&gt;0,"Sold","Available"))</f>
        <v>Available</v>
      </c>
      <c r="AB634" s="12" t="str">
        <f t="array" ref="AB634">IF($A634="","",IFERROR(XLOOKUP($A634,'Auction Log'!$B$3:$B$300,'Auction Log'!$G$3:$G$300,""),""))</f>
        <v/>
      </c>
      <c r="AC634" s="12" t="str">
        <f t="array" ref="AC634">IF($A634="","",IFERROR(XLOOKUP($A634,'Auction Log'!$B$3:$B$300,'Auction Log'!$F$3:$F$300,""),""))</f>
        <v/>
      </c>
      <c r="AD634" s="12">
        <f t="array" ref="AD634">IF($A634="","",ROUND($Y634*XLOOKUP($F634,Settings!$I$15:$I$20,Settings!$K$15:$K$20,0.4),0))</f>
        <v>0</v>
      </c>
      <c r="AE634" s="12">
        <f t="array" ref="AE634">IF($A634="","",ROUND($Y634*XLOOKUP($F634,Settings!$I$15:$I$20,Settings!$L$15:$L$20,0.8),0))</f>
        <v>1</v>
      </c>
      <c r="AF634" s="12">
        <f t="array" ref="AF634">IF($A634="","",ROUND($Y634*XLOOKUP($F634,Settings!$I$15:$I$20,Settings!$M$15:$M$20,1),0))</f>
        <v>1</v>
      </c>
      <c r="AG634" s="12">
        <f t="array" ref="AG634">IF($A634="","",ROUND($Y634*XLOOKUP($F634,Settings!$I$15:$I$20,Settings!$N$15:$N$20,1.1),0))</f>
        <v>1</v>
      </c>
      <c r="AH634" s="12">
        <f t="array" ref="AH634">IF($A634="","",ROUND($Y634*XLOOKUP($F634,Settings!$I$15:$I$20,Settings!$O$15:$O$20,1.1)*Settings!$J$7,0))</f>
        <v>1</v>
      </c>
      <c r="AI634" s="12">
        <f t="array" ref="AI634">IF($A634="","",IF($AA634="Sold","",MIN($AH634,IFERROR(XLOOKUP(Settings!$B$12,Managers!$B$4:$B$15,Managers!$H$4:$H$15),$AH634))))</f>
        <v>1</v>
      </c>
      <c r="AJ634" s="12" t="str">
        <f t="shared" si="3"/>
        <v>Budget Drainer</v>
      </c>
      <c r="AK634" s="12">
        <f t="shared" si="4"/>
        <v>28</v>
      </c>
      <c r="AL634" s="12" t="str">
        <f t="shared" si="5"/>
        <v/>
      </c>
    </row>
    <row r="635" ht="15.75" customHeight="1">
      <c r="A635" s="10" t="s">
        <v>1551</v>
      </c>
      <c r="B635" s="10" t="s">
        <v>1552</v>
      </c>
      <c r="C635" s="10" t="s">
        <v>243</v>
      </c>
      <c r="D635" s="10" t="s">
        <v>123</v>
      </c>
      <c r="E635" s="10" t="s">
        <v>123</v>
      </c>
      <c r="F635" s="10" t="s">
        <v>117</v>
      </c>
      <c r="G635" s="10">
        <v>5.0</v>
      </c>
      <c r="H635" s="10">
        <v>7.0</v>
      </c>
      <c r="I635" s="10" t="s">
        <v>2140</v>
      </c>
      <c r="J635" s="10" t="s">
        <v>2136</v>
      </c>
      <c r="K635" s="10"/>
      <c r="L635" s="10">
        <v>0.0</v>
      </c>
      <c r="M635" s="10">
        <v>0.0</v>
      </c>
      <c r="N635" s="10"/>
      <c r="O635" s="10"/>
      <c r="P635" s="12">
        <f>IF($A635="","",IFERROR((IF($O635="",0,$O635)*Settings!$J$4+IF($L635="",0,$L635)*Settings!$J$5+IF($N635="",0,$N635)*Settings!$J$6)/(IF($O635="",0,Settings!$J$4)+IF($L635="",0,Settings!$J$5)+IF($N635="",0,Settings!$J$6)),0))</f>
        <v>0</v>
      </c>
      <c r="Q635" s="12">
        <f t="array" ref="Q635">IF($A635="","",XLOOKUP($E635,Settings!$A$19:$A$22,Settings!$G$19:$G$22,0))</f>
        <v>203</v>
      </c>
      <c r="R635" s="12">
        <f t="shared" si="1"/>
        <v>0</v>
      </c>
      <c r="S635" s="12">
        <f>IF($A635="","",IF($R635&lt;=0,1,1+$R635/SUMIF($R$4:$R$923,"&gt;0",$R$4:$R$923)*(Settings!$B$5*(Settings!$B$6-Settings!$B$7))))</f>
        <v>1</v>
      </c>
      <c r="T635" s="12">
        <f t="array" ref="T635">IF($A635="","",XLOOKUP($F635,Settings!$I$15:$I$20,Settings!$J$15:$J$20,1))</f>
        <v>0.75</v>
      </c>
      <c r="U635" s="12">
        <f>IF($A635="","",1+(($G635-5)/5)*Settings!$J$8)</f>
        <v>1</v>
      </c>
      <c r="V635" s="12">
        <f>IF($A635="","",1+(($H635-5)/5)*Settings!$J$9)</f>
        <v>1.06</v>
      </c>
      <c r="W635" s="12">
        <f t="array" ref="W635">IF($A635="","",XLOOKUP($J635,Lists!$C$3:$C$7,Lists!$D$3:$D$7,1))</f>
        <v>1</v>
      </c>
      <c r="X635" s="12">
        <f>IF($A635="","",IF($I635="Yes",Settings!$J$10,1))</f>
        <v>1</v>
      </c>
      <c r="Y635" s="12">
        <f t="shared" si="2"/>
        <v>1</v>
      </c>
      <c r="Z635" s="12">
        <f>IF($A635="","",IFERROR(ROUND(AVERAGEIFS('Historical Drafts'!$G$4:$G$300,'Historical Drafts'!$D$4:$D$300,$E635,'Historical Drafts'!$J$4:$J$300,"&gt;="&amp;$L635*0.85,'Historical Drafts'!$J$4:$J$300,"&lt;="&amp;$L635*1.15),0),$Y635))</f>
        <v>3</v>
      </c>
      <c r="AA635" s="12" t="str">
        <f>IF($A635="","",IF(COUNTIF('Auction Log'!$B$3:$B$300,$A635)&gt;0,"Sold","Available"))</f>
        <v>Available</v>
      </c>
      <c r="AB635" s="12" t="str">
        <f t="array" ref="AB635">IF($A635="","",IFERROR(XLOOKUP($A635,'Auction Log'!$B$3:$B$300,'Auction Log'!$G$3:$G$300,""),""))</f>
        <v/>
      </c>
      <c r="AC635" s="12" t="str">
        <f t="array" ref="AC635">IF($A635="","",IFERROR(XLOOKUP($A635,'Auction Log'!$B$3:$B$300,'Auction Log'!$F$3:$F$300,""),""))</f>
        <v/>
      </c>
      <c r="AD635" s="12">
        <f t="array" ref="AD635">IF($A635="","",ROUND($Y635*XLOOKUP($F635,Settings!$I$15:$I$20,Settings!$K$15:$K$20,0.4),0))</f>
        <v>0</v>
      </c>
      <c r="AE635" s="12">
        <f t="array" ref="AE635">IF($A635="","",ROUND($Y635*XLOOKUP($F635,Settings!$I$15:$I$20,Settings!$L$15:$L$20,0.8),0))</f>
        <v>1</v>
      </c>
      <c r="AF635" s="12">
        <f t="array" ref="AF635">IF($A635="","",ROUND($Y635*XLOOKUP($F635,Settings!$I$15:$I$20,Settings!$M$15:$M$20,1),0))</f>
        <v>1</v>
      </c>
      <c r="AG635" s="12">
        <f t="array" ref="AG635">IF($A635="","",ROUND($Y635*XLOOKUP($F635,Settings!$I$15:$I$20,Settings!$N$15:$N$20,1.1),0))</f>
        <v>1</v>
      </c>
      <c r="AH635" s="12">
        <f t="array" ref="AH635">IF($A635="","",ROUND($Y635*XLOOKUP($F635,Settings!$I$15:$I$20,Settings!$O$15:$O$20,1.1)*Settings!$J$7,0))</f>
        <v>1</v>
      </c>
      <c r="AI635" s="12">
        <f t="array" ref="AI635">IF($A635="","",IF($AA635="Sold","",MIN($AH635,IFERROR(XLOOKUP(Settings!$B$12,Managers!$B$4:$B$15,Managers!$H$4:$H$15),$AH635))))</f>
        <v>1</v>
      </c>
      <c r="AJ635" s="12" t="str">
        <f t="shared" si="3"/>
        <v>Budget Drainer</v>
      </c>
      <c r="AK635" s="12">
        <f t="shared" si="4"/>
        <v>28</v>
      </c>
      <c r="AL635" s="12" t="str">
        <f t="shared" si="5"/>
        <v/>
      </c>
    </row>
    <row r="636" ht="15.75" customHeight="1">
      <c r="A636" s="10" t="s">
        <v>1553</v>
      </c>
      <c r="B636" s="10" t="s">
        <v>1554</v>
      </c>
      <c r="C636" s="10" t="s">
        <v>188</v>
      </c>
      <c r="D636" s="10" t="s">
        <v>118</v>
      </c>
      <c r="E636" s="10" t="s">
        <v>118</v>
      </c>
      <c r="F636" s="10" t="s">
        <v>117</v>
      </c>
      <c r="G636" s="10">
        <v>5.0</v>
      </c>
      <c r="H636" s="10">
        <v>7.0</v>
      </c>
      <c r="I636" s="10" t="s">
        <v>2140</v>
      </c>
      <c r="J636" s="10" t="s">
        <v>2136</v>
      </c>
      <c r="K636" s="10"/>
      <c r="L636" s="10">
        <v>0.0</v>
      </c>
      <c r="M636" s="10">
        <v>0.0</v>
      </c>
      <c r="N636" s="10"/>
      <c r="O636" s="10"/>
      <c r="P636" s="12">
        <f>IF($A636="","",IFERROR((IF($O636="",0,$O636)*Settings!$J$4+IF($L636="",0,$L636)*Settings!$J$5+IF($N636="",0,$N636)*Settings!$J$6)/(IF($O636="",0,Settings!$J$4)+IF($L636="",0,Settings!$J$5)+IF($N636="",0,Settings!$J$6)),0))</f>
        <v>0</v>
      </c>
      <c r="Q636" s="12">
        <f t="array" ref="Q636">IF($A636="","",XLOOKUP($E636,Settings!$A$19:$A$22,Settings!$G$19:$G$22,0))</f>
        <v>196.25</v>
      </c>
      <c r="R636" s="12">
        <f t="shared" si="1"/>
        <v>0</v>
      </c>
      <c r="S636" s="12">
        <f>IF($A636="","",IF($R636&lt;=0,1,1+$R636/SUMIF($R$4:$R$923,"&gt;0",$R$4:$R$923)*(Settings!$B$5*(Settings!$B$6-Settings!$B$7))))</f>
        <v>1</v>
      </c>
      <c r="T636" s="12">
        <f t="array" ref="T636">IF($A636="","",XLOOKUP($F636,Settings!$I$15:$I$20,Settings!$J$15:$J$20,1))</f>
        <v>0.75</v>
      </c>
      <c r="U636" s="12">
        <f>IF($A636="","",1+(($G636-5)/5)*Settings!$J$8)</f>
        <v>1</v>
      </c>
      <c r="V636" s="12">
        <f>IF($A636="","",1+(($H636-5)/5)*Settings!$J$9)</f>
        <v>1.06</v>
      </c>
      <c r="W636" s="12">
        <f t="array" ref="W636">IF($A636="","",XLOOKUP($J636,Lists!$C$3:$C$7,Lists!$D$3:$D$7,1))</f>
        <v>1</v>
      </c>
      <c r="X636" s="12">
        <f>IF($A636="","",IF($I636="Yes",Settings!$J$10,1))</f>
        <v>1</v>
      </c>
      <c r="Y636" s="12">
        <f t="shared" si="2"/>
        <v>1</v>
      </c>
      <c r="Z636" s="12">
        <f>IF($A636="","",IFERROR(ROUND(AVERAGEIFS('Historical Drafts'!$G$4:$G$300,'Historical Drafts'!$D$4:$D$300,$E636,'Historical Drafts'!$J$4:$J$300,"&gt;="&amp;$L636*0.85,'Historical Drafts'!$J$4:$J$300,"&lt;="&amp;$L636*1.15),0),$Y636))</f>
        <v>1</v>
      </c>
      <c r="AA636" s="12" t="str">
        <f>IF($A636="","",IF(COUNTIF('Auction Log'!$B$3:$B$300,$A636)&gt;0,"Sold","Available"))</f>
        <v>Available</v>
      </c>
      <c r="AB636" s="12" t="str">
        <f t="array" ref="AB636">IF($A636="","",IFERROR(XLOOKUP($A636,'Auction Log'!$B$3:$B$300,'Auction Log'!$G$3:$G$300,""),""))</f>
        <v/>
      </c>
      <c r="AC636" s="12" t="str">
        <f t="array" ref="AC636">IF($A636="","",IFERROR(XLOOKUP($A636,'Auction Log'!$B$3:$B$300,'Auction Log'!$F$3:$F$300,""),""))</f>
        <v/>
      </c>
      <c r="AD636" s="12">
        <f t="array" ref="AD636">IF($A636="","",ROUND($Y636*XLOOKUP($F636,Settings!$I$15:$I$20,Settings!$K$15:$K$20,0.4),0))</f>
        <v>0</v>
      </c>
      <c r="AE636" s="12">
        <f t="array" ref="AE636">IF($A636="","",ROUND($Y636*XLOOKUP($F636,Settings!$I$15:$I$20,Settings!$L$15:$L$20,0.8),0))</f>
        <v>1</v>
      </c>
      <c r="AF636" s="12">
        <f t="array" ref="AF636">IF($A636="","",ROUND($Y636*XLOOKUP($F636,Settings!$I$15:$I$20,Settings!$M$15:$M$20,1),0))</f>
        <v>1</v>
      </c>
      <c r="AG636" s="12">
        <f t="array" ref="AG636">IF($A636="","",ROUND($Y636*XLOOKUP($F636,Settings!$I$15:$I$20,Settings!$N$15:$N$20,1.1),0))</f>
        <v>1</v>
      </c>
      <c r="AH636" s="12">
        <f t="array" ref="AH636">IF($A636="","",ROUND($Y636*XLOOKUP($F636,Settings!$I$15:$I$20,Settings!$O$15:$O$20,1.1)*Settings!$J$7,0))</f>
        <v>1</v>
      </c>
      <c r="AI636" s="12">
        <f t="array" ref="AI636">IF($A636="","",IF($AA636="Sold","",MIN($AH636,IFERROR(XLOOKUP(Settings!$B$12,Managers!$B$4:$B$15,Managers!$H$4:$H$15),$AH636))))</f>
        <v>1</v>
      </c>
      <c r="AJ636" s="12" t="str">
        <f t="shared" si="3"/>
        <v>Recommended</v>
      </c>
      <c r="AK636" s="12">
        <f t="shared" si="4"/>
        <v>26</v>
      </c>
      <c r="AL636" s="12" t="str">
        <f t="shared" si="5"/>
        <v/>
      </c>
    </row>
    <row r="637" ht="15.75" customHeight="1">
      <c r="A637" s="10" t="s">
        <v>1555</v>
      </c>
      <c r="B637" s="10" t="s">
        <v>1556</v>
      </c>
      <c r="C637" s="10" t="s">
        <v>226</v>
      </c>
      <c r="D637" s="10" t="s">
        <v>115</v>
      </c>
      <c r="E637" s="10" t="s">
        <v>115</v>
      </c>
      <c r="F637" s="10" t="s">
        <v>117</v>
      </c>
      <c r="G637" s="10">
        <v>5.0</v>
      </c>
      <c r="H637" s="10">
        <v>7.0</v>
      </c>
      <c r="I637" s="10" t="s">
        <v>2140</v>
      </c>
      <c r="J637" s="10" t="s">
        <v>2136</v>
      </c>
      <c r="K637" s="10"/>
      <c r="L637" s="10">
        <v>0.0</v>
      </c>
      <c r="M637" s="10">
        <v>0.0</v>
      </c>
      <c r="N637" s="10"/>
      <c r="O637" s="10"/>
      <c r="P637" s="12">
        <f>IF($A637="","",IFERROR((IF($O637="",0,$O637)*Settings!$J$4+IF($L637="",0,$L637)*Settings!$J$5+IF($N637="",0,$N637)*Settings!$J$6)/(IF($O637="",0,Settings!$J$4)+IF($L637="",0,Settings!$J$5)+IF($N637="",0,Settings!$J$6)),0))</f>
        <v>0</v>
      </c>
      <c r="Q637" s="12">
        <f t="array" ref="Q637">IF($A637="","",XLOOKUP($E637,Settings!$A$19:$A$22,Settings!$G$19:$G$22,0))</f>
        <v>249.25</v>
      </c>
      <c r="R637" s="12">
        <f t="shared" si="1"/>
        <v>0</v>
      </c>
      <c r="S637" s="12">
        <f>IF($A637="","",IF($R637&lt;=0,1,1+$R637/SUMIF($R$4:$R$923,"&gt;0",$R$4:$R$923)*(Settings!$B$5*(Settings!$B$6-Settings!$B$7))))</f>
        <v>1</v>
      </c>
      <c r="T637" s="12">
        <f t="array" ref="T637">IF($A637="","",XLOOKUP($F637,Settings!$I$15:$I$20,Settings!$J$15:$J$20,1))</f>
        <v>0.75</v>
      </c>
      <c r="U637" s="12">
        <f>IF($A637="","",1+(($G637-5)/5)*Settings!$J$8)</f>
        <v>1</v>
      </c>
      <c r="V637" s="12">
        <f>IF($A637="","",1+(($H637-5)/5)*Settings!$J$9)</f>
        <v>1.06</v>
      </c>
      <c r="W637" s="12">
        <f t="array" ref="W637">IF($A637="","",XLOOKUP($J637,Lists!$C$3:$C$7,Lists!$D$3:$D$7,1))</f>
        <v>1</v>
      </c>
      <c r="X637" s="12">
        <f>IF($A637="","",IF($I637="Yes",Settings!$J$10,1))</f>
        <v>1</v>
      </c>
      <c r="Y637" s="12">
        <f t="shared" si="2"/>
        <v>1</v>
      </c>
      <c r="Z637" s="12">
        <f>IF($A637="","",IFERROR(ROUND(AVERAGEIFS('Historical Drafts'!$G$4:$G$300,'Historical Drafts'!$D$4:$D$300,$E637,'Historical Drafts'!$J$4:$J$300,"&gt;="&amp;$L637*0.85,'Historical Drafts'!$J$4:$J$300,"&lt;="&amp;$L637*1.15),0),$Y637))</f>
        <v>1</v>
      </c>
      <c r="AA637" s="12" t="str">
        <f>IF($A637="","",IF(COUNTIF('Auction Log'!$B$3:$B$300,$A637)&gt;0,"Sold","Available"))</f>
        <v>Available</v>
      </c>
      <c r="AB637" s="12" t="str">
        <f t="array" ref="AB637">IF($A637="","",IFERROR(XLOOKUP($A637,'Auction Log'!$B$3:$B$300,'Auction Log'!$G$3:$G$300,""),""))</f>
        <v/>
      </c>
      <c r="AC637" s="12" t="str">
        <f t="array" ref="AC637">IF($A637="","",IFERROR(XLOOKUP($A637,'Auction Log'!$B$3:$B$300,'Auction Log'!$F$3:$F$300,""),""))</f>
        <v/>
      </c>
      <c r="AD637" s="12">
        <f t="array" ref="AD637">IF($A637="","",ROUND($Y637*XLOOKUP($F637,Settings!$I$15:$I$20,Settings!$K$15:$K$20,0.4),0))</f>
        <v>0</v>
      </c>
      <c r="AE637" s="12">
        <f t="array" ref="AE637">IF($A637="","",ROUND($Y637*XLOOKUP($F637,Settings!$I$15:$I$20,Settings!$L$15:$L$20,0.8),0))</f>
        <v>1</v>
      </c>
      <c r="AF637" s="12">
        <f t="array" ref="AF637">IF($A637="","",ROUND($Y637*XLOOKUP($F637,Settings!$I$15:$I$20,Settings!$M$15:$M$20,1),0))</f>
        <v>1</v>
      </c>
      <c r="AG637" s="12">
        <f t="array" ref="AG637">IF($A637="","",ROUND($Y637*XLOOKUP($F637,Settings!$I$15:$I$20,Settings!$N$15:$N$20,1.1),0))</f>
        <v>1</v>
      </c>
      <c r="AH637" s="12">
        <f t="array" ref="AH637">IF($A637="","",ROUND($Y637*XLOOKUP($F637,Settings!$I$15:$I$20,Settings!$O$15:$O$20,1.1)*Settings!$J$7,0))</f>
        <v>1</v>
      </c>
      <c r="AI637" s="12">
        <f t="array" ref="AI637">IF($A637="","",IF($AA637="Sold","",MIN($AH637,IFERROR(XLOOKUP(Settings!$B$12,Managers!$B$4:$B$15,Managers!$H$4:$H$15),$AH637))))</f>
        <v>1</v>
      </c>
      <c r="AJ637" s="12" t="str">
        <f t="shared" si="3"/>
        <v>Recommended</v>
      </c>
      <c r="AK637" s="12">
        <f t="shared" si="4"/>
        <v>26</v>
      </c>
      <c r="AL637" s="12" t="str">
        <f t="shared" si="5"/>
        <v/>
      </c>
    </row>
    <row r="638" ht="15.75" customHeight="1">
      <c r="A638" s="10" t="s">
        <v>1557</v>
      </c>
      <c r="B638" s="10" t="s">
        <v>1558</v>
      </c>
      <c r="C638" s="10" t="s">
        <v>305</v>
      </c>
      <c r="D638" s="10" t="s">
        <v>123</v>
      </c>
      <c r="E638" s="10" t="s">
        <v>123</v>
      </c>
      <c r="F638" s="10" t="s">
        <v>117</v>
      </c>
      <c r="G638" s="10">
        <v>5.0</v>
      </c>
      <c r="H638" s="10">
        <v>7.0</v>
      </c>
      <c r="I638" s="10" t="s">
        <v>2140</v>
      </c>
      <c r="J638" s="10" t="s">
        <v>2136</v>
      </c>
      <c r="K638" s="10"/>
      <c r="L638" s="10">
        <v>0.0</v>
      </c>
      <c r="M638" s="10">
        <v>0.0</v>
      </c>
      <c r="N638" s="10"/>
      <c r="O638" s="10"/>
      <c r="P638" s="12">
        <f>IF($A638="","",IFERROR((IF($O638="",0,$O638)*Settings!$J$4+IF($L638="",0,$L638)*Settings!$J$5+IF($N638="",0,$N638)*Settings!$J$6)/(IF($O638="",0,Settings!$J$4)+IF($L638="",0,Settings!$J$5)+IF($N638="",0,Settings!$J$6)),0))</f>
        <v>0</v>
      </c>
      <c r="Q638" s="12">
        <f t="array" ref="Q638">IF($A638="","",XLOOKUP($E638,Settings!$A$19:$A$22,Settings!$G$19:$G$22,0))</f>
        <v>203</v>
      </c>
      <c r="R638" s="12">
        <f t="shared" si="1"/>
        <v>0</v>
      </c>
      <c r="S638" s="12">
        <f>IF($A638="","",IF($R638&lt;=0,1,1+$R638/SUMIF($R$4:$R$923,"&gt;0",$R$4:$R$923)*(Settings!$B$5*(Settings!$B$6-Settings!$B$7))))</f>
        <v>1</v>
      </c>
      <c r="T638" s="12">
        <f t="array" ref="T638">IF($A638="","",XLOOKUP($F638,Settings!$I$15:$I$20,Settings!$J$15:$J$20,1))</f>
        <v>0.75</v>
      </c>
      <c r="U638" s="12">
        <f>IF($A638="","",1+(($G638-5)/5)*Settings!$J$8)</f>
        <v>1</v>
      </c>
      <c r="V638" s="12">
        <f>IF($A638="","",1+(($H638-5)/5)*Settings!$J$9)</f>
        <v>1.06</v>
      </c>
      <c r="W638" s="12">
        <f t="array" ref="W638">IF($A638="","",XLOOKUP($J638,Lists!$C$3:$C$7,Lists!$D$3:$D$7,1))</f>
        <v>1</v>
      </c>
      <c r="X638" s="12">
        <f>IF($A638="","",IF($I638="Yes",Settings!$J$10,1))</f>
        <v>1</v>
      </c>
      <c r="Y638" s="12">
        <f t="shared" si="2"/>
        <v>1</v>
      </c>
      <c r="Z638" s="12">
        <f>IF($A638="","",IFERROR(ROUND(AVERAGEIFS('Historical Drafts'!$G$4:$G$300,'Historical Drafts'!$D$4:$D$300,$E638,'Historical Drafts'!$J$4:$J$300,"&gt;="&amp;$L638*0.85,'Historical Drafts'!$J$4:$J$300,"&lt;="&amp;$L638*1.15),0),$Y638))</f>
        <v>3</v>
      </c>
      <c r="AA638" s="12" t="str">
        <f>IF($A638="","",IF(COUNTIF('Auction Log'!$B$3:$B$300,$A638)&gt;0,"Sold","Available"))</f>
        <v>Available</v>
      </c>
      <c r="AB638" s="12" t="str">
        <f t="array" ref="AB638">IF($A638="","",IFERROR(XLOOKUP($A638,'Auction Log'!$B$3:$B$300,'Auction Log'!$G$3:$G$300,""),""))</f>
        <v/>
      </c>
      <c r="AC638" s="12" t="str">
        <f t="array" ref="AC638">IF($A638="","",IFERROR(XLOOKUP($A638,'Auction Log'!$B$3:$B$300,'Auction Log'!$F$3:$F$300,""),""))</f>
        <v/>
      </c>
      <c r="AD638" s="12">
        <f t="array" ref="AD638">IF($A638="","",ROUND($Y638*XLOOKUP($F638,Settings!$I$15:$I$20,Settings!$K$15:$K$20,0.4),0))</f>
        <v>0</v>
      </c>
      <c r="AE638" s="12">
        <f t="array" ref="AE638">IF($A638="","",ROUND($Y638*XLOOKUP($F638,Settings!$I$15:$I$20,Settings!$L$15:$L$20,0.8),0))</f>
        <v>1</v>
      </c>
      <c r="AF638" s="12">
        <f t="array" ref="AF638">IF($A638="","",ROUND($Y638*XLOOKUP($F638,Settings!$I$15:$I$20,Settings!$M$15:$M$20,1),0))</f>
        <v>1</v>
      </c>
      <c r="AG638" s="12">
        <f t="array" ref="AG638">IF($A638="","",ROUND($Y638*XLOOKUP($F638,Settings!$I$15:$I$20,Settings!$N$15:$N$20,1.1),0))</f>
        <v>1</v>
      </c>
      <c r="AH638" s="12">
        <f t="array" ref="AH638">IF($A638="","",ROUND($Y638*XLOOKUP($F638,Settings!$I$15:$I$20,Settings!$O$15:$O$20,1.1)*Settings!$J$7,0))</f>
        <v>1</v>
      </c>
      <c r="AI638" s="12">
        <f t="array" ref="AI638">IF($A638="","",IF($AA638="Sold","",MIN($AH638,IFERROR(XLOOKUP(Settings!$B$12,Managers!$B$4:$B$15,Managers!$H$4:$H$15),$AH638))))</f>
        <v>1</v>
      </c>
      <c r="AJ638" s="12" t="str">
        <f t="shared" si="3"/>
        <v>Budget Drainer</v>
      </c>
      <c r="AK638" s="12">
        <f t="shared" si="4"/>
        <v>28</v>
      </c>
      <c r="AL638" s="12" t="str">
        <f t="shared" si="5"/>
        <v/>
      </c>
    </row>
    <row r="639" ht="15.75" customHeight="1">
      <c r="A639" s="10" t="s">
        <v>1559</v>
      </c>
      <c r="B639" s="10" t="s">
        <v>1560</v>
      </c>
      <c r="C639" s="10" t="s">
        <v>215</v>
      </c>
      <c r="D639" s="10" t="s">
        <v>118</v>
      </c>
      <c r="E639" s="10" t="s">
        <v>118</v>
      </c>
      <c r="F639" s="10" t="s">
        <v>117</v>
      </c>
      <c r="G639" s="10">
        <v>5.0</v>
      </c>
      <c r="H639" s="10">
        <v>7.0</v>
      </c>
      <c r="I639" s="10" t="s">
        <v>2140</v>
      </c>
      <c r="J639" s="10" t="s">
        <v>2136</v>
      </c>
      <c r="K639" s="10"/>
      <c r="L639" s="10">
        <v>0.0</v>
      </c>
      <c r="M639" s="10">
        <v>0.0</v>
      </c>
      <c r="N639" s="10"/>
      <c r="O639" s="10"/>
      <c r="P639" s="12">
        <f>IF($A639="","",IFERROR((IF($O639="",0,$O639)*Settings!$J$4+IF($L639="",0,$L639)*Settings!$J$5+IF($N639="",0,$N639)*Settings!$J$6)/(IF($O639="",0,Settings!$J$4)+IF($L639="",0,Settings!$J$5)+IF($N639="",0,Settings!$J$6)),0))</f>
        <v>0</v>
      </c>
      <c r="Q639" s="12">
        <f t="array" ref="Q639">IF($A639="","",XLOOKUP($E639,Settings!$A$19:$A$22,Settings!$G$19:$G$22,0))</f>
        <v>196.25</v>
      </c>
      <c r="R639" s="12">
        <f t="shared" si="1"/>
        <v>0</v>
      </c>
      <c r="S639" s="12">
        <f>IF($A639="","",IF($R639&lt;=0,1,1+$R639/SUMIF($R$4:$R$923,"&gt;0",$R$4:$R$923)*(Settings!$B$5*(Settings!$B$6-Settings!$B$7))))</f>
        <v>1</v>
      </c>
      <c r="T639" s="12">
        <f t="array" ref="T639">IF($A639="","",XLOOKUP($F639,Settings!$I$15:$I$20,Settings!$J$15:$J$20,1))</f>
        <v>0.75</v>
      </c>
      <c r="U639" s="12">
        <f>IF($A639="","",1+(($G639-5)/5)*Settings!$J$8)</f>
        <v>1</v>
      </c>
      <c r="V639" s="12">
        <f>IF($A639="","",1+(($H639-5)/5)*Settings!$J$9)</f>
        <v>1.06</v>
      </c>
      <c r="W639" s="12">
        <f t="array" ref="W639">IF($A639="","",XLOOKUP($J639,Lists!$C$3:$C$7,Lists!$D$3:$D$7,1))</f>
        <v>1</v>
      </c>
      <c r="X639" s="12">
        <f>IF($A639="","",IF($I639="Yes",Settings!$J$10,1))</f>
        <v>1</v>
      </c>
      <c r="Y639" s="12">
        <f t="shared" si="2"/>
        <v>1</v>
      </c>
      <c r="Z639" s="12">
        <f>IF($A639="","",IFERROR(ROUND(AVERAGEIFS('Historical Drafts'!$G$4:$G$300,'Historical Drafts'!$D$4:$D$300,$E639,'Historical Drafts'!$J$4:$J$300,"&gt;="&amp;$L639*0.85,'Historical Drafts'!$J$4:$J$300,"&lt;="&amp;$L639*1.15),0),$Y639))</f>
        <v>1</v>
      </c>
      <c r="AA639" s="12" t="str">
        <f>IF($A639="","",IF(COUNTIF('Auction Log'!$B$3:$B$300,$A639)&gt;0,"Sold","Available"))</f>
        <v>Available</v>
      </c>
      <c r="AB639" s="12" t="str">
        <f t="array" ref="AB639">IF($A639="","",IFERROR(XLOOKUP($A639,'Auction Log'!$B$3:$B$300,'Auction Log'!$G$3:$G$300,""),""))</f>
        <v/>
      </c>
      <c r="AC639" s="12" t="str">
        <f t="array" ref="AC639">IF($A639="","",IFERROR(XLOOKUP($A639,'Auction Log'!$B$3:$B$300,'Auction Log'!$F$3:$F$300,""),""))</f>
        <v/>
      </c>
      <c r="AD639" s="12">
        <f t="array" ref="AD639">IF($A639="","",ROUND($Y639*XLOOKUP($F639,Settings!$I$15:$I$20,Settings!$K$15:$K$20,0.4),0))</f>
        <v>0</v>
      </c>
      <c r="AE639" s="12">
        <f t="array" ref="AE639">IF($A639="","",ROUND($Y639*XLOOKUP($F639,Settings!$I$15:$I$20,Settings!$L$15:$L$20,0.8),0))</f>
        <v>1</v>
      </c>
      <c r="AF639" s="12">
        <f t="array" ref="AF639">IF($A639="","",ROUND($Y639*XLOOKUP($F639,Settings!$I$15:$I$20,Settings!$M$15:$M$20,1),0))</f>
        <v>1</v>
      </c>
      <c r="AG639" s="12">
        <f t="array" ref="AG639">IF($A639="","",ROUND($Y639*XLOOKUP($F639,Settings!$I$15:$I$20,Settings!$N$15:$N$20,1.1),0))</f>
        <v>1</v>
      </c>
      <c r="AH639" s="12">
        <f t="array" ref="AH639">IF($A639="","",ROUND($Y639*XLOOKUP($F639,Settings!$I$15:$I$20,Settings!$O$15:$O$20,1.1)*Settings!$J$7,0))</f>
        <v>1</v>
      </c>
      <c r="AI639" s="12">
        <f t="array" ref="AI639">IF($A639="","",IF($AA639="Sold","",MIN($AH639,IFERROR(XLOOKUP(Settings!$B$12,Managers!$B$4:$B$15,Managers!$H$4:$H$15),$AH639))))</f>
        <v>1</v>
      </c>
      <c r="AJ639" s="12" t="str">
        <f t="shared" si="3"/>
        <v>Recommended</v>
      </c>
      <c r="AK639" s="12">
        <f t="shared" si="4"/>
        <v>26</v>
      </c>
      <c r="AL639" s="12" t="str">
        <f t="shared" si="5"/>
        <v/>
      </c>
    </row>
    <row r="640" ht="15.75" customHeight="1">
      <c r="A640" s="10" t="s">
        <v>1561</v>
      </c>
      <c r="B640" s="10" t="s">
        <v>1562</v>
      </c>
      <c r="C640" s="10" t="s">
        <v>387</v>
      </c>
      <c r="D640" s="10" t="s">
        <v>123</v>
      </c>
      <c r="E640" s="10" t="s">
        <v>123</v>
      </c>
      <c r="F640" s="10" t="s">
        <v>117</v>
      </c>
      <c r="G640" s="10">
        <v>5.0</v>
      </c>
      <c r="H640" s="10">
        <v>7.0</v>
      </c>
      <c r="I640" s="10" t="s">
        <v>2140</v>
      </c>
      <c r="J640" s="10" t="s">
        <v>2136</v>
      </c>
      <c r="K640" s="10"/>
      <c r="L640" s="10">
        <v>0.0</v>
      </c>
      <c r="M640" s="10">
        <v>0.0</v>
      </c>
      <c r="N640" s="10"/>
      <c r="O640" s="10"/>
      <c r="P640" s="12">
        <f>IF($A640="","",IFERROR((IF($O640="",0,$O640)*Settings!$J$4+IF($L640="",0,$L640)*Settings!$J$5+IF($N640="",0,$N640)*Settings!$J$6)/(IF($O640="",0,Settings!$J$4)+IF($L640="",0,Settings!$J$5)+IF($N640="",0,Settings!$J$6)),0))</f>
        <v>0</v>
      </c>
      <c r="Q640" s="12">
        <f t="array" ref="Q640">IF($A640="","",XLOOKUP($E640,Settings!$A$19:$A$22,Settings!$G$19:$G$22,0))</f>
        <v>203</v>
      </c>
      <c r="R640" s="12">
        <f t="shared" si="1"/>
        <v>0</v>
      </c>
      <c r="S640" s="12">
        <f>IF($A640="","",IF($R640&lt;=0,1,1+$R640/SUMIF($R$4:$R$923,"&gt;0",$R$4:$R$923)*(Settings!$B$5*(Settings!$B$6-Settings!$B$7))))</f>
        <v>1</v>
      </c>
      <c r="T640" s="12">
        <f t="array" ref="T640">IF($A640="","",XLOOKUP($F640,Settings!$I$15:$I$20,Settings!$J$15:$J$20,1))</f>
        <v>0.75</v>
      </c>
      <c r="U640" s="12">
        <f>IF($A640="","",1+(($G640-5)/5)*Settings!$J$8)</f>
        <v>1</v>
      </c>
      <c r="V640" s="12">
        <f>IF($A640="","",1+(($H640-5)/5)*Settings!$J$9)</f>
        <v>1.06</v>
      </c>
      <c r="W640" s="12">
        <f t="array" ref="W640">IF($A640="","",XLOOKUP($J640,Lists!$C$3:$C$7,Lists!$D$3:$D$7,1))</f>
        <v>1</v>
      </c>
      <c r="X640" s="12">
        <f>IF($A640="","",IF($I640="Yes",Settings!$J$10,1))</f>
        <v>1</v>
      </c>
      <c r="Y640" s="12">
        <f t="shared" si="2"/>
        <v>1</v>
      </c>
      <c r="Z640" s="12">
        <f>IF($A640="","",IFERROR(ROUND(AVERAGEIFS('Historical Drafts'!$G$4:$G$300,'Historical Drafts'!$D$4:$D$300,$E640,'Historical Drafts'!$J$4:$J$300,"&gt;="&amp;$L640*0.85,'Historical Drafts'!$J$4:$J$300,"&lt;="&amp;$L640*1.15),0),$Y640))</f>
        <v>3</v>
      </c>
      <c r="AA640" s="12" t="str">
        <f>IF($A640="","",IF(COUNTIF('Auction Log'!$B$3:$B$300,$A640)&gt;0,"Sold","Available"))</f>
        <v>Available</v>
      </c>
      <c r="AB640" s="12" t="str">
        <f t="array" ref="AB640">IF($A640="","",IFERROR(XLOOKUP($A640,'Auction Log'!$B$3:$B$300,'Auction Log'!$G$3:$G$300,""),""))</f>
        <v/>
      </c>
      <c r="AC640" s="12" t="str">
        <f t="array" ref="AC640">IF($A640="","",IFERROR(XLOOKUP($A640,'Auction Log'!$B$3:$B$300,'Auction Log'!$F$3:$F$300,""),""))</f>
        <v/>
      </c>
      <c r="AD640" s="12">
        <f t="array" ref="AD640">IF($A640="","",ROUND($Y640*XLOOKUP($F640,Settings!$I$15:$I$20,Settings!$K$15:$K$20,0.4),0))</f>
        <v>0</v>
      </c>
      <c r="AE640" s="12">
        <f t="array" ref="AE640">IF($A640="","",ROUND($Y640*XLOOKUP($F640,Settings!$I$15:$I$20,Settings!$L$15:$L$20,0.8),0))</f>
        <v>1</v>
      </c>
      <c r="AF640" s="12">
        <f t="array" ref="AF640">IF($A640="","",ROUND($Y640*XLOOKUP($F640,Settings!$I$15:$I$20,Settings!$M$15:$M$20,1),0))</f>
        <v>1</v>
      </c>
      <c r="AG640" s="12">
        <f t="array" ref="AG640">IF($A640="","",ROUND($Y640*XLOOKUP($F640,Settings!$I$15:$I$20,Settings!$N$15:$N$20,1.1),0))</f>
        <v>1</v>
      </c>
      <c r="AH640" s="12">
        <f t="array" ref="AH640">IF($A640="","",ROUND($Y640*XLOOKUP($F640,Settings!$I$15:$I$20,Settings!$O$15:$O$20,1.1)*Settings!$J$7,0))</f>
        <v>1</v>
      </c>
      <c r="AI640" s="12">
        <f t="array" ref="AI640">IF($A640="","",IF($AA640="Sold","",MIN($AH640,IFERROR(XLOOKUP(Settings!$B$12,Managers!$B$4:$B$15,Managers!$H$4:$H$15),$AH640))))</f>
        <v>1</v>
      </c>
      <c r="AJ640" s="12" t="str">
        <f t="shared" si="3"/>
        <v>Budget Drainer</v>
      </c>
      <c r="AK640" s="12">
        <f t="shared" si="4"/>
        <v>28</v>
      </c>
      <c r="AL640" s="12" t="str">
        <f t="shared" si="5"/>
        <v/>
      </c>
    </row>
    <row r="641" ht="15.75" customHeight="1">
      <c r="A641" s="10" t="s">
        <v>1563</v>
      </c>
      <c r="B641" s="10" t="s">
        <v>1564</v>
      </c>
      <c r="C641" s="10" t="s">
        <v>221</v>
      </c>
      <c r="D641" s="10" t="s">
        <v>115</v>
      </c>
      <c r="E641" s="10" t="s">
        <v>115</v>
      </c>
      <c r="F641" s="10" t="s">
        <v>117</v>
      </c>
      <c r="G641" s="10">
        <v>5.0</v>
      </c>
      <c r="H641" s="10">
        <v>7.0</v>
      </c>
      <c r="I641" s="10" t="s">
        <v>2140</v>
      </c>
      <c r="J641" s="10" t="s">
        <v>2136</v>
      </c>
      <c r="K641" s="10"/>
      <c r="L641" s="10">
        <v>0.0</v>
      </c>
      <c r="M641" s="10">
        <v>0.0</v>
      </c>
      <c r="N641" s="10"/>
      <c r="O641" s="10"/>
      <c r="P641" s="12">
        <f>IF($A641="","",IFERROR((IF($O641="",0,$O641)*Settings!$J$4+IF($L641="",0,$L641)*Settings!$J$5+IF($N641="",0,$N641)*Settings!$J$6)/(IF($O641="",0,Settings!$J$4)+IF($L641="",0,Settings!$J$5)+IF($N641="",0,Settings!$J$6)),0))</f>
        <v>0</v>
      </c>
      <c r="Q641" s="12">
        <f t="array" ref="Q641">IF($A641="","",XLOOKUP($E641,Settings!$A$19:$A$22,Settings!$G$19:$G$22,0))</f>
        <v>249.25</v>
      </c>
      <c r="R641" s="12">
        <f t="shared" si="1"/>
        <v>0</v>
      </c>
      <c r="S641" s="12">
        <f>IF($A641="","",IF($R641&lt;=0,1,1+$R641/SUMIF($R$4:$R$923,"&gt;0",$R$4:$R$923)*(Settings!$B$5*(Settings!$B$6-Settings!$B$7))))</f>
        <v>1</v>
      </c>
      <c r="T641" s="12">
        <f t="array" ref="T641">IF($A641="","",XLOOKUP($F641,Settings!$I$15:$I$20,Settings!$J$15:$J$20,1))</f>
        <v>0.75</v>
      </c>
      <c r="U641" s="12">
        <f>IF($A641="","",1+(($G641-5)/5)*Settings!$J$8)</f>
        <v>1</v>
      </c>
      <c r="V641" s="12">
        <f>IF($A641="","",1+(($H641-5)/5)*Settings!$J$9)</f>
        <v>1.06</v>
      </c>
      <c r="W641" s="12">
        <f t="array" ref="W641">IF($A641="","",XLOOKUP($J641,Lists!$C$3:$C$7,Lists!$D$3:$D$7,1))</f>
        <v>1</v>
      </c>
      <c r="X641" s="12">
        <f>IF($A641="","",IF($I641="Yes",Settings!$J$10,1))</f>
        <v>1</v>
      </c>
      <c r="Y641" s="12">
        <f t="shared" si="2"/>
        <v>1</v>
      </c>
      <c r="Z641" s="12">
        <f>IF($A641="","",IFERROR(ROUND(AVERAGEIFS('Historical Drafts'!$G$4:$G$300,'Historical Drafts'!$D$4:$D$300,$E641,'Historical Drafts'!$J$4:$J$300,"&gt;="&amp;$L641*0.85,'Historical Drafts'!$J$4:$J$300,"&lt;="&amp;$L641*1.15),0),$Y641))</f>
        <v>1</v>
      </c>
      <c r="AA641" s="12" t="str">
        <f>IF($A641="","",IF(COUNTIF('Auction Log'!$B$3:$B$300,$A641)&gt;0,"Sold","Available"))</f>
        <v>Available</v>
      </c>
      <c r="AB641" s="12" t="str">
        <f t="array" ref="AB641">IF($A641="","",IFERROR(XLOOKUP($A641,'Auction Log'!$B$3:$B$300,'Auction Log'!$G$3:$G$300,""),""))</f>
        <v/>
      </c>
      <c r="AC641" s="12" t="str">
        <f t="array" ref="AC641">IF($A641="","",IFERROR(XLOOKUP($A641,'Auction Log'!$B$3:$B$300,'Auction Log'!$F$3:$F$300,""),""))</f>
        <v/>
      </c>
      <c r="AD641" s="12">
        <f t="array" ref="AD641">IF($A641="","",ROUND($Y641*XLOOKUP($F641,Settings!$I$15:$I$20,Settings!$K$15:$K$20,0.4),0))</f>
        <v>0</v>
      </c>
      <c r="AE641" s="12">
        <f t="array" ref="AE641">IF($A641="","",ROUND($Y641*XLOOKUP($F641,Settings!$I$15:$I$20,Settings!$L$15:$L$20,0.8),0))</f>
        <v>1</v>
      </c>
      <c r="AF641" s="12">
        <f t="array" ref="AF641">IF($A641="","",ROUND($Y641*XLOOKUP($F641,Settings!$I$15:$I$20,Settings!$M$15:$M$20,1),0))</f>
        <v>1</v>
      </c>
      <c r="AG641" s="12">
        <f t="array" ref="AG641">IF($A641="","",ROUND($Y641*XLOOKUP($F641,Settings!$I$15:$I$20,Settings!$N$15:$N$20,1.1),0))</f>
        <v>1</v>
      </c>
      <c r="AH641" s="12">
        <f t="array" ref="AH641">IF($A641="","",ROUND($Y641*XLOOKUP($F641,Settings!$I$15:$I$20,Settings!$O$15:$O$20,1.1)*Settings!$J$7,0))</f>
        <v>1</v>
      </c>
      <c r="AI641" s="12">
        <f t="array" ref="AI641">IF($A641="","",IF($AA641="Sold","",MIN($AH641,IFERROR(XLOOKUP(Settings!$B$12,Managers!$B$4:$B$15,Managers!$H$4:$H$15),$AH641))))</f>
        <v>1</v>
      </c>
      <c r="AJ641" s="12" t="str">
        <f t="shared" si="3"/>
        <v>Recommended</v>
      </c>
      <c r="AK641" s="12">
        <f t="shared" si="4"/>
        <v>26</v>
      </c>
      <c r="AL641" s="12" t="str">
        <f t="shared" si="5"/>
        <v/>
      </c>
    </row>
    <row r="642" ht="15.75" customHeight="1">
      <c r="A642" s="10" t="s">
        <v>1565</v>
      </c>
      <c r="B642" s="10" t="s">
        <v>1566</v>
      </c>
      <c r="C642" s="10" t="s">
        <v>177</v>
      </c>
      <c r="D642" s="10" t="s">
        <v>123</v>
      </c>
      <c r="E642" s="10" t="s">
        <v>123</v>
      </c>
      <c r="F642" s="10" t="s">
        <v>117</v>
      </c>
      <c r="G642" s="10">
        <v>5.0</v>
      </c>
      <c r="H642" s="10">
        <v>7.0</v>
      </c>
      <c r="I642" s="10" t="s">
        <v>2140</v>
      </c>
      <c r="J642" s="10" t="s">
        <v>2136</v>
      </c>
      <c r="K642" s="10"/>
      <c r="L642" s="10">
        <v>0.0</v>
      </c>
      <c r="M642" s="10">
        <v>0.0</v>
      </c>
      <c r="N642" s="10"/>
      <c r="O642" s="10"/>
      <c r="P642" s="12">
        <f>IF($A642="","",IFERROR((IF($O642="",0,$O642)*Settings!$J$4+IF($L642="",0,$L642)*Settings!$J$5+IF($N642="",0,$N642)*Settings!$J$6)/(IF($O642="",0,Settings!$J$4)+IF($L642="",0,Settings!$J$5)+IF($N642="",0,Settings!$J$6)),0))</f>
        <v>0</v>
      </c>
      <c r="Q642" s="12">
        <f t="array" ref="Q642">IF($A642="","",XLOOKUP($E642,Settings!$A$19:$A$22,Settings!$G$19:$G$22,0))</f>
        <v>203</v>
      </c>
      <c r="R642" s="12">
        <f t="shared" si="1"/>
        <v>0</v>
      </c>
      <c r="S642" s="12">
        <f>IF($A642="","",IF($R642&lt;=0,1,1+$R642/SUMIF($R$4:$R$923,"&gt;0",$R$4:$R$923)*(Settings!$B$5*(Settings!$B$6-Settings!$B$7))))</f>
        <v>1</v>
      </c>
      <c r="T642" s="12">
        <f t="array" ref="T642">IF($A642="","",XLOOKUP($F642,Settings!$I$15:$I$20,Settings!$J$15:$J$20,1))</f>
        <v>0.75</v>
      </c>
      <c r="U642" s="12">
        <f>IF($A642="","",1+(($G642-5)/5)*Settings!$J$8)</f>
        <v>1</v>
      </c>
      <c r="V642" s="12">
        <f>IF($A642="","",1+(($H642-5)/5)*Settings!$J$9)</f>
        <v>1.06</v>
      </c>
      <c r="W642" s="12">
        <f t="array" ref="W642">IF($A642="","",XLOOKUP($J642,Lists!$C$3:$C$7,Lists!$D$3:$D$7,1))</f>
        <v>1</v>
      </c>
      <c r="X642" s="12">
        <f>IF($A642="","",IF($I642="Yes",Settings!$J$10,1))</f>
        <v>1</v>
      </c>
      <c r="Y642" s="12">
        <f t="shared" si="2"/>
        <v>1</v>
      </c>
      <c r="Z642" s="12">
        <f>IF($A642="","",IFERROR(ROUND(AVERAGEIFS('Historical Drafts'!$G$4:$G$300,'Historical Drafts'!$D$4:$D$300,$E642,'Historical Drafts'!$J$4:$J$300,"&gt;="&amp;$L642*0.85,'Historical Drafts'!$J$4:$J$300,"&lt;="&amp;$L642*1.15),0),$Y642))</f>
        <v>3</v>
      </c>
      <c r="AA642" s="12" t="str">
        <f>IF($A642="","",IF(COUNTIF('Auction Log'!$B$3:$B$300,$A642)&gt;0,"Sold","Available"))</f>
        <v>Available</v>
      </c>
      <c r="AB642" s="12" t="str">
        <f t="array" ref="AB642">IF($A642="","",IFERROR(XLOOKUP($A642,'Auction Log'!$B$3:$B$300,'Auction Log'!$G$3:$G$300,""),""))</f>
        <v/>
      </c>
      <c r="AC642" s="12" t="str">
        <f t="array" ref="AC642">IF($A642="","",IFERROR(XLOOKUP($A642,'Auction Log'!$B$3:$B$300,'Auction Log'!$F$3:$F$300,""),""))</f>
        <v/>
      </c>
      <c r="AD642" s="12">
        <f t="array" ref="AD642">IF($A642="","",ROUND($Y642*XLOOKUP($F642,Settings!$I$15:$I$20,Settings!$K$15:$K$20,0.4),0))</f>
        <v>0</v>
      </c>
      <c r="AE642" s="12">
        <f t="array" ref="AE642">IF($A642="","",ROUND($Y642*XLOOKUP($F642,Settings!$I$15:$I$20,Settings!$L$15:$L$20,0.8),0))</f>
        <v>1</v>
      </c>
      <c r="AF642" s="12">
        <f t="array" ref="AF642">IF($A642="","",ROUND($Y642*XLOOKUP($F642,Settings!$I$15:$I$20,Settings!$M$15:$M$20,1),0))</f>
        <v>1</v>
      </c>
      <c r="AG642" s="12">
        <f t="array" ref="AG642">IF($A642="","",ROUND($Y642*XLOOKUP($F642,Settings!$I$15:$I$20,Settings!$N$15:$N$20,1.1),0))</f>
        <v>1</v>
      </c>
      <c r="AH642" s="12">
        <f t="array" ref="AH642">IF($A642="","",ROUND($Y642*XLOOKUP($F642,Settings!$I$15:$I$20,Settings!$O$15:$O$20,1.1)*Settings!$J$7,0))</f>
        <v>1</v>
      </c>
      <c r="AI642" s="12">
        <f t="array" ref="AI642">IF($A642="","",IF($AA642="Sold","",MIN($AH642,IFERROR(XLOOKUP(Settings!$B$12,Managers!$B$4:$B$15,Managers!$H$4:$H$15),$AH642))))</f>
        <v>1</v>
      </c>
      <c r="AJ642" s="12" t="str">
        <f t="shared" si="3"/>
        <v>Budget Drainer</v>
      </c>
      <c r="AK642" s="12">
        <f t="shared" si="4"/>
        <v>28</v>
      </c>
      <c r="AL642" s="12" t="str">
        <f t="shared" si="5"/>
        <v/>
      </c>
    </row>
    <row r="643" ht="15.75" customHeight="1">
      <c r="A643" s="10" t="s">
        <v>1567</v>
      </c>
      <c r="B643" s="10" t="s">
        <v>1568</v>
      </c>
      <c r="C643" s="10" t="s">
        <v>387</v>
      </c>
      <c r="D643" s="10" t="s">
        <v>115</v>
      </c>
      <c r="E643" s="10" t="s">
        <v>115</v>
      </c>
      <c r="F643" s="10" t="s">
        <v>117</v>
      </c>
      <c r="G643" s="10">
        <v>5.0</v>
      </c>
      <c r="H643" s="10">
        <v>7.0</v>
      </c>
      <c r="I643" s="10" t="s">
        <v>2140</v>
      </c>
      <c r="J643" s="10" t="s">
        <v>2136</v>
      </c>
      <c r="K643" s="10"/>
      <c r="L643" s="10">
        <v>0.0</v>
      </c>
      <c r="M643" s="10">
        <v>0.0</v>
      </c>
      <c r="N643" s="10"/>
      <c r="O643" s="10"/>
      <c r="P643" s="12">
        <f>IF($A643="","",IFERROR((IF($O643="",0,$O643)*Settings!$J$4+IF($L643="",0,$L643)*Settings!$J$5+IF($N643="",0,$N643)*Settings!$J$6)/(IF($O643="",0,Settings!$J$4)+IF($L643="",0,Settings!$J$5)+IF($N643="",0,Settings!$J$6)),0))</f>
        <v>0</v>
      </c>
      <c r="Q643" s="12">
        <f t="array" ref="Q643">IF($A643="","",XLOOKUP($E643,Settings!$A$19:$A$22,Settings!$G$19:$G$22,0))</f>
        <v>249.25</v>
      </c>
      <c r="R643" s="12">
        <f t="shared" si="1"/>
        <v>0</v>
      </c>
      <c r="S643" s="12">
        <f>IF($A643="","",IF($R643&lt;=0,1,1+$R643/SUMIF($R$4:$R$923,"&gt;0",$R$4:$R$923)*(Settings!$B$5*(Settings!$B$6-Settings!$B$7))))</f>
        <v>1</v>
      </c>
      <c r="T643" s="12">
        <f t="array" ref="T643">IF($A643="","",XLOOKUP($F643,Settings!$I$15:$I$20,Settings!$J$15:$J$20,1))</f>
        <v>0.75</v>
      </c>
      <c r="U643" s="12">
        <f>IF($A643="","",1+(($G643-5)/5)*Settings!$J$8)</f>
        <v>1</v>
      </c>
      <c r="V643" s="12">
        <f>IF($A643="","",1+(($H643-5)/5)*Settings!$J$9)</f>
        <v>1.06</v>
      </c>
      <c r="W643" s="12">
        <f t="array" ref="W643">IF($A643="","",XLOOKUP($J643,Lists!$C$3:$C$7,Lists!$D$3:$D$7,1))</f>
        <v>1</v>
      </c>
      <c r="X643" s="12">
        <f>IF($A643="","",IF($I643="Yes",Settings!$J$10,1))</f>
        <v>1</v>
      </c>
      <c r="Y643" s="12">
        <f t="shared" si="2"/>
        <v>1</v>
      </c>
      <c r="Z643" s="12">
        <f>IF($A643="","",IFERROR(ROUND(AVERAGEIFS('Historical Drafts'!$G$4:$G$300,'Historical Drafts'!$D$4:$D$300,$E643,'Historical Drafts'!$J$4:$J$300,"&gt;="&amp;$L643*0.85,'Historical Drafts'!$J$4:$J$300,"&lt;="&amp;$L643*1.15),0),$Y643))</f>
        <v>1</v>
      </c>
      <c r="AA643" s="12" t="str">
        <f>IF($A643="","",IF(COUNTIF('Auction Log'!$B$3:$B$300,$A643)&gt;0,"Sold","Available"))</f>
        <v>Available</v>
      </c>
      <c r="AB643" s="12" t="str">
        <f t="array" ref="AB643">IF($A643="","",IFERROR(XLOOKUP($A643,'Auction Log'!$B$3:$B$300,'Auction Log'!$G$3:$G$300,""),""))</f>
        <v/>
      </c>
      <c r="AC643" s="12" t="str">
        <f t="array" ref="AC643">IF($A643="","",IFERROR(XLOOKUP($A643,'Auction Log'!$B$3:$B$300,'Auction Log'!$F$3:$F$300,""),""))</f>
        <v/>
      </c>
      <c r="AD643" s="12">
        <f t="array" ref="AD643">IF($A643="","",ROUND($Y643*XLOOKUP($F643,Settings!$I$15:$I$20,Settings!$K$15:$K$20,0.4),0))</f>
        <v>0</v>
      </c>
      <c r="AE643" s="12">
        <f t="array" ref="AE643">IF($A643="","",ROUND($Y643*XLOOKUP($F643,Settings!$I$15:$I$20,Settings!$L$15:$L$20,0.8),0))</f>
        <v>1</v>
      </c>
      <c r="AF643" s="12">
        <f t="array" ref="AF643">IF($A643="","",ROUND($Y643*XLOOKUP($F643,Settings!$I$15:$I$20,Settings!$M$15:$M$20,1),0))</f>
        <v>1</v>
      </c>
      <c r="AG643" s="12">
        <f t="array" ref="AG643">IF($A643="","",ROUND($Y643*XLOOKUP($F643,Settings!$I$15:$I$20,Settings!$N$15:$N$20,1.1),0))</f>
        <v>1</v>
      </c>
      <c r="AH643" s="12">
        <f t="array" ref="AH643">IF($A643="","",ROUND($Y643*XLOOKUP($F643,Settings!$I$15:$I$20,Settings!$O$15:$O$20,1.1)*Settings!$J$7,0))</f>
        <v>1</v>
      </c>
      <c r="AI643" s="12">
        <f t="array" ref="AI643">IF($A643="","",IF($AA643="Sold","",MIN($AH643,IFERROR(XLOOKUP(Settings!$B$12,Managers!$B$4:$B$15,Managers!$H$4:$H$15),$AH643))))</f>
        <v>1</v>
      </c>
      <c r="AJ643" s="12" t="str">
        <f t="shared" si="3"/>
        <v>Recommended</v>
      </c>
      <c r="AK643" s="12">
        <f t="shared" si="4"/>
        <v>26</v>
      </c>
      <c r="AL643" s="12" t="str">
        <f t="shared" si="5"/>
        <v/>
      </c>
    </row>
    <row r="644" ht="15.75" customHeight="1">
      <c r="A644" s="10" t="s">
        <v>1569</v>
      </c>
      <c r="B644" s="10" t="s">
        <v>1570</v>
      </c>
      <c r="C644" s="10" t="s">
        <v>257</v>
      </c>
      <c r="D644" s="10" t="s">
        <v>123</v>
      </c>
      <c r="E644" s="10" t="s">
        <v>123</v>
      </c>
      <c r="F644" s="10" t="s">
        <v>117</v>
      </c>
      <c r="G644" s="10">
        <v>5.0</v>
      </c>
      <c r="H644" s="10">
        <v>7.0</v>
      </c>
      <c r="I644" s="10" t="s">
        <v>2140</v>
      </c>
      <c r="J644" s="10" t="s">
        <v>2136</v>
      </c>
      <c r="K644" s="10"/>
      <c r="L644" s="10">
        <v>0.0</v>
      </c>
      <c r="M644" s="10">
        <v>0.0</v>
      </c>
      <c r="N644" s="10"/>
      <c r="O644" s="10"/>
      <c r="P644" s="12">
        <f>IF($A644="","",IFERROR((IF($O644="",0,$O644)*Settings!$J$4+IF($L644="",0,$L644)*Settings!$J$5+IF($N644="",0,$N644)*Settings!$J$6)/(IF($O644="",0,Settings!$J$4)+IF($L644="",0,Settings!$J$5)+IF($N644="",0,Settings!$J$6)),0))</f>
        <v>0</v>
      </c>
      <c r="Q644" s="12">
        <f t="array" ref="Q644">IF($A644="","",XLOOKUP($E644,Settings!$A$19:$A$22,Settings!$G$19:$G$22,0))</f>
        <v>203</v>
      </c>
      <c r="R644" s="12">
        <f t="shared" si="1"/>
        <v>0</v>
      </c>
      <c r="S644" s="12">
        <f>IF($A644="","",IF($R644&lt;=0,1,1+$R644/SUMIF($R$4:$R$923,"&gt;0",$R$4:$R$923)*(Settings!$B$5*(Settings!$B$6-Settings!$B$7))))</f>
        <v>1</v>
      </c>
      <c r="T644" s="12">
        <f t="array" ref="T644">IF($A644="","",XLOOKUP($F644,Settings!$I$15:$I$20,Settings!$J$15:$J$20,1))</f>
        <v>0.75</v>
      </c>
      <c r="U644" s="12">
        <f>IF($A644="","",1+(($G644-5)/5)*Settings!$J$8)</f>
        <v>1</v>
      </c>
      <c r="V644" s="12">
        <f>IF($A644="","",1+(($H644-5)/5)*Settings!$J$9)</f>
        <v>1.06</v>
      </c>
      <c r="W644" s="12">
        <f t="array" ref="W644">IF($A644="","",XLOOKUP($J644,Lists!$C$3:$C$7,Lists!$D$3:$D$7,1))</f>
        <v>1</v>
      </c>
      <c r="X644" s="12">
        <f>IF($A644="","",IF($I644="Yes",Settings!$J$10,1))</f>
        <v>1</v>
      </c>
      <c r="Y644" s="12">
        <f t="shared" si="2"/>
        <v>1</v>
      </c>
      <c r="Z644" s="12">
        <f>IF($A644="","",IFERROR(ROUND(AVERAGEIFS('Historical Drafts'!$G$4:$G$300,'Historical Drafts'!$D$4:$D$300,$E644,'Historical Drafts'!$J$4:$J$300,"&gt;="&amp;$L644*0.85,'Historical Drafts'!$J$4:$J$300,"&lt;="&amp;$L644*1.15),0),$Y644))</f>
        <v>3</v>
      </c>
      <c r="AA644" s="12" t="str">
        <f>IF($A644="","",IF(COUNTIF('Auction Log'!$B$3:$B$300,$A644)&gt;0,"Sold","Available"))</f>
        <v>Available</v>
      </c>
      <c r="AB644" s="12" t="str">
        <f t="array" ref="AB644">IF($A644="","",IFERROR(XLOOKUP($A644,'Auction Log'!$B$3:$B$300,'Auction Log'!$G$3:$G$300,""),""))</f>
        <v/>
      </c>
      <c r="AC644" s="12" t="str">
        <f t="array" ref="AC644">IF($A644="","",IFERROR(XLOOKUP($A644,'Auction Log'!$B$3:$B$300,'Auction Log'!$F$3:$F$300,""),""))</f>
        <v/>
      </c>
      <c r="AD644" s="12">
        <f t="array" ref="AD644">IF($A644="","",ROUND($Y644*XLOOKUP($F644,Settings!$I$15:$I$20,Settings!$K$15:$K$20,0.4),0))</f>
        <v>0</v>
      </c>
      <c r="AE644" s="12">
        <f t="array" ref="AE644">IF($A644="","",ROUND($Y644*XLOOKUP($F644,Settings!$I$15:$I$20,Settings!$L$15:$L$20,0.8),0))</f>
        <v>1</v>
      </c>
      <c r="AF644" s="12">
        <f t="array" ref="AF644">IF($A644="","",ROUND($Y644*XLOOKUP($F644,Settings!$I$15:$I$20,Settings!$M$15:$M$20,1),0))</f>
        <v>1</v>
      </c>
      <c r="AG644" s="12">
        <f t="array" ref="AG644">IF($A644="","",ROUND($Y644*XLOOKUP($F644,Settings!$I$15:$I$20,Settings!$N$15:$N$20,1.1),0))</f>
        <v>1</v>
      </c>
      <c r="AH644" s="12">
        <f t="array" ref="AH644">IF($A644="","",ROUND($Y644*XLOOKUP($F644,Settings!$I$15:$I$20,Settings!$O$15:$O$20,1.1)*Settings!$J$7,0))</f>
        <v>1</v>
      </c>
      <c r="AI644" s="12">
        <f t="array" ref="AI644">IF($A644="","",IF($AA644="Sold","",MIN($AH644,IFERROR(XLOOKUP(Settings!$B$12,Managers!$B$4:$B$15,Managers!$H$4:$H$15),$AH644))))</f>
        <v>1</v>
      </c>
      <c r="AJ644" s="12" t="str">
        <f t="shared" si="3"/>
        <v>Budget Drainer</v>
      </c>
      <c r="AK644" s="12">
        <f t="shared" si="4"/>
        <v>28</v>
      </c>
      <c r="AL644" s="12" t="str">
        <f t="shared" si="5"/>
        <v/>
      </c>
    </row>
    <row r="645" ht="15.75" customHeight="1">
      <c r="A645" s="10" t="s">
        <v>1571</v>
      </c>
      <c r="B645" s="10" t="s">
        <v>1572</v>
      </c>
      <c r="C645" s="10" t="s">
        <v>180</v>
      </c>
      <c r="D645" s="10" t="s">
        <v>121</v>
      </c>
      <c r="E645" s="10" t="s">
        <v>121</v>
      </c>
      <c r="F645" s="10" t="s">
        <v>117</v>
      </c>
      <c r="G645" s="10">
        <v>5.0</v>
      </c>
      <c r="H645" s="10">
        <v>7.0</v>
      </c>
      <c r="I645" s="10" t="s">
        <v>2140</v>
      </c>
      <c r="J645" s="10" t="s">
        <v>2136</v>
      </c>
      <c r="K645" s="10"/>
      <c r="L645" s="10">
        <v>0.0</v>
      </c>
      <c r="M645" s="10">
        <v>0.0</v>
      </c>
      <c r="N645" s="10"/>
      <c r="O645" s="10"/>
      <c r="P645" s="12">
        <f>IF($A645="","",IFERROR((IF($O645="",0,$O645)*Settings!$J$4+IF($L645="",0,$L645)*Settings!$J$5+IF($N645="",0,$N645)*Settings!$J$6)/(IF($O645="",0,Settings!$J$4)+IF($L645="",0,Settings!$J$5)+IF($N645="",0,Settings!$J$6)),0))</f>
        <v>0</v>
      </c>
      <c r="Q645" s="12">
        <f t="array" ref="Q645">IF($A645="","",XLOOKUP($E645,Settings!$A$19:$A$22,Settings!$G$19:$G$22,0))</f>
        <v>206</v>
      </c>
      <c r="R645" s="12">
        <f t="shared" si="1"/>
        <v>0</v>
      </c>
      <c r="S645" s="12">
        <f>IF($A645="","",IF($R645&lt;=0,1,1+$R645/SUMIF($R$4:$R$923,"&gt;0",$R$4:$R$923)*(Settings!$B$5*(Settings!$B$6-Settings!$B$7))))</f>
        <v>1</v>
      </c>
      <c r="T645" s="12">
        <f t="array" ref="T645">IF($A645="","",XLOOKUP($F645,Settings!$I$15:$I$20,Settings!$J$15:$J$20,1))</f>
        <v>0.75</v>
      </c>
      <c r="U645" s="12">
        <f>IF($A645="","",1+(($G645-5)/5)*Settings!$J$8)</f>
        <v>1</v>
      </c>
      <c r="V645" s="12">
        <f>IF($A645="","",1+(($H645-5)/5)*Settings!$J$9)</f>
        <v>1.06</v>
      </c>
      <c r="W645" s="12">
        <f t="array" ref="W645">IF($A645="","",XLOOKUP($J645,Lists!$C$3:$C$7,Lists!$D$3:$D$7,1))</f>
        <v>1</v>
      </c>
      <c r="X645" s="12">
        <f>IF($A645="","",IF($I645="Yes",Settings!$J$10,1))</f>
        <v>1</v>
      </c>
      <c r="Y645" s="12">
        <f t="shared" si="2"/>
        <v>1</v>
      </c>
      <c r="Z645" s="12">
        <f>IF($A645="","",IFERROR(ROUND(AVERAGEIFS('Historical Drafts'!$G$4:$G$300,'Historical Drafts'!$D$4:$D$300,$E645,'Historical Drafts'!$J$4:$J$300,"&gt;="&amp;$L645*0.85,'Historical Drafts'!$J$4:$J$300,"&lt;="&amp;$L645*1.15),0),$Y645))</f>
        <v>3</v>
      </c>
      <c r="AA645" s="12" t="str">
        <f>IF($A645="","",IF(COUNTIF('Auction Log'!$B$3:$B$300,$A645)&gt;0,"Sold","Available"))</f>
        <v>Available</v>
      </c>
      <c r="AB645" s="12" t="str">
        <f t="array" ref="AB645">IF($A645="","",IFERROR(XLOOKUP($A645,'Auction Log'!$B$3:$B$300,'Auction Log'!$G$3:$G$300,""),""))</f>
        <v/>
      </c>
      <c r="AC645" s="12" t="str">
        <f t="array" ref="AC645">IF($A645="","",IFERROR(XLOOKUP($A645,'Auction Log'!$B$3:$B$300,'Auction Log'!$F$3:$F$300,""),""))</f>
        <v/>
      </c>
      <c r="AD645" s="12">
        <f t="array" ref="AD645">IF($A645="","",ROUND($Y645*XLOOKUP($F645,Settings!$I$15:$I$20,Settings!$K$15:$K$20,0.4),0))</f>
        <v>0</v>
      </c>
      <c r="AE645" s="12">
        <f t="array" ref="AE645">IF($A645="","",ROUND($Y645*XLOOKUP($F645,Settings!$I$15:$I$20,Settings!$L$15:$L$20,0.8),0))</f>
        <v>1</v>
      </c>
      <c r="AF645" s="12">
        <f t="array" ref="AF645">IF($A645="","",ROUND($Y645*XLOOKUP($F645,Settings!$I$15:$I$20,Settings!$M$15:$M$20,1),0))</f>
        <v>1</v>
      </c>
      <c r="AG645" s="12">
        <f t="array" ref="AG645">IF($A645="","",ROUND($Y645*XLOOKUP($F645,Settings!$I$15:$I$20,Settings!$N$15:$N$20,1.1),0))</f>
        <v>1</v>
      </c>
      <c r="AH645" s="12">
        <f t="array" ref="AH645">IF($A645="","",ROUND($Y645*XLOOKUP($F645,Settings!$I$15:$I$20,Settings!$O$15:$O$20,1.1)*Settings!$J$7,0))</f>
        <v>1</v>
      </c>
      <c r="AI645" s="12">
        <f t="array" ref="AI645">IF($A645="","",IF($AA645="Sold","",MIN($AH645,IFERROR(XLOOKUP(Settings!$B$12,Managers!$B$4:$B$15,Managers!$H$4:$H$15),$AH645))))</f>
        <v>1</v>
      </c>
      <c r="AJ645" s="12" t="str">
        <f t="shared" si="3"/>
        <v>Budget Drainer</v>
      </c>
      <c r="AK645" s="12">
        <f t="shared" si="4"/>
        <v>28</v>
      </c>
      <c r="AL645" s="12" t="str">
        <f t="shared" si="5"/>
        <v/>
      </c>
    </row>
    <row r="646" ht="15.75" customHeight="1">
      <c r="A646" s="10" t="s">
        <v>1573</v>
      </c>
      <c r="B646" s="10" t="s">
        <v>1574</v>
      </c>
      <c r="C646" s="10" t="s">
        <v>453</v>
      </c>
      <c r="D646" s="10" t="s">
        <v>123</v>
      </c>
      <c r="E646" s="10" t="s">
        <v>123</v>
      </c>
      <c r="F646" s="10" t="s">
        <v>117</v>
      </c>
      <c r="G646" s="10">
        <v>5.0</v>
      </c>
      <c r="H646" s="10">
        <v>7.0</v>
      </c>
      <c r="I646" s="10" t="s">
        <v>2140</v>
      </c>
      <c r="J646" s="10" t="s">
        <v>2136</v>
      </c>
      <c r="K646" s="10"/>
      <c r="L646" s="10">
        <v>0.0</v>
      </c>
      <c r="M646" s="10">
        <v>0.0</v>
      </c>
      <c r="N646" s="10"/>
      <c r="O646" s="10"/>
      <c r="P646" s="12">
        <f>IF($A646="","",IFERROR((IF($O646="",0,$O646)*Settings!$J$4+IF($L646="",0,$L646)*Settings!$J$5+IF($N646="",0,$N646)*Settings!$J$6)/(IF($O646="",0,Settings!$J$4)+IF($L646="",0,Settings!$J$5)+IF($N646="",0,Settings!$J$6)),0))</f>
        <v>0</v>
      </c>
      <c r="Q646" s="12">
        <f t="array" ref="Q646">IF($A646="","",XLOOKUP($E646,Settings!$A$19:$A$22,Settings!$G$19:$G$22,0))</f>
        <v>203</v>
      </c>
      <c r="R646" s="12">
        <f t="shared" si="1"/>
        <v>0</v>
      </c>
      <c r="S646" s="12">
        <f>IF($A646="","",IF($R646&lt;=0,1,1+$R646/SUMIF($R$4:$R$923,"&gt;0",$R$4:$R$923)*(Settings!$B$5*(Settings!$B$6-Settings!$B$7))))</f>
        <v>1</v>
      </c>
      <c r="T646" s="12">
        <f t="array" ref="T646">IF($A646="","",XLOOKUP($F646,Settings!$I$15:$I$20,Settings!$J$15:$J$20,1))</f>
        <v>0.75</v>
      </c>
      <c r="U646" s="12">
        <f>IF($A646="","",1+(($G646-5)/5)*Settings!$J$8)</f>
        <v>1</v>
      </c>
      <c r="V646" s="12">
        <f>IF($A646="","",1+(($H646-5)/5)*Settings!$J$9)</f>
        <v>1.06</v>
      </c>
      <c r="W646" s="12">
        <f t="array" ref="W646">IF($A646="","",XLOOKUP($J646,Lists!$C$3:$C$7,Lists!$D$3:$D$7,1))</f>
        <v>1</v>
      </c>
      <c r="X646" s="12">
        <f>IF($A646="","",IF($I646="Yes",Settings!$J$10,1))</f>
        <v>1</v>
      </c>
      <c r="Y646" s="12">
        <f t="shared" si="2"/>
        <v>1</v>
      </c>
      <c r="Z646" s="12">
        <f>IF($A646="","",IFERROR(ROUND(AVERAGEIFS('Historical Drafts'!$G$4:$G$300,'Historical Drafts'!$D$4:$D$300,$E646,'Historical Drafts'!$J$4:$J$300,"&gt;="&amp;$L646*0.85,'Historical Drafts'!$J$4:$J$300,"&lt;="&amp;$L646*1.15),0),$Y646))</f>
        <v>3</v>
      </c>
      <c r="AA646" s="12" t="str">
        <f>IF($A646="","",IF(COUNTIF('Auction Log'!$B$3:$B$300,$A646)&gt;0,"Sold","Available"))</f>
        <v>Available</v>
      </c>
      <c r="AB646" s="12" t="str">
        <f t="array" ref="AB646">IF($A646="","",IFERROR(XLOOKUP($A646,'Auction Log'!$B$3:$B$300,'Auction Log'!$G$3:$G$300,""),""))</f>
        <v/>
      </c>
      <c r="AC646" s="12" t="str">
        <f t="array" ref="AC646">IF($A646="","",IFERROR(XLOOKUP($A646,'Auction Log'!$B$3:$B$300,'Auction Log'!$F$3:$F$300,""),""))</f>
        <v/>
      </c>
      <c r="AD646" s="12">
        <f t="array" ref="AD646">IF($A646="","",ROUND($Y646*XLOOKUP($F646,Settings!$I$15:$I$20,Settings!$K$15:$K$20,0.4),0))</f>
        <v>0</v>
      </c>
      <c r="AE646" s="12">
        <f t="array" ref="AE646">IF($A646="","",ROUND($Y646*XLOOKUP($F646,Settings!$I$15:$I$20,Settings!$L$15:$L$20,0.8),0))</f>
        <v>1</v>
      </c>
      <c r="AF646" s="12">
        <f t="array" ref="AF646">IF($A646="","",ROUND($Y646*XLOOKUP($F646,Settings!$I$15:$I$20,Settings!$M$15:$M$20,1),0))</f>
        <v>1</v>
      </c>
      <c r="AG646" s="12">
        <f t="array" ref="AG646">IF($A646="","",ROUND($Y646*XLOOKUP($F646,Settings!$I$15:$I$20,Settings!$N$15:$N$20,1.1),0))</f>
        <v>1</v>
      </c>
      <c r="AH646" s="12">
        <f t="array" ref="AH646">IF($A646="","",ROUND($Y646*XLOOKUP($F646,Settings!$I$15:$I$20,Settings!$O$15:$O$20,1.1)*Settings!$J$7,0))</f>
        <v>1</v>
      </c>
      <c r="AI646" s="12">
        <f t="array" ref="AI646">IF($A646="","",IF($AA646="Sold","",MIN($AH646,IFERROR(XLOOKUP(Settings!$B$12,Managers!$B$4:$B$15,Managers!$H$4:$H$15),$AH646))))</f>
        <v>1</v>
      </c>
      <c r="AJ646" s="12" t="str">
        <f t="shared" si="3"/>
        <v>Budget Drainer</v>
      </c>
      <c r="AK646" s="12">
        <f t="shared" si="4"/>
        <v>28</v>
      </c>
      <c r="AL646" s="12" t="str">
        <f t="shared" si="5"/>
        <v/>
      </c>
    </row>
    <row r="647" ht="15.75" customHeight="1">
      <c r="A647" s="10" t="s">
        <v>1575</v>
      </c>
      <c r="B647" s="10" t="s">
        <v>1576</v>
      </c>
      <c r="C647" s="10" t="s">
        <v>566</v>
      </c>
      <c r="D647" s="10" t="s">
        <v>115</v>
      </c>
      <c r="E647" s="10" t="s">
        <v>115</v>
      </c>
      <c r="F647" s="10" t="s">
        <v>117</v>
      </c>
      <c r="G647" s="10">
        <v>5.0</v>
      </c>
      <c r="H647" s="10">
        <v>7.0</v>
      </c>
      <c r="I647" s="10" t="s">
        <v>2140</v>
      </c>
      <c r="J647" s="10" t="s">
        <v>2136</v>
      </c>
      <c r="K647" s="10"/>
      <c r="L647" s="10">
        <v>0.0</v>
      </c>
      <c r="M647" s="10">
        <v>0.0</v>
      </c>
      <c r="N647" s="10"/>
      <c r="O647" s="10"/>
      <c r="P647" s="12">
        <f>IF($A647="","",IFERROR((IF($O647="",0,$O647)*Settings!$J$4+IF($L647="",0,$L647)*Settings!$J$5+IF($N647="",0,$N647)*Settings!$J$6)/(IF($O647="",0,Settings!$J$4)+IF($L647="",0,Settings!$J$5)+IF($N647="",0,Settings!$J$6)),0))</f>
        <v>0</v>
      </c>
      <c r="Q647" s="12">
        <f t="array" ref="Q647">IF($A647="","",XLOOKUP($E647,Settings!$A$19:$A$22,Settings!$G$19:$G$22,0))</f>
        <v>249.25</v>
      </c>
      <c r="R647" s="12">
        <f t="shared" si="1"/>
        <v>0</v>
      </c>
      <c r="S647" s="12">
        <f>IF($A647="","",IF($R647&lt;=0,1,1+$R647/SUMIF($R$4:$R$923,"&gt;0",$R$4:$R$923)*(Settings!$B$5*(Settings!$B$6-Settings!$B$7))))</f>
        <v>1</v>
      </c>
      <c r="T647" s="12">
        <f t="array" ref="T647">IF($A647="","",XLOOKUP($F647,Settings!$I$15:$I$20,Settings!$J$15:$J$20,1))</f>
        <v>0.75</v>
      </c>
      <c r="U647" s="12">
        <f>IF($A647="","",1+(($G647-5)/5)*Settings!$J$8)</f>
        <v>1</v>
      </c>
      <c r="V647" s="12">
        <f>IF($A647="","",1+(($H647-5)/5)*Settings!$J$9)</f>
        <v>1.06</v>
      </c>
      <c r="W647" s="12">
        <f t="array" ref="W647">IF($A647="","",XLOOKUP($J647,Lists!$C$3:$C$7,Lists!$D$3:$D$7,1))</f>
        <v>1</v>
      </c>
      <c r="X647" s="12">
        <f>IF($A647="","",IF($I647="Yes",Settings!$J$10,1))</f>
        <v>1</v>
      </c>
      <c r="Y647" s="12">
        <f t="shared" si="2"/>
        <v>1</v>
      </c>
      <c r="Z647" s="12">
        <f>IF($A647="","",IFERROR(ROUND(AVERAGEIFS('Historical Drafts'!$G$4:$G$300,'Historical Drafts'!$D$4:$D$300,$E647,'Historical Drafts'!$J$4:$J$300,"&gt;="&amp;$L647*0.85,'Historical Drafts'!$J$4:$J$300,"&lt;="&amp;$L647*1.15),0),$Y647))</f>
        <v>1</v>
      </c>
      <c r="AA647" s="12" t="str">
        <f>IF($A647="","",IF(COUNTIF('Auction Log'!$B$3:$B$300,$A647)&gt;0,"Sold","Available"))</f>
        <v>Available</v>
      </c>
      <c r="AB647" s="12" t="str">
        <f t="array" ref="AB647">IF($A647="","",IFERROR(XLOOKUP($A647,'Auction Log'!$B$3:$B$300,'Auction Log'!$G$3:$G$300,""),""))</f>
        <v/>
      </c>
      <c r="AC647" s="12" t="str">
        <f t="array" ref="AC647">IF($A647="","",IFERROR(XLOOKUP($A647,'Auction Log'!$B$3:$B$300,'Auction Log'!$F$3:$F$300,""),""))</f>
        <v/>
      </c>
      <c r="AD647" s="12">
        <f t="array" ref="AD647">IF($A647="","",ROUND($Y647*XLOOKUP($F647,Settings!$I$15:$I$20,Settings!$K$15:$K$20,0.4),0))</f>
        <v>0</v>
      </c>
      <c r="AE647" s="12">
        <f t="array" ref="AE647">IF($A647="","",ROUND($Y647*XLOOKUP($F647,Settings!$I$15:$I$20,Settings!$L$15:$L$20,0.8),0))</f>
        <v>1</v>
      </c>
      <c r="AF647" s="12">
        <f t="array" ref="AF647">IF($A647="","",ROUND($Y647*XLOOKUP($F647,Settings!$I$15:$I$20,Settings!$M$15:$M$20,1),0))</f>
        <v>1</v>
      </c>
      <c r="AG647" s="12">
        <f t="array" ref="AG647">IF($A647="","",ROUND($Y647*XLOOKUP($F647,Settings!$I$15:$I$20,Settings!$N$15:$N$20,1.1),0))</f>
        <v>1</v>
      </c>
      <c r="AH647" s="12">
        <f t="array" ref="AH647">IF($A647="","",ROUND($Y647*XLOOKUP($F647,Settings!$I$15:$I$20,Settings!$O$15:$O$20,1.1)*Settings!$J$7,0))</f>
        <v>1</v>
      </c>
      <c r="AI647" s="12">
        <f t="array" ref="AI647">IF($A647="","",IF($AA647="Sold","",MIN($AH647,IFERROR(XLOOKUP(Settings!$B$12,Managers!$B$4:$B$15,Managers!$H$4:$H$15),$AH647))))</f>
        <v>1</v>
      </c>
      <c r="AJ647" s="12" t="str">
        <f t="shared" si="3"/>
        <v>Recommended</v>
      </c>
      <c r="AK647" s="12">
        <f t="shared" si="4"/>
        <v>26</v>
      </c>
      <c r="AL647" s="12" t="str">
        <f t="shared" si="5"/>
        <v/>
      </c>
    </row>
    <row r="648" ht="15.75" customHeight="1">
      <c r="A648" s="10" t="s">
        <v>1577</v>
      </c>
      <c r="B648" s="10" t="s">
        <v>1578</v>
      </c>
      <c r="C648" s="10" t="s">
        <v>453</v>
      </c>
      <c r="D648" s="10" t="s">
        <v>123</v>
      </c>
      <c r="E648" s="10" t="s">
        <v>123</v>
      </c>
      <c r="F648" s="10" t="s">
        <v>117</v>
      </c>
      <c r="G648" s="10">
        <v>5.0</v>
      </c>
      <c r="H648" s="10">
        <v>7.0</v>
      </c>
      <c r="I648" s="10" t="s">
        <v>2140</v>
      </c>
      <c r="J648" s="10" t="s">
        <v>2136</v>
      </c>
      <c r="K648" s="10"/>
      <c r="L648" s="10">
        <v>0.0</v>
      </c>
      <c r="M648" s="10">
        <v>0.0</v>
      </c>
      <c r="N648" s="10"/>
      <c r="O648" s="10"/>
      <c r="P648" s="12">
        <f>IF($A648="","",IFERROR((IF($O648="",0,$O648)*Settings!$J$4+IF($L648="",0,$L648)*Settings!$J$5+IF($N648="",0,$N648)*Settings!$J$6)/(IF($O648="",0,Settings!$J$4)+IF($L648="",0,Settings!$J$5)+IF($N648="",0,Settings!$J$6)),0))</f>
        <v>0</v>
      </c>
      <c r="Q648" s="12">
        <f t="array" ref="Q648">IF($A648="","",XLOOKUP($E648,Settings!$A$19:$A$22,Settings!$G$19:$G$22,0))</f>
        <v>203</v>
      </c>
      <c r="R648" s="12">
        <f t="shared" si="1"/>
        <v>0</v>
      </c>
      <c r="S648" s="12">
        <f>IF($A648="","",IF($R648&lt;=0,1,1+$R648/SUMIF($R$4:$R$923,"&gt;0",$R$4:$R$923)*(Settings!$B$5*(Settings!$B$6-Settings!$B$7))))</f>
        <v>1</v>
      </c>
      <c r="T648" s="12">
        <f t="array" ref="T648">IF($A648="","",XLOOKUP($F648,Settings!$I$15:$I$20,Settings!$J$15:$J$20,1))</f>
        <v>0.75</v>
      </c>
      <c r="U648" s="12">
        <f>IF($A648="","",1+(($G648-5)/5)*Settings!$J$8)</f>
        <v>1</v>
      </c>
      <c r="V648" s="12">
        <f>IF($A648="","",1+(($H648-5)/5)*Settings!$J$9)</f>
        <v>1.06</v>
      </c>
      <c r="W648" s="12">
        <f t="array" ref="W648">IF($A648="","",XLOOKUP($J648,Lists!$C$3:$C$7,Lists!$D$3:$D$7,1))</f>
        <v>1</v>
      </c>
      <c r="X648" s="12">
        <f>IF($A648="","",IF($I648="Yes",Settings!$J$10,1))</f>
        <v>1</v>
      </c>
      <c r="Y648" s="12">
        <f t="shared" si="2"/>
        <v>1</v>
      </c>
      <c r="Z648" s="12">
        <f>IF($A648="","",IFERROR(ROUND(AVERAGEIFS('Historical Drafts'!$G$4:$G$300,'Historical Drafts'!$D$4:$D$300,$E648,'Historical Drafts'!$J$4:$J$300,"&gt;="&amp;$L648*0.85,'Historical Drafts'!$J$4:$J$300,"&lt;="&amp;$L648*1.15),0),$Y648))</f>
        <v>3</v>
      </c>
      <c r="AA648" s="12" t="str">
        <f>IF($A648="","",IF(COUNTIF('Auction Log'!$B$3:$B$300,$A648)&gt;0,"Sold","Available"))</f>
        <v>Available</v>
      </c>
      <c r="AB648" s="12" t="str">
        <f t="array" ref="AB648">IF($A648="","",IFERROR(XLOOKUP($A648,'Auction Log'!$B$3:$B$300,'Auction Log'!$G$3:$G$300,""),""))</f>
        <v/>
      </c>
      <c r="AC648" s="12" t="str">
        <f t="array" ref="AC648">IF($A648="","",IFERROR(XLOOKUP($A648,'Auction Log'!$B$3:$B$300,'Auction Log'!$F$3:$F$300,""),""))</f>
        <v/>
      </c>
      <c r="AD648" s="12">
        <f t="array" ref="AD648">IF($A648="","",ROUND($Y648*XLOOKUP($F648,Settings!$I$15:$I$20,Settings!$K$15:$K$20,0.4),0))</f>
        <v>0</v>
      </c>
      <c r="AE648" s="12">
        <f t="array" ref="AE648">IF($A648="","",ROUND($Y648*XLOOKUP($F648,Settings!$I$15:$I$20,Settings!$L$15:$L$20,0.8),0))</f>
        <v>1</v>
      </c>
      <c r="AF648" s="12">
        <f t="array" ref="AF648">IF($A648="","",ROUND($Y648*XLOOKUP($F648,Settings!$I$15:$I$20,Settings!$M$15:$M$20,1),0))</f>
        <v>1</v>
      </c>
      <c r="AG648" s="12">
        <f t="array" ref="AG648">IF($A648="","",ROUND($Y648*XLOOKUP($F648,Settings!$I$15:$I$20,Settings!$N$15:$N$20,1.1),0))</f>
        <v>1</v>
      </c>
      <c r="AH648" s="12">
        <f t="array" ref="AH648">IF($A648="","",ROUND($Y648*XLOOKUP($F648,Settings!$I$15:$I$20,Settings!$O$15:$O$20,1.1)*Settings!$J$7,0))</f>
        <v>1</v>
      </c>
      <c r="AI648" s="12">
        <f t="array" ref="AI648">IF($A648="","",IF($AA648="Sold","",MIN($AH648,IFERROR(XLOOKUP(Settings!$B$12,Managers!$B$4:$B$15,Managers!$H$4:$H$15),$AH648))))</f>
        <v>1</v>
      </c>
      <c r="AJ648" s="12" t="str">
        <f t="shared" si="3"/>
        <v>Budget Drainer</v>
      </c>
      <c r="AK648" s="12">
        <f t="shared" si="4"/>
        <v>28</v>
      </c>
      <c r="AL648" s="12" t="str">
        <f t="shared" si="5"/>
        <v/>
      </c>
    </row>
    <row r="649" ht="15.75" customHeight="1">
      <c r="A649" s="10" t="s">
        <v>1579</v>
      </c>
      <c r="B649" s="10" t="s">
        <v>1580</v>
      </c>
      <c r="C649" s="10" t="s">
        <v>180</v>
      </c>
      <c r="D649" s="10" t="s">
        <v>121</v>
      </c>
      <c r="E649" s="10" t="s">
        <v>121</v>
      </c>
      <c r="F649" s="10" t="s">
        <v>117</v>
      </c>
      <c r="G649" s="10">
        <v>5.0</v>
      </c>
      <c r="H649" s="10">
        <v>7.0</v>
      </c>
      <c r="I649" s="10" t="s">
        <v>2140</v>
      </c>
      <c r="J649" s="10" t="s">
        <v>2136</v>
      </c>
      <c r="K649" s="10"/>
      <c r="L649" s="10">
        <v>0.0</v>
      </c>
      <c r="M649" s="10">
        <v>0.0</v>
      </c>
      <c r="N649" s="10"/>
      <c r="O649" s="10"/>
      <c r="P649" s="12">
        <f>IF($A649="","",IFERROR((IF($O649="",0,$O649)*Settings!$J$4+IF($L649="",0,$L649)*Settings!$J$5+IF($N649="",0,$N649)*Settings!$J$6)/(IF($O649="",0,Settings!$J$4)+IF($L649="",0,Settings!$J$5)+IF($N649="",0,Settings!$J$6)),0))</f>
        <v>0</v>
      </c>
      <c r="Q649" s="12">
        <f t="array" ref="Q649">IF($A649="","",XLOOKUP($E649,Settings!$A$19:$A$22,Settings!$G$19:$G$22,0))</f>
        <v>206</v>
      </c>
      <c r="R649" s="12">
        <f t="shared" si="1"/>
        <v>0</v>
      </c>
      <c r="S649" s="12">
        <f>IF($A649="","",IF($R649&lt;=0,1,1+$R649/SUMIF($R$4:$R$923,"&gt;0",$R$4:$R$923)*(Settings!$B$5*(Settings!$B$6-Settings!$B$7))))</f>
        <v>1</v>
      </c>
      <c r="T649" s="12">
        <f t="array" ref="T649">IF($A649="","",XLOOKUP($F649,Settings!$I$15:$I$20,Settings!$J$15:$J$20,1))</f>
        <v>0.75</v>
      </c>
      <c r="U649" s="12">
        <f>IF($A649="","",1+(($G649-5)/5)*Settings!$J$8)</f>
        <v>1</v>
      </c>
      <c r="V649" s="12">
        <f>IF($A649="","",1+(($H649-5)/5)*Settings!$J$9)</f>
        <v>1.06</v>
      </c>
      <c r="W649" s="12">
        <f t="array" ref="W649">IF($A649="","",XLOOKUP($J649,Lists!$C$3:$C$7,Lists!$D$3:$D$7,1))</f>
        <v>1</v>
      </c>
      <c r="X649" s="12">
        <f>IF($A649="","",IF($I649="Yes",Settings!$J$10,1))</f>
        <v>1</v>
      </c>
      <c r="Y649" s="12">
        <f t="shared" si="2"/>
        <v>1</v>
      </c>
      <c r="Z649" s="12">
        <f>IF($A649="","",IFERROR(ROUND(AVERAGEIFS('Historical Drafts'!$G$4:$G$300,'Historical Drafts'!$D$4:$D$300,$E649,'Historical Drafts'!$J$4:$J$300,"&gt;="&amp;$L649*0.85,'Historical Drafts'!$J$4:$J$300,"&lt;="&amp;$L649*1.15),0),$Y649))</f>
        <v>3</v>
      </c>
      <c r="AA649" s="12" t="str">
        <f>IF($A649="","",IF(COUNTIF('Auction Log'!$B$3:$B$300,$A649)&gt;0,"Sold","Available"))</f>
        <v>Available</v>
      </c>
      <c r="AB649" s="12" t="str">
        <f t="array" ref="AB649">IF($A649="","",IFERROR(XLOOKUP($A649,'Auction Log'!$B$3:$B$300,'Auction Log'!$G$3:$G$300,""),""))</f>
        <v/>
      </c>
      <c r="AC649" s="12" t="str">
        <f t="array" ref="AC649">IF($A649="","",IFERROR(XLOOKUP($A649,'Auction Log'!$B$3:$B$300,'Auction Log'!$F$3:$F$300,""),""))</f>
        <v/>
      </c>
      <c r="AD649" s="12">
        <f t="array" ref="AD649">IF($A649="","",ROUND($Y649*XLOOKUP($F649,Settings!$I$15:$I$20,Settings!$K$15:$K$20,0.4),0))</f>
        <v>0</v>
      </c>
      <c r="AE649" s="12">
        <f t="array" ref="AE649">IF($A649="","",ROUND($Y649*XLOOKUP($F649,Settings!$I$15:$I$20,Settings!$L$15:$L$20,0.8),0))</f>
        <v>1</v>
      </c>
      <c r="AF649" s="12">
        <f t="array" ref="AF649">IF($A649="","",ROUND($Y649*XLOOKUP($F649,Settings!$I$15:$I$20,Settings!$M$15:$M$20,1),0))</f>
        <v>1</v>
      </c>
      <c r="AG649" s="12">
        <f t="array" ref="AG649">IF($A649="","",ROUND($Y649*XLOOKUP($F649,Settings!$I$15:$I$20,Settings!$N$15:$N$20,1.1),0))</f>
        <v>1</v>
      </c>
      <c r="AH649" s="12">
        <f t="array" ref="AH649">IF($A649="","",ROUND($Y649*XLOOKUP($F649,Settings!$I$15:$I$20,Settings!$O$15:$O$20,1.1)*Settings!$J$7,0))</f>
        <v>1</v>
      </c>
      <c r="AI649" s="12">
        <f t="array" ref="AI649">IF($A649="","",IF($AA649="Sold","",MIN($AH649,IFERROR(XLOOKUP(Settings!$B$12,Managers!$B$4:$B$15,Managers!$H$4:$H$15),$AH649))))</f>
        <v>1</v>
      </c>
      <c r="AJ649" s="12" t="str">
        <f t="shared" si="3"/>
        <v>Budget Drainer</v>
      </c>
      <c r="AK649" s="12">
        <f t="shared" si="4"/>
        <v>28</v>
      </c>
      <c r="AL649" s="12" t="str">
        <f t="shared" si="5"/>
        <v/>
      </c>
    </row>
    <row r="650" ht="15.75" customHeight="1">
      <c r="A650" s="10" t="s">
        <v>1581</v>
      </c>
      <c r="B650" s="10" t="s">
        <v>1582</v>
      </c>
      <c r="C650" s="10" t="s">
        <v>243</v>
      </c>
      <c r="D650" s="10" t="s">
        <v>115</v>
      </c>
      <c r="E650" s="10" t="s">
        <v>115</v>
      </c>
      <c r="F650" s="10" t="s">
        <v>117</v>
      </c>
      <c r="G650" s="10">
        <v>5.0</v>
      </c>
      <c r="H650" s="10">
        <v>7.0</v>
      </c>
      <c r="I650" s="10" t="s">
        <v>2140</v>
      </c>
      <c r="J650" s="10" t="s">
        <v>2136</v>
      </c>
      <c r="K650" s="10"/>
      <c r="L650" s="10">
        <v>0.0</v>
      </c>
      <c r="M650" s="10">
        <v>0.0</v>
      </c>
      <c r="N650" s="10"/>
      <c r="O650" s="10"/>
      <c r="P650" s="12">
        <f>IF($A650="","",IFERROR((IF($O650="",0,$O650)*Settings!$J$4+IF($L650="",0,$L650)*Settings!$J$5+IF($N650="",0,$N650)*Settings!$J$6)/(IF($O650="",0,Settings!$J$4)+IF($L650="",0,Settings!$J$5)+IF($N650="",0,Settings!$J$6)),0))</f>
        <v>0</v>
      </c>
      <c r="Q650" s="12">
        <f t="array" ref="Q650">IF($A650="","",XLOOKUP($E650,Settings!$A$19:$A$22,Settings!$G$19:$G$22,0))</f>
        <v>249.25</v>
      </c>
      <c r="R650" s="12">
        <f t="shared" si="1"/>
        <v>0</v>
      </c>
      <c r="S650" s="12">
        <f>IF($A650="","",IF($R650&lt;=0,1,1+$R650/SUMIF($R$4:$R$923,"&gt;0",$R$4:$R$923)*(Settings!$B$5*(Settings!$B$6-Settings!$B$7))))</f>
        <v>1</v>
      </c>
      <c r="T650" s="12">
        <f t="array" ref="T650">IF($A650="","",XLOOKUP($F650,Settings!$I$15:$I$20,Settings!$J$15:$J$20,1))</f>
        <v>0.75</v>
      </c>
      <c r="U650" s="12">
        <f>IF($A650="","",1+(($G650-5)/5)*Settings!$J$8)</f>
        <v>1</v>
      </c>
      <c r="V650" s="12">
        <f>IF($A650="","",1+(($H650-5)/5)*Settings!$J$9)</f>
        <v>1.06</v>
      </c>
      <c r="W650" s="12">
        <f t="array" ref="W650">IF($A650="","",XLOOKUP($J650,Lists!$C$3:$C$7,Lists!$D$3:$D$7,1))</f>
        <v>1</v>
      </c>
      <c r="X650" s="12">
        <f>IF($A650="","",IF($I650="Yes",Settings!$J$10,1))</f>
        <v>1</v>
      </c>
      <c r="Y650" s="12">
        <f t="shared" si="2"/>
        <v>1</v>
      </c>
      <c r="Z650" s="12">
        <f>IF($A650="","",IFERROR(ROUND(AVERAGEIFS('Historical Drafts'!$G$4:$G$300,'Historical Drafts'!$D$4:$D$300,$E650,'Historical Drafts'!$J$4:$J$300,"&gt;="&amp;$L650*0.85,'Historical Drafts'!$J$4:$J$300,"&lt;="&amp;$L650*1.15),0),$Y650))</f>
        <v>1</v>
      </c>
      <c r="AA650" s="12" t="str">
        <f>IF($A650="","",IF(COUNTIF('Auction Log'!$B$3:$B$300,$A650)&gt;0,"Sold","Available"))</f>
        <v>Available</v>
      </c>
      <c r="AB650" s="12" t="str">
        <f t="array" ref="AB650">IF($A650="","",IFERROR(XLOOKUP($A650,'Auction Log'!$B$3:$B$300,'Auction Log'!$G$3:$G$300,""),""))</f>
        <v/>
      </c>
      <c r="AC650" s="12" t="str">
        <f t="array" ref="AC650">IF($A650="","",IFERROR(XLOOKUP($A650,'Auction Log'!$B$3:$B$300,'Auction Log'!$F$3:$F$300,""),""))</f>
        <v/>
      </c>
      <c r="AD650" s="12">
        <f t="array" ref="AD650">IF($A650="","",ROUND($Y650*XLOOKUP($F650,Settings!$I$15:$I$20,Settings!$K$15:$K$20,0.4),0))</f>
        <v>0</v>
      </c>
      <c r="AE650" s="12">
        <f t="array" ref="AE650">IF($A650="","",ROUND($Y650*XLOOKUP($F650,Settings!$I$15:$I$20,Settings!$L$15:$L$20,0.8),0))</f>
        <v>1</v>
      </c>
      <c r="AF650" s="12">
        <f t="array" ref="AF650">IF($A650="","",ROUND($Y650*XLOOKUP($F650,Settings!$I$15:$I$20,Settings!$M$15:$M$20,1),0))</f>
        <v>1</v>
      </c>
      <c r="AG650" s="12">
        <f t="array" ref="AG650">IF($A650="","",ROUND($Y650*XLOOKUP($F650,Settings!$I$15:$I$20,Settings!$N$15:$N$20,1.1),0))</f>
        <v>1</v>
      </c>
      <c r="AH650" s="12">
        <f t="array" ref="AH650">IF($A650="","",ROUND($Y650*XLOOKUP($F650,Settings!$I$15:$I$20,Settings!$O$15:$O$20,1.1)*Settings!$J$7,0))</f>
        <v>1</v>
      </c>
      <c r="AI650" s="12">
        <f t="array" ref="AI650">IF($A650="","",IF($AA650="Sold","",MIN($AH650,IFERROR(XLOOKUP(Settings!$B$12,Managers!$B$4:$B$15,Managers!$H$4:$H$15),$AH650))))</f>
        <v>1</v>
      </c>
      <c r="AJ650" s="12" t="str">
        <f t="shared" si="3"/>
        <v>Recommended</v>
      </c>
      <c r="AK650" s="12">
        <f t="shared" si="4"/>
        <v>26</v>
      </c>
      <c r="AL650" s="12" t="str">
        <f t="shared" si="5"/>
        <v/>
      </c>
    </row>
    <row r="651" ht="15.75" customHeight="1">
      <c r="A651" s="10" t="s">
        <v>1583</v>
      </c>
      <c r="B651" s="10" t="s">
        <v>1584</v>
      </c>
      <c r="C651" s="10" t="s">
        <v>453</v>
      </c>
      <c r="D651" s="10" t="s">
        <v>121</v>
      </c>
      <c r="E651" s="10" t="s">
        <v>121</v>
      </c>
      <c r="F651" s="10" t="s">
        <v>117</v>
      </c>
      <c r="G651" s="10">
        <v>5.0</v>
      </c>
      <c r="H651" s="10">
        <v>7.0</v>
      </c>
      <c r="I651" s="10" t="s">
        <v>2140</v>
      </c>
      <c r="J651" s="10" t="s">
        <v>2136</v>
      </c>
      <c r="K651" s="10"/>
      <c r="L651" s="10">
        <v>0.0</v>
      </c>
      <c r="M651" s="10">
        <v>0.0</v>
      </c>
      <c r="N651" s="10"/>
      <c r="O651" s="10"/>
      <c r="P651" s="12">
        <f>IF($A651="","",IFERROR((IF($O651="",0,$O651)*Settings!$J$4+IF($L651="",0,$L651)*Settings!$J$5+IF($N651="",0,$N651)*Settings!$J$6)/(IF($O651="",0,Settings!$J$4)+IF($L651="",0,Settings!$J$5)+IF($N651="",0,Settings!$J$6)),0))</f>
        <v>0</v>
      </c>
      <c r="Q651" s="12">
        <f t="array" ref="Q651">IF($A651="","",XLOOKUP($E651,Settings!$A$19:$A$22,Settings!$G$19:$G$22,0))</f>
        <v>206</v>
      </c>
      <c r="R651" s="12">
        <f t="shared" si="1"/>
        <v>0</v>
      </c>
      <c r="S651" s="12">
        <f>IF($A651="","",IF($R651&lt;=0,1,1+$R651/SUMIF($R$4:$R$923,"&gt;0",$R$4:$R$923)*(Settings!$B$5*(Settings!$B$6-Settings!$B$7))))</f>
        <v>1</v>
      </c>
      <c r="T651" s="12">
        <f t="array" ref="T651">IF($A651="","",XLOOKUP($F651,Settings!$I$15:$I$20,Settings!$J$15:$J$20,1))</f>
        <v>0.75</v>
      </c>
      <c r="U651" s="12">
        <f>IF($A651="","",1+(($G651-5)/5)*Settings!$J$8)</f>
        <v>1</v>
      </c>
      <c r="V651" s="12">
        <f>IF($A651="","",1+(($H651-5)/5)*Settings!$J$9)</f>
        <v>1.06</v>
      </c>
      <c r="W651" s="12">
        <f t="array" ref="W651">IF($A651="","",XLOOKUP($J651,Lists!$C$3:$C$7,Lists!$D$3:$D$7,1))</f>
        <v>1</v>
      </c>
      <c r="X651" s="12">
        <f>IF($A651="","",IF($I651="Yes",Settings!$J$10,1))</f>
        <v>1</v>
      </c>
      <c r="Y651" s="12">
        <f t="shared" si="2"/>
        <v>1</v>
      </c>
      <c r="Z651" s="12">
        <f>IF($A651="","",IFERROR(ROUND(AVERAGEIFS('Historical Drafts'!$G$4:$G$300,'Historical Drafts'!$D$4:$D$300,$E651,'Historical Drafts'!$J$4:$J$300,"&gt;="&amp;$L651*0.85,'Historical Drafts'!$J$4:$J$300,"&lt;="&amp;$L651*1.15),0),$Y651))</f>
        <v>3</v>
      </c>
      <c r="AA651" s="12" t="str">
        <f>IF($A651="","",IF(COUNTIF('Auction Log'!$B$3:$B$300,$A651)&gt;0,"Sold","Available"))</f>
        <v>Available</v>
      </c>
      <c r="AB651" s="12" t="str">
        <f t="array" ref="AB651">IF($A651="","",IFERROR(XLOOKUP($A651,'Auction Log'!$B$3:$B$300,'Auction Log'!$G$3:$G$300,""),""))</f>
        <v/>
      </c>
      <c r="AC651" s="12" t="str">
        <f t="array" ref="AC651">IF($A651="","",IFERROR(XLOOKUP($A651,'Auction Log'!$B$3:$B$300,'Auction Log'!$F$3:$F$300,""),""))</f>
        <v/>
      </c>
      <c r="AD651" s="12">
        <f t="array" ref="AD651">IF($A651="","",ROUND($Y651*XLOOKUP($F651,Settings!$I$15:$I$20,Settings!$K$15:$K$20,0.4),0))</f>
        <v>0</v>
      </c>
      <c r="AE651" s="12">
        <f t="array" ref="AE651">IF($A651="","",ROUND($Y651*XLOOKUP($F651,Settings!$I$15:$I$20,Settings!$L$15:$L$20,0.8),0))</f>
        <v>1</v>
      </c>
      <c r="AF651" s="12">
        <f t="array" ref="AF651">IF($A651="","",ROUND($Y651*XLOOKUP($F651,Settings!$I$15:$I$20,Settings!$M$15:$M$20,1),0))</f>
        <v>1</v>
      </c>
      <c r="AG651" s="12">
        <f t="array" ref="AG651">IF($A651="","",ROUND($Y651*XLOOKUP($F651,Settings!$I$15:$I$20,Settings!$N$15:$N$20,1.1),0))</f>
        <v>1</v>
      </c>
      <c r="AH651" s="12">
        <f t="array" ref="AH651">IF($A651="","",ROUND($Y651*XLOOKUP($F651,Settings!$I$15:$I$20,Settings!$O$15:$O$20,1.1)*Settings!$J$7,0))</f>
        <v>1</v>
      </c>
      <c r="AI651" s="12">
        <f t="array" ref="AI651">IF($A651="","",IF($AA651="Sold","",MIN($AH651,IFERROR(XLOOKUP(Settings!$B$12,Managers!$B$4:$B$15,Managers!$H$4:$H$15),$AH651))))</f>
        <v>1</v>
      </c>
      <c r="AJ651" s="12" t="str">
        <f t="shared" si="3"/>
        <v>Budget Drainer</v>
      </c>
      <c r="AK651" s="12">
        <f t="shared" si="4"/>
        <v>28</v>
      </c>
      <c r="AL651" s="12" t="str">
        <f t="shared" si="5"/>
        <v/>
      </c>
    </row>
    <row r="652" ht="15.75" customHeight="1">
      <c r="A652" s="10" t="s">
        <v>1585</v>
      </c>
      <c r="B652" s="10" t="s">
        <v>1586</v>
      </c>
      <c r="C652" s="10" t="s">
        <v>243</v>
      </c>
      <c r="D652" s="10" t="s">
        <v>121</v>
      </c>
      <c r="E652" s="10" t="s">
        <v>121</v>
      </c>
      <c r="F652" s="10" t="s">
        <v>117</v>
      </c>
      <c r="G652" s="10">
        <v>5.0</v>
      </c>
      <c r="H652" s="10">
        <v>7.0</v>
      </c>
      <c r="I652" s="10" t="s">
        <v>2140</v>
      </c>
      <c r="J652" s="10" t="s">
        <v>2136</v>
      </c>
      <c r="K652" s="10"/>
      <c r="L652" s="10">
        <v>0.0</v>
      </c>
      <c r="M652" s="10">
        <v>0.0</v>
      </c>
      <c r="N652" s="10"/>
      <c r="O652" s="10"/>
      <c r="P652" s="12">
        <f>IF($A652="","",IFERROR((IF($O652="",0,$O652)*Settings!$J$4+IF($L652="",0,$L652)*Settings!$J$5+IF($N652="",0,$N652)*Settings!$J$6)/(IF($O652="",0,Settings!$J$4)+IF($L652="",0,Settings!$J$5)+IF($N652="",0,Settings!$J$6)),0))</f>
        <v>0</v>
      </c>
      <c r="Q652" s="12">
        <f t="array" ref="Q652">IF($A652="","",XLOOKUP($E652,Settings!$A$19:$A$22,Settings!$G$19:$G$22,0))</f>
        <v>206</v>
      </c>
      <c r="R652" s="12">
        <f t="shared" si="1"/>
        <v>0</v>
      </c>
      <c r="S652" s="12">
        <f>IF($A652="","",IF($R652&lt;=0,1,1+$R652/SUMIF($R$4:$R$923,"&gt;0",$R$4:$R$923)*(Settings!$B$5*(Settings!$B$6-Settings!$B$7))))</f>
        <v>1</v>
      </c>
      <c r="T652" s="12">
        <f t="array" ref="T652">IF($A652="","",XLOOKUP($F652,Settings!$I$15:$I$20,Settings!$J$15:$J$20,1))</f>
        <v>0.75</v>
      </c>
      <c r="U652" s="12">
        <f>IF($A652="","",1+(($G652-5)/5)*Settings!$J$8)</f>
        <v>1</v>
      </c>
      <c r="V652" s="12">
        <f>IF($A652="","",1+(($H652-5)/5)*Settings!$J$9)</f>
        <v>1.06</v>
      </c>
      <c r="W652" s="12">
        <f t="array" ref="W652">IF($A652="","",XLOOKUP($J652,Lists!$C$3:$C$7,Lists!$D$3:$D$7,1))</f>
        <v>1</v>
      </c>
      <c r="X652" s="12">
        <f>IF($A652="","",IF($I652="Yes",Settings!$J$10,1))</f>
        <v>1</v>
      </c>
      <c r="Y652" s="12">
        <f t="shared" si="2"/>
        <v>1</v>
      </c>
      <c r="Z652" s="12">
        <f>IF($A652="","",IFERROR(ROUND(AVERAGEIFS('Historical Drafts'!$G$4:$G$300,'Historical Drafts'!$D$4:$D$300,$E652,'Historical Drafts'!$J$4:$J$300,"&gt;="&amp;$L652*0.85,'Historical Drafts'!$J$4:$J$300,"&lt;="&amp;$L652*1.15),0),$Y652))</f>
        <v>3</v>
      </c>
      <c r="AA652" s="12" t="str">
        <f>IF($A652="","",IF(COUNTIF('Auction Log'!$B$3:$B$300,$A652)&gt;0,"Sold","Available"))</f>
        <v>Available</v>
      </c>
      <c r="AB652" s="12" t="str">
        <f t="array" ref="AB652">IF($A652="","",IFERROR(XLOOKUP($A652,'Auction Log'!$B$3:$B$300,'Auction Log'!$G$3:$G$300,""),""))</f>
        <v/>
      </c>
      <c r="AC652" s="12" t="str">
        <f t="array" ref="AC652">IF($A652="","",IFERROR(XLOOKUP($A652,'Auction Log'!$B$3:$B$300,'Auction Log'!$F$3:$F$300,""),""))</f>
        <v/>
      </c>
      <c r="AD652" s="12">
        <f t="array" ref="AD652">IF($A652="","",ROUND($Y652*XLOOKUP($F652,Settings!$I$15:$I$20,Settings!$K$15:$K$20,0.4),0))</f>
        <v>0</v>
      </c>
      <c r="AE652" s="12">
        <f t="array" ref="AE652">IF($A652="","",ROUND($Y652*XLOOKUP($F652,Settings!$I$15:$I$20,Settings!$L$15:$L$20,0.8),0))</f>
        <v>1</v>
      </c>
      <c r="AF652" s="12">
        <f t="array" ref="AF652">IF($A652="","",ROUND($Y652*XLOOKUP($F652,Settings!$I$15:$I$20,Settings!$M$15:$M$20,1),0))</f>
        <v>1</v>
      </c>
      <c r="AG652" s="12">
        <f t="array" ref="AG652">IF($A652="","",ROUND($Y652*XLOOKUP($F652,Settings!$I$15:$I$20,Settings!$N$15:$N$20,1.1),0))</f>
        <v>1</v>
      </c>
      <c r="AH652" s="12">
        <f t="array" ref="AH652">IF($A652="","",ROUND($Y652*XLOOKUP($F652,Settings!$I$15:$I$20,Settings!$O$15:$O$20,1.1)*Settings!$J$7,0))</f>
        <v>1</v>
      </c>
      <c r="AI652" s="12">
        <f t="array" ref="AI652">IF($A652="","",IF($AA652="Sold","",MIN($AH652,IFERROR(XLOOKUP(Settings!$B$12,Managers!$B$4:$B$15,Managers!$H$4:$H$15),$AH652))))</f>
        <v>1</v>
      </c>
      <c r="AJ652" s="12" t="str">
        <f t="shared" si="3"/>
        <v>Budget Drainer</v>
      </c>
      <c r="AK652" s="12">
        <f t="shared" si="4"/>
        <v>28</v>
      </c>
      <c r="AL652" s="12" t="str">
        <f t="shared" si="5"/>
        <v/>
      </c>
    </row>
    <row r="653" ht="15.75" customHeight="1">
      <c r="A653" s="10" t="s">
        <v>1587</v>
      </c>
      <c r="B653" s="10" t="s">
        <v>1588</v>
      </c>
      <c r="C653" s="10" t="s">
        <v>243</v>
      </c>
      <c r="D653" s="10" t="s">
        <v>121</v>
      </c>
      <c r="E653" s="10" t="s">
        <v>121</v>
      </c>
      <c r="F653" s="10" t="s">
        <v>117</v>
      </c>
      <c r="G653" s="10">
        <v>5.0</v>
      </c>
      <c r="H653" s="10">
        <v>7.0</v>
      </c>
      <c r="I653" s="10" t="s">
        <v>2140</v>
      </c>
      <c r="J653" s="10" t="s">
        <v>2136</v>
      </c>
      <c r="K653" s="10"/>
      <c r="L653" s="10">
        <v>0.0</v>
      </c>
      <c r="M653" s="10">
        <v>0.0</v>
      </c>
      <c r="N653" s="10"/>
      <c r="O653" s="10"/>
      <c r="P653" s="12">
        <f>IF($A653="","",IFERROR((IF($O653="",0,$O653)*Settings!$J$4+IF($L653="",0,$L653)*Settings!$J$5+IF($N653="",0,$N653)*Settings!$J$6)/(IF($O653="",0,Settings!$J$4)+IF($L653="",0,Settings!$J$5)+IF($N653="",0,Settings!$J$6)),0))</f>
        <v>0</v>
      </c>
      <c r="Q653" s="12">
        <f t="array" ref="Q653">IF($A653="","",XLOOKUP($E653,Settings!$A$19:$A$22,Settings!$G$19:$G$22,0))</f>
        <v>206</v>
      </c>
      <c r="R653" s="12">
        <f t="shared" si="1"/>
        <v>0</v>
      </c>
      <c r="S653" s="12">
        <f>IF($A653="","",IF($R653&lt;=0,1,1+$R653/SUMIF($R$4:$R$923,"&gt;0",$R$4:$R$923)*(Settings!$B$5*(Settings!$B$6-Settings!$B$7))))</f>
        <v>1</v>
      </c>
      <c r="T653" s="12">
        <f t="array" ref="T653">IF($A653="","",XLOOKUP($F653,Settings!$I$15:$I$20,Settings!$J$15:$J$20,1))</f>
        <v>0.75</v>
      </c>
      <c r="U653" s="12">
        <f>IF($A653="","",1+(($G653-5)/5)*Settings!$J$8)</f>
        <v>1</v>
      </c>
      <c r="V653" s="12">
        <f>IF($A653="","",1+(($H653-5)/5)*Settings!$J$9)</f>
        <v>1.06</v>
      </c>
      <c r="W653" s="12">
        <f t="array" ref="W653">IF($A653="","",XLOOKUP($J653,Lists!$C$3:$C$7,Lists!$D$3:$D$7,1))</f>
        <v>1</v>
      </c>
      <c r="X653" s="12">
        <f>IF($A653="","",IF($I653="Yes",Settings!$J$10,1))</f>
        <v>1</v>
      </c>
      <c r="Y653" s="12">
        <f t="shared" si="2"/>
        <v>1</v>
      </c>
      <c r="Z653" s="12">
        <f>IF($A653="","",IFERROR(ROUND(AVERAGEIFS('Historical Drafts'!$G$4:$G$300,'Historical Drafts'!$D$4:$D$300,$E653,'Historical Drafts'!$J$4:$J$300,"&gt;="&amp;$L653*0.85,'Historical Drafts'!$J$4:$J$300,"&lt;="&amp;$L653*1.15),0),$Y653))</f>
        <v>3</v>
      </c>
      <c r="AA653" s="12" t="str">
        <f>IF($A653="","",IF(COUNTIF('Auction Log'!$B$3:$B$300,$A653)&gt;0,"Sold","Available"))</f>
        <v>Available</v>
      </c>
      <c r="AB653" s="12" t="str">
        <f t="array" ref="AB653">IF($A653="","",IFERROR(XLOOKUP($A653,'Auction Log'!$B$3:$B$300,'Auction Log'!$G$3:$G$300,""),""))</f>
        <v/>
      </c>
      <c r="AC653" s="12" t="str">
        <f t="array" ref="AC653">IF($A653="","",IFERROR(XLOOKUP($A653,'Auction Log'!$B$3:$B$300,'Auction Log'!$F$3:$F$300,""),""))</f>
        <v/>
      </c>
      <c r="AD653" s="12">
        <f t="array" ref="AD653">IF($A653="","",ROUND($Y653*XLOOKUP($F653,Settings!$I$15:$I$20,Settings!$K$15:$K$20,0.4),0))</f>
        <v>0</v>
      </c>
      <c r="AE653" s="12">
        <f t="array" ref="AE653">IF($A653="","",ROUND($Y653*XLOOKUP($F653,Settings!$I$15:$I$20,Settings!$L$15:$L$20,0.8),0))</f>
        <v>1</v>
      </c>
      <c r="AF653" s="12">
        <f t="array" ref="AF653">IF($A653="","",ROUND($Y653*XLOOKUP($F653,Settings!$I$15:$I$20,Settings!$M$15:$M$20,1),0))</f>
        <v>1</v>
      </c>
      <c r="AG653" s="12">
        <f t="array" ref="AG653">IF($A653="","",ROUND($Y653*XLOOKUP($F653,Settings!$I$15:$I$20,Settings!$N$15:$N$20,1.1),0))</f>
        <v>1</v>
      </c>
      <c r="AH653" s="12">
        <f t="array" ref="AH653">IF($A653="","",ROUND($Y653*XLOOKUP($F653,Settings!$I$15:$I$20,Settings!$O$15:$O$20,1.1)*Settings!$J$7,0))</f>
        <v>1</v>
      </c>
      <c r="AI653" s="12">
        <f t="array" ref="AI653">IF($A653="","",IF($AA653="Sold","",MIN($AH653,IFERROR(XLOOKUP(Settings!$B$12,Managers!$B$4:$B$15,Managers!$H$4:$H$15),$AH653))))</f>
        <v>1</v>
      </c>
      <c r="AJ653" s="12" t="str">
        <f t="shared" si="3"/>
        <v>Budget Drainer</v>
      </c>
      <c r="AK653" s="12">
        <f t="shared" si="4"/>
        <v>28</v>
      </c>
      <c r="AL653" s="12" t="str">
        <f t="shared" si="5"/>
        <v/>
      </c>
    </row>
    <row r="654" ht="15.75" customHeight="1">
      <c r="A654" s="10" t="s">
        <v>1589</v>
      </c>
      <c r="B654" s="10" t="s">
        <v>1590</v>
      </c>
      <c r="C654" s="10" t="s">
        <v>236</v>
      </c>
      <c r="D654" s="10" t="s">
        <v>118</v>
      </c>
      <c r="E654" s="10" t="s">
        <v>118</v>
      </c>
      <c r="F654" s="10" t="s">
        <v>117</v>
      </c>
      <c r="G654" s="10">
        <v>5.0</v>
      </c>
      <c r="H654" s="10">
        <v>7.0</v>
      </c>
      <c r="I654" s="10" t="s">
        <v>2140</v>
      </c>
      <c r="J654" s="10" t="s">
        <v>2136</v>
      </c>
      <c r="K654" s="10"/>
      <c r="L654" s="10">
        <v>0.0</v>
      </c>
      <c r="M654" s="10">
        <v>0.0</v>
      </c>
      <c r="N654" s="10"/>
      <c r="O654" s="10"/>
      <c r="P654" s="12">
        <f>IF($A654="","",IFERROR((IF($O654="",0,$O654)*Settings!$J$4+IF($L654="",0,$L654)*Settings!$J$5+IF($N654="",0,$N654)*Settings!$J$6)/(IF($O654="",0,Settings!$J$4)+IF($L654="",0,Settings!$J$5)+IF($N654="",0,Settings!$J$6)),0))</f>
        <v>0</v>
      </c>
      <c r="Q654" s="12">
        <f t="array" ref="Q654">IF($A654="","",XLOOKUP($E654,Settings!$A$19:$A$22,Settings!$G$19:$G$22,0))</f>
        <v>196.25</v>
      </c>
      <c r="R654" s="12">
        <f t="shared" si="1"/>
        <v>0</v>
      </c>
      <c r="S654" s="12">
        <f>IF($A654="","",IF($R654&lt;=0,1,1+$R654/SUMIF($R$4:$R$923,"&gt;0",$R$4:$R$923)*(Settings!$B$5*(Settings!$B$6-Settings!$B$7))))</f>
        <v>1</v>
      </c>
      <c r="T654" s="12">
        <f t="array" ref="T654">IF($A654="","",XLOOKUP($F654,Settings!$I$15:$I$20,Settings!$J$15:$J$20,1))</f>
        <v>0.75</v>
      </c>
      <c r="U654" s="12">
        <f>IF($A654="","",1+(($G654-5)/5)*Settings!$J$8)</f>
        <v>1</v>
      </c>
      <c r="V654" s="12">
        <f>IF($A654="","",1+(($H654-5)/5)*Settings!$J$9)</f>
        <v>1.06</v>
      </c>
      <c r="W654" s="12">
        <f t="array" ref="W654">IF($A654="","",XLOOKUP($J654,Lists!$C$3:$C$7,Lists!$D$3:$D$7,1))</f>
        <v>1</v>
      </c>
      <c r="X654" s="12">
        <f>IF($A654="","",IF($I654="Yes",Settings!$J$10,1))</f>
        <v>1</v>
      </c>
      <c r="Y654" s="12">
        <f t="shared" si="2"/>
        <v>1</v>
      </c>
      <c r="Z654" s="12">
        <f>IF($A654="","",IFERROR(ROUND(AVERAGEIFS('Historical Drafts'!$G$4:$G$300,'Historical Drafts'!$D$4:$D$300,$E654,'Historical Drafts'!$J$4:$J$300,"&gt;="&amp;$L654*0.85,'Historical Drafts'!$J$4:$J$300,"&lt;="&amp;$L654*1.15),0),$Y654))</f>
        <v>1</v>
      </c>
      <c r="AA654" s="12" t="str">
        <f>IF($A654="","",IF(COUNTIF('Auction Log'!$B$3:$B$300,$A654)&gt;0,"Sold","Available"))</f>
        <v>Available</v>
      </c>
      <c r="AB654" s="12" t="str">
        <f t="array" ref="AB654">IF($A654="","",IFERROR(XLOOKUP($A654,'Auction Log'!$B$3:$B$300,'Auction Log'!$G$3:$G$300,""),""))</f>
        <v/>
      </c>
      <c r="AC654" s="12" t="str">
        <f t="array" ref="AC654">IF($A654="","",IFERROR(XLOOKUP($A654,'Auction Log'!$B$3:$B$300,'Auction Log'!$F$3:$F$300,""),""))</f>
        <v/>
      </c>
      <c r="AD654" s="12">
        <f t="array" ref="AD654">IF($A654="","",ROUND($Y654*XLOOKUP($F654,Settings!$I$15:$I$20,Settings!$K$15:$K$20,0.4),0))</f>
        <v>0</v>
      </c>
      <c r="AE654" s="12">
        <f t="array" ref="AE654">IF($A654="","",ROUND($Y654*XLOOKUP($F654,Settings!$I$15:$I$20,Settings!$L$15:$L$20,0.8),0))</f>
        <v>1</v>
      </c>
      <c r="AF654" s="12">
        <f t="array" ref="AF654">IF($A654="","",ROUND($Y654*XLOOKUP($F654,Settings!$I$15:$I$20,Settings!$M$15:$M$20,1),0))</f>
        <v>1</v>
      </c>
      <c r="AG654" s="12">
        <f t="array" ref="AG654">IF($A654="","",ROUND($Y654*XLOOKUP($F654,Settings!$I$15:$I$20,Settings!$N$15:$N$20,1.1),0))</f>
        <v>1</v>
      </c>
      <c r="AH654" s="12">
        <f t="array" ref="AH654">IF($A654="","",ROUND($Y654*XLOOKUP($F654,Settings!$I$15:$I$20,Settings!$O$15:$O$20,1.1)*Settings!$J$7,0))</f>
        <v>1</v>
      </c>
      <c r="AI654" s="12">
        <f t="array" ref="AI654">IF($A654="","",IF($AA654="Sold","",MIN($AH654,IFERROR(XLOOKUP(Settings!$B$12,Managers!$B$4:$B$15,Managers!$H$4:$H$15),$AH654))))</f>
        <v>1</v>
      </c>
      <c r="AJ654" s="12" t="str">
        <f t="shared" si="3"/>
        <v>Recommended</v>
      </c>
      <c r="AK654" s="12">
        <f t="shared" si="4"/>
        <v>26</v>
      </c>
      <c r="AL654" s="12" t="str">
        <f t="shared" si="5"/>
        <v/>
      </c>
    </row>
    <row r="655" ht="15.75" customHeight="1">
      <c r="A655" s="10" t="s">
        <v>1591</v>
      </c>
      <c r="B655" s="10" t="s">
        <v>1592</v>
      </c>
      <c r="C655" s="10" t="s">
        <v>236</v>
      </c>
      <c r="D655" s="10" t="s">
        <v>118</v>
      </c>
      <c r="E655" s="10" t="s">
        <v>118</v>
      </c>
      <c r="F655" s="10" t="s">
        <v>117</v>
      </c>
      <c r="G655" s="10">
        <v>5.0</v>
      </c>
      <c r="H655" s="10">
        <v>7.0</v>
      </c>
      <c r="I655" s="10" t="s">
        <v>2140</v>
      </c>
      <c r="J655" s="10" t="s">
        <v>2136</v>
      </c>
      <c r="K655" s="10"/>
      <c r="L655" s="10">
        <v>0.0</v>
      </c>
      <c r="M655" s="10">
        <v>0.0</v>
      </c>
      <c r="N655" s="10"/>
      <c r="O655" s="10"/>
      <c r="P655" s="12">
        <f>IF($A655="","",IFERROR((IF($O655="",0,$O655)*Settings!$J$4+IF($L655="",0,$L655)*Settings!$J$5+IF($N655="",0,$N655)*Settings!$J$6)/(IF($O655="",0,Settings!$J$4)+IF($L655="",0,Settings!$J$5)+IF($N655="",0,Settings!$J$6)),0))</f>
        <v>0</v>
      </c>
      <c r="Q655" s="12">
        <f t="array" ref="Q655">IF($A655="","",XLOOKUP($E655,Settings!$A$19:$A$22,Settings!$G$19:$G$22,0))</f>
        <v>196.25</v>
      </c>
      <c r="R655" s="12">
        <f t="shared" si="1"/>
        <v>0</v>
      </c>
      <c r="S655" s="12">
        <f>IF($A655="","",IF($R655&lt;=0,1,1+$R655/SUMIF($R$4:$R$923,"&gt;0",$R$4:$R$923)*(Settings!$B$5*(Settings!$B$6-Settings!$B$7))))</f>
        <v>1</v>
      </c>
      <c r="T655" s="12">
        <f t="array" ref="T655">IF($A655="","",XLOOKUP($F655,Settings!$I$15:$I$20,Settings!$J$15:$J$20,1))</f>
        <v>0.75</v>
      </c>
      <c r="U655" s="12">
        <f>IF($A655="","",1+(($G655-5)/5)*Settings!$J$8)</f>
        <v>1</v>
      </c>
      <c r="V655" s="12">
        <f>IF($A655="","",1+(($H655-5)/5)*Settings!$J$9)</f>
        <v>1.06</v>
      </c>
      <c r="W655" s="12">
        <f t="array" ref="W655">IF($A655="","",XLOOKUP($J655,Lists!$C$3:$C$7,Lists!$D$3:$D$7,1))</f>
        <v>1</v>
      </c>
      <c r="X655" s="12">
        <f>IF($A655="","",IF($I655="Yes",Settings!$J$10,1))</f>
        <v>1</v>
      </c>
      <c r="Y655" s="12">
        <f t="shared" si="2"/>
        <v>1</v>
      </c>
      <c r="Z655" s="12">
        <f>IF($A655="","",IFERROR(ROUND(AVERAGEIFS('Historical Drafts'!$G$4:$G$300,'Historical Drafts'!$D$4:$D$300,$E655,'Historical Drafts'!$J$4:$J$300,"&gt;="&amp;$L655*0.85,'Historical Drafts'!$J$4:$J$300,"&lt;="&amp;$L655*1.15),0),$Y655))</f>
        <v>1</v>
      </c>
      <c r="AA655" s="12" t="str">
        <f>IF($A655="","",IF(COUNTIF('Auction Log'!$B$3:$B$300,$A655)&gt;0,"Sold","Available"))</f>
        <v>Available</v>
      </c>
      <c r="AB655" s="12" t="str">
        <f t="array" ref="AB655">IF($A655="","",IFERROR(XLOOKUP($A655,'Auction Log'!$B$3:$B$300,'Auction Log'!$G$3:$G$300,""),""))</f>
        <v/>
      </c>
      <c r="AC655" s="12" t="str">
        <f t="array" ref="AC655">IF($A655="","",IFERROR(XLOOKUP($A655,'Auction Log'!$B$3:$B$300,'Auction Log'!$F$3:$F$300,""),""))</f>
        <v/>
      </c>
      <c r="AD655" s="12">
        <f t="array" ref="AD655">IF($A655="","",ROUND($Y655*XLOOKUP($F655,Settings!$I$15:$I$20,Settings!$K$15:$K$20,0.4),0))</f>
        <v>0</v>
      </c>
      <c r="AE655" s="12">
        <f t="array" ref="AE655">IF($A655="","",ROUND($Y655*XLOOKUP($F655,Settings!$I$15:$I$20,Settings!$L$15:$L$20,0.8),0))</f>
        <v>1</v>
      </c>
      <c r="AF655" s="12">
        <f t="array" ref="AF655">IF($A655="","",ROUND($Y655*XLOOKUP($F655,Settings!$I$15:$I$20,Settings!$M$15:$M$20,1),0))</f>
        <v>1</v>
      </c>
      <c r="AG655" s="12">
        <f t="array" ref="AG655">IF($A655="","",ROUND($Y655*XLOOKUP($F655,Settings!$I$15:$I$20,Settings!$N$15:$N$20,1.1),0))</f>
        <v>1</v>
      </c>
      <c r="AH655" s="12">
        <f t="array" ref="AH655">IF($A655="","",ROUND($Y655*XLOOKUP($F655,Settings!$I$15:$I$20,Settings!$O$15:$O$20,1.1)*Settings!$J$7,0))</f>
        <v>1</v>
      </c>
      <c r="AI655" s="12">
        <f t="array" ref="AI655">IF($A655="","",IF($AA655="Sold","",MIN($AH655,IFERROR(XLOOKUP(Settings!$B$12,Managers!$B$4:$B$15,Managers!$H$4:$H$15),$AH655))))</f>
        <v>1</v>
      </c>
      <c r="AJ655" s="12" t="str">
        <f t="shared" si="3"/>
        <v>Recommended</v>
      </c>
      <c r="AK655" s="12">
        <f t="shared" si="4"/>
        <v>26</v>
      </c>
      <c r="AL655" s="12" t="str">
        <f t="shared" si="5"/>
        <v/>
      </c>
    </row>
    <row r="656" ht="15.75" customHeight="1">
      <c r="A656" s="10" t="s">
        <v>1593</v>
      </c>
      <c r="B656" s="10" t="s">
        <v>1594</v>
      </c>
      <c r="C656" s="10" t="s">
        <v>243</v>
      </c>
      <c r="D656" s="10" t="s">
        <v>118</v>
      </c>
      <c r="E656" s="10" t="s">
        <v>118</v>
      </c>
      <c r="F656" s="10" t="s">
        <v>117</v>
      </c>
      <c r="G656" s="10">
        <v>5.0</v>
      </c>
      <c r="H656" s="10">
        <v>7.0</v>
      </c>
      <c r="I656" s="10" t="s">
        <v>2140</v>
      </c>
      <c r="J656" s="10" t="s">
        <v>2136</v>
      </c>
      <c r="K656" s="10"/>
      <c r="L656" s="10">
        <v>0.0</v>
      </c>
      <c r="M656" s="10">
        <v>0.0</v>
      </c>
      <c r="N656" s="10"/>
      <c r="O656" s="10"/>
      <c r="P656" s="12">
        <f>IF($A656="","",IFERROR((IF($O656="",0,$O656)*Settings!$J$4+IF($L656="",0,$L656)*Settings!$J$5+IF($N656="",0,$N656)*Settings!$J$6)/(IF($O656="",0,Settings!$J$4)+IF($L656="",0,Settings!$J$5)+IF($N656="",0,Settings!$J$6)),0))</f>
        <v>0</v>
      </c>
      <c r="Q656" s="12">
        <f t="array" ref="Q656">IF($A656="","",XLOOKUP($E656,Settings!$A$19:$A$22,Settings!$G$19:$G$22,0))</f>
        <v>196.25</v>
      </c>
      <c r="R656" s="12">
        <f t="shared" si="1"/>
        <v>0</v>
      </c>
      <c r="S656" s="12">
        <f>IF($A656="","",IF($R656&lt;=0,1,1+$R656/SUMIF($R$4:$R$923,"&gt;0",$R$4:$R$923)*(Settings!$B$5*(Settings!$B$6-Settings!$B$7))))</f>
        <v>1</v>
      </c>
      <c r="T656" s="12">
        <f t="array" ref="T656">IF($A656="","",XLOOKUP($F656,Settings!$I$15:$I$20,Settings!$J$15:$J$20,1))</f>
        <v>0.75</v>
      </c>
      <c r="U656" s="12">
        <f>IF($A656="","",1+(($G656-5)/5)*Settings!$J$8)</f>
        <v>1</v>
      </c>
      <c r="V656" s="12">
        <f>IF($A656="","",1+(($H656-5)/5)*Settings!$J$9)</f>
        <v>1.06</v>
      </c>
      <c r="W656" s="12">
        <f t="array" ref="W656">IF($A656="","",XLOOKUP($J656,Lists!$C$3:$C$7,Lists!$D$3:$D$7,1))</f>
        <v>1</v>
      </c>
      <c r="X656" s="12">
        <f>IF($A656="","",IF($I656="Yes",Settings!$J$10,1))</f>
        <v>1</v>
      </c>
      <c r="Y656" s="12">
        <f t="shared" si="2"/>
        <v>1</v>
      </c>
      <c r="Z656" s="12">
        <f>IF($A656="","",IFERROR(ROUND(AVERAGEIFS('Historical Drafts'!$G$4:$G$300,'Historical Drafts'!$D$4:$D$300,$E656,'Historical Drafts'!$J$4:$J$300,"&gt;="&amp;$L656*0.85,'Historical Drafts'!$J$4:$J$300,"&lt;="&amp;$L656*1.15),0),$Y656))</f>
        <v>1</v>
      </c>
      <c r="AA656" s="12" t="str">
        <f>IF($A656="","",IF(COUNTIF('Auction Log'!$B$3:$B$300,$A656)&gt;0,"Sold","Available"))</f>
        <v>Available</v>
      </c>
      <c r="AB656" s="12" t="str">
        <f t="array" ref="AB656">IF($A656="","",IFERROR(XLOOKUP($A656,'Auction Log'!$B$3:$B$300,'Auction Log'!$G$3:$G$300,""),""))</f>
        <v/>
      </c>
      <c r="AC656" s="12" t="str">
        <f t="array" ref="AC656">IF($A656="","",IFERROR(XLOOKUP($A656,'Auction Log'!$B$3:$B$300,'Auction Log'!$F$3:$F$300,""),""))</f>
        <v/>
      </c>
      <c r="AD656" s="12">
        <f t="array" ref="AD656">IF($A656="","",ROUND($Y656*XLOOKUP($F656,Settings!$I$15:$I$20,Settings!$K$15:$K$20,0.4),0))</f>
        <v>0</v>
      </c>
      <c r="AE656" s="12">
        <f t="array" ref="AE656">IF($A656="","",ROUND($Y656*XLOOKUP($F656,Settings!$I$15:$I$20,Settings!$L$15:$L$20,0.8),0))</f>
        <v>1</v>
      </c>
      <c r="AF656" s="12">
        <f t="array" ref="AF656">IF($A656="","",ROUND($Y656*XLOOKUP($F656,Settings!$I$15:$I$20,Settings!$M$15:$M$20,1),0))</f>
        <v>1</v>
      </c>
      <c r="AG656" s="12">
        <f t="array" ref="AG656">IF($A656="","",ROUND($Y656*XLOOKUP($F656,Settings!$I$15:$I$20,Settings!$N$15:$N$20,1.1),0))</f>
        <v>1</v>
      </c>
      <c r="AH656" s="12">
        <f t="array" ref="AH656">IF($A656="","",ROUND($Y656*XLOOKUP($F656,Settings!$I$15:$I$20,Settings!$O$15:$O$20,1.1)*Settings!$J$7,0))</f>
        <v>1</v>
      </c>
      <c r="AI656" s="12">
        <f t="array" ref="AI656">IF($A656="","",IF($AA656="Sold","",MIN($AH656,IFERROR(XLOOKUP(Settings!$B$12,Managers!$B$4:$B$15,Managers!$H$4:$H$15),$AH656))))</f>
        <v>1</v>
      </c>
      <c r="AJ656" s="12" t="str">
        <f t="shared" si="3"/>
        <v>Recommended</v>
      </c>
      <c r="AK656" s="12">
        <f t="shared" si="4"/>
        <v>26</v>
      </c>
      <c r="AL656" s="12" t="str">
        <f t="shared" si="5"/>
        <v/>
      </c>
    </row>
    <row r="657" ht="15.75" customHeight="1">
      <c r="A657" s="10" t="s">
        <v>1595</v>
      </c>
      <c r="B657" s="10" t="s">
        <v>1596</v>
      </c>
      <c r="C657" s="10" t="s">
        <v>191</v>
      </c>
      <c r="D657" s="10" t="s">
        <v>123</v>
      </c>
      <c r="E657" s="10" t="s">
        <v>123</v>
      </c>
      <c r="F657" s="10" t="s">
        <v>117</v>
      </c>
      <c r="G657" s="10">
        <v>5.0</v>
      </c>
      <c r="H657" s="10">
        <v>7.0</v>
      </c>
      <c r="I657" s="10" t="s">
        <v>2140</v>
      </c>
      <c r="J657" s="10" t="s">
        <v>2136</v>
      </c>
      <c r="K657" s="10"/>
      <c r="L657" s="10">
        <v>0.0</v>
      </c>
      <c r="M657" s="10">
        <v>0.0</v>
      </c>
      <c r="N657" s="10"/>
      <c r="O657" s="10"/>
      <c r="P657" s="12">
        <f>IF($A657="","",IFERROR((IF($O657="",0,$O657)*Settings!$J$4+IF($L657="",0,$L657)*Settings!$J$5+IF($N657="",0,$N657)*Settings!$J$6)/(IF($O657="",0,Settings!$J$4)+IF($L657="",0,Settings!$J$5)+IF($N657="",0,Settings!$J$6)),0))</f>
        <v>0</v>
      </c>
      <c r="Q657" s="12">
        <f t="array" ref="Q657">IF($A657="","",XLOOKUP($E657,Settings!$A$19:$A$22,Settings!$G$19:$G$22,0))</f>
        <v>203</v>
      </c>
      <c r="R657" s="12">
        <f t="shared" si="1"/>
        <v>0</v>
      </c>
      <c r="S657" s="12">
        <f>IF($A657="","",IF($R657&lt;=0,1,1+$R657/SUMIF($R$4:$R$923,"&gt;0",$R$4:$R$923)*(Settings!$B$5*(Settings!$B$6-Settings!$B$7))))</f>
        <v>1</v>
      </c>
      <c r="T657" s="12">
        <f t="array" ref="T657">IF($A657="","",XLOOKUP($F657,Settings!$I$15:$I$20,Settings!$J$15:$J$20,1))</f>
        <v>0.75</v>
      </c>
      <c r="U657" s="12">
        <f>IF($A657="","",1+(($G657-5)/5)*Settings!$J$8)</f>
        <v>1</v>
      </c>
      <c r="V657" s="12">
        <f>IF($A657="","",1+(($H657-5)/5)*Settings!$J$9)</f>
        <v>1.06</v>
      </c>
      <c r="W657" s="12">
        <f t="array" ref="W657">IF($A657="","",XLOOKUP($J657,Lists!$C$3:$C$7,Lists!$D$3:$D$7,1))</f>
        <v>1</v>
      </c>
      <c r="X657" s="12">
        <f>IF($A657="","",IF($I657="Yes",Settings!$J$10,1))</f>
        <v>1</v>
      </c>
      <c r="Y657" s="12">
        <f t="shared" si="2"/>
        <v>1</v>
      </c>
      <c r="Z657" s="12">
        <f>IF($A657="","",IFERROR(ROUND(AVERAGEIFS('Historical Drafts'!$G$4:$G$300,'Historical Drafts'!$D$4:$D$300,$E657,'Historical Drafts'!$J$4:$J$300,"&gt;="&amp;$L657*0.85,'Historical Drafts'!$J$4:$J$300,"&lt;="&amp;$L657*1.15),0),$Y657))</f>
        <v>3</v>
      </c>
      <c r="AA657" s="12" t="str">
        <f>IF($A657="","",IF(COUNTIF('Auction Log'!$B$3:$B$300,$A657)&gt;0,"Sold","Available"))</f>
        <v>Available</v>
      </c>
      <c r="AB657" s="12" t="str">
        <f t="array" ref="AB657">IF($A657="","",IFERROR(XLOOKUP($A657,'Auction Log'!$B$3:$B$300,'Auction Log'!$G$3:$G$300,""),""))</f>
        <v/>
      </c>
      <c r="AC657" s="12" t="str">
        <f t="array" ref="AC657">IF($A657="","",IFERROR(XLOOKUP($A657,'Auction Log'!$B$3:$B$300,'Auction Log'!$F$3:$F$300,""),""))</f>
        <v/>
      </c>
      <c r="AD657" s="12">
        <f t="array" ref="AD657">IF($A657="","",ROUND($Y657*XLOOKUP($F657,Settings!$I$15:$I$20,Settings!$K$15:$K$20,0.4),0))</f>
        <v>0</v>
      </c>
      <c r="AE657" s="12">
        <f t="array" ref="AE657">IF($A657="","",ROUND($Y657*XLOOKUP($F657,Settings!$I$15:$I$20,Settings!$L$15:$L$20,0.8),0))</f>
        <v>1</v>
      </c>
      <c r="AF657" s="12">
        <f t="array" ref="AF657">IF($A657="","",ROUND($Y657*XLOOKUP($F657,Settings!$I$15:$I$20,Settings!$M$15:$M$20,1),0))</f>
        <v>1</v>
      </c>
      <c r="AG657" s="12">
        <f t="array" ref="AG657">IF($A657="","",ROUND($Y657*XLOOKUP($F657,Settings!$I$15:$I$20,Settings!$N$15:$N$20,1.1),0))</f>
        <v>1</v>
      </c>
      <c r="AH657" s="12">
        <f t="array" ref="AH657">IF($A657="","",ROUND($Y657*XLOOKUP($F657,Settings!$I$15:$I$20,Settings!$O$15:$O$20,1.1)*Settings!$J$7,0))</f>
        <v>1</v>
      </c>
      <c r="AI657" s="12">
        <f t="array" ref="AI657">IF($A657="","",IF($AA657="Sold","",MIN($AH657,IFERROR(XLOOKUP(Settings!$B$12,Managers!$B$4:$B$15,Managers!$H$4:$H$15),$AH657))))</f>
        <v>1</v>
      </c>
      <c r="AJ657" s="12" t="str">
        <f t="shared" si="3"/>
        <v>Budget Drainer</v>
      </c>
      <c r="AK657" s="12">
        <f t="shared" si="4"/>
        <v>28</v>
      </c>
      <c r="AL657" s="12" t="str">
        <f t="shared" si="5"/>
        <v/>
      </c>
    </row>
    <row r="658" ht="15.75" customHeight="1">
      <c r="A658" s="10" t="s">
        <v>1597</v>
      </c>
      <c r="B658" s="10" t="s">
        <v>1598</v>
      </c>
      <c r="C658" s="10" t="s">
        <v>226</v>
      </c>
      <c r="D658" s="10" t="s">
        <v>115</v>
      </c>
      <c r="E658" s="10" t="s">
        <v>115</v>
      </c>
      <c r="F658" s="10" t="s">
        <v>117</v>
      </c>
      <c r="G658" s="10">
        <v>5.0</v>
      </c>
      <c r="H658" s="10">
        <v>7.0</v>
      </c>
      <c r="I658" s="10" t="s">
        <v>2140</v>
      </c>
      <c r="J658" s="10" t="s">
        <v>2136</v>
      </c>
      <c r="K658" s="10"/>
      <c r="L658" s="10">
        <v>0.0</v>
      </c>
      <c r="M658" s="10">
        <v>0.0</v>
      </c>
      <c r="N658" s="10"/>
      <c r="O658" s="10"/>
      <c r="P658" s="12">
        <f>IF($A658="","",IFERROR((IF($O658="",0,$O658)*Settings!$J$4+IF($L658="",0,$L658)*Settings!$J$5+IF($N658="",0,$N658)*Settings!$J$6)/(IF($O658="",0,Settings!$J$4)+IF($L658="",0,Settings!$J$5)+IF($N658="",0,Settings!$J$6)),0))</f>
        <v>0</v>
      </c>
      <c r="Q658" s="12">
        <f t="array" ref="Q658">IF($A658="","",XLOOKUP($E658,Settings!$A$19:$A$22,Settings!$G$19:$G$22,0))</f>
        <v>249.25</v>
      </c>
      <c r="R658" s="12">
        <f t="shared" si="1"/>
        <v>0</v>
      </c>
      <c r="S658" s="12">
        <f>IF($A658="","",IF($R658&lt;=0,1,1+$R658/SUMIF($R$4:$R$923,"&gt;0",$R$4:$R$923)*(Settings!$B$5*(Settings!$B$6-Settings!$B$7))))</f>
        <v>1</v>
      </c>
      <c r="T658" s="12">
        <f t="array" ref="T658">IF($A658="","",XLOOKUP($F658,Settings!$I$15:$I$20,Settings!$J$15:$J$20,1))</f>
        <v>0.75</v>
      </c>
      <c r="U658" s="12">
        <f>IF($A658="","",1+(($G658-5)/5)*Settings!$J$8)</f>
        <v>1</v>
      </c>
      <c r="V658" s="12">
        <f>IF($A658="","",1+(($H658-5)/5)*Settings!$J$9)</f>
        <v>1.06</v>
      </c>
      <c r="W658" s="12">
        <f t="array" ref="W658">IF($A658="","",XLOOKUP($J658,Lists!$C$3:$C$7,Lists!$D$3:$D$7,1))</f>
        <v>1</v>
      </c>
      <c r="X658" s="12">
        <f>IF($A658="","",IF($I658="Yes",Settings!$J$10,1))</f>
        <v>1</v>
      </c>
      <c r="Y658" s="12">
        <f t="shared" si="2"/>
        <v>1</v>
      </c>
      <c r="Z658" s="12">
        <f>IF($A658="","",IFERROR(ROUND(AVERAGEIFS('Historical Drafts'!$G$4:$G$300,'Historical Drafts'!$D$4:$D$300,$E658,'Historical Drafts'!$J$4:$J$300,"&gt;="&amp;$L658*0.85,'Historical Drafts'!$J$4:$J$300,"&lt;="&amp;$L658*1.15),0),$Y658))</f>
        <v>1</v>
      </c>
      <c r="AA658" s="12" t="str">
        <f>IF($A658="","",IF(COUNTIF('Auction Log'!$B$3:$B$300,$A658)&gt;0,"Sold","Available"))</f>
        <v>Available</v>
      </c>
      <c r="AB658" s="12" t="str">
        <f t="array" ref="AB658">IF($A658="","",IFERROR(XLOOKUP($A658,'Auction Log'!$B$3:$B$300,'Auction Log'!$G$3:$G$300,""),""))</f>
        <v/>
      </c>
      <c r="AC658" s="12" t="str">
        <f t="array" ref="AC658">IF($A658="","",IFERROR(XLOOKUP($A658,'Auction Log'!$B$3:$B$300,'Auction Log'!$F$3:$F$300,""),""))</f>
        <v/>
      </c>
      <c r="AD658" s="12">
        <f t="array" ref="AD658">IF($A658="","",ROUND($Y658*XLOOKUP($F658,Settings!$I$15:$I$20,Settings!$K$15:$K$20,0.4),0))</f>
        <v>0</v>
      </c>
      <c r="AE658" s="12">
        <f t="array" ref="AE658">IF($A658="","",ROUND($Y658*XLOOKUP($F658,Settings!$I$15:$I$20,Settings!$L$15:$L$20,0.8),0))</f>
        <v>1</v>
      </c>
      <c r="AF658" s="12">
        <f t="array" ref="AF658">IF($A658="","",ROUND($Y658*XLOOKUP($F658,Settings!$I$15:$I$20,Settings!$M$15:$M$20,1),0))</f>
        <v>1</v>
      </c>
      <c r="AG658" s="12">
        <f t="array" ref="AG658">IF($A658="","",ROUND($Y658*XLOOKUP($F658,Settings!$I$15:$I$20,Settings!$N$15:$N$20,1.1),0))</f>
        <v>1</v>
      </c>
      <c r="AH658" s="12">
        <f t="array" ref="AH658">IF($A658="","",ROUND($Y658*XLOOKUP($F658,Settings!$I$15:$I$20,Settings!$O$15:$O$20,1.1)*Settings!$J$7,0))</f>
        <v>1</v>
      </c>
      <c r="AI658" s="12">
        <f t="array" ref="AI658">IF($A658="","",IF($AA658="Sold","",MIN($AH658,IFERROR(XLOOKUP(Settings!$B$12,Managers!$B$4:$B$15,Managers!$H$4:$H$15),$AH658))))</f>
        <v>1</v>
      </c>
      <c r="AJ658" s="12" t="str">
        <f t="shared" si="3"/>
        <v>Recommended</v>
      </c>
      <c r="AK658" s="12">
        <f t="shared" si="4"/>
        <v>26</v>
      </c>
      <c r="AL658" s="12" t="str">
        <f t="shared" si="5"/>
        <v/>
      </c>
    </row>
    <row r="659" ht="15.75" customHeight="1">
      <c r="A659" s="10" t="s">
        <v>1599</v>
      </c>
      <c r="B659" s="10" t="s">
        <v>1600</v>
      </c>
      <c r="C659" s="10" t="s">
        <v>305</v>
      </c>
      <c r="D659" s="10" t="s">
        <v>121</v>
      </c>
      <c r="E659" s="10" t="s">
        <v>121</v>
      </c>
      <c r="F659" s="10" t="s">
        <v>117</v>
      </c>
      <c r="G659" s="10">
        <v>5.0</v>
      </c>
      <c r="H659" s="10">
        <v>7.0</v>
      </c>
      <c r="I659" s="10" t="s">
        <v>2140</v>
      </c>
      <c r="J659" s="10" t="s">
        <v>2136</v>
      </c>
      <c r="K659" s="10"/>
      <c r="L659" s="10">
        <v>0.0</v>
      </c>
      <c r="M659" s="10">
        <v>0.0</v>
      </c>
      <c r="N659" s="10"/>
      <c r="O659" s="10"/>
      <c r="P659" s="12">
        <f>IF($A659="","",IFERROR((IF($O659="",0,$O659)*Settings!$J$4+IF($L659="",0,$L659)*Settings!$J$5+IF($N659="",0,$N659)*Settings!$J$6)/(IF($O659="",0,Settings!$J$4)+IF($L659="",0,Settings!$J$5)+IF($N659="",0,Settings!$J$6)),0))</f>
        <v>0</v>
      </c>
      <c r="Q659" s="12">
        <f t="array" ref="Q659">IF($A659="","",XLOOKUP($E659,Settings!$A$19:$A$22,Settings!$G$19:$G$22,0))</f>
        <v>206</v>
      </c>
      <c r="R659" s="12">
        <f t="shared" si="1"/>
        <v>0</v>
      </c>
      <c r="S659" s="12">
        <f>IF($A659="","",IF($R659&lt;=0,1,1+$R659/SUMIF($R$4:$R$923,"&gt;0",$R$4:$R$923)*(Settings!$B$5*(Settings!$B$6-Settings!$B$7))))</f>
        <v>1</v>
      </c>
      <c r="T659" s="12">
        <f t="array" ref="T659">IF($A659="","",XLOOKUP($F659,Settings!$I$15:$I$20,Settings!$J$15:$J$20,1))</f>
        <v>0.75</v>
      </c>
      <c r="U659" s="12">
        <f>IF($A659="","",1+(($G659-5)/5)*Settings!$J$8)</f>
        <v>1</v>
      </c>
      <c r="V659" s="12">
        <f>IF($A659="","",1+(($H659-5)/5)*Settings!$J$9)</f>
        <v>1.06</v>
      </c>
      <c r="W659" s="12">
        <f t="array" ref="W659">IF($A659="","",XLOOKUP($J659,Lists!$C$3:$C$7,Lists!$D$3:$D$7,1))</f>
        <v>1</v>
      </c>
      <c r="X659" s="12">
        <f>IF($A659="","",IF($I659="Yes",Settings!$J$10,1))</f>
        <v>1</v>
      </c>
      <c r="Y659" s="12">
        <f t="shared" si="2"/>
        <v>1</v>
      </c>
      <c r="Z659" s="12">
        <f>IF($A659="","",IFERROR(ROUND(AVERAGEIFS('Historical Drafts'!$G$4:$G$300,'Historical Drafts'!$D$4:$D$300,$E659,'Historical Drafts'!$J$4:$J$300,"&gt;="&amp;$L659*0.85,'Historical Drafts'!$J$4:$J$300,"&lt;="&amp;$L659*1.15),0),$Y659))</f>
        <v>3</v>
      </c>
      <c r="AA659" s="12" t="str">
        <f>IF($A659="","",IF(COUNTIF('Auction Log'!$B$3:$B$300,$A659)&gt;0,"Sold","Available"))</f>
        <v>Available</v>
      </c>
      <c r="AB659" s="12" t="str">
        <f t="array" ref="AB659">IF($A659="","",IFERROR(XLOOKUP($A659,'Auction Log'!$B$3:$B$300,'Auction Log'!$G$3:$G$300,""),""))</f>
        <v/>
      </c>
      <c r="AC659" s="12" t="str">
        <f t="array" ref="AC659">IF($A659="","",IFERROR(XLOOKUP($A659,'Auction Log'!$B$3:$B$300,'Auction Log'!$F$3:$F$300,""),""))</f>
        <v/>
      </c>
      <c r="AD659" s="12">
        <f t="array" ref="AD659">IF($A659="","",ROUND($Y659*XLOOKUP($F659,Settings!$I$15:$I$20,Settings!$K$15:$K$20,0.4),0))</f>
        <v>0</v>
      </c>
      <c r="AE659" s="12">
        <f t="array" ref="AE659">IF($A659="","",ROUND($Y659*XLOOKUP($F659,Settings!$I$15:$I$20,Settings!$L$15:$L$20,0.8),0))</f>
        <v>1</v>
      </c>
      <c r="AF659" s="12">
        <f t="array" ref="AF659">IF($A659="","",ROUND($Y659*XLOOKUP($F659,Settings!$I$15:$I$20,Settings!$M$15:$M$20,1),0))</f>
        <v>1</v>
      </c>
      <c r="AG659" s="12">
        <f t="array" ref="AG659">IF($A659="","",ROUND($Y659*XLOOKUP($F659,Settings!$I$15:$I$20,Settings!$N$15:$N$20,1.1),0))</f>
        <v>1</v>
      </c>
      <c r="AH659" s="12">
        <f t="array" ref="AH659">IF($A659="","",ROUND($Y659*XLOOKUP($F659,Settings!$I$15:$I$20,Settings!$O$15:$O$20,1.1)*Settings!$J$7,0))</f>
        <v>1</v>
      </c>
      <c r="AI659" s="12">
        <f t="array" ref="AI659">IF($A659="","",IF($AA659="Sold","",MIN($AH659,IFERROR(XLOOKUP(Settings!$B$12,Managers!$B$4:$B$15,Managers!$H$4:$H$15),$AH659))))</f>
        <v>1</v>
      </c>
      <c r="AJ659" s="12" t="str">
        <f t="shared" si="3"/>
        <v>Budget Drainer</v>
      </c>
      <c r="AK659" s="12">
        <f t="shared" si="4"/>
        <v>28</v>
      </c>
      <c r="AL659" s="12" t="str">
        <f t="shared" si="5"/>
        <v/>
      </c>
    </row>
    <row r="660" ht="15.75" customHeight="1">
      <c r="A660" s="10" t="s">
        <v>1601</v>
      </c>
      <c r="B660" s="10" t="s">
        <v>1602</v>
      </c>
      <c r="C660" s="10" t="s">
        <v>226</v>
      </c>
      <c r="D660" s="10" t="s">
        <v>115</v>
      </c>
      <c r="E660" s="10" t="s">
        <v>115</v>
      </c>
      <c r="F660" s="10" t="s">
        <v>117</v>
      </c>
      <c r="G660" s="10">
        <v>5.0</v>
      </c>
      <c r="H660" s="10">
        <v>7.0</v>
      </c>
      <c r="I660" s="10" t="s">
        <v>2140</v>
      </c>
      <c r="J660" s="10" t="s">
        <v>2136</v>
      </c>
      <c r="K660" s="10"/>
      <c r="L660" s="10">
        <v>0.0</v>
      </c>
      <c r="M660" s="10">
        <v>0.0</v>
      </c>
      <c r="N660" s="10"/>
      <c r="O660" s="10"/>
      <c r="P660" s="12">
        <f>IF($A660="","",IFERROR((IF($O660="",0,$O660)*Settings!$J$4+IF($L660="",0,$L660)*Settings!$J$5+IF($N660="",0,$N660)*Settings!$J$6)/(IF($O660="",0,Settings!$J$4)+IF($L660="",0,Settings!$J$5)+IF($N660="",0,Settings!$J$6)),0))</f>
        <v>0</v>
      </c>
      <c r="Q660" s="12">
        <f t="array" ref="Q660">IF($A660="","",XLOOKUP($E660,Settings!$A$19:$A$22,Settings!$G$19:$G$22,0))</f>
        <v>249.25</v>
      </c>
      <c r="R660" s="12">
        <f t="shared" si="1"/>
        <v>0</v>
      </c>
      <c r="S660" s="12">
        <f>IF($A660="","",IF($R660&lt;=0,1,1+$R660/SUMIF($R$4:$R$923,"&gt;0",$R$4:$R$923)*(Settings!$B$5*(Settings!$B$6-Settings!$B$7))))</f>
        <v>1</v>
      </c>
      <c r="T660" s="12">
        <f t="array" ref="T660">IF($A660="","",XLOOKUP($F660,Settings!$I$15:$I$20,Settings!$J$15:$J$20,1))</f>
        <v>0.75</v>
      </c>
      <c r="U660" s="12">
        <f>IF($A660="","",1+(($G660-5)/5)*Settings!$J$8)</f>
        <v>1</v>
      </c>
      <c r="V660" s="12">
        <f>IF($A660="","",1+(($H660-5)/5)*Settings!$J$9)</f>
        <v>1.06</v>
      </c>
      <c r="W660" s="12">
        <f t="array" ref="W660">IF($A660="","",XLOOKUP($J660,Lists!$C$3:$C$7,Lists!$D$3:$D$7,1))</f>
        <v>1</v>
      </c>
      <c r="X660" s="12">
        <f>IF($A660="","",IF($I660="Yes",Settings!$J$10,1))</f>
        <v>1</v>
      </c>
      <c r="Y660" s="12">
        <f t="shared" si="2"/>
        <v>1</v>
      </c>
      <c r="Z660" s="12">
        <f>IF($A660="","",IFERROR(ROUND(AVERAGEIFS('Historical Drafts'!$G$4:$G$300,'Historical Drafts'!$D$4:$D$300,$E660,'Historical Drafts'!$J$4:$J$300,"&gt;="&amp;$L660*0.85,'Historical Drafts'!$J$4:$J$300,"&lt;="&amp;$L660*1.15),0),$Y660))</f>
        <v>1</v>
      </c>
      <c r="AA660" s="12" t="str">
        <f>IF($A660="","",IF(COUNTIF('Auction Log'!$B$3:$B$300,$A660)&gt;0,"Sold","Available"))</f>
        <v>Available</v>
      </c>
      <c r="AB660" s="12" t="str">
        <f t="array" ref="AB660">IF($A660="","",IFERROR(XLOOKUP($A660,'Auction Log'!$B$3:$B$300,'Auction Log'!$G$3:$G$300,""),""))</f>
        <v/>
      </c>
      <c r="AC660" s="12" t="str">
        <f t="array" ref="AC660">IF($A660="","",IFERROR(XLOOKUP($A660,'Auction Log'!$B$3:$B$300,'Auction Log'!$F$3:$F$300,""),""))</f>
        <v/>
      </c>
      <c r="AD660" s="12">
        <f t="array" ref="AD660">IF($A660="","",ROUND($Y660*XLOOKUP($F660,Settings!$I$15:$I$20,Settings!$K$15:$K$20,0.4),0))</f>
        <v>0</v>
      </c>
      <c r="AE660" s="12">
        <f t="array" ref="AE660">IF($A660="","",ROUND($Y660*XLOOKUP($F660,Settings!$I$15:$I$20,Settings!$L$15:$L$20,0.8),0))</f>
        <v>1</v>
      </c>
      <c r="AF660" s="12">
        <f t="array" ref="AF660">IF($A660="","",ROUND($Y660*XLOOKUP($F660,Settings!$I$15:$I$20,Settings!$M$15:$M$20,1),0))</f>
        <v>1</v>
      </c>
      <c r="AG660" s="12">
        <f t="array" ref="AG660">IF($A660="","",ROUND($Y660*XLOOKUP($F660,Settings!$I$15:$I$20,Settings!$N$15:$N$20,1.1),0))</f>
        <v>1</v>
      </c>
      <c r="AH660" s="12">
        <f t="array" ref="AH660">IF($A660="","",ROUND($Y660*XLOOKUP($F660,Settings!$I$15:$I$20,Settings!$O$15:$O$20,1.1)*Settings!$J$7,0))</f>
        <v>1</v>
      </c>
      <c r="AI660" s="12">
        <f t="array" ref="AI660">IF($A660="","",IF($AA660="Sold","",MIN($AH660,IFERROR(XLOOKUP(Settings!$B$12,Managers!$B$4:$B$15,Managers!$H$4:$H$15),$AH660))))</f>
        <v>1</v>
      </c>
      <c r="AJ660" s="12" t="str">
        <f t="shared" si="3"/>
        <v>Recommended</v>
      </c>
      <c r="AK660" s="12">
        <f t="shared" si="4"/>
        <v>26</v>
      </c>
      <c r="AL660" s="12" t="str">
        <f t="shared" si="5"/>
        <v/>
      </c>
    </row>
    <row r="661" ht="15.75" customHeight="1">
      <c r="A661" s="10" t="s">
        <v>1603</v>
      </c>
      <c r="B661" s="10" t="s">
        <v>1604</v>
      </c>
      <c r="C661" s="10" t="s">
        <v>226</v>
      </c>
      <c r="D661" s="10" t="s">
        <v>121</v>
      </c>
      <c r="E661" s="10" t="s">
        <v>121</v>
      </c>
      <c r="F661" s="10" t="s">
        <v>117</v>
      </c>
      <c r="G661" s="10">
        <v>5.0</v>
      </c>
      <c r="H661" s="10">
        <v>7.0</v>
      </c>
      <c r="I661" s="10" t="s">
        <v>2140</v>
      </c>
      <c r="J661" s="10" t="s">
        <v>2136</v>
      </c>
      <c r="K661" s="10"/>
      <c r="L661" s="10">
        <v>0.0</v>
      </c>
      <c r="M661" s="10">
        <v>0.0</v>
      </c>
      <c r="N661" s="10"/>
      <c r="O661" s="10"/>
      <c r="P661" s="12">
        <f>IF($A661="","",IFERROR((IF($O661="",0,$O661)*Settings!$J$4+IF($L661="",0,$L661)*Settings!$J$5+IF($N661="",0,$N661)*Settings!$J$6)/(IF($O661="",0,Settings!$J$4)+IF($L661="",0,Settings!$J$5)+IF($N661="",0,Settings!$J$6)),0))</f>
        <v>0</v>
      </c>
      <c r="Q661" s="12">
        <f t="array" ref="Q661">IF($A661="","",XLOOKUP($E661,Settings!$A$19:$A$22,Settings!$G$19:$G$22,0))</f>
        <v>206</v>
      </c>
      <c r="R661" s="12">
        <f t="shared" si="1"/>
        <v>0</v>
      </c>
      <c r="S661" s="12">
        <f>IF($A661="","",IF($R661&lt;=0,1,1+$R661/SUMIF($R$4:$R$923,"&gt;0",$R$4:$R$923)*(Settings!$B$5*(Settings!$B$6-Settings!$B$7))))</f>
        <v>1</v>
      </c>
      <c r="T661" s="12">
        <f t="array" ref="T661">IF($A661="","",XLOOKUP($F661,Settings!$I$15:$I$20,Settings!$J$15:$J$20,1))</f>
        <v>0.75</v>
      </c>
      <c r="U661" s="12">
        <f>IF($A661="","",1+(($G661-5)/5)*Settings!$J$8)</f>
        <v>1</v>
      </c>
      <c r="V661" s="12">
        <f>IF($A661="","",1+(($H661-5)/5)*Settings!$J$9)</f>
        <v>1.06</v>
      </c>
      <c r="W661" s="12">
        <f t="array" ref="W661">IF($A661="","",XLOOKUP($J661,Lists!$C$3:$C$7,Lists!$D$3:$D$7,1))</f>
        <v>1</v>
      </c>
      <c r="X661" s="12">
        <f>IF($A661="","",IF($I661="Yes",Settings!$J$10,1))</f>
        <v>1</v>
      </c>
      <c r="Y661" s="12">
        <f t="shared" si="2"/>
        <v>1</v>
      </c>
      <c r="Z661" s="12">
        <f>IF($A661="","",IFERROR(ROUND(AVERAGEIFS('Historical Drafts'!$G$4:$G$300,'Historical Drafts'!$D$4:$D$300,$E661,'Historical Drafts'!$J$4:$J$300,"&gt;="&amp;$L661*0.85,'Historical Drafts'!$J$4:$J$300,"&lt;="&amp;$L661*1.15),0),$Y661))</f>
        <v>3</v>
      </c>
      <c r="AA661" s="12" t="str">
        <f>IF($A661="","",IF(COUNTIF('Auction Log'!$B$3:$B$300,$A661)&gt;0,"Sold","Available"))</f>
        <v>Available</v>
      </c>
      <c r="AB661" s="12" t="str">
        <f t="array" ref="AB661">IF($A661="","",IFERROR(XLOOKUP($A661,'Auction Log'!$B$3:$B$300,'Auction Log'!$G$3:$G$300,""),""))</f>
        <v/>
      </c>
      <c r="AC661" s="12" t="str">
        <f t="array" ref="AC661">IF($A661="","",IFERROR(XLOOKUP($A661,'Auction Log'!$B$3:$B$300,'Auction Log'!$F$3:$F$300,""),""))</f>
        <v/>
      </c>
      <c r="AD661" s="12">
        <f t="array" ref="AD661">IF($A661="","",ROUND($Y661*XLOOKUP($F661,Settings!$I$15:$I$20,Settings!$K$15:$K$20,0.4),0))</f>
        <v>0</v>
      </c>
      <c r="AE661" s="12">
        <f t="array" ref="AE661">IF($A661="","",ROUND($Y661*XLOOKUP($F661,Settings!$I$15:$I$20,Settings!$L$15:$L$20,0.8),0))</f>
        <v>1</v>
      </c>
      <c r="AF661" s="12">
        <f t="array" ref="AF661">IF($A661="","",ROUND($Y661*XLOOKUP($F661,Settings!$I$15:$I$20,Settings!$M$15:$M$20,1),0))</f>
        <v>1</v>
      </c>
      <c r="AG661" s="12">
        <f t="array" ref="AG661">IF($A661="","",ROUND($Y661*XLOOKUP($F661,Settings!$I$15:$I$20,Settings!$N$15:$N$20,1.1),0))</f>
        <v>1</v>
      </c>
      <c r="AH661" s="12">
        <f t="array" ref="AH661">IF($A661="","",ROUND($Y661*XLOOKUP($F661,Settings!$I$15:$I$20,Settings!$O$15:$O$20,1.1)*Settings!$J$7,0))</f>
        <v>1</v>
      </c>
      <c r="AI661" s="12">
        <f t="array" ref="AI661">IF($A661="","",IF($AA661="Sold","",MIN($AH661,IFERROR(XLOOKUP(Settings!$B$12,Managers!$B$4:$B$15,Managers!$H$4:$H$15),$AH661))))</f>
        <v>1</v>
      </c>
      <c r="AJ661" s="12" t="str">
        <f t="shared" si="3"/>
        <v>Budget Drainer</v>
      </c>
      <c r="AK661" s="12">
        <f t="shared" si="4"/>
        <v>28</v>
      </c>
      <c r="AL661" s="12" t="str">
        <f t="shared" si="5"/>
        <v/>
      </c>
    </row>
    <row r="662" ht="15.75" customHeight="1">
      <c r="A662" s="10" t="s">
        <v>1605</v>
      </c>
      <c r="B662" s="10" t="s">
        <v>1606</v>
      </c>
      <c r="C662" s="10" t="s">
        <v>188</v>
      </c>
      <c r="D662" s="10" t="s">
        <v>121</v>
      </c>
      <c r="E662" s="10" t="s">
        <v>121</v>
      </c>
      <c r="F662" s="10" t="s">
        <v>117</v>
      </c>
      <c r="G662" s="10">
        <v>5.0</v>
      </c>
      <c r="H662" s="10">
        <v>7.0</v>
      </c>
      <c r="I662" s="10" t="s">
        <v>2140</v>
      </c>
      <c r="J662" s="10" t="s">
        <v>2136</v>
      </c>
      <c r="K662" s="10"/>
      <c r="L662" s="10">
        <v>0.0</v>
      </c>
      <c r="M662" s="10">
        <v>0.0</v>
      </c>
      <c r="N662" s="10"/>
      <c r="O662" s="10"/>
      <c r="P662" s="12">
        <f>IF($A662="","",IFERROR((IF($O662="",0,$O662)*Settings!$J$4+IF($L662="",0,$L662)*Settings!$J$5+IF($N662="",0,$N662)*Settings!$J$6)/(IF($O662="",0,Settings!$J$4)+IF($L662="",0,Settings!$J$5)+IF($N662="",0,Settings!$J$6)),0))</f>
        <v>0</v>
      </c>
      <c r="Q662" s="12">
        <f t="array" ref="Q662">IF($A662="","",XLOOKUP($E662,Settings!$A$19:$A$22,Settings!$G$19:$G$22,0))</f>
        <v>206</v>
      </c>
      <c r="R662" s="12">
        <f t="shared" si="1"/>
        <v>0</v>
      </c>
      <c r="S662" s="12">
        <f>IF($A662="","",IF($R662&lt;=0,1,1+$R662/SUMIF($R$4:$R$923,"&gt;0",$R$4:$R$923)*(Settings!$B$5*(Settings!$B$6-Settings!$B$7))))</f>
        <v>1</v>
      </c>
      <c r="T662" s="12">
        <f t="array" ref="T662">IF($A662="","",XLOOKUP($F662,Settings!$I$15:$I$20,Settings!$J$15:$J$20,1))</f>
        <v>0.75</v>
      </c>
      <c r="U662" s="12">
        <f>IF($A662="","",1+(($G662-5)/5)*Settings!$J$8)</f>
        <v>1</v>
      </c>
      <c r="V662" s="12">
        <f>IF($A662="","",1+(($H662-5)/5)*Settings!$J$9)</f>
        <v>1.06</v>
      </c>
      <c r="W662" s="12">
        <f t="array" ref="W662">IF($A662="","",XLOOKUP($J662,Lists!$C$3:$C$7,Lists!$D$3:$D$7,1))</f>
        <v>1</v>
      </c>
      <c r="X662" s="12">
        <f>IF($A662="","",IF($I662="Yes",Settings!$J$10,1))</f>
        <v>1</v>
      </c>
      <c r="Y662" s="12">
        <f t="shared" si="2"/>
        <v>1</v>
      </c>
      <c r="Z662" s="12">
        <f>IF($A662="","",IFERROR(ROUND(AVERAGEIFS('Historical Drafts'!$G$4:$G$300,'Historical Drafts'!$D$4:$D$300,$E662,'Historical Drafts'!$J$4:$J$300,"&gt;="&amp;$L662*0.85,'Historical Drafts'!$J$4:$J$300,"&lt;="&amp;$L662*1.15),0),$Y662))</f>
        <v>3</v>
      </c>
      <c r="AA662" s="12" t="str">
        <f>IF($A662="","",IF(COUNTIF('Auction Log'!$B$3:$B$300,$A662)&gt;0,"Sold","Available"))</f>
        <v>Available</v>
      </c>
      <c r="AB662" s="12" t="str">
        <f t="array" ref="AB662">IF($A662="","",IFERROR(XLOOKUP($A662,'Auction Log'!$B$3:$B$300,'Auction Log'!$G$3:$G$300,""),""))</f>
        <v/>
      </c>
      <c r="AC662" s="12" t="str">
        <f t="array" ref="AC662">IF($A662="","",IFERROR(XLOOKUP($A662,'Auction Log'!$B$3:$B$300,'Auction Log'!$F$3:$F$300,""),""))</f>
        <v/>
      </c>
      <c r="AD662" s="12">
        <f t="array" ref="AD662">IF($A662="","",ROUND($Y662*XLOOKUP($F662,Settings!$I$15:$I$20,Settings!$K$15:$K$20,0.4),0))</f>
        <v>0</v>
      </c>
      <c r="AE662" s="12">
        <f t="array" ref="AE662">IF($A662="","",ROUND($Y662*XLOOKUP($F662,Settings!$I$15:$I$20,Settings!$L$15:$L$20,0.8),0))</f>
        <v>1</v>
      </c>
      <c r="AF662" s="12">
        <f t="array" ref="AF662">IF($A662="","",ROUND($Y662*XLOOKUP($F662,Settings!$I$15:$I$20,Settings!$M$15:$M$20,1),0))</f>
        <v>1</v>
      </c>
      <c r="AG662" s="12">
        <f t="array" ref="AG662">IF($A662="","",ROUND($Y662*XLOOKUP($F662,Settings!$I$15:$I$20,Settings!$N$15:$N$20,1.1),0))</f>
        <v>1</v>
      </c>
      <c r="AH662" s="12">
        <f t="array" ref="AH662">IF($A662="","",ROUND($Y662*XLOOKUP($F662,Settings!$I$15:$I$20,Settings!$O$15:$O$20,1.1)*Settings!$J$7,0))</f>
        <v>1</v>
      </c>
      <c r="AI662" s="12">
        <f t="array" ref="AI662">IF($A662="","",IF($AA662="Sold","",MIN($AH662,IFERROR(XLOOKUP(Settings!$B$12,Managers!$B$4:$B$15,Managers!$H$4:$H$15),$AH662))))</f>
        <v>1</v>
      </c>
      <c r="AJ662" s="12" t="str">
        <f t="shared" si="3"/>
        <v>Budget Drainer</v>
      </c>
      <c r="AK662" s="12">
        <f t="shared" si="4"/>
        <v>28</v>
      </c>
      <c r="AL662" s="12" t="str">
        <f t="shared" si="5"/>
        <v/>
      </c>
    </row>
    <row r="663" ht="15.75" customHeight="1">
      <c r="A663" s="10" t="s">
        <v>1607</v>
      </c>
      <c r="B663" s="10" t="s">
        <v>1608</v>
      </c>
      <c r="C663" s="10" t="s">
        <v>226</v>
      </c>
      <c r="D663" s="10" t="s">
        <v>121</v>
      </c>
      <c r="E663" s="10" t="s">
        <v>121</v>
      </c>
      <c r="F663" s="10" t="s">
        <v>117</v>
      </c>
      <c r="G663" s="10">
        <v>5.0</v>
      </c>
      <c r="H663" s="10">
        <v>7.0</v>
      </c>
      <c r="I663" s="10" t="s">
        <v>2140</v>
      </c>
      <c r="J663" s="10" t="s">
        <v>2136</v>
      </c>
      <c r="K663" s="10"/>
      <c r="L663" s="10">
        <v>0.0</v>
      </c>
      <c r="M663" s="10">
        <v>0.0</v>
      </c>
      <c r="N663" s="10"/>
      <c r="O663" s="10"/>
      <c r="P663" s="12">
        <f>IF($A663="","",IFERROR((IF($O663="",0,$O663)*Settings!$J$4+IF($L663="",0,$L663)*Settings!$J$5+IF($N663="",0,$N663)*Settings!$J$6)/(IF($O663="",0,Settings!$J$4)+IF($L663="",0,Settings!$J$5)+IF($N663="",0,Settings!$J$6)),0))</f>
        <v>0</v>
      </c>
      <c r="Q663" s="12">
        <f t="array" ref="Q663">IF($A663="","",XLOOKUP($E663,Settings!$A$19:$A$22,Settings!$G$19:$G$22,0))</f>
        <v>206</v>
      </c>
      <c r="R663" s="12">
        <f t="shared" si="1"/>
        <v>0</v>
      </c>
      <c r="S663" s="12">
        <f>IF($A663="","",IF($R663&lt;=0,1,1+$R663/SUMIF($R$4:$R$923,"&gt;0",$R$4:$R$923)*(Settings!$B$5*(Settings!$B$6-Settings!$B$7))))</f>
        <v>1</v>
      </c>
      <c r="T663" s="12">
        <f t="array" ref="T663">IF($A663="","",XLOOKUP($F663,Settings!$I$15:$I$20,Settings!$J$15:$J$20,1))</f>
        <v>0.75</v>
      </c>
      <c r="U663" s="12">
        <f>IF($A663="","",1+(($G663-5)/5)*Settings!$J$8)</f>
        <v>1</v>
      </c>
      <c r="V663" s="12">
        <f>IF($A663="","",1+(($H663-5)/5)*Settings!$J$9)</f>
        <v>1.06</v>
      </c>
      <c r="W663" s="12">
        <f t="array" ref="W663">IF($A663="","",XLOOKUP($J663,Lists!$C$3:$C$7,Lists!$D$3:$D$7,1))</f>
        <v>1</v>
      </c>
      <c r="X663" s="12">
        <f>IF($A663="","",IF($I663="Yes",Settings!$J$10,1))</f>
        <v>1</v>
      </c>
      <c r="Y663" s="12">
        <f t="shared" si="2"/>
        <v>1</v>
      </c>
      <c r="Z663" s="12">
        <f>IF($A663="","",IFERROR(ROUND(AVERAGEIFS('Historical Drafts'!$G$4:$G$300,'Historical Drafts'!$D$4:$D$300,$E663,'Historical Drafts'!$J$4:$J$300,"&gt;="&amp;$L663*0.85,'Historical Drafts'!$J$4:$J$300,"&lt;="&amp;$L663*1.15),0),$Y663))</f>
        <v>3</v>
      </c>
      <c r="AA663" s="12" t="str">
        <f>IF($A663="","",IF(COUNTIF('Auction Log'!$B$3:$B$300,$A663)&gt;0,"Sold","Available"))</f>
        <v>Available</v>
      </c>
      <c r="AB663" s="12" t="str">
        <f t="array" ref="AB663">IF($A663="","",IFERROR(XLOOKUP($A663,'Auction Log'!$B$3:$B$300,'Auction Log'!$G$3:$G$300,""),""))</f>
        <v/>
      </c>
      <c r="AC663" s="12" t="str">
        <f t="array" ref="AC663">IF($A663="","",IFERROR(XLOOKUP($A663,'Auction Log'!$B$3:$B$300,'Auction Log'!$F$3:$F$300,""),""))</f>
        <v/>
      </c>
      <c r="AD663" s="12">
        <f t="array" ref="AD663">IF($A663="","",ROUND($Y663*XLOOKUP($F663,Settings!$I$15:$I$20,Settings!$K$15:$K$20,0.4),0))</f>
        <v>0</v>
      </c>
      <c r="AE663" s="12">
        <f t="array" ref="AE663">IF($A663="","",ROUND($Y663*XLOOKUP($F663,Settings!$I$15:$I$20,Settings!$L$15:$L$20,0.8),0))</f>
        <v>1</v>
      </c>
      <c r="AF663" s="12">
        <f t="array" ref="AF663">IF($A663="","",ROUND($Y663*XLOOKUP($F663,Settings!$I$15:$I$20,Settings!$M$15:$M$20,1),0))</f>
        <v>1</v>
      </c>
      <c r="AG663" s="12">
        <f t="array" ref="AG663">IF($A663="","",ROUND($Y663*XLOOKUP($F663,Settings!$I$15:$I$20,Settings!$N$15:$N$20,1.1),0))</f>
        <v>1</v>
      </c>
      <c r="AH663" s="12">
        <f t="array" ref="AH663">IF($A663="","",ROUND($Y663*XLOOKUP($F663,Settings!$I$15:$I$20,Settings!$O$15:$O$20,1.1)*Settings!$J$7,0))</f>
        <v>1</v>
      </c>
      <c r="AI663" s="12">
        <f t="array" ref="AI663">IF($A663="","",IF($AA663="Sold","",MIN($AH663,IFERROR(XLOOKUP(Settings!$B$12,Managers!$B$4:$B$15,Managers!$H$4:$H$15),$AH663))))</f>
        <v>1</v>
      </c>
      <c r="AJ663" s="12" t="str">
        <f t="shared" si="3"/>
        <v>Budget Drainer</v>
      </c>
      <c r="AK663" s="12">
        <f t="shared" si="4"/>
        <v>28</v>
      </c>
      <c r="AL663" s="12" t="str">
        <f t="shared" si="5"/>
        <v/>
      </c>
    </row>
    <row r="664" ht="15.75" customHeight="1">
      <c r="A664" s="10" t="s">
        <v>1609</v>
      </c>
      <c r="B664" s="10" t="s">
        <v>1610</v>
      </c>
      <c r="C664" s="10" t="s">
        <v>257</v>
      </c>
      <c r="D664" s="10" t="s">
        <v>123</v>
      </c>
      <c r="E664" s="10" t="s">
        <v>123</v>
      </c>
      <c r="F664" s="10" t="s">
        <v>117</v>
      </c>
      <c r="G664" s="10">
        <v>5.0</v>
      </c>
      <c r="H664" s="10">
        <v>7.0</v>
      </c>
      <c r="I664" s="10" t="s">
        <v>2140</v>
      </c>
      <c r="J664" s="10" t="s">
        <v>2136</v>
      </c>
      <c r="K664" s="10"/>
      <c r="L664" s="10">
        <v>0.0</v>
      </c>
      <c r="M664" s="10">
        <v>0.0</v>
      </c>
      <c r="N664" s="10"/>
      <c r="O664" s="10"/>
      <c r="P664" s="12">
        <f>IF($A664="","",IFERROR((IF($O664="",0,$O664)*Settings!$J$4+IF($L664="",0,$L664)*Settings!$J$5+IF($N664="",0,$N664)*Settings!$J$6)/(IF($O664="",0,Settings!$J$4)+IF($L664="",0,Settings!$J$5)+IF($N664="",0,Settings!$J$6)),0))</f>
        <v>0</v>
      </c>
      <c r="Q664" s="12">
        <f t="array" ref="Q664">IF($A664="","",XLOOKUP($E664,Settings!$A$19:$A$22,Settings!$G$19:$G$22,0))</f>
        <v>203</v>
      </c>
      <c r="R664" s="12">
        <f t="shared" si="1"/>
        <v>0</v>
      </c>
      <c r="S664" s="12">
        <f>IF($A664="","",IF($R664&lt;=0,1,1+$R664/SUMIF($R$4:$R$923,"&gt;0",$R$4:$R$923)*(Settings!$B$5*(Settings!$B$6-Settings!$B$7))))</f>
        <v>1</v>
      </c>
      <c r="T664" s="12">
        <f t="array" ref="T664">IF($A664="","",XLOOKUP($F664,Settings!$I$15:$I$20,Settings!$J$15:$J$20,1))</f>
        <v>0.75</v>
      </c>
      <c r="U664" s="12">
        <f>IF($A664="","",1+(($G664-5)/5)*Settings!$J$8)</f>
        <v>1</v>
      </c>
      <c r="V664" s="12">
        <f>IF($A664="","",1+(($H664-5)/5)*Settings!$J$9)</f>
        <v>1.06</v>
      </c>
      <c r="W664" s="12">
        <f t="array" ref="W664">IF($A664="","",XLOOKUP($J664,Lists!$C$3:$C$7,Lists!$D$3:$D$7,1))</f>
        <v>1</v>
      </c>
      <c r="X664" s="12">
        <f>IF($A664="","",IF($I664="Yes",Settings!$J$10,1))</f>
        <v>1</v>
      </c>
      <c r="Y664" s="12">
        <f t="shared" si="2"/>
        <v>1</v>
      </c>
      <c r="Z664" s="12">
        <f>IF($A664="","",IFERROR(ROUND(AVERAGEIFS('Historical Drafts'!$G$4:$G$300,'Historical Drafts'!$D$4:$D$300,$E664,'Historical Drafts'!$J$4:$J$300,"&gt;="&amp;$L664*0.85,'Historical Drafts'!$J$4:$J$300,"&lt;="&amp;$L664*1.15),0),$Y664))</f>
        <v>3</v>
      </c>
      <c r="AA664" s="12" t="str">
        <f>IF($A664="","",IF(COUNTIF('Auction Log'!$B$3:$B$300,$A664)&gt;0,"Sold","Available"))</f>
        <v>Available</v>
      </c>
      <c r="AB664" s="12" t="str">
        <f t="array" ref="AB664">IF($A664="","",IFERROR(XLOOKUP($A664,'Auction Log'!$B$3:$B$300,'Auction Log'!$G$3:$G$300,""),""))</f>
        <v/>
      </c>
      <c r="AC664" s="12" t="str">
        <f t="array" ref="AC664">IF($A664="","",IFERROR(XLOOKUP($A664,'Auction Log'!$B$3:$B$300,'Auction Log'!$F$3:$F$300,""),""))</f>
        <v/>
      </c>
      <c r="AD664" s="12">
        <f t="array" ref="AD664">IF($A664="","",ROUND($Y664*XLOOKUP($F664,Settings!$I$15:$I$20,Settings!$K$15:$K$20,0.4),0))</f>
        <v>0</v>
      </c>
      <c r="AE664" s="12">
        <f t="array" ref="AE664">IF($A664="","",ROUND($Y664*XLOOKUP($F664,Settings!$I$15:$I$20,Settings!$L$15:$L$20,0.8),0))</f>
        <v>1</v>
      </c>
      <c r="AF664" s="12">
        <f t="array" ref="AF664">IF($A664="","",ROUND($Y664*XLOOKUP($F664,Settings!$I$15:$I$20,Settings!$M$15:$M$20,1),0))</f>
        <v>1</v>
      </c>
      <c r="AG664" s="12">
        <f t="array" ref="AG664">IF($A664="","",ROUND($Y664*XLOOKUP($F664,Settings!$I$15:$I$20,Settings!$N$15:$N$20,1.1),0))</f>
        <v>1</v>
      </c>
      <c r="AH664" s="12">
        <f t="array" ref="AH664">IF($A664="","",ROUND($Y664*XLOOKUP($F664,Settings!$I$15:$I$20,Settings!$O$15:$O$20,1.1)*Settings!$J$7,0))</f>
        <v>1</v>
      </c>
      <c r="AI664" s="12">
        <f t="array" ref="AI664">IF($A664="","",IF($AA664="Sold","",MIN($AH664,IFERROR(XLOOKUP(Settings!$B$12,Managers!$B$4:$B$15,Managers!$H$4:$H$15),$AH664))))</f>
        <v>1</v>
      </c>
      <c r="AJ664" s="12" t="str">
        <f t="shared" si="3"/>
        <v>Budget Drainer</v>
      </c>
      <c r="AK664" s="12">
        <f t="shared" si="4"/>
        <v>28</v>
      </c>
      <c r="AL664" s="12" t="str">
        <f t="shared" si="5"/>
        <v/>
      </c>
    </row>
    <row r="665" ht="15.75" customHeight="1">
      <c r="A665" s="10" t="s">
        <v>1611</v>
      </c>
      <c r="B665" s="10" t="s">
        <v>1612</v>
      </c>
      <c r="C665" s="10" t="s">
        <v>185</v>
      </c>
      <c r="D665" s="10" t="s">
        <v>115</v>
      </c>
      <c r="E665" s="10" t="s">
        <v>115</v>
      </c>
      <c r="F665" s="10" t="s">
        <v>117</v>
      </c>
      <c r="G665" s="10">
        <v>5.0</v>
      </c>
      <c r="H665" s="10">
        <v>7.0</v>
      </c>
      <c r="I665" s="10" t="s">
        <v>2140</v>
      </c>
      <c r="J665" s="10" t="s">
        <v>2136</v>
      </c>
      <c r="K665" s="10"/>
      <c r="L665" s="10">
        <v>0.0</v>
      </c>
      <c r="M665" s="10">
        <v>0.0</v>
      </c>
      <c r="N665" s="10"/>
      <c r="O665" s="10"/>
      <c r="P665" s="12">
        <f>IF($A665="","",IFERROR((IF($O665="",0,$O665)*Settings!$J$4+IF($L665="",0,$L665)*Settings!$J$5+IF($N665="",0,$N665)*Settings!$J$6)/(IF($O665="",0,Settings!$J$4)+IF($L665="",0,Settings!$J$5)+IF($N665="",0,Settings!$J$6)),0))</f>
        <v>0</v>
      </c>
      <c r="Q665" s="12">
        <f t="array" ref="Q665">IF($A665="","",XLOOKUP($E665,Settings!$A$19:$A$22,Settings!$G$19:$G$22,0))</f>
        <v>249.25</v>
      </c>
      <c r="R665" s="12">
        <f t="shared" si="1"/>
        <v>0</v>
      </c>
      <c r="S665" s="12">
        <f>IF($A665="","",IF($R665&lt;=0,1,1+$R665/SUMIF($R$4:$R$923,"&gt;0",$R$4:$R$923)*(Settings!$B$5*(Settings!$B$6-Settings!$B$7))))</f>
        <v>1</v>
      </c>
      <c r="T665" s="12">
        <f t="array" ref="T665">IF($A665="","",XLOOKUP($F665,Settings!$I$15:$I$20,Settings!$J$15:$J$20,1))</f>
        <v>0.75</v>
      </c>
      <c r="U665" s="12">
        <f>IF($A665="","",1+(($G665-5)/5)*Settings!$J$8)</f>
        <v>1</v>
      </c>
      <c r="V665" s="12">
        <f>IF($A665="","",1+(($H665-5)/5)*Settings!$J$9)</f>
        <v>1.06</v>
      </c>
      <c r="W665" s="12">
        <f t="array" ref="W665">IF($A665="","",XLOOKUP($J665,Lists!$C$3:$C$7,Lists!$D$3:$D$7,1))</f>
        <v>1</v>
      </c>
      <c r="X665" s="12">
        <f>IF($A665="","",IF($I665="Yes",Settings!$J$10,1))</f>
        <v>1</v>
      </c>
      <c r="Y665" s="12">
        <f t="shared" si="2"/>
        <v>1</v>
      </c>
      <c r="Z665" s="12">
        <f>IF($A665="","",IFERROR(ROUND(AVERAGEIFS('Historical Drafts'!$G$4:$G$300,'Historical Drafts'!$D$4:$D$300,$E665,'Historical Drafts'!$J$4:$J$300,"&gt;="&amp;$L665*0.85,'Historical Drafts'!$J$4:$J$300,"&lt;="&amp;$L665*1.15),0),$Y665))</f>
        <v>1</v>
      </c>
      <c r="AA665" s="12" t="str">
        <f>IF($A665="","",IF(COUNTIF('Auction Log'!$B$3:$B$300,$A665)&gt;0,"Sold","Available"))</f>
        <v>Available</v>
      </c>
      <c r="AB665" s="12" t="str">
        <f t="array" ref="AB665">IF($A665="","",IFERROR(XLOOKUP($A665,'Auction Log'!$B$3:$B$300,'Auction Log'!$G$3:$G$300,""),""))</f>
        <v/>
      </c>
      <c r="AC665" s="12" t="str">
        <f t="array" ref="AC665">IF($A665="","",IFERROR(XLOOKUP($A665,'Auction Log'!$B$3:$B$300,'Auction Log'!$F$3:$F$300,""),""))</f>
        <v/>
      </c>
      <c r="AD665" s="12">
        <f t="array" ref="AD665">IF($A665="","",ROUND($Y665*XLOOKUP($F665,Settings!$I$15:$I$20,Settings!$K$15:$K$20,0.4),0))</f>
        <v>0</v>
      </c>
      <c r="AE665" s="12">
        <f t="array" ref="AE665">IF($A665="","",ROUND($Y665*XLOOKUP($F665,Settings!$I$15:$I$20,Settings!$L$15:$L$20,0.8),0))</f>
        <v>1</v>
      </c>
      <c r="AF665" s="12">
        <f t="array" ref="AF665">IF($A665="","",ROUND($Y665*XLOOKUP($F665,Settings!$I$15:$I$20,Settings!$M$15:$M$20,1),0))</f>
        <v>1</v>
      </c>
      <c r="AG665" s="12">
        <f t="array" ref="AG665">IF($A665="","",ROUND($Y665*XLOOKUP($F665,Settings!$I$15:$I$20,Settings!$N$15:$N$20,1.1),0))</f>
        <v>1</v>
      </c>
      <c r="AH665" s="12">
        <f t="array" ref="AH665">IF($A665="","",ROUND($Y665*XLOOKUP($F665,Settings!$I$15:$I$20,Settings!$O$15:$O$20,1.1)*Settings!$J$7,0))</f>
        <v>1</v>
      </c>
      <c r="AI665" s="12">
        <f t="array" ref="AI665">IF($A665="","",IF($AA665="Sold","",MIN($AH665,IFERROR(XLOOKUP(Settings!$B$12,Managers!$B$4:$B$15,Managers!$H$4:$H$15),$AH665))))</f>
        <v>1</v>
      </c>
      <c r="AJ665" s="12" t="str">
        <f t="shared" si="3"/>
        <v>Recommended</v>
      </c>
      <c r="AK665" s="12">
        <f t="shared" si="4"/>
        <v>26</v>
      </c>
      <c r="AL665" s="12" t="str">
        <f t="shared" si="5"/>
        <v/>
      </c>
    </row>
    <row r="666" ht="15.75" customHeight="1">
      <c r="A666" s="10" t="s">
        <v>1613</v>
      </c>
      <c r="B666" s="10" t="s">
        <v>1614</v>
      </c>
      <c r="C666" s="10" t="s">
        <v>215</v>
      </c>
      <c r="D666" s="10" t="s">
        <v>115</v>
      </c>
      <c r="E666" s="10" t="s">
        <v>115</v>
      </c>
      <c r="F666" s="10" t="s">
        <v>117</v>
      </c>
      <c r="G666" s="10">
        <v>5.0</v>
      </c>
      <c r="H666" s="10">
        <v>7.0</v>
      </c>
      <c r="I666" s="10" t="s">
        <v>2140</v>
      </c>
      <c r="J666" s="10" t="s">
        <v>2136</v>
      </c>
      <c r="K666" s="10"/>
      <c r="L666" s="10">
        <v>0.0</v>
      </c>
      <c r="M666" s="10">
        <v>0.0</v>
      </c>
      <c r="N666" s="10"/>
      <c r="O666" s="10"/>
      <c r="P666" s="12">
        <f>IF($A666="","",IFERROR((IF($O666="",0,$O666)*Settings!$J$4+IF($L666="",0,$L666)*Settings!$J$5+IF($N666="",0,$N666)*Settings!$J$6)/(IF($O666="",0,Settings!$J$4)+IF($L666="",0,Settings!$J$5)+IF($N666="",0,Settings!$J$6)),0))</f>
        <v>0</v>
      </c>
      <c r="Q666" s="12">
        <f t="array" ref="Q666">IF($A666="","",XLOOKUP($E666,Settings!$A$19:$A$22,Settings!$G$19:$G$22,0))</f>
        <v>249.25</v>
      </c>
      <c r="R666" s="12">
        <f t="shared" si="1"/>
        <v>0</v>
      </c>
      <c r="S666" s="12">
        <f>IF($A666="","",IF($R666&lt;=0,1,1+$R666/SUMIF($R$4:$R$923,"&gt;0",$R$4:$R$923)*(Settings!$B$5*(Settings!$B$6-Settings!$B$7))))</f>
        <v>1</v>
      </c>
      <c r="T666" s="12">
        <f t="array" ref="T666">IF($A666="","",XLOOKUP($F666,Settings!$I$15:$I$20,Settings!$J$15:$J$20,1))</f>
        <v>0.75</v>
      </c>
      <c r="U666" s="12">
        <f>IF($A666="","",1+(($G666-5)/5)*Settings!$J$8)</f>
        <v>1</v>
      </c>
      <c r="V666" s="12">
        <f>IF($A666="","",1+(($H666-5)/5)*Settings!$J$9)</f>
        <v>1.06</v>
      </c>
      <c r="W666" s="12">
        <f t="array" ref="W666">IF($A666="","",XLOOKUP($J666,Lists!$C$3:$C$7,Lists!$D$3:$D$7,1))</f>
        <v>1</v>
      </c>
      <c r="X666" s="12">
        <f>IF($A666="","",IF($I666="Yes",Settings!$J$10,1))</f>
        <v>1</v>
      </c>
      <c r="Y666" s="12">
        <f t="shared" si="2"/>
        <v>1</v>
      </c>
      <c r="Z666" s="12">
        <f>IF($A666="","",IFERROR(ROUND(AVERAGEIFS('Historical Drafts'!$G$4:$G$300,'Historical Drafts'!$D$4:$D$300,$E666,'Historical Drafts'!$J$4:$J$300,"&gt;="&amp;$L666*0.85,'Historical Drafts'!$J$4:$J$300,"&lt;="&amp;$L666*1.15),0),$Y666))</f>
        <v>1</v>
      </c>
      <c r="AA666" s="12" t="str">
        <f>IF($A666="","",IF(COUNTIF('Auction Log'!$B$3:$B$300,$A666)&gt;0,"Sold","Available"))</f>
        <v>Available</v>
      </c>
      <c r="AB666" s="12" t="str">
        <f t="array" ref="AB666">IF($A666="","",IFERROR(XLOOKUP($A666,'Auction Log'!$B$3:$B$300,'Auction Log'!$G$3:$G$300,""),""))</f>
        <v/>
      </c>
      <c r="AC666" s="12" t="str">
        <f t="array" ref="AC666">IF($A666="","",IFERROR(XLOOKUP($A666,'Auction Log'!$B$3:$B$300,'Auction Log'!$F$3:$F$300,""),""))</f>
        <v/>
      </c>
      <c r="AD666" s="12">
        <f t="array" ref="AD666">IF($A666="","",ROUND($Y666*XLOOKUP($F666,Settings!$I$15:$I$20,Settings!$K$15:$K$20,0.4),0))</f>
        <v>0</v>
      </c>
      <c r="AE666" s="12">
        <f t="array" ref="AE666">IF($A666="","",ROUND($Y666*XLOOKUP($F666,Settings!$I$15:$I$20,Settings!$L$15:$L$20,0.8),0))</f>
        <v>1</v>
      </c>
      <c r="AF666" s="12">
        <f t="array" ref="AF666">IF($A666="","",ROUND($Y666*XLOOKUP($F666,Settings!$I$15:$I$20,Settings!$M$15:$M$20,1),0))</f>
        <v>1</v>
      </c>
      <c r="AG666" s="12">
        <f t="array" ref="AG666">IF($A666="","",ROUND($Y666*XLOOKUP($F666,Settings!$I$15:$I$20,Settings!$N$15:$N$20,1.1),0))</f>
        <v>1</v>
      </c>
      <c r="AH666" s="12">
        <f t="array" ref="AH666">IF($A666="","",ROUND($Y666*XLOOKUP($F666,Settings!$I$15:$I$20,Settings!$O$15:$O$20,1.1)*Settings!$J$7,0))</f>
        <v>1</v>
      </c>
      <c r="AI666" s="12">
        <f t="array" ref="AI666">IF($A666="","",IF($AA666="Sold","",MIN($AH666,IFERROR(XLOOKUP(Settings!$B$12,Managers!$B$4:$B$15,Managers!$H$4:$H$15),$AH666))))</f>
        <v>1</v>
      </c>
      <c r="AJ666" s="12" t="str">
        <f t="shared" si="3"/>
        <v>Recommended</v>
      </c>
      <c r="AK666" s="12">
        <f t="shared" si="4"/>
        <v>26</v>
      </c>
      <c r="AL666" s="12" t="str">
        <f t="shared" si="5"/>
        <v/>
      </c>
    </row>
    <row r="667" ht="15.75" customHeight="1">
      <c r="A667" s="10" t="s">
        <v>1615</v>
      </c>
      <c r="B667" s="10" t="s">
        <v>1616</v>
      </c>
      <c r="C667" s="10" t="s">
        <v>191</v>
      </c>
      <c r="D667" s="10" t="s">
        <v>115</v>
      </c>
      <c r="E667" s="10" t="s">
        <v>115</v>
      </c>
      <c r="F667" s="10" t="s">
        <v>117</v>
      </c>
      <c r="G667" s="10">
        <v>5.0</v>
      </c>
      <c r="H667" s="10">
        <v>7.0</v>
      </c>
      <c r="I667" s="10" t="s">
        <v>2140</v>
      </c>
      <c r="J667" s="10" t="s">
        <v>2136</v>
      </c>
      <c r="K667" s="10"/>
      <c r="L667" s="10">
        <v>0.0</v>
      </c>
      <c r="M667" s="10">
        <v>0.0</v>
      </c>
      <c r="N667" s="10"/>
      <c r="O667" s="10"/>
      <c r="P667" s="12">
        <f>IF($A667="","",IFERROR((IF($O667="",0,$O667)*Settings!$J$4+IF($L667="",0,$L667)*Settings!$J$5+IF($N667="",0,$N667)*Settings!$J$6)/(IF($O667="",0,Settings!$J$4)+IF($L667="",0,Settings!$J$5)+IF($N667="",0,Settings!$J$6)),0))</f>
        <v>0</v>
      </c>
      <c r="Q667" s="12">
        <f t="array" ref="Q667">IF($A667="","",XLOOKUP($E667,Settings!$A$19:$A$22,Settings!$G$19:$G$22,0))</f>
        <v>249.25</v>
      </c>
      <c r="R667" s="12">
        <f t="shared" si="1"/>
        <v>0</v>
      </c>
      <c r="S667" s="12">
        <f>IF($A667="","",IF($R667&lt;=0,1,1+$R667/SUMIF($R$4:$R$923,"&gt;0",$R$4:$R$923)*(Settings!$B$5*(Settings!$B$6-Settings!$B$7))))</f>
        <v>1</v>
      </c>
      <c r="T667" s="12">
        <f t="array" ref="T667">IF($A667="","",XLOOKUP($F667,Settings!$I$15:$I$20,Settings!$J$15:$J$20,1))</f>
        <v>0.75</v>
      </c>
      <c r="U667" s="12">
        <f>IF($A667="","",1+(($G667-5)/5)*Settings!$J$8)</f>
        <v>1</v>
      </c>
      <c r="V667" s="12">
        <f>IF($A667="","",1+(($H667-5)/5)*Settings!$J$9)</f>
        <v>1.06</v>
      </c>
      <c r="W667" s="12">
        <f t="array" ref="W667">IF($A667="","",XLOOKUP($J667,Lists!$C$3:$C$7,Lists!$D$3:$D$7,1))</f>
        <v>1</v>
      </c>
      <c r="X667" s="12">
        <f>IF($A667="","",IF($I667="Yes",Settings!$J$10,1))</f>
        <v>1</v>
      </c>
      <c r="Y667" s="12">
        <f t="shared" si="2"/>
        <v>1</v>
      </c>
      <c r="Z667" s="12">
        <f>IF($A667="","",IFERROR(ROUND(AVERAGEIFS('Historical Drafts'!$G$4:$G$300,'Historical Drafts'!$D$4:$D$300,$E667,'Historical Drafts'!$J$4:$J$300,"&gt;="&amp;$L667*0.85,'Historical Drafts'!$J$4:$J$300,"&lt;="&amp;$L667*1.15),0),$Y667))</f>
        <v>1</v>
      </c>
      <c r="AA667" s="12" t="str">
        <f>IF($A667="","",IF(COUNTIF('Auction Log'!$B$3:$B$300,$A667)&gt;0,"Sold","Available"))</f>
        <v>Available</v>
      </c>
      <c r="AB667" s="12" t="str">
        <f t="array" ref="AB667">IF($A667="","",IFERROR(XLOOKUP($A667,'Auction Log'!$B$3:$B$300,'Auction Log'!$G$3:$G$300,""),""))</f>
        <v/>
      </c>
      <c r="AC667" s="12" t="str">
        <f t="array" ref="AC667">IF($A667="","",IFERROR(XLOOKUP($A667,'Auction Log'!$B$3:$B$300,'Auction Log'!$F$3:$F$300,""),""))</f>
        <v/>
      </c>
      <c r="AD667" s="12">
        <f t="array" ref="AD667">IF($A667="","",ROUND($Y667*XLOOKUP($F667,Settings!$I$15:$I$20,Settings!$K$15:$K$20,0.4),0))</f>
        <v>0</v>
      </c>
      <c r="AE667" s="12">
        <f t="array" ref="AE667">IF($A667="","",ROUND($Y667*XLOOKUP($F667,Settings!$I$15:$I$20,Settings!$L$15:$L$20,0.8),0))</f>
        <v>1</v>
      </c>
      <c r="AF667" s="12">
        <f t="array" ref="AF667">IF($A667="","",ROUND($Y667*XLOOKUP($F667,Settings!$I$15:$I$20,Settings!$M$15:$M$20,1),0))</f>
        <v>1</v>
      </c>
      <c r="AG667" s="12">
        <f t="array" ref="AG667">IF($A667="","",ROUND($Y667*XLOOKUP($F667,Settings!$I$15:$I$20,Settings!$N$15:$N$20,1.1),0))</f>
        <v>1</v>
      </c>
      <c r="AH667" s="12">
        <f t="array" ref="AH667">IF($A667="","",ROUND($Y667*XLOOKUP($F667,Settings!$I$15:$I$20,Settings!$O$15:$O$20,1.1)*Settings!$J$7,0))</f>
        <v>1</v>
      </c>
      <c r="AI667" s="12">
        <f t="array" ref="AI667">IF($A667="","",IF($AA667="Sold","",MIN($AH667,IFERROR(XLOOKUP(Settings!$B$12,Managers!$B$4:$B$15,Managers!$H$4:$H$15),$AH667))))</f>
        <v>1</v>
      </c>
      <c r="AJ667" s="12" t="str">
        <f t="shared" si="3"/>
        <v>Recommended</v>
      </c>
      <c r="AK667" s="12">
        <f t="shared" si="4"/>
        <v>26</v>
      </c>
      <c r="AL667" s="12" t="str">
        <f t="shared" si="5"/>
        <v/>
      </c>
    </row>
    <row r="668" ht="15.75" customHeight="1">
      <c r="A668" s="10" t="s">
        <v>1617</v>
      </c>
      <c r="B668" s="10" t="s">
        <v>1618</v>
      </c>
      <c r="C668" s="10" t="s">
        <v>199</v>
      </c>
      <c r="D668" s="10" t="s">
        <v>121</v>
      </c>
      <c r="E668" s="10" t="s">
        <v>121</v>
      </c>
      <c r="F668" s="10" t="s">
        <v>117</v>
      </c>
      <c r="G668" s="10">
        <v>5.0</v>
      </c>
      <c r="H668" s="10">
        <v>7.0</v>
      </c>
      <c r="I668" s="10" t="s">
        <v>2140</v>
      </c>
      <c r="J668" s="10" t="s">
        <v>2136</v>
      </c>
      <c r="K668" s="10"/>
      <c r="L668" s="10">
        <v>0.0</v>
      </c>
      <c r="M668" s="10">
        <v>0.0</v>
      </c>
      <c r="N668" s="10"/>
      <c r="O668" s="10"/>
      <c r="P668" s="12">
        <f>IF($A668="","",IFERROR((IF($O668="",0,$O668)*Settings!$J$4+IF($L668="",0,$L668)*Settings!$J$5+IF($N668="",0,$N668)*Settings!$J$6)/(IF($O668="",0,Settings!$J$4)+IF($L668="",0,Settings!$J$5)+IF($N668="",0,Settings!$J$6)),0))</f>
        <v>0</v>
      </c>
      <c r="Q668" s="12">
        <f t="array" ref="Q668">IF($A668="","",XLOOKUP($E668,Settings!$A$19:$A$22,Settings!$G$19:$G$22,0))</f>
        <v>206</v>
      </c>
      <c r="R668" s="12">
        <f t="shared" si="1"/>
        <v>0</v>
      </c>
      <c r="S668" s="12">
        <f>IF($A668="","",IF($R668&lt;=0,1,1+$R668/SUMIF($R$4:$R$923,"&gt;0",$R$4:$R$923)*(Settings!$B$5*(Settings!$B$6-Settings!$B$7))))</f>
        <v>1</v>
      </c>
      <c r="T668" s="12">
        <f t="array" ref="T668">IF($A668="","",XLOOKUP($F668,Settings!$I$15:$I$20,Settings!$J$15:$J$20,1))</f>
        <v>0.75</v>
      </c>
      <c r="U668" s="12">
        <f>IF($A668="","",1+(($G668-5)/5)*Settings!$J$8)</f>
        <v>1</v>
      </c>
      <c r="V668" s="12">
        <f>IF($A668="","",1+(($H668-5)/5)*Settings!$J$9)</f>
        <v>1.06</v>
      </c>
      <c r="W668" s="12">
        <f t="array" ref="W668">IF($A668="","",XLOOKUP($J668,Lists!$C$3:$C$7,Lists!$D$3:$D$7,1))</f>
        <v>1</v>
      </c>
      <c r="X668" s="12">
        <f>IF($A668="","",IF($I668="Yes",Settings!$J$10,1))</f>
        <v>1</v>
      </c>
      <c r="Y668" s="12">
        <f t="shared" si="2"/>
        <v>1</v>
      </c>
      <c r="Z668" s="12">
        <f>IF($A668="","",IFERROR(ROUND(AVERAGEIFS('Historical Drafts'!$G$4:$G$300,'Historical Drafts'!$D$4:$D$300,$E668,'Historical Drafts'!$J$4:$J$300,"&gt;="&amp;$L668*0.85,'Historical Drafts'!$J$4:$J$300,"&lt;="&amp;$L668*1.15),0),$Y668))</f>
        <v>3</v>
      </c>
      <c r="AA668" s="12" t="str">
        <f>IF($A668="","",IF(COUNTIF('Auction Log'!$B$3:$B$300,$A668)&gt;0,"Sold","Available"))</f>
        <v>Available</v>
      </c>
      <c r="AB668" s="12" t="str">
        <f t="array" ref="AB668">IF($A668="","",IFERROR(XLOOKUP($A668,'Auction Log'!$B$3:$B$300,'Auction Log'!$G$3:$G$300,""),""))</f>
        <v/>
      </c>
      <c r="AC668" s="12" t="str">
        <f t="array" ref="AC668">IF($A668="","",IFERROR(XLOOKUP($A668,'Auction Log'!$B$3:$B$300,'Auction Log'!$F$3:$F$300,""),""))</f>
        <v/>
      </c>
      <c r="AD668" s="12">
        <f t="array" ref="AD668">IF($A668="","",ROUND($Y668*XLOOKUP($F668,Settings!$I$15:$I$20,Settings!$K$15:$K$20,0.4),0))</f>
        <v>0</v>
      </c>
      <c r="AE668" s="12">
        <f t="array" ref="AE668">IF($A668="","",ROUND($Y668*XLOOKUP($F668,Settings!$I$15:$I$20,Settings!$L$15:$L$20,0.8),0))</f>
        <v>1</v>
      </c>
      <c r="AF668" s="12">
        <f t="array" ref="AF668">IF($A668="","",ROUND($Y668*XLOOKUP($F668,Settings!$I$15:$I$20,Settings!$M$15:$M$20,1),0))</f>
        <v>1</v>
      </c>
      <c r="AG668" s="12">
        <f t="array" ref="AG668">IF($A668="","",ROUND($Y668*XLOOKUP($F668,Settings!$I$15:$I$20,Settings!$N$15:$N$20,1.1),0))</f>
        <v>1</v>
      </c>
      <c r="AH668" s="12">
        <f t="array" ref="AH668">IF($A668="","",ROUND($Y668*XLOOKUP($F668,Settings!$I$15:$I$20,Settings!$O$15:$O$20,1.1)*Settings!$J$7,0))</f>
        <v>1</v>
      </c>
      <c r="AI668" s="12">
        <f t="array" ref="AI668">IF($A668="","",IF($AA668="Sold","",MIN($AH668,IFERROR(XLOOKUP(Settings!$B$12,Managers!$B$4:$B$15,Managers!$H$4:$H$15),$AH668))))</f>
        <v>1</v>
      </c>
      <c r="AJ668" s="12" t="str">
        <f t="shared" si="3"/>
        <v>Budget Drainer</v>
      </c>
      <c r="AK668" s="12">
        <f t="shared" si="4"/>
        <v>28</v>
      </c>
      <c r="AL668" s="12" t="str">
        <f t="shared" si="5"/>
        <v/>
      </c>
    </row>
    <row r="669" ht="15.75" customHeight="1">
      <c r="A669" s="10" t="s">
        <v>1619</v>
      </c>
      <c r="B669" s="10" t="s">
        <v>1620</v>
      </c>
      <c r="C669" s="10" t="s">
        <v>226</v>
      </c>
      <c r="D669" s="10" t="s">
        <v>121</v>
      </c>
      <c r="E669" s="10" t="s">
        <v>121</v>
      </c>
      <c r="F669" s="10" t="s">
        <v>117</v>
      </c>
      <c r="G669" s="10">
        <v>5.0</v>
      </c>
      <c r="H669" s="10">
        <v>7.0</v>
      </c>
      <c r="I669" s="10" t="s">
        <v>2140</v>
      </c>
      <c r="J669" s="10" t="s">
        <v>2136</v>
      </c>
      <c r="K669" s="10"/>
      <c r="L669" s="10">
        <v>0.0</v>
      </c>
      <c r="M669" s="10">
        <v>0.0</v>
      </c>
      <c r="N669" s="10"/>
      <c r="O669" s="10"/>
      <c r="P669" s="12">
        <f>IF($A669="","",IFERROR((IF($O669="",0,$O669)*Settings!$J$4+IF($L669="",0,$L669)*Settings!$J$5+IF($N669="",0,$N669)*Settings!$J$6)/(IF($O669="",0,Settings!$J$4)+IF($L669="",0,Settings!$J$5)+IF($N669="",0,Settings!$J$6)),0))</f>
        <v>0</v>
      </c>
      <c r="Q669" s="12">
        <f t="array" ref="Q669">IF($A669="","",XLOOKUP($E669,Settings!$A$19:$A$22,Settings!$G$19:$G$22,0))</f>
        <v>206</v>
      </c>
      <c r="R669" s="12">
        <f t="shared" si="1"/>
        <v>0</v>
      </c>
      <c r="S669" s="12">
        <f>IF($A669="","",IF($R669&lt;=0,1,1+$R669/SUMIF($R$4:$R$923,"&gt;0",$R$4:$R$923)*(Settings!$B$5*(Settings!$B$6-Settings!$B$7))))</f>
        <v>1</v>
      </c>
      <c r="T669" s="12">
        <f t="array" ref="T669">IF($A669="","",XLOOKUP($F669,Settings!$I$15:$I$20,Settings!$J$15:$J$20,1))</f>
        <v>0.75</v>
      </c>
      <c r="U669" s="12">
        <f>IF($A669="","",1+(($G669-5)/5)*Settings!$J$8)</f>
        <v>1</v>
      </c>
      <c r="V669" s="12">
        <f>IF($A669="","",1+(($H669-5)/5)*Settings!$J$9)</f>
        <v>1.06</v>
      </c>
      <c r="W669" s="12">
        <f t="array" ref="W669">IF($A669="","",XLOOKUP($J669,Lists!$C$3:$C$7,Lists!$D$3:$D$7,1))</f>
        <v>1</v>
      </c>
      <c r="X669" s="12">
        <f>IF($A669="","",IF($I669="Yes",Settings!$J$10,1))</f>
        <v>1</v>
      </c>
      <c r="Y669" s="12">
        <f t="shared" si="2"/>
        <v>1</v>
      </c>
      <c r="Z669" s="12">
        <f>IF($A669="","",IFERROR(ROUND(AVERAGEIFS('Historical Drafts'!$G$4:$G$300,'Historical Drafts'!$D$4:$D$300,$E669,'Historical Drafts'!$J$4:$J$300,"&gt;="&amp;$L669*0.85,'Historical Drafts'!$J$4:$J$300,"&lt;="&amp;$L669*1.15),0),$Y669))</f>
        <v>3</v>
      </c>
      <c r="AA669" s="12" t="str">
        <f>IF($A669="","",IF(COUNTIF('Auction Log'!$B$3:$B$300,$A669)&gt;0,"Sold","Available"))</f>
        <v>Available</v>
      </c>
      <c r="AB669" s="12" t="str">
        <f t="array" ref="AB669">IF($A669="","",IFERROR(XLOOKUP($A669,'Auction Log'!$B$3:$B$300,'Auction Log'!$G$3:$G$300,""),""))</f>
        <v/>
      </c>
      <c r="AC669" s="12" t="str">
        <f t="array" ref="AC669">IF($A669="","",IFERROR(XLOOKUP($A669,'Auction Log'!$B$3:$B$300,'Auction Log'!$F$3:$F$300,""),""))</f>
        <v/>
      </c>
      <c r="AD669" s="12">
        <f t="array" ref="AD669">IF($A669="","",ROUND($Y669*XLOOKUP($F669,Settings!$I$15:$I$20,Settings!$K$15:$K$20,0.4),0))</f>
        <v>0</v>
      </c>
      <c r="AE669" s="12">
        <f t="array" ref="AE669">IF($A669="","",ROUND($Y669*XLOOKUP($F669,Settings!$I$15:$I$20,Settings!$L$15:$L$20,0.8),0))</f>
        <v>1</v>
      </c>
      <c r="AF669" s="12">
        <f t="array" ref="AF669">IF($A669="","",ROUND($Y669*XLOOKUP($F669,Settings!$I$15:$I$20,Settings!$M$15:$M$20,1),0))</f>
        <v>1</v>
      </c>
      <c r="AG669" s="12">
        <f t="array" ref="AG669">IF($A669="","",ROUND($Y669*XLOOKUP($F669,Settings!$I$15:$I$20,Settings!$N$15:$N$20,1.1),0))</f>
        <v>1</v>
      </c>
      <c r="AH669" s="12">
        <f t="array" ref="AH669">IF($A669="","",ROUND($Y669*XLOOKUP($F669,Settings!$I$15:$I$20,Settings!$O$15:$O$20,1.1)*Settings!$J$7,0))</f>
        <v>1</v>
      </c>
      <c r="AI669" s="12">
        <f t="array" ref="AI669">IF($A669="","",IF($AA669="Sold","",MIN($AH669,IFERROR(XLOOKUP(Settings!$B$12,Managers!$B$4:$B$15,Managers!$H$4:$H$15),$AH669))))</f>
        <v>1</v>
      </c>
      <c r="AJ669" s="12" t="str">
        <f t="shared" si="3"/>
        <v>Budget Drainer</v>
      </c>
      <c r="AK669" s="12">
        <f t="shared" si="4"/>
        <v>28</v>
      </c>
      <c r="AL669" s="12" t="str">
        <f t="shared" si="5"/>
        <v/>
      </c>
    </row>
    <row r="670" ht="15.75" customHeight="1">
      <c r="A670" s="10" t="s">
        <v>1621</v>
      </c>
      <c r="B670" s="10" t="s">
        <v>1622</v>
      </c>
      <c r="C670" s="10" t="s">
        <v>215</v>
      </c>
      <c r="D670" s="10" t="s">
        <v>115</v>
      </c>
      <c r="E670" s="10" t="s">
        <v>115</v>
      </c>
      <c r="F670" s="10" t="s">
        <v>117</v>
      </c>
      <c r="G670" s="10">
        <v>5.0</v>
      </c>
      <c r="H670" s="10">
        <v>7.0</v>
      </c>
      <c r="I670" s="10" t="s">
        <v>2140</v>
      </c>
      <c r="J670" s="10" t="s">
        <v>2136</v>
      </c>
      <c r="K670" s="10"/>
      <c r="L670" s="10">
        <v>0.0</v>
      </c>
      <c r="M670" s="10">
        <v>0.0</v>
      </c>
      <c r="N670" s="10"/>
      <c r="O670" s="10"/>
      <c r="P670" s="12">
        <f>IF($A670="","",IFERROR((IF($O670="",0,$O670)*Settings!$J$4+IF($L670="",0,$L670)*Settings!$J$5+IF($N670="",0,$N670)*Settings!$J$6)/(IF($O670="",0,Settings!$J$4)+IF($L670="",0,Settings!$J$5)+IF($N670="",0,Settings!$J$6)),0))</f>
        <v>0</v>
      </c>
      <c r="Q670" s="12">
        <f t="array" ref="Q670">IF($A670="","",XLOOKUP($E670,Settings!$A$19:$A$22,Settings!$G$19:$G$22,0))</f>
        <v>249.25</v>
      </c>
      <c r="R670" s="12">
        <f t="shared" si="1"/>
        <v>0</v>
      </c>
      <c r="S670" s="12">
        <f>IF($A670="","",IF($R670&lt;=0,1,1+$R670/SUMIF($R$4:$R$923,"&gt;0",$R$4:$R$923)*(Settings!$B$5*(Settings!$B$6-Settings!$B$7))))</f>
        <v>1</v>
      </c>
      <c r="T670" s="12">
        <f t="array" ref="T670">IF($A670="","",XLOOKUP($F670,Settings!$I$15:$I$20,Settings!$J$15:$J$20,1))</f>
        <v>0.75</v>
      </c>
      <c r="U670" s="12">
        <f>IF($A670="","",1+(($G670-5)/5)*Settings!$J$8)</f>
        <v>1</v>
      </c>
      <c r="V670" s="12">
        <f>IF($A670="","",1+(($H670-5)/5)*Settings!$J$9)</f>
        <v>1.06</v>
      </c>
      <c r="W670" s="12">
        <f t="array" ref="W670">IF($A670="","",XLOOKUP($J670,Lists!$C$3:$C$7,Lists!$D$3:$D$7,1))</f>
        <v>1</v>
      </c>
      <c r="X670" s="12">
        <f>IF($A670="","",IF($I670="Yes",Settings!$J$10,1))</f>
        <v>1</v>
      </c>
      <c r="Y670" s="12">
        <f t="shared" si="2"/>
        <v>1</v>
      </c>
      <c r="Z670" s="12">
        <f>IF($A670="","",IFERROR(ROUND(AVERAGEIFS('Historical Drafts'!$G$4:$G$300,'Historical Drafts'!$D$4:$D$300,$E670,'Historical Drafts'!$J$4:$J$300,"&gt;="&amp;$L670*0.85,'Historical Drafts'!$J$4:$J$300,"&lt;="&amp;$L670*1.15),0),$Y670))</f>
        <v>1</v>
      </c>
      <c r="AA670" s="12" t="str">
        <f>IF($A670="","",IF(COUNTIF('Auction Log'!$B$3:$B$300,$A670)&gt;0,"Sold","Available"))</f>
        <v>Available</v>
      </c>
      <c r="AB670" s="12" t="str">
        <f t="array" ref="AB670">IF($A670="","",IFERROR(XLOOKUP($A670,'Auction Log'!$B$3:$B$300,'Auction Log'!$G$3:$G$300,""),""))</f>
        <v/>
      </c>
      <c r="AC670" s="12" t="str">
        <f t="array" ref="AC670">IF($A670="","",IFERROR(XLOOKUP($A670,'Auction Log'!$B$3:$B$300,'Auction Log'!$F$3:$F$300,""),""))</f>
        <v/>
      </c>
      <c r="AD670" s="12">
        <f t="array" ref="AD670">IF($A670="","",ROUND($Y670*XLOOKUP($F670,Settings!$I$15:$I$20,Settings!$K$15:$K$20,0.4),0))</f>
        <v>0</v>
      </c>
      <c r="AE670" s="12">
        <f t="array" ref="AE670">IF($A670="","",ROUND($Y670*XLOOKUP($F670,Settings!$I$15:$I$20,Settings!$L$15:$L$20,0.8),0))</f>
        <v>1</v>
      </c>
      <c r="AF670" s="12">
        <f t="array" ref="AF670">IF($A670="","",ROUND($Y670*XLOOKUP($F670,Settings!$I$15:$I$20,Settings!$M$15:$M$20,1),0))</f>
        <v>1</v>
      </c>
      <c r="AG670" s="12">
        <f t="array" ref="AG670">IF($A670="","",ROUND($Y670*XLOOKUP($F670,Settings!$I$15:$I$20,Settings!$N$15:$N$20,1.1),0))</f>
        <v>1</v>
      </c>
      <c r="AH670" s="12">
        <f t="array" ref="AH670">IF($A670="","",ROUND($Y670*XLOOKUP($F670,Settings!$I$15:$I$20,Settings!$O$15:$O$20,1.1)*Settings!$J$7,0))</f>
        <v>1</v>
      </c>
      <c r="AI670" s="12">
        <f t="array" ref="AI670">IF($A670="","",IF($AA670="Sold","",MIN($AH670,IFERROR(XLOOKUP(Settings!$B$12,Managers!$B$4:$B$15,Managers!$H$4:$H$15),$AH670))))</f>
        <v>1</v>
      </c>
      <c r="AJ670" s="12" t="str">
        <f t="shared" si="3"/>
        <v>Recommended</v>
      </c>
      <c r="AK670" s="12">
        <f t="shared" si="4"/>
        <v>26</v>
      </c>
      <c r="AL670" s="12" t="str">
        <f t="shared" si="5"/>
        <v/>
      </c>
    </row>
    <row r="671" ht="15.75" customHeight="1">
      <c r="A671" s="10" t="s">
        <v>1623</v>
      </c>
      <c r="B671" s="10" t="s">
        <v>1624</v>
      </c>
      <c r="C671" s="10" t="s">
        <v>180</v>
      </c>
      <c r="D671" s="10" t="s">
        <v>123</v>
      </c>
      <c r="E671" s="10" t="s">
        <v>123</v>
      </c>
      <c r="F671" s="10" t="s">
        <v>117</v>
      </c>
      <c r="G671" s="10">
        <v>5.0</v>
      </c>
      <c r="H671" s="10">
        <v>7.0</v>
      </c>
      <c r="I671" s="10" t="s">
        <v>2140</v>
      </c>
      <c r="J671" s="10" t="s">
        <v>2136</v>
      </c>
      <c r="K671" s="10"/>
      <c r="L671" s="10">
        <v>0.0</v>
      </c>
      <c r="M671" s="10">
        <v>0.0</v>
      </c>
      <c r="N671" s="10"/>
      <c r="O671" s="10"/>
      <c r="P671" s="12">
        <f>IF($A671="","",IFERROR((IF($O671="",0,$O671)*Settings!$J$4+IF($L671="",0,$L671)*Settings!$J$5+IF($N671="",0,$N671)*Settings!$J$6)/(IF($O671="",0,Settings!$J$4)+IF($L671="",0,Settings!$J$5)+IF($N671="",0,Settings!$J$6)),0))</f>
        <v>0</v>
      </c>
      <c r="Q671" s="12">
        <f t="array" ref="Q671">IF($A671="","",XLOOKUP($E671,Settings!$A$19:$A$22,Settings!$G$19:$G$22,0))</f>
        <v>203</v>
      </c>
      <c r="R671" s="12">
        <f t="shared" si="1"/>
        <v>0</v>
      </c>
      <c r="S671" s="12">
        <f>IF($A671="","",IF($R671&lt;=0,1,1+$R671/SUMIF($R$4:$R$923,"&gt;0",$R$4:$R$923)*(Settings!$B$5*(Settings!$B$6-Settings!$B$7))))</f>
        <v>1</v>
      </c>
      <c r="T671" s="12">
        <f t="array" ref="T671">IF($A671="","",XLOOKUP($F671,Settings!$I$15:$I$20,Settings!$J$15:$J$20,1))</f>
        <v>0.75</v>
      </c>
      <c r="U671" s="12">
        <f>IF($A671="","",1+(($G671-5)/5)*Settings!$J$8)</f>
        <v>1</v>
      </c>
      <c r="V671" s="12">
        <f>IF($A671="","",1+(($H671-5)/5)*Settings!$J$9)</f>
        <v>1.06</v>
      </c>
      <c r="W671" s="12">
        <f t="array" ref="W671">IF($A671="","",XLOOKUP($J671,Lists!$C$3:$C$7,Lists!$D$3:$D$7,1))</f>
        <v>1</v>
      </c>
      <c r="X671" s="12">
        <f>IF($A671="","",IF($I671="Yes",Settings!$J$10,1))</f>
        <v>1</v>
      </c>
      <c r="Y671" s="12">
        <f t="shared" si="2"/>
        <v>1</v>
      </c>
      <c r="Z671" s="12">
        <f>IF($A671="","",IFERROR(ROUND(AVERAGEIFS('Historical Drafts'!$G$4:$G$300,'Historical Drafts'!$D$4:$D$300,$E671,'Historical Drafts'!$J$4:$J$300,"&gt;="&amp;$L671*0.85,'Historical Drafts'!$J$4:$J$300,"&lt;="&amp;$L671*1.15),0),$Y671))</f>
        <v>3</v>
      </c>
      <c r="AA671" s="12" t="str">
        <f>IF($A671="","",IF(COUNTIF('Auction Log'!$B$3:$B$300,$A671)&gt;0,"Sold","Available"))</f>
        <v>Available</v>
      </c>
      <c r="AB671" s="12" t="str">
        <f t="array" ref="AB671">IF($A671="","",IFERROR(XLOOKUP($A671,'Auction Log'!$B$3:$B$300,'Auction Log'!$G$3:$G$300,""),""))</f>
        <v/>
      </c>
      <c r="AC671" s="12" t="str">
        <f t="array" ref="AC671">IF($A671="","",IFERROR(XLOOKUP($A671,'Auction Log'!$B$3:$B$300,'Auction Log'!$F$3:$F$300,""),""))</f>
        <v/>
      </c>
      <c r="AD671" s="12">
        <f t="array" ref="AD671">IF($A671="","",ROUND($Y671*XLOOKUP($F671,Settings!$I$15:$I$20,Settings!$K$15:$K$20,0.4),0))</f>
        <v>0</v>
      </c>
      <c r="AE671" s="12">
        <f t="array" ref="AE671">IF($A671="","",ROUND($Y671*XLOOKUP($F671,Settings!$I$15:$I$20,Settings!$L$15:$L$20,0.8),0))</f>
        <v>1</v>
      </c>
      <c r="AF671" s="12">
        <f t="array" ref="AF671">IF($A671="","",ROUND($Y671*XLOOKUP($F671,Settings!$I$15:$I$20,Settings!$M$15:$M$20,1),0))</f>
        <v>1</v>
      </c>
      <c r="AG671" s="12">
        <f t="array" ref="AG671">IF($A671="","",ROUND($Y671*XLOOKUP($F671,Settings!$I$15:$I$20,Settings!$N$15:$N$20,1.1),0))</f>
        <v>1</v>
      </c>
      <c r="AH671" s="12">
        <f t="array" ref="AH671">IF($A671="","",ROUND($Y671*XLOOKUP($F671,Settings!$I$15:$I$20,Settings!$O$15:$O$20,1.1)*Settings!$J$7,0))</f>
        <v>1</v>
      </c>
      <c r="AI671" s="12">
        <f t="array" ref="AI671">IF($A671="","",IF($AA671="Sold","",MIN($AH671,IFERROR(XLOOKUP(Settings!$B$12,Managers!$B$4:$B$15,Managers!$H$4:$H$15),$AH671))))</f>
        <v>1</v>
      </c>
      <c r="AJ671" s="12" t="str">
        <f t="shared" si="3"/>
        <v>Budget Drainer</v>
      </c>
      <c r="AK671" s="12">
        <f t="shared" si="4"/>
        <v>28</v>
      </c>
      <c r="AL671" s="12" t="str">
        <f t="shared" si="5"/>
        <v/>
      </c>
    </row>
    <row r="672" ht="15.75" customHeight="1">
      <c r="A672" s="10" t="s">
        <v>1625</v>
      </c>
      <c r="B672" s="10" t="s">
        <v>1626</v>
      </c>
      <c r="C672" s="10" t="s">
        <v>180</v>
      </c>
      <c r="D672" s="10" t="s">
        <v>123</v>
      </c>
      <c r="E672" s="10" t="s">
        <v>123</v>
      </c>
      <c r="F672" s="10" t="s">
        <v>117</v>
      </c>
      <c r="G672" s="10">
        <v>5.0</v>
      </c>
      <c r="H672" s="10">
        <v>7.0</v>
      </c>
      <c r="I672" s="10" t="s">
        <v>2140</v>
      </c>
      <c r="J672" s="10" t="s">
        <v>2136</v>
      </c>
      <c r="K672" s="10"/>
      <c r="L672" s="10">
        <v>0.0</v>
      </c>
      <c r="M672" s="10">
        <v>0.0</v>
      </c>
      <c r="N672" s="10"/>
      <c r="O672" s="10"/>
      <c r="P672" s="12">
        <f>IF($A672="","",IFERROR((IF($O672="",0,$O672)*Settings!$J$4+IF($L672="",0,$L672)*Settings!$J$5+IF($N672="",0,$N672)*Settings!$J$6)/(IF($O672="",0,Settings!$J$4)+IF($L672="",0,Settings!$J$5)+IF($N672="",0,Settings!$J$6)),0))</f>
        <v>0</v>
      </c>
      <c r="Q672" s="12">
        <f t="array" ref="Q672">IF($A672="","",XLOOKUP($E672,Settings!$A$19:$A$22,Settings!$G$19:$G$22,0))</f>
        <v>203</v>
      </c>
      <c r="R672" s="12">
        <f t="shared" si="1"/>
        <v>0</v>
      </c>
      <c r="S672" s="12">
        <f>IF($A672="","",IF($R672&lt;=0,1,1+$R672/SUMIF($R$4:$R$923,"&gt;0",$R$4:$R$923)*(Settings!$B$5*(Settings!$B$6-Settings!$B$7))))</f>
        <v>1</v>
      </c>
      <c r="T672" s="12">
        <f t="array" ref="T672">IF($A672="","",XLOOKUP($F672,Settings!$I$15:$I$20,Settings!$J$15:$J$20,1))</f>
        <v>0.75</v>
      </c>
      <c r="U672" s="12">
        <f>IF($A672="","",1+(($G672-5)/5)*Settings!$J$8)</f>
        <v>1</v>
      </c>
      <c r="V672" s="12">
        <f>IF($A672="","",1+(($H672-5)/5)*Settings!$J$9)</f>
        <v>1.06</v>
      </c>
      <c r="W672" s="12">
        <f t="array" ref="W672">IF($A672="","",XLOOKUP($J672,Lists!$C$3:$C$7,Lists!$D$3:$D$7,1))</f>
        <v>1</v>
      </c>
      <c r="X672" s="12">
        <f>IF($A672="","",IF($I672="Yes",Settings!$J$10,1))</f>
        <v>1</v>
      </c>
      <c r="Y672" s="12">
        <f t="shared" si="2"/>
        <v>1</v>
      </c>
      <c r="Z672" s="12">
        <f>IF($A672="","",IFERROR(ROUND(AVERAGEIFS('Historical Drafts'!$G$4:$G$300,'Historical Drafts'!$D$4:$D$300,$E672,'Historical Drafts'!$J$4:$J$300,"&gt;="&amp;$L672*0.85,'Historical Drafts'!$J$4:$J$300,"&lt;="&amp;$L672*1.15),0),$Y672))</f>
        <v>3</v>
      </c>
      <c r="AA672" s="12" t="str">
        <f>IF($A672="","",IF(COUNTIF('Auction Log'!$B$3:$B$300,$A672)&gt;0,"Sold","Available"))</f>
        <v>Available</v>
      </c>
      <c r="AB672" s="12" t="str">
        <f t="array" ref="AB672">IF($A672="","",IFERROR(XLOOKUP($A672,'Auction Log'!$B$3:$B$300,'Auction Log'!$G$3:$G$300,""),""))</f>
        <v/>
      </c>
      <c r="AC672" s="12" t="str">
        <f t="array" ref="AC672">IF($A672="","",IFERROR(XLOOKUP($A672,'Auction Log'!$B$3:$B$300,'Auction Log'!$F$3:$F$300,""),""))</f>
        <v/>
      </c>
      <c r="AD672" s="12">
        <f t="array" ref="AD672">IF($A672="","",ROUND($Y672*XLOOKUP($F672,Settings!$I$15:$I$20,Settings!$K$15:$K$20,0.4),0))</f>
        <v>0</v>
      </c>
      <c r="AE672" s="12">
        <f t="array" ref="AE672">IF($A672="","",ROUND($Y672*XLOOKUP($F672,Settings!$I$15:$I$20,Settings!$L$15:$L$20,0.8),0))</f>
        <v>1</v>
      </c>
      <c r="AF672" s="12">
        <f t="array" ref="AF672">IF($A672="","",ROUND($Y672*XLOOKUP($F672,Settings!$I$15:$I$20,Settings!$M$15:$M$20,1),0))</f>
        <v>1</v>
      </c>
      <c r="AG672" s="12">
        <f t="array" ref="AG672">IF($A672="","",ROUND($Y672*XLOOKUP($F672,Settings!$I$15:$I$20,Settings!$N$15:$N$20,1.1),0))</f>
        <v>1</v>
      </c>
      <c r="AH672" s="12">
        <f t="array" ref="AH672">IF($A672="","",ROUND($Y672*XLOOKUP($F672,Settings!$I$15:$I$20,Settings!$O$15:$O$20,1.1)*Settings!$J$7,0))</f>
        <v>1</v>
      </c>
      <c r="AI672" s="12">
        <f t="array" ref="AI672">IF($A672="","",IF($AA672="Sold","",MIN($AH672,IFERROR(XLOOKUP(Settings!$B$12,Managers!$B$4:$B$15,Managers!$H$4:$H$15),$AH672))))</f>
        <v>1</v>
      </c>
      <c r="AJ672" s="12" t="str">
        <f t="shared" si="3"/>
        <v>Budget Drainer</v>
      </c>
      <c r="AK672" s="12">
        <f t="shared" si="4"/>
        <v>28</v>
      </c>
      <c r="AL672" s="12" t="str">
        <f t="shared" si="5"/>
        <v/>
      </c>
    </row>
    <row r="673" ht="15.75" customHeight="1">
      <c r="A673" s="10" t="s">
        <v>1627</v>
      </c>
      <c r="B673" s="10" t="s">
        <v>1628</v>
      </c>
      <c r="C673" s="10" t="s">
        <v>221</v>
      </c>
      <c r="D673" s="10" t="s">
        <v>115</v>
      </c>
      <c r="E673" s="10" t="s">
        <v>115</v>
      </c>
      <c r="F673" s="10" t="s">
        <v>117</v>
      </c>
      <c r="G673" s="10">
        <v>5.0</v>
      </c>
      <c r="H673" s="10">
        <v>7.0</v>
      </c>
      <c r="I673" s="10" t="s">
        <v>2140</v>
      </c>
      <c r="J673" s="10" t="s">
        <v>2136</v>
      </c>
      <c r="K673" s="10"/>
      <c r="L673" s="10">
        <v>0.0</v>
      </c>
      <c r="M673" s="10">
        <v>0.0</v>
      </c>
      <c r="N673" s="10"/>
      <c r="O673" s="10"/>
      <c r="P673" s="12">
        <f>IF($A673="","",IFERROR((IF($O673="",0,$O673)*Settings!$J$4+IF($L673="",0,$L673)*Settings!$J$5+IF($N673="",0,$N673)*Settings!$J$6)/(IF($O673="",0,Settings!$J$4)+IF($L673="",0,Settings!$J$5)+IF($N673="",0,Settings!$J$6)),0))</f>
        <v>0</v>
      </c>
      <c r="Q673" s="12">
        <f t="array" ref="Q673">IF($A673="","",XLOOKUP($E673,Settings!$A$19:$A$22,Settings!$G$19:$G$22,0))</f>
        <v>249.25</v>
      </c>
      <c r="R673" s="12">
        <f t="shared" si="1"/>
        <v>0</v>
      </c>
      <c r="S673" s="12">
        <f>IF($A673="","",IF($R673&lt;=0,1,1+$R673/SUMIF($R$4:$R$923,"&gt;0",$R$4:$R$923)*(Settings!$B$5*(Settings!$B$6-Settings!$B$7))))</f>
        <v>1</v>
      </c>
      <c r="T673" s="12">
        <f t="array" ref="T673">IF($A673="","",XLOOKUP($F673,Settings!$I$15:$I$20,Settings!$J$15:$J$20,1))</f>
        <v>0.75</v>
      </c>
      <c r="U673" s="12">
        <f>IF($A673="","",1+(($G673-5)/5)*Settings!$J$8)</f>
        <v>1</v>
      </c>
      <c r="V673" s="12">
        <f>IF($A673="","",1+(($H673-5)/5)*Settings!$J$9)</f>
        <v>1.06</v>
      </c>
      <c r="W673" s="12">
        <f t="array" ref="W673">IF($A673="","",XLOOKUP($J673,Lists!$C$3:$C$7,Lists!$D$3:$D$7,1))</f>
        <v>1</v>
      </c>
      <c r="X673" s="12">
        <f>IF($A673="","",IF($I673="Yes",Settings!$J$10,1))</f>
        <v>1</v>
      </c>
      <c r="Y673" s="12">
        <f t="shared" si="2"/>
        <v>1</v>
      </c>
      <c r="Z673" s="12">
        <f>IF($A673="","",IFERROR(ROUND(AVERAGEIFS('Historical Drafts'!$G$4:$G$300,'Historical Drafts'!$D$4:$D$300,$E673,'Historical Drafts'!$J$4:$J$300,"&gt;="&amp;$L673*0.85,'Historical Drafts'!$J$4:$J$300,"&lt;="&amp;$L673*1.15),0),$Y673))</f>
        <v>1</v>
      </c>
      <c r="AA673" s="12" t="str">
        <f>IF($A673="","",IF(COUNTIF('Auction Log'!$B$3:$B$300,$A673)&gt;0,"Sold","Available"))</f>
        <v>Available</v>
      </c>
      <c r="AB673" s="12" t="str">
        <f t="array" ref="AB673">IF($A673="","",IFERROR(XLOOKUP($A673,'Auction Log'!$B$3:$B$300,'Auction Log'!$G$3:$G$300,""),""))</f>
        <v/>
      </c>
      <c r="AC673" s="12" t="str">
        <f t="array" ref="AC673">IF($A673="","",IFERROR(XLOOKUP($A673,'Auction Log'!$B$3:$B$300,'Auction Log'!$F$3:$F$300,""),""))</f>
        <v/>
      </c>
      <c r="AD673" s="12">
        <f t="array" ref="AD673">IF($A673="","",ROUND($Y673*XLOOKUP($F673,Settings!$I$15:$I$20,Settings!$K$15:$K$20,0.4),0))</f>
        <v>0</v>
      </c>
      <c r="AE673" s="12">
        <f t="array" ref="AE673">IF($A673="","",ROUND($Y673*XLOOKUP($F673,Settings!$I$15:$I$20,Settings!$L$15:$L$20,0.8),0))</f>
        <v>1</v>
      </c>
      <c r="AF673" s="12">
        <f t="array" ref="AF673">IF($A673="","",ROUND($Y673*XLOOKUP($F673,Settings!$I$15:$I$20,Settings!$M$15:$M$20,1),0))</f>
        <v>1</v>
      </c>
      <c r="AG673" s="12">
        <f t="array" ref="AG673">IF($A673="","",ROUND($Y673*XLOOKUP($F673,Settings!$I$15:$I$20,Settings!$N$15:$N$20,1.1),0))</f>
        <v>1</v>
      </c>
      <c r="AH673" s="12">
        <f t="array" ref="AH673">IF($A673="","",ROUND($Y673*XLOOKUP($F673,Settings!$I$15:$I$20,Settings!$O$15:$O$20,1.1)*Settings!$J$7,0))</f>
        <v>1</v>
      </c>
      <c r="AI673" s="12">
        <f t="array" ref="AI673">IF($A673="","",IF($AA673="Sold","",MIN($AH673,IFERROR(XLOOKUP(Settings!$B$12,Managers!$B$4:$B$15,Managers!$H$4:$H$15),$AH673))))</f>
        <v>1</v>
      </c>
      <c r="AJ673" s="12" t="str">
        <f t="shared" si="3"/>
        <v>Recommended</v>
      </c>
      <c r="AK673" s="12">
        <f t="shared" si="4"/>
        <v>26</v>
      </c>
      <c r="AL673" s="12" t="str">
        <f t="shared" si="5"/>
        <v/>
      </c>
    </row>
    <row r="674" ht="15.75" customHeight="1">
      <c r="A674" s="10" t="s">
        <v>1629</v>
      </c>
      <c r="B674" s="10" t="s">
        <v>1630</v>
      </c>
      <c r="C674" s="10" t="s">
        <v>314</v>
      </c>
      <c r="D674" s="10" t="s">
        <v>118</v>
      </c>
      <c r="E674" s="10" t="s">
        <v>118</v>
      </c>
      <c r="F674" s="10" t="s">
        <v>117</v>
      </c>
      <c r="G674" s="10">
        <v>5.0</v>
      </c>
      <c r="H674" s="10">
        <v>7.0</v>
      </c>
      <c r="I674" s="10" t="s">
        <v>2140</v>
      </c>
      <c r="J674" s="10" t="s">
        <v>2136</v>
      </c>
      <c r="K674" s="10"/>
      <c r="L674" s="10">
        <v>0.0</v>
      </c>
      <c r="M674" s="10">
        <v>0.0</v>
      </c>
      <c r="N674" s="10"/>
      <c r="O674" s="10"/>
      <c r="P674" s="12">
        <f>IF($A674="","",IFERROR((IF($O674="",0,$O674)*Settings!$J$4+IF($L674="",0,$L674)*Settings!$J$5+IF($N674="",0,$N674)*Settings!$J$6)/(IF($O674="",0,Settings!$J$4)+IF($L674="",0,Settings!$J$5)+IF($N674="",0,Settings!$J$6)),0))</f>
        <v>0</v>
      </c>
      <c r="Q674" s="12">
        <f t="array" ref="Q674">IF($A674="","",XLOOKUP($E674,Settings!$A$19:$A$22,Settings!$G$19:$G$22,0))</f>
        <v>196.25</v>
      </c>
      <c r="R674" s="12">
        <f t="shared" si="1"/>
        <v>0</v>
      </c>
      <c r="S674" s="12">
        <f>IF($A674="","",IF($R674&lt;=0,1,1+$R674/SUMIF($R$4:$R$923,"&gt;0",$R$4:$R$923)*(Settings!$B$5*(Settings!$B$6-Settings!$B$7))))</f>
        <v>1</v>
      </c>
      <c r="T674" s="12">
        <f t="array" ref="T674">IF($A674="","",XLOOKUP($F674,Settings!$I$15:$I$20,Settings!$J$15:$J$20,1))</f>
        <v>0.75</v>
      </c>
      <c r="U674" s="12">
        <f>IF($A674="","",1+(($G674-5)/5)*Settings!$J$8)</f>
        <v>1</v>
      </c>
      <c r="V674" s="12">
        <f>IF($A674="","",1+(($H674-5)/5)*Settings!$J$9)</f>
        <v>1.06</v>
      </c>
      <c r="W674" s="12">
        <f t="array" ref="W674">IF($A674="","",XLOOKUP($J674,Lists!$C$3:$C$7,Lists!$D$3:$D$7,1))</f>
        <v>1</v>
      </c>
      <c r="X674" s="12">
        <f>IF($A674="","",IF($I674="Yes",Settings!$J$10,1))</f>
        <v>1</v>
      </c>
      <c r="Y674" s="12">
        <f t="shared" si="2"/>
        <v>1</v>
      </c>
      <c r="Z674" s="12">
        <f>IF($A674="","",IFERROR(ROUND(AVERAGEIFS('Historical Drafts'!$G$4:$G$300,'Historical Drafts'!$D$4:$D$300,$E674,'Historical Drafts'!$J$4:$J$300,"&gt;="&amp;$L674*0.85,'Historical Drafts'!$J$4:$J$300,"&lt;="&amp;$L674*1.15),0),$Y674))</f>
        <v>1</v>
      </c>
      <c r="AA674" s="12" t="str">
        <f>IF($A674="","",IF(COUNTIF('Auction Log'!$B$3:$B$300,$A674)&gt;0,"Sold","Available"))</f>
        <v>Available</v>
      </c>
      <c r="AB674" s="12" t="str">
        <f t="array" ref="AB674">IF($A674="","",IFERROR(XLOOKUP($A674,'Auction Log'!$B$3:$B$300,'Auction Log'!$G$3:$G$300,""),""))</f>
        <v/>
      </c>
      <c r="AC674" s="12" t="str">
        <f t="array" ref="AC674">IF($A674="","",IFERROR(XLOOKUP($A674,'Auction Log'!$B$3:$B$300,'Auction Log'!$F$3:$F$300,""),""))</f>
        <v/>
      </c>
      <c r="AD674" s="12">
        <f t="array" ref="AD674">IF($A674="","",ROUND($Y674*XLOOKUP($F674,Settings!$I$15:$I$20,Settings!$K$15:$K$20,0.4),0))</f>
        <v>0</v>
      </c>
      <c r="AE674" s="12">
        <f t="array" ref="AE674">IF($A674="","",ROUND($Y674*XLOOKUP($F674,Settings!$I$15:$I$20,Settings!$L$15:$L$20,0.8),0))</f>
        <v>1</v>
      </c>
      <c r="AF674" s="12">
        <f t="array" ref="AF674">IF($A674="","",ROUND($Y674*XLOOKUP($F674,Settings!$I$15:$I$20,Settings!$M$15:$M$20,1),0))</f>
        <v>1</v>
      </c>
      <c r="AG674" s="12">
        <f t="array" ref="AG674">IF($A674="","",ROUND($Y674*XLOOKUP($F674,Settings!$I$15:$I$20,Settings!$N$15:$N$20,1.1),0))</f>
        <v>1</v>
      </c>
      <c r="AH674" s="12">
        <f t="array" ref="AH674">IF($A674="","",ROUND($Y674*XLOOKUP($F674,Settings!$I$15:$I$20,Settings!$O$15:$O$20,1.1)*Settings!$J$7,0))</f>
        <v>1</v>
      </c>
      <c r="AI674" s="12">
        <f t="array" ref="AI674">IF($A674="","",IF($AA674="Sold","",MIN($AH674,IFERROR(XLOOKUP(Settings!$B$12,Managers!$B$4:$B$15,Managers!$H$4:$H$15),$AH674))))</f>
        <v>1</v>
      </c>
      <c r="AJ674" s="12" t="str">
        <f t="shared" si="3"/>
        <v>Recommended</v>
      </c>
      <c r="AK674" s="12">
        <f t="shared" si="4"/>
        <v>26</v>
      </c>
      <c r="AL674" s="12" t="str">
        <f t="shared" si="5"/>
        <v/>
      </c>
    </row>
    <row r="675" ht="15.75" customHeight="1">
      <c r="A675" s="10" t="s">
        <v>1631</v>
      </c>
      <c r="B675" s="10" t="s">
        <v>1632</v>
      </c>
      <c r="C675" s="10" t="s">
        <v>566</v>
      </c>
      <c r="D675" s="10" t="s">
        <v>115</v>
      </c>
      <c r="E675" s="10" t="s">
        <v>115</v>
      </c>
      <c r="F675" s="10" t="s">
        <v>117</v>
      </c>
      <c r="G675" s="10">
        <v>5.0</v>
      </c>
      <c r="H675" s="10">
        <v>7.0</v>
      </c>
      <c r="I675" s="10" t="s">
        <v>2140</v>
      </c>
      <c r="J675" s="10" t="s">
        <v>2136</v>
      </c>
      <c r="K675" s="10"/>
      <c r="L675" s="10">
        <v>0.0</v>
      </c>
      <c r="M675" s="10">
        <v>0.0</v>
      </c>
      <c r="N675" s="10"/>
      <c r="O675" s="10"/>
      <c r="P675" s="12">
        <f>IF($A675="","",IFERROR((IF($O675="",0,$O675)*Settings!$J$4+IF($L675="",0,$L675)*Settings!$J$5+IF($N675="",0,$N675)*Settings!$J$6)/(IF($O675="",0,Settings!$J$4)+IF($L675="",0,Settings!$J$5)+IF($N675="",0,Settings!$J$6)),0))</f>
        <v>0</v>
      </c>
      <c r="Q675" s="12">
        <f t="array" ref="Q675">IF($A675="","",XLOOKUP($E675,Settings!$A$19:$A$22,Settings!$G$19:$G$22,0))</f>
        <v>249.25</v>
      </c>
      <c r="R675" s="12">
        <f t="shared" si="1"/>
        <v>0</v>
      </c>
      <c r="S675" s="12">
        <f>IF($A675="","",IF($R675&lt;=0,1,1+$R675/SUMIF($R$4:$R$923,"&gt;0",$R$4:$R$923)*(Settings!$B$5*(Settings!$B$6-Settings!$B$7))))</f>
        <v>1</v>
      </c>
      <c r="T675" s="12">
        <f t="array" ref="T675">IF($A675="","",XLOOKUP($F675,Settings!$I$15:$I$20,Settings!$J$15:$J$20,1))</f>
        <v>0.75</v>
      </c>
      <c r="U675" s="12">
        <f>IF($A675="","",1+(($G675-5)/5)*Settings!$J$8)</f>
        <v>1</v>
      </c>
      <c r="V675" s="12">
        <f>IF($A675="","",1+(($H675-5)/5)*Settings!$J$9)</f>
        <v>1.06</v>
      </c>
      <c r="W675" s="12">
        <f t="array" ref="W675">IF($A675="","",XLOOKUP($J675,Lists!$C$3:$C$7,Lists!$D$3:$D$7,1))</f>
        <v>1</v>
      </c>
      <c r="X675" s="12">
        <f>IF($A675="","",IF($I675="Yes",Settings!$J$10,1))</f>
        <v>1</v>
      </c>
      <c r="Y675" s="12">
        <f t="shared" si="2"/>
        <v>1</v>
      </c>
      <c r="Z675" s="12">
        <f>IF($A675="","",IFERROR(ROUND(AVERAGEIFS('Historical Drafts'!$G$4:$G$300,'Historical Drafts'!$D$4:$D$300,$E675,'Historical Drafts'!$J$4:$J$300,"&gt;="&amp;$L675*0.85,'Historical Drafts'!$J$4:$J$300,"&lt;="&amp;$L675*1.15),0),$Y675))</f>
        <v>1</v>
      </c>
      <c r="AA675" s="12" t="str">
        <f>IF($A675="","",IF(COUNTIF('Auction Log'!$B$3:$B$300,$A675)&gt;0,"Sold","Available"))</f>
        <v>Available</v>
      </c>
      <c r="AB675" s="12" t="str">
        <f t="array" ref="AB675">IF($A675="","",IFERROR(XLOOKUP($A675,'Auction Log'!$B$3:$B$300,'Auction Log'!$G$3:$G$300,""),""))</f>
        <v/>
      </c>
      <c r="AC675" s="12" t="str">
        <f t="array" ref="AC675">IF($A675="","",IFERROR(XLOOKUP($A675,'Auction Log'!$B$3:$B$300,'Auction Log'!$F$3:$F$300,""),""))</f>
        <v/>
      </c>
      <c r="AD675" s="12">
        <f t="array" ref="AD675">IF($A675="","",ROUND($Y675*XLOOKUP($F675,Settings!$I$15:$I$20,Settings!$K$15:$K$20,0.4),0))</f>
        <v>0</v>
      </c>
      <c r="AE675" s="12">
        <f t="array" ref="AE675">IF($A675="","",ROUND($Y675*XLOOKUP($F675,Settings!$I$15:$I$20,Settings!$L$15:$L$20,0.8),0))</f>
        <v>1</v>
      </c>
      <c r="AF675" s="12">
        <f t="array" ref="AF675">IF($A675="","",ROUND($Y675*XLOOKUP($F675,Settings!$I$15:$I$20,Settings!$M$15:$M$20,1),0))</f>
        <v>1</v>
      </c>
      <c r="AG675" s="12">
        <f t="array" ref="AG675">IF($A675="","",ROUND($Y675*XLOOKUP($F675,Settings!$I$15:$I$20,Settings!$N$15:$N$20,1.1),0))</f>
        <v>1</v>
      </c>
      <c r="AH675" s="12">
        <f t="array" ref="AH675">IF($A675="","",ROUND($Y675*XLOOKUP($F675,Settings!$I$15:$I$20,Settings!$O$15:$O$20,1.1)*Settings!$J$7,0))</f>
        <v>1</v>
      </c>
      <c r="AI675" s="12">
        <f t="array" ref="AI675">IF($A675="","",IF($AA675="Sold","",MIN($AH675,IFERROR(XLOOKUP(Settings!$B$12,Managers!$B$4:$B$15,Managers!$H$4:$H$15),$AH675))))</f>
        <v>1</v>
      </c>
      <c r="AJ675" s="12" t="str">
        <f t="shared" si="3"/>
        <v>Recommended</v>
      </c>
      <c r="AK675" s="12">
        <f t="shared" si="4"/>
        <v>26</v>
      </c>
      <c r="AL675" s="12" t="str">
        <f t="shared" si="5"/>
        <v/>
      </c>
    </row>
    <row r="676" ht="15.75" customHeight="1">
      <c r="A676" s="10" t="s">
        <v>1633</v>
      </c>
      <c r="B676" s="10" t="s">
        <v>1634</v>
      </c>
      <c r="C676" s="10" t="s">
        <v>305</v>
      </c>
      <c r="D676" s="10" t="s">
        <v>121</v>
      </c>
      <c r="E676" s="10" t="s">
        <v>121</v>
      </c>
      <c r="F676" s="10" t="s">
        <v>117</v>
      </c>
      <c r="G676" s="10">
        <v>5.0</v>
      </c>
      <c r="H676" s="10">
        <v>7.0</v>
      </c>
      <c r="I676" s="10" t="s">
        <v>2140</v>
      </c>
      <c r="J676" s="10" t="s">
        <v>2136</v>
      </c>
      <c r="K676" s="10"/>
      <c r="L676" s="10">
        <v>0.0</v>
      </c>
      <c r="M676" s="10">
        <v>0.0</v>
      </c>
      <c r="N676" s="10"/>
      <c r="O676" s="10"/>
      <c r="P676" s="12">
        <f>IF($A676="","",IFERROR((IF($O676="",0,$O676)*Settings!$J$4+IF($L676="",0,$L676)*Settings!$J$5+IF($N676="",0,$N676)*Settings!$J$6)/(IF($O676="",0,Settings!$J$4)+IF($L676="",0,Settings!$J$5)+IF($N676="",0,Settings!$J$6)),0))</f>
        <v>0</v>
      </c>
      <c r="Q676" s="12">
        <f t="array" ref="Q676">IF($A676="","",XLOOKUP($E676,Settings!$A$19:$A$22,Settings!$G$19:$G$22,0))</f>
        <v>206</v>
      </c>
      <c r="R676" s="12">
        <f t="shared" si="1"/>
        <v>0</v>
      </c>
      <c r="S676" s="12">
        <f>IF($A676="","",IF($R676&lt;=0,1,1+$R676/SUMIF($R$4:$R$923,"&gt;0",$R$4:$R$923)*(Settings!$B$5*(Settings!$B$6-Settings!$B$7))))</f>
        <v>1</v>
      </c>
      <c r="T676" s="12">
        <f t="array" ref="T676">IF($A676="","",XLOOKUP($F676,Settings!$I$15:$I$20,Settings!$J$15:$J$20,1))</f>
        <v>0.75</v>
      </c>
      <c r="U676" s="12">
        <f>IF($A676="","",1+(($G676-5)/5)*Settings!$J$8)</f>
        <v>1</v>
      </c>
      <c r="V676" s="12">
        <f>IF($A676="","",1+(($H676-5)/5)*Settings!$J$9)</f>
        <v>1.06</v>
      </c>
      <c r="W676" s="12">
        <f t="array" ref="W676">IF($A676="","",XLOOKUP($J676,Lists!$C$3:$C$7,Lists!$D$3:$D$7,1))</f>
        <v>1</v>
      </c>
      <c r="X676" s="12">
        <f>IF($A676="","",IF($I676="Yes",Settings!$J$10,1))</f>
        <v>1</v>
      </c>
      <c r="Y676" s="12">
        <f t="shared" si="2"/>
        <v>1</v>
      </c>
      <c r="Z676" s="12">
        <f>IF($A676="","",IFERROR(ROUND(AVERAGEIFS('Historical Drafts'!$G$4:$G$300,'Historical Drafts'!$D$4:$D$300,$E676,'Historical Drafts'!$J$4:$J$300,"&gt;="&amp;$L676*0.85,'Historical Drafts'!$J$4:$J$300,"&lt;="&amp;$L676*1.15),0),$Y676))</f>
        <v>3</v>
      </c>
      <c r="AA676" s="12" t="str">
        <f>IF($A676="","",IF(COUNTIF('Auction Log'!$B$3:$B$300,$A676)&gt;0,"Sold","Available"))</f>
        <v>Available</v>
      </c>
      <c r="AB676" s="12" t="str">
        <f t="array" ref="AB676">IF($A676="","",IFERROR(XLOOKUP($A676,'Auction Log'!$B$3:$B$300,'Auction Log'!$G$3:$G$300,""),""))</f>
        <v/>
      </c>
      <c r="AC676" s="12" t="str">
        <f t="array" ref="AC676">IF($A676="","",IFERROR(XLOOKUP($A676,'Auction Log'!$B$3:$B$300,'Auction Log'!$F$3:$F$300,""),""))</f>
        <v/>
      </c>
      <c r="AD676" s="12">
        <f t="array" ref="AD676">IF($A676="","",ROUND($Y676*XLOOKUP($F676,Settings!$I$15:$I$20,Settings!$K$15:$K$20,0.4),0))</f>
        <v>0</v>
      </c>
      <c r="AE676" s="12">
        <f t="array" ref="AE676">IF($A676="","",ROUND($Y676*XLOOKUP($F676,Settings!$I$15:$I$20,Settings!$L$15:$L$20,0.8),0))</f>
        <v>1</v>
      </c>
      <c r="AF676" s="12">
        <f t="array" ref="AF676">IF($A676="","",ROUND($Y676*XLOOKUP($F676,Settings!$I$15:$I$20,Settings!$M$15:$M$20,1),0))</f>
        <v>1</v>
      </c>
      <c r="AG676" s="12">
        <f t="array" ref="AG676">IF($A676="","",ROUND($Y676*XLOOKUP($F676,Settings!$I$15:$I$20,Settings!$N$15:$N$20,1.1),0))</f>
        <v>1</v>
      </c>
      <c r="AH676" s="12">
        <f t="array" ref="AH676">IF($A676="","",ROUND($Y676*XLOOKUP($F676,Settings!$I$15:$I$20,Settings!$O$15:$O$20,1.1)*Settings!$J$7,0))</f>
        <v>1</v>
      </c>
      <c r="AI676" s="12">
        <f t="array" ref="AI676">IF($A676="","",IF($AA676="Sold","",MIN($AH676,IFERROR(XLOOKUP(Settings!$B$12,Managers!$B$4:$B$15,Managers!$H$4:$H$15),$AH676))))</f>
        <v>1</v>
      </c>
      <c r="AJ676" s="12" t="str">
        <f t="shared" si="3"/>
        <v>Budget Drainer</v>
      </c>
      <c r="AK676" s="12">
        <f t="shared" si="4"/>
        <v>28</v>
      </c>
      <c r="AL676" s="12" t="str">
        <f t="shared" si="5"/>
        <v/>
      </c>
    </row>
    <row r="677" ht="15.75" customHeight="1">
      <c r="A677" s="10" t="s">
        <v>1635</v>
      </c>
      <c r="B677" s="10" t="s">
        <v>1636</v>
      </c>
      <c r="C677" s="10" t="s">
        <v>185</v>
      </c>
      <c r="D677" s="10" t="s">
        <v>123</v>
      </c>
      <c r="E677" s="10" t="s">
        <v>123</v>
      </c>
      <c r="F677" s="10" t="s">
        <v>117</v>
      </c>
      <c r="G677" s="10">
        <v>5.0</v>
      </c>
      <c r="H677" s="10">
        <v>7.0</v>
      </c>
      <c r="I677" s="10" t="s">
        <v>2140</v>
      </c>
      <c r="J677" s="10" t="s">
        <v>2136</v>
      </c>
      <c r="K677" s="10"/>
      <c r="L677" s="10">
        <v>0.0</v>
      </c>
      <c r="M677" s="10">
        <v>0.0</v>
      </c>
      <c r="N677" s="10"/>
      <c r="O677" s="10"/>
      <c r="P677" s="12">
        <f>IF($A677="","",IFERROR((IF($O677="",0,$O677)*Settings!$J$4+IF($L677="",0,$L677)*Settings!$J$5+IF($N677="",0,$N677)*Settings!$J$6)/(IF($O677="",0,Settings!$J$4)+IF($L677="",0,Settings!$J$5)+IF($N677="",0,Settings!$J$6)),0))</f>
        <v>0</v>
      </c>
      <c r="Q677" s="12">
        <f t="array" ref="Q677">IF($A677="","",XLOOKUP($E677,Settings!$A$19:$A$22,Settings!$G$19:$G$22,0))</f>
        <v>203</v>
      </c>
      <c r="R677" s="12">
        <f t="shared" si="1"/>
        <v>0</v>
      </c>
      <c r="S677" s="12">
        <f>IF($A677="","",IF($R677&lt;=0,1,1+$R677/SUMIF($R$4:$R$923,"&gt;0",$R$4:$R$923)*(Settings!$B$5*(Settings!$B$6-Settings!$B$7))))</f>
        <v>1</v>
      </c>
      <c r="T677" s="12">
        <f t="array" ref="T677">IF($A677="","",XLOOKUP($F677,Settings!$I$15:$I$20,Settings!$J$15:$J$20,1))</f>
        <v>0.75</v>
      </c>
      <c r="U677" s="12">
        <f>IF($A677="","",1+(($G677-5)/5)*Settings!$J$8)</f>
        <v>1</v>
      </c>
      <c r="V677" s="12">
        <f>IF($A677="","",1+(($H677-5)/5)*Settings!$J$9)</f>
        <v>1.06</v>
      </c>
      <c r="W677" s="12">
        <f t="array" ref="W677">IF($A677="","",XLOOKUP($J677,Lists!$C$3:$C$7,Lists!$D$3:$D$7,1))</f>
        <v>1</v>
      </c>
      <c r="X677" s="12">
        <f>IF($A677="","",IF($I677="Yes",Settings!$J$10,1))</f>
        <v>1</v>
      </c>
      <c r="Y677" s="12">
        <f t="shared" si="2"/>
        <v>1</v>
      </c>
      <c r="Z677" s="12">
        <f>IF($A677="","",IFERROR(ROUND(AVERAGEIFS('Historical Drafts'!$G$4:$G$300,'Historical Drafts'!$D$4:$D$300,$E677,'Historical Drafts'!$J$4:$J$300,"&gt;="&amp;$L677*0.85,'Historical Drafts'!$J$4:$J$300,"&lt;="&amp;$L677*1.15),0),$Y677))</f>
        <v>3</v>
      </c>
      <c r="AA677" s="12" t="str">
        <f>IF($A677="","",IF(COUNTIF('Auction Log'!$B$3:$B$300,$A677)&gt;0,"Sold","Available"))</f>
        <v>Available</v>
      </c>
      <c r="AB677" s="12" t="str">
        <f t="array" ref="AB677">IF($A677="","",IFERROR(XLOOKUP($A677,'Auction Log'!$B$3:$B$300,'Auction Log'!$G$3:$G$300,""),""))</f>
        <v/>
      </c>
      <c r="AC677" s="12" t="str">
        <f t="array" ref="AC677">IF($A677="","",IFERROR(XLOOKUP($A677,'Auction Log'!$B$3:$B$300,'Auction Log'!$F$3:$F$300,""),""))</f>
        <v/>
      </c>
      <c r="AD677" s="12">
        <f t="array" ref="AD677">IF($A677="","",ROUND($Y677*XLOOKUP($F677,Settings!$I$15:$I$20,Settings!$K$15:$K$20,0.4),0))</f>
        <v>0</v>
      </c>
      <c r="AE677" s="12">
        <f t="array" ref="AE677">IF($A677="","",ROUND($Y677*XLOOKUP($F677,Settings!$I$15:$I$20,Settings!$L$15:$L$20,0.8),0))</f>
        <v>1</v>
      </c>
      <c r="AF677" s="12">
        <f t="array" ref="AF677">IF($A677="","",ROUND($Y677*XLOOKUP($F677,Settings!$I$15:$I$20,Settings!$M$15:$M$20,1),0))</f>
        <v>1</v>
      </c>
      <c r="AG677" s="12">
        <f t="array" ref="AG677">IF($A677="","",ROUND($Y677*XLOOKUP($F677,Settings!$I$15:$I$20,Settings!$N$15:$N$20,1.1),0))</f>
        <v>1</v>
      </c>
      <c r="AH677" s="12">
        <f t="array" ref="AH677">IF($A677="","",ROUND($Y677*XLOOKUP($F677,Settings!$I$15:$I$20,Settings!$O$15:$O$20,1.1)*Settings!$J$7,0))</f>
        <v>1</v>
      </c>
      <c r="AI677" s="12">
        <f t="array" ref="AI677">IF($A677="","",IF($AA677="Sold","",MIN($AH677,IFERROR(XLOOKUP(Settings!$B$12,Managers!$B$4:$B$15,Managers!$H$4:$H$15),$AH677))))</f>
        <v>1</v>
      </c>
      <c r="AJ677" s="12" t="str">
        <f t="shared" si="3"/>
        <v>Budget Drainer</v>
      </c>
      <c r="AK677" s="12">
        <f t="shared" si="4"/>
        <v>28</v>
      </c>
      <c r="AL677" s="12" t="str">
        <f t="shared" si="5"/>
        <v/>
      </c>
    </row>
    <row r="678" ht="15.75" customHeight="1">
      <c r="A678" s="10" t="s">
        <v>1637</v>
      </c>
      <c r="B678" s="10" t="s">
        <v>1638</v>
      </c>
      <c r="C678" s="10" t="s">
        <v>221</v>
      </c>
      <c r="D678" s="10" t="s">
        <v>118</v>
      </c>
      <c r="E678" s="10" t="s">
        <v>118</v>
      </c>
      <c r="F678" s="10" t="s">
        <v>117</v>
      </c>
      <c r="G678" s="10">
        <v>5.0</v>
      </c>
      <c r="H678" s="10">
        <v>7.0</v>
      </c>
      <c r="I678" s="10" t="s">
        <v>2140</v>
      </c>
      <c r="J678" s="10" t="s">
        <v>2136</v>
      </c>
      <c r="K678" s="10"/>
      <c r="L678" s="10">
        <v>0.0</v>
      </c>
      <c r="M678" s="10">
        <v>0.0</v>
      </c>
      <c r="N678" s="10"/>
      <c r="O678" s="10"/>
      <c r="P678" s="12">
        <f>IF($A678="","",IFERROR((IF($O678="",0,$O678)*Settings!$J$4+IF($L678="",0,$L678)*Settings!$J$5+IF($N678="",0,$N678)*Settings!$J$6)/(IF($O678="",0,Settings!$J$4)+IF($L678="",0,Settings!$J$5)+IF($N678="",0,Settings!$J$6)),0))</f>
        <v>0</v>
      </c>
      <c r="Q678" s="12">
        <f t="array" ref="Q678">IF($A678="","",XLOOKUP($E678,Settings!$A$19:$A$22,Settings!$G$19:$G$22,0))</f>
        <v>196.25</v>
      </c>
      <c r="R678" s="12">
        <f t="shared" si="1"/>
        <v>0</v>
      </c>
      <c r="S678" s="12">
        <f>IF($A678="","",IF($R678&lt;=0,1,1+$R678/SUMIF($R$4:$R$923,"&gt;0",$R$4:$R$923)*(Settings!$B$5*(Settings!$B$6-Settings!$B$7))))</f>
        <v>1</v>
      </c>
      <c r="T678" s="12">
        <f t="array" ref="T678">IF($A678="","",XLOOKUP($F678,Settings!$I$15:$I$20,Settings!$J$15:$J$20,1))</f>
        <v>0.75</v>
      </c>
      <c r="U678" s="12">
        <f>IF($A678="","",1+(($G678-5)/5)*Settings!$J$8)</f>
        <v>1</v>
      </c>
      <c r="V678" s="12">
        <f>IF($A678="","",1+(($H678-5)/5)*Settings!$J$9)</f>
        <v>1.06</v>
      </c>
      <c r="W678" s="12">
        <f t="array" ref="W678">IF($A678="","",XLOOKUP($J678,Lists!$C$3:$C$7,Lists!$D$3:$D$7,1))</f>
        <v>1</v>
      </c>
      <c r="X678" s="12">
        <f>IF($A678="","",IF($I678="Yes",Settings!$J$10,1))</f>
        <v>1</v>
      </c>
      <c r="Y678" s="12">
        <f t="shared" si="2"/>
        <v>1</v>
      </c>
      <c r="Z678" s="12">
        <f>IF($A678="","",IFERROR(ROUND(AVERAGEIFS('Historical Drafts'!$G$4:$G$300,'Historical Drafts'!$D$4:$D$300,$E678,'Historical Drafts'!$J$4:$J$300,"&gt;="&amp;$L678*0.85,'Historical Drafts'!$J$4:$J$300,"&lt;="&amp;$L678*1.15),0),$Y678))</f>
        <v>1</v>
      </c>
      <c r="AA678" s="12" t="str">
        <f>IF($A678="","",IF(COUNTIF('Auction Log'!$B$3:$B$300,$A678)&gt;0,"Sold","Available"))</f>
        <v>Available</v>
      </c>
      <c r="AB678" s="12" t="str">
        <f t="array" ref="AB678">IF($A678="","",IFERROR(XLOOKUP($A678,'Auction Log'!$B$3:$B$300,'Auction Log'!$G$3:$G$300,""),""))</f>
        <v/>
      </c>
      <c r="AC678" s="12" t="str">
        <f t="array" ref="AC678">IF($A678="","",IFERROR(XLOOKUP($A678,'Auction Log'!$B$3:$B$300,'Auction Log'!$F$3:$F$300,""),""))</f>
        <v/>
      </c>
      <c r="AD678" s="12">
        <f t="array" ref="AD678">IF($A678="","",ROUND($Y678*XLOOKUP($F678,Settings!$I$15:$I$20,Settings!$K$15:$K$20,0.4),0))</f>
        <v>0</v>
      </c>
      <c r="AE678" s="12">
        <f t="array" ref="AE678">IF($A678="","",ROUND($Y678*XLOOKUP($F678,Settings!$I$15:$I$20,Settings!$L$15:$L$20,0.8),0))</f>
        <v>1</v>
      </c>
      <c r="AF678" s="12">
        <f t="array" ref="AF678">IF($A678="","",ROUND($Y678*XLOOKUP($F678,Settings!$I$15:$I$20,Settings!$M$15:$M$20,1),0))</f>
        <v>1</v>
      </c>
      <c r="AG678" s="12">
        <f t="array" ref="AG678">IF($A678="","",ROUND($Y678*XLOOKUP($F678,Settings!$I$15:$I$20,Settings!$N$15:$N$20,1.1),0))</f>
        <v>1</v>
      </c>
      <c r="AH678" s="12">
        <f t="array" ref="AH678">IF($A678="","",ROUND($Y678*XLOOKUP($F678,Settings!$I$15:$I$20,Settings!$O$15:$O$20,1.1)*Settings!$J$7,0))</f>
        <v>1</v>
      </c>
      <c r="AI678" s="12">
        <f t="array" ref="AI678">IF($A678="","",IF($AA678="Sold","",MIN($AH678,IFERROR(XLOOKUP(Settings!$B$12,Managers!$B$4:$B$15,Managers!$H$4:$H$15),$AH678))))</f>
        <v>1</v>
      </c>
      <c r="AJ678" s="12" t="str">
        <f t="shared" si="3"/>
        <v>Recommended</v>
      </c>
      <c r="AK678" s="12">
        <f t="shared" si="4"/>
        <v>26</v>
      </c>
      <c r="AL678" s="12" t="str">
        <f t="shared" si="5"/>
        <v/>
      </c>
    </row>
    <row r="679" ht="15.75" customHeight="1">
      <c r="A679" s="10" t="s">
        <v>1639</v>
      </c>
      <c r="B679" s="10" t="s">
        <v>1640</v>
      </c>
      <c r="C679" s="10" t="s">
        <v>188</v>
      </c>
      <c r="D679" s="10" t="s">
        <v>121</v>
      </c>
      <c r="E679" s="10" t="s">
        <v>121</v>
      </c>
      <c r="F679" s="10" t="s">
        <v>117</v>
      </c>
      <c r="G679" s="10">
        <v>5.0</v>
      </c>
      <c r="H679" s="10">
        <v>7.0</v>
      </c>
      <c r="I679" s="10" t="s">
        <v>2140</v>
      </c>
      <c r="J679" s="10" t="s">
        <v>2136</v>
      </c>
      <c r="K679" s="10"/>
      <c r="L679" s="10">
        <v>0.0</v>
      </c>
      <c r="M679" s="10">
        <v>0.0</v>
      </c>
      <c r="N679" s="10"/>
      <c r="O679" s="10"/>
      <c r="P679" s="12">
        <f>IF($A679="","",IFERROR((IF($O679="",0,$O679)*Settings!$J$4+IF($L679="",0,$L679)*Settings!$J$5+IF($N679="",0,$N679)*Settings!$J$6)/(IF($O679="",0,Settings!$J$4)+IF($L679="",0,Settings!$J$5)+IF($N679="",0,Settings!$J$6)),0))</f>
        <v>0</v>
      </c>
      <c r="Q679" s="12">
        <f t="array" ref="Q679">IF($A679="","",XLOOKUP($E679,Settings!$A$19:$A$22,Settings!$G$19:$G$22,0))</f>
        <v>206</v>
      </c>
      <c r="R679" s="12">
        <f t="shared" si="1"/>
        <v>0</v>
      </c>
      <c r="S679" s="12">
        <f>IF($A679="","",IF($R679&lt;=0,1,1+$R679/SUMIF($R$4:$R$923,"&gt;0",$R$4:$R$923)*(Settings!$B$5*(Settings!$B$6-Settings!$B$7))))</f>
        <v>1</v>
      </c>
      <c r="T679" s="12">
        <f t="array" ref="T679">IF($A679="","",XLOOKUP($F679,Settings!$I$15:$I$20,Settings!$J$15:$J$20,1))</f>
        <v>0.75</v>
      </c>
      <c r="U679" s="12">
        <f>IF($A679="","",1+(($G679-5)/5)*Settings!$J$8)</f>
        <v>1</v>
      </c>
      <c r="V679" s="12">
        <f>IF($A679="","",1+(($H679-5)/5)*Settings!$J$9)</f>
        <v>1.06</v>
      </c>
      <c r="W679" s="12">
        <f t="array" ref="W679">IF($A679="","",XLOOKUP($J679,Lists!$C$3:$C$7,Lists!$D$3:$D$7,1))</f>
        <v>1</v>
      </c>
      <c r="X679" s="12">
        <f>IF($A679="","",IF($I679="Yes",Settings!$J$10,1))</f>
        <v>1</v>
      </c>
      <c r="Y679" s="12">
        <f t="shared" si="2"/>
        <v>1</v>
      </c>
      <c r="Z679" s="12">
        <f>IF($A679="","",IFERROR(ROUND(AVERAGEIFS('Historical Drafts'!$G$4:$G$300,'Historical Drafts'!$D$4:$D$300,$E679,'Historical Drafts'!$J$4:$J$300,"&gt;="&amp;$L679*0.85,'Historical Drafts'!$J$4:$J$300,"&lt;="&amp;$L679*1.15),0),$Y679))</f>
        <v>3</v>
      </c>
      <c r="AA679" s="12" t="str">
        <f>IF($A679="","",IF(COUNTIF('Auction Log'!$B$3:$B$300,$A679)&gt;0,"Sold","Available"))</f>
        <v>Available</v>
      </c>
      <c r="AB679" s="12" t="str">
        <f t="array" ref="AB679">IF($A679="","",IFERROR(XLOOKUP($A679,'Auction Log'!$B$3:$B$300,'Auction Log'!$G$3:$G$300,""),""))</f>
        <v/>
      </c>
      <c r="AC679" s="12" t="str">
        <f t="array" ref="AC679">IF($A679="","",IFERROR(XLOOKUP($A679,'Auction Log'!$B$3:$B$300,'Auction Log'!$F$3:$F$300,""),""))</f>
        <v/>
      </c>
      <c r="AD679" s="12">
        <f t="array" ref="AD679">IF($A679="","",ROUND($Y679*XLOOKUP($F679,Settings!$I$15:$I$20,Settings!$K$15:$K$20,0.4),0))</f>
        <v>0</v>
      </c>
      <c r="AE679" s="12">
        <f t="array" ref="AE679">IF($A679="","",ROUND($Y679*XLOOKUP($F679,Settings!$I$15:$I$20,Settings!$L$15:$L$20,0.8),0))</f>
        <v>1</v>
      </c>
      <c r="AF679" s="12">
        <f t="array" ref="AF679">IF($A679="","",ROUND($Y679*XLOOKUP($F679,Settings!$I$15:$I$20,Settings!$M$15:$M$20,1),0))</f>
        <v>1</v>
      </c>
      <c r="AG679" s="12">
        <f t="array" ref="AG679">IF($A679="","",ROUND($Y679*XLOOKUP($F679,Settings!$I$15:$I$20,Settings!$N$15:$N$20,1.1),0))</f>
        <v>1</v>
      </c>
      <c r="AH679" s="12">
        <f t="array" ref="AH679">IF($A679="","",ROUND($Y679*XLOOKUP($F679,Settings!$I$15:$I$20,Settings!$O$15:$O$20,1.1)*Settings!$J$7,0))</f>
        <v>1</v>
      </c>
      <c r="AI679" s="12">
        <f t="array" ref="AI679">IF($A679="","",IF($AA679="Sold","",MIN($AH679,IFERROR(XLOOKUP(Settings!$B$12,Managers!$B$4:$B$15,Managers!$H$4:$H$15),$AH679))))</f>
        <v>1</v>
      </c>
      <c r="AJ679" s="12" t="str">
        <f t="shared" si="3"/>
        <v>Budget Drainer</v>
      </c>
      <c r="AK679" s="12">
        <f t="shared" si="4"/>
        <v>28</v>
      </c>
      <c r="AL679" s="12" t="str">
        <f t="shared" si="5"/>
        <v/>
      </c>
    </row>
    <row r="680" ht="15.75" customHeight="1">
      <c r="A680" s="10" t="s">
        <v>1641</v>
      </c>
      <c r="B680" s="10" t="s">
        <v>1642</v>
      </c>
      <c r="C680" s="10" t="s">
        <v>199</v>
      </c>
      <c r="D680" s="10" t="s">
        <v>115</v>
      </c>
      <c r="E680" s="10" t="s">
        <v>115</v>
      </c>
      <c r="F680" s="10" t="s">
        <v>117</v>
      </c>
      <c r="G680" s="10">
        <v>5.0</v>
      </c>
      <c r="H680" s="10">
        <v>7.0</v>
      </c>
      <c r="I680" s="10" t="s">
        <v>2140</v>
      </c>
      <c r="J680" s="10" t="s">
        <v>2136</v>
      </c>
      <c r="K680" s="10"/>
      <c r="L680" s="10">
        <v>0.0</v>
      </c>
      <c r="M680" s="10">
        <v>0.0</v>
      </c>
      <c r="N680" s="10"/>
      <c r="O680" s="10"/>
      <c r="P680" s="12">
        <f>IF($A680="","",IFERROR((IF($O680="",0,$O680)*Settings!$J$4+IF($L680="",0,$L680)*Settings!$J$5+IF($N680="",0,$N680)*Settings!$J$6)/(IF($O680="",0,Settings!$J$4)+IF($L680="",0,Settings!$J$5)+IF($N680="",0,Settings!$J$6)),0))</f>
        <v>0</v>
      </c>
      <c r="Q680" s="12">
        <f t="array" ref="Q680">IF($A680="","",XLOOKUP($E680,Settings!$A$19:$A$22,Settings!$G$19:$G$22,0))</f>
        <v>249.25</v>
      </c>
      <c r="R680" s="12">
        <f t="shared" si="1"/>
        <v>0</v>
      </c>
      <c r="S680" s="12">
        <f>IF($A680="","",IF($R680&lt;=0,1,1+$R680/SUMIF($R$4:$R$923,"&gt;0",$R$4:$R$923)*(Settings!$B$5*(Settings!$B$6-Settings!$B$7))))</f>
        <v>1</v>
      </c>
      <c r="T680" s="12">
        <f t="array" ref="T680">IF($A680="","",XLOOKUP($F680,Settings!$I$15:$I$20,Settings!$J$15:$J$20,1))</f>
        <v>0.75</v>
      </c>
      <c r="U680" s="12">
        <f>IF($A680="","",1+(($G680-5)/5)*Settings!$J$8)</f>
        <v>1</v>
      </c>
      <c r="V680" s="12">
        <f>IF($A680="","",1+(($H680-5)/5)*Settings!$J$9)</f>
        <v>1.06</v>
      </c>
      <c r="W680" s="12">
        <f t="array" ref="W680">IF($A680="","",XLOOKUP($J680,Lists!$C$3:$C$7,Lists!$D$3:$D$7,1))</f>
        <v>1</v>
      </c>
      <c r="X680" s="12">
        <f>IF($A680="","",IF($I680="Yes",Settings!$J$10,1))</f>
        <v>1</v>
      </c>
      <c r="Y680" s="12">
        <f t="shared" si="2"/>
        <v>1</v>
      </c>
      <c r="Z680" s="12">
        <f>IF($A680="","",IFERROR(ROUND(AVERAGEIFS('Historical Drafts'!$G$4:$G$300,'Historical Drafts'!$D$4:$D$300,$E680,'Historical Drafts'!$J$4:$J$300,"&gt;="&amp;$L680*0.85,'Historical Drafts'!$J$4:$J$300,"&lt;="&amp;$L680*1.15),0),$Y680))</f>
        <v>1</v>
      </c>
      <c r="AA680" s="12" t="str">
        <f>IF($A680="","",IF(COUNTIF('Auction Log'!$B$3:$B$300,$A680)&gt;0,"Sold","Available"))</f>
        <v>Available</v>
      </c>
      <c r="AB680" s="12" t="str">
        <f t="array" ref="AB680">IF($A680="","",IFERROR(XLOOKUP($A680,'Auction Log'!$B$3:$B$300,'Auction Log'!$G$3:$G$300,""),""))</f>
        <v/>
      </c>
      <c r="AC680" s="12" t="str">
        <f t="array" ref="AC680">IF($A680="","",IFERROR(XLOOKUP($A680,'Auction Log'!$B$3:$B$300,'Auction Log'!$F$3:$F$300,""),""))</f>
        <v/>
      </c>
      <c r="AD680" s="12">
        <f t="array" ref="AD680">IF($A680="","",ROUND($Y680*XLOOKUP($F680,Settings!$I$15:$I$20,Settings!$K$15:$K$20,0.4),0))</f>
        <v>0</v>
      </c>
      <c r="AE680" s="12">
        <f t="array" ref="AE680">IF($A680="","",ROUND($Y680*XLOOKUP($F680,Settings!$I$15:$I$20,Settings!$L$15:$L$20,0.8),0))</f>
        <v>1</v>
      </c>
      <c r="AF680" s="12">
        <f t="array" ref="AF680">IF($A680="","",ROUND($Y680*XLOOKUP($F680,Settings!$I$15:$I$20,Settings!$M$15:$M$20,1),0))</f>
        <v>1</v>
      </c>
      <c r="AG680" s="12">
        <f t="array" ref="AG680">IF($A680="","",ROUND($Y680*XLOOKUP($F680,Settings!$I$15:$I$20,Settings!$N$15:$N$20,1.1),0))</f>
        <v>1</v>
      </c>
      <c r="AH680" s="12">
        <f t="array" ref="AH680">IF($A680="","",ROUND($Y680*XLOOKUP($F680,Settings!$I$15:$I$20,Settings!$O$15:$O$20,1.1)*Settings!$J$7,0))</f>
        <v>1</v>
      </c>
      <c r="AI680" s="12">
        <f t="array" ref="AI680">IF($A680="","",IF($AA680="Sold","",MIN($AH680,IFERROR(XLOOKUP(Settings!$B$12,Managers!$B$4:$B$15,Managers!$H$4:$H$15),$AH680))))</f>
        <v>1</v>
      </c>
      <c r="AJ680" s="12" t="str">
        <f t="shared" si="3"/>
        <v>Recommended</v>
      </c>
      <c r="AK680" s="12">
        <f t="shared" si="4"/>
        <v>26</v>
      </c>
      <c r="AL680" s="12" t="str">
        <f t="shared" si="5"/>
        <v/>
      </c>
    </row>
    <row r="681" ht="15.75" customHeight="1">
      <c r="A681" s="10" t="s">
        <v>1643</v>
      </c>
      <c r="B681" s="10" t="s">
        <v>1644</v>
      </c>
      <c r="C681" s="10" t="s">
        <v>314</v>
      </c>
      <c r="D681" s="10" t="s">
        <v>118</v>
      </c>
      <c r="E681" s="10" t="s">
        <v>118</v>
      </c>
      <c r="F681" s="10" t="s">
        <v>117</v>
      </c>
      <c r="G681" s="10">
        <v>5.0</v>
      </c>
      <c r="H681" s="10">
        <v>7.0</v>
      </c>
      <c r="I681" s="10" t="s">
        <v>2140</v>
      </c>
      <c r="J681" s="10" t="s">
        <v>2136</v>
      </c>
      <c r="K681" s="10"/>
      <c r="L681" s="10">
        <v>0.0</v>
      </c>
      <c r="M681" s="10">
        <v>0.0</v>
      </c>
      <c r="N681" s="10"/>
      <c r="O681" s="10"/>
      <c r="P681" s="12">
        <f>IF($A681="","",IFERROR((IF($O681="",0,$O681)*Settings!$J$4+IF($L681="",0,$L681)*Settings!$J$5+IF($N681="",0,$N681)*Settings!$J$6)/(IF($O681="",0,Settings!$J$4)+IF($L681="",0,Settings!$J$5)+IF($N681="",0,Settings!$J$6)),0))</f>
        <v>0</v>
      </c>
      <c r="Q681" s="12">
        <f t="array" ref="Q681">IF($A681="","",XLOOKUP($E681,Settings!$A$19:$A$22,Settings!$G$19:$G$22,0))</f>
        <v>196.25</v>
      </c>
      <c r="R681" s="12">
        <f t="shared" si="1"/>
        <v>0</v>
      </c>
      <c r="S681" s="12">
        <f>IF($A681="","",IF($R681&lt;=0,1,1+$R681/SUMIF($R$4:$R$923,"&gt;0",$R$4:$R$923)*(Settings!$B$5*(Settings!$B$6-Settings!$B$7))))</f>
        <v>1</v>
      </c>
      <c r="T681" s="12">
        <f t="array" ref="T681">IF($A681="","",XLOOKUP($F681,Settings!$I$15:$I$20,Settings!$J$15:$J$20,1))</f>
        <v>0.75</v>
      </c>
      <c r="U681" s="12">
        <f>IF($A681="","",1+(($G681-5)/5)*Settings!$J$8)</f>
        <v>1</v>
      </c>
      <c r="V681" s="12">
        <f>IF($A681="","",1+(($H681-5)/5)*Settings!$J$9)</f>
        <v>1.06</v>
      </c>
      <c r="W681" s="12">
        <f t="array" ref="W681">IF($A681="","",XLOOKUP($J681,Lists!$C$3:$C$7,Lists!$D$3:$D$7,1))</f>
        <v>1</v>
      </c>
      <c r="X681" s="12">
        <f>IF($A681="","",IF($I681="Yes",Settings!$J$10,1))</f>
        <v>1</v>
      </c>
      <c r="Y681" s="12">
        <f t="shared" si="2"/>
        <v>1</v>
      </c>
      <c r="Z681" s="12">
        <f>IF($A681="","",IFERROR(ROUND(AVERAGEIFS('Historical Drafts'!$G$4:$G$300,'Historical Drafts'!$D$4:$D$300,$E681,'Historical Drafts'!$J$4:$J$300,"&gt;="&amp;$L681*0.85,'Historical Drafts'!$J$4:$J$300,"&lt;="&amp;$L681*1.15),0),$Y681))</f>
        <v>1</v>
      </c>
      <c r="AA681" s="12" t="str">
        <f>IF($A681="","",IF(COUNTIF('Auction Log'!$B$3:$B$300,$A681)&gt;0,"Sold","Available"))</f>
        <v>Available</v>
      </c>
      <c r="AB681" s="12" t="str">
        <f t="array" ref="AB681">IF($A681="","",IFERROR(XLOOKUP($A681,'Auction Log'!$B$3:$B$300,'Auction Log'!$G$3:$G$300,""),""))</f>
        <v/>
      </c>
      <c r="AC681" s="12" t="str">
        <f t="array" ref="AC681">IF($A681="","",IFERROR(XLOOKUP($A681,'Auction Log'!$B$3:$B$300,'Auction Log'!$F$3:$F$300,""),""))</f>
        <v/>
      </c>
      <c r="AD681" s="12">
        <f t="array" ref="AD681">IF($A681="","",ROUND($Y681*XLOOKUP($F681,Settings!$I$15:$I$20,Settings!$K$15:$K$20,0.4),0))</f>
        <v>0</v>
      </c>
      <c r="AE681" s="12">
        <f t="array" ref="AE681">IF($A681="","",ROUND($Y681*XLOOKUP($F681,Settings!$I$15:$I$20,Settings!$L$15:$L$20,0.8),0))</f>
        <v>1</v>
      </c>
      <c r="AF681" s="12">
        <f t="array" ref="AF681">IF($A681="","",ROUND($Y681*XLOOKUP($F681,Settings!$I$15:$I$20,Settings!$M$15:$M$20,1),0))</f>
        <v>1</v>
      </c>
      <c r="AG681" s="12">
        <f t="array" ref="AG681">IF($A681="","",ROUND($Y681*XLOOKUP($F681,Settings!$I$15:$I$20,Settings!$N$15:$N$20,1.1),0))</f>
        <v>1</v>
      </c>
      <c r="AH681" s="12">
        <f t="array" ref="AH681">IF($A681="","",ROUND($Y681*XLOOKUP($F681,Settings!$I$15:$I$20,Settings!$O$15:$O$20,1.1)*Settings!$J$7,0))</f>
        <v>1</v>
      </c>
      <c r="AI681" s="12">
        <f t="array" ref="AI681">IF($A681="","",IF($AA681="Sold","",MIN($AH681,IFERROR(XLOOKUP(Settings!$B$12,Managers!$B$4:$B$15,Managers!$H$4:$H$15),$AH681))))</f>
        <v>1</v>
      </c>
      <c r="AJ681" s="12" t="str">
        <f t="shared" si="3"/>
        <v>Recommended</v>
      </c>
      <c r="AK681" s="12">
        <f t="shared" si="4"/>
        <v>26</v>
      </c>
      <c r="AL681" s="12" t="str">
        <f t="shared" si="5"/>
        <v/>
      </c>
    </row>
    <row r="682" ht="15.75" customHeight="1">
      <c r="A682" s="10" t="s">
        <v>1645</v>
      </c>
      <c r="B682" s="10" t="s">
        <v>1646</v>
      </c>
      <c r="C682" s="10" t="s">
        <v>191</v>
      </c>
      <c r="D682" s="10" t="s">
        <v>121</v>
      </c>
      <c r="E682" s="10" t="s">
        <v>121</v>
      </c>
      <c r="F682" s="10" t="s">
        <v>117</v>
      </c>
      <c r="G682" s="10">
        <v>5.0</v>
      </c>
      <c r="H682" s="10">
        <v>7.0</v>
      </c>
      <c r="I682" s="10" t="s">
        <v>2140</v>
      </c>
      <c r="J682" s="10" t="s">
        <v>2136</v>
      </c>
      <c r="K682" s="10"/>
      <c r="L682" s="10">
        <v>0.0</v>
      </c>
      <c r="M682" s="10">
        <v>0.0</v>
      </c>
      <c r="N682" s="10"/>
      <c r="O682" s="10"/>
      <c r="P682" s="12">
        <f>IF($A682="","",IFERROR((IF($O682="",0,$O682)*Settings!$J$4+IF($L682="",0,$L682)*Settings!$J$5+IF($N682="",0,$N682)*Settings!$J$6)/(IF($O682="",0,Settings!$J$4)+IF($L682="",0,Settings!$J$5)+IF($N682="",0,Settings!$J$6)),0))</f>
        <v>0</v>
      </c>
      <c r="Q682" s="12">
        <f t="array" ref="Q682">IF($A682="","",XLOOKUP($E682,Settings!$A$19:$A$22,Settings!$G$19:$G$22,0))</f>
        <v>206</v>
      </c>
      <c r="R682" s="12">
        <f t="shared" si="1"/>
        <v>0</v>
      </c>
      <c r="S682" s="12">
        <f>IF($A682="","",IF($R682&lt;=0,1,1+$R682/SUMIF($R$4:$R$923,"&gt;0",$R$4:$R$923)*(Settings!$B$5*(Settings!$B$6-Settings!$B$7))))</f>
        <v>1</v>
      </c>
      <c r="T682" s="12">
        <f t="array" ref="T682">IF($A682="","",XLOOKUP($F682,Settings!$I$15:$I$20,Settings!$J$15:$J$20,1))</f>
        <v>0.75</v>
      </c>
      <c r="U682" s="12">
        <f>IF($A682="","",1+(($G682-5)/5)*Settings!$J$8)</f>
        <v>1</v>
      </c>
      <c r="V682" s="12">
        <f>IF($A682="","",1+(($H682-5)/5)*Settings!$J$9)</f>
        <v>1.06</v>
      </c>
      <c r="W682" s="12">
        <f t="array" ref="W682">IF($A682="","",XLOOKUP($J682,Lists!$C$3:$C$7,Lists!$D$3:$D$7,1))</f>
        <v>1</v>
      </c>
      <c r="X682" s="12">
        <f>IF($A682="","",IF($I682="Yes",Settings!$J$10,1))</f>
        <v>1</v>
      </c>
      <c r="Y682" s="12">
        <f t="shared" si="2"/>
        <v>1</v>
      </c>
      <c r="Z682" s="12">
        <f>IF($A682="","",IFERROR(ROUND(AVERAGEIFS('Historical Drafts'!$G$4:$G$300,'Historical Drafts'!$D$4:$D$300,$E682,'Historical Drafts'!$J$4:$J$300,"&gt;="&amp;$L682*0.85,'Historical Drafts'!$J$4:$J$300,"&lt;="&amp;$L682*1.15),0),$Y682))</f>
        <v>3</v>
      </c>
      <c r="AA682" s="12" t="str">
        <f>IF($A682="","",IF(COUNTIF('Auction Log'!$B$3:$B$300,$A682)&gt;0,"Sold","Available"))</f>
        <v>Available</v>
      </c>
      <c r="AB682" s="12" t="str">
        <f t="array" ref="AB682">IF($A682="","",IFERROR(XLOOKUP($A682,'Auction Log'!$B$3:$B$300,'Auction Log'!$G$3:$G$300,""),""))</f>
        <v/>
      </c>
      <c r="AC682" s="12" t="str">
        <f t="array" ref="AC682">IF($A682="","",IFERROR(XLOOKUP($A682,'Auction Log'!$B$3:$B$300,'Auction Log'!$F$3:$F$300,""),""))</f>
        <v/>
      </c>
      <c r="AD682" s="12">
        <f t="array" ref="AD682">IF($A682="","",ROUND($Y682*XLOOKUP($F682,Settings!$I$15:$I$20,Settings!$K$15:$K$20,0.4),0))</f>
        <v>0</v>
      </c>
      <c r="AE682" s="12">
        <f t="array" ref="AE682">IF($A682="","",ROUND($Y682*XLOOKUP($F682,Settings!$I$15:$I$20,Settings!$L$15:$L$20,0.8),0))</f>
        <v>1</v>
      </c>
      <c r="AF682" s="12">
        <f t="array" ref="AF682">IF($A682="","",ROUND($Y682*XLOOKUP($F682,Settings!$I$15:$I$20,Settings!$M$15:$M$20,1),0))</f>
        <v>1</v>
      </c>
      <c r="AG682" s="12">
        <f t="array" ref="AG682">IF($A682="","",ROUND($Y682*XLOOKUP($F682,Settings!$I$15:$I$20,Settings!$N$15:$N$20,1.1),0))</f>
        <v>1</v>
      </c>
      <c r="AH682" s="12">
        <f t="array" ref="AH682">IF($A682="","",ROUND($Y682*XLOOKUP($F682,Settings!$I$15:$I$20,Settings!$O$15:$O$20,1.1)*Settings!$J$7,0))</f>
        <v>1</v>
      </c>
      <c r="AI682" s="12">
        <f t="array" ref="AI682">IF($A682="","",IF($AA682="Sold","",MIN($AH682,IFERROR(XLOOKUP(Settings!$B$12,Managers!$B$4:$B$15,Managers!$H$4:$H$15),$AH682))))</f>
        <v>1</v>
      </c>
      <c r="AJ682" s="12" t="str">
        <f t="shared" si="3"/>
        <v>Budget Drainer</v>
      </c>
      <c r="AK682" s="12">
        <f t="shared" si="4"/>
        <v>28</v>
      </c>
      <c r="AL682" s="12" t="str">
        <f t="shared" si="5"/>
        <v/>
      </c>
    </row>
    <row r="683" ht="15.75" customHeight="1">
      <c r="A683" s="10" t="s">
        <v>1647</v>
      </c>
      <c r="B683" s="10" t="s">
        <v>1648</v>
      </c>
      <c r="C683" s="10" t="s">
        <v>199</v>
      </c>
      <c r="D683" s="10" t="s">
        <v>123</v>
      </c>
      <c r="E683" s="10" t="s">
        <v>123</v>
      </c>
      <c r="F683" s="10" t="s">
        <v>117</v>
      </c>
      <c r="G683" s="10">
        <v>5.0</v>
      </c>
      <c r="H683" s="10">
        <v>7.0</v>
      </c>
      <c r="I683" s="10" t="s">
        <v>2140</v>
      </c>
      <c r="J683" s="10" t="s">
        <v>2136</v>
      </c>
      <c r="K683" s="10"/>
      <c r="L683" s="10">
        <v>0.0</v>
      </c>
      <c r="M683" s="10">
        <v>0.0</v>
      </c>
      <c r="N683" s="10"/>
      <c r="O683" s="10"/>
      <c r="P683" s="12">
        <f>IF($A683="","",IFERROR((IF($O683="",0,$O683)*Settings!$J$4+IF($L683="",0,$L683)*Settings!$J$5+IF($N683="",0,$N683)*Settings!$J$6)/(IF($O683="",0,Settings!$J$4)+IF($L683="",0,Settings!$J$5)+IF($N683="",0,Settings!$J$6)),0))</f>
        <v>0</v>
      </c>
      <c r="Q683" s="12">
        <f t="array" ref="Q683">IF($A683="","",XLOOKUP($E683,Settings!$A$19:$A$22,Settings!$G$19:$G$22,0))</f>
        <v>203</v>
      </c>
      <c r="R683" s="12">
        <f t="shared" si="1"/>
        <v>0</v>
      </c>
      <c r="S683" s="12">
        <f>IF($A683="","",IF($R683&lt;=0,1,1+$R683/SUMIF($R$4:$R$923,"&gt;0",$R$4:$R$923)*(Settings!$B$5*(Settings!$B$6-Settings!$B$7))))</f>
        <v>1</v>
      </c>
      <c r="T683" s="12">
        <f t="array" ref="T683">IF($A683="","",XLOOKUP($F683,Settings!$I$15:$I$20,Settings!$J$15:$J$20,1))</f>
        <v>0.75</v>
      </c>
      <c r="U683" s="12">
        <f>IF($A683="","",1+(($G683-5)/5)*Settings!$J$8)</f>
        <v>1</v>
      </c>
      <c r="V683" s="12">
        <f>IF($A683="","",1+(($H683-5)/5)*Settings!$J$9)</f>
        <v>1.06</v>
      </c>
      <c r="W683" s="12">
        <f t="array" ref="W683">IF($A683="","",XLOOKUP($J683,Lists!$C$3:$C$7,Lists!$D$3:$D$7,1))</f>
        <v>1</v>
      </c>
      <c r="X683" s="12">
        <f>IF($A683="","",IF($I683="Yes",Settings!$J$10,1))</f>
        <v>1</v>
      </c>
      <c r="Y683" s="12">
        <f t="shared" si="2"/>
        <v>1</v>
      </c>
      <c r="Z683" s="12">
        <f>IF($A683="","",IFERROR(ROUND(AVERAGEIFS('Historical Drafts'!$G$4:$G$300,'Historical Drafts'!$D$4:$D$300,$E683,'Historical Drafts'!$J$4:$J$300,"&gt;="&amp;$L683*0.85,'Historical Drafts'!$J$4:$J$300,"&lt;="&amp;$L683*1.15),0),$Y683))</f>
        <v>3</v>
      </c>
      <c r="AA683" s="12" t="str">
        <f>IF($A683="","",IF(COUNTIF('Auction Log'!$B$3:$B$300,$A683)&gt;0,"Sold","Available"))</f>
        <v>Available</v>
      </c>
      <c r="AB683" s="12" t="str">
        <f t="array" ref="AB683">IF($A683="","",IFERROR(XLOOKUP($A683,'Auction Log'!$B$3:$B$300,'Auction Log'!$G$3:$G$300,""),""))</f>
        <v/>
      </c>
      <c r="AC683" s="12" t="str">
        <f t="array" ref="AC683">IF($A683="","",IFERROR(XLOOKUP($A683,'Auction Log'!$B$3:$B$300,'Auction Log'!$F$3:$F$300,""),""))</f>
        <v/>
      </c>
      <c r="AD683" s="12">
        <f t="array" ref="AD683">IF($A683="","",ROUND($Y683*XLOOKUP($F683,Settings!$I$15:$I$20,Settings!$K$15:$K$20,0.4),0))</f>
        <v>0</v>
      </c>
      <c r="AE683" s="12">
        <f t="array" ref="AE683">IF($A683="","",ROUND($Y683*XLOOKUP($F683,Settings!$I$15:$I$20,Settings!$L$15:$L$20,0.8),0))</f>
        <v>1</v>
      </c>
      <c r="AF683" s="12">
        <f t="array" ref="AF683">IF($A683="","",ROUND($Y683*XLOOKUP($F683,Settings!$I$15:$I$20,Settings!$M$15:$M$20,1),0))</f>
        <v>1</v>
      </c>
      <c r="AG683" s="12">
        <f t="array" ref="AG683">IF($A683="","",ROUND($Y683*XLOOKUP($F683,Settings!$I$15:$I$20,Settings!$N$15:$N$20,1.1),0))</f>
        <v>1</v>
      </c>
      <c r="AH683" s="12">
        <f t="array" ref="AH683">IF($A683="","",ROUND($Y683*XLOOKUP($F683,Settings!$I$15:$I$20,Settings!$O$15:$O$20,1.1)*Settings!$J$7,0))</f>
        <v>1</v>
      </c>
      <c r="AI683" s="12">
        <f t="array" ref="AI683">IF($A683="","",IF($AA683="Sold","",MIN($AH683,IFERROR(XLOOKUP(Settings!$B$12,Managers!$B$4:$B$15,Managers!$H$4:$H$15),$AH683))))</f>
        <v>1</v>
      </c>
      <c r="AJ683" s="12" t="str">
        <f t="shared" si="3"/>
        <v>Budget Drainer</v>
      </c>
      <c r="AK683" s="12">
        <f t="shared" si="4"/>
        <v>28</v>
      </c>
      <c r="AL683" s="12" t="str">
        <f t="shared" si="5"/>
        <v/>
      </c>
    </row>
    <row r="684" ht="15.75" customHeight="1">
      <c r="A684" s="10" t="s">
        <v>1649</v>
      </c>
      <c r="B684" s="10" t="s">
        <v>1650</v>
      </c>
      <c r="C684" s="10" t="s">
        <v>221</v>
      </c>
      <c r="D684" s="10" t="s">
        <v>118</v>
      </c>
      <c r="E684" s="10" t="s">
        <v>118</v>
      </c>
      <c r="F684" s="10" t="s">
        <v>117</v>
      </c>
      <c r="G684" s="10">
        <v>5.0</v>
      </c>
      <c r="H684" s="10">
        <v>7.0</v>
      </c>
      <c r="I684" s="10" t="s">
        <v>2140</v>
      </c>
      <c r="J684" s="10" t="s">
        <v>2136</v>
      </c>
      <c r="K684" s="10"/>
      <c r="L684" s="10">
        <v>0.0</v>
      </c>
      <c r="M684" s="10">
        <v>0.0</v>
      </c>
      <c r="N684" s="10"/>
      <c r="O684" s="10"/>
      <c r="P684" s="12">
        <f>IF($A684="","",IFERROR((IF($O684="",0,$O684)*Settings!$J$4+IF($L684="",0,$L684)*Settings!$J$5+IF($N684="",0,$N684)*Settings!$J$6)/(IF($O684="",0,Settings!$J$4)+IF($L684="",0,Settings!$J$5)+IF($N684="",0,Settings!$J$6)),0))</f>
        <v>0</v>
      </c>
      <c r="Q684" s="12">
        <f t="array" ref="Q684">IF($A684="","",XLOOKUP($E684,Settings!$A$19:$A$22,Settings!$G$19:$G$22,0))</f>
        <v>196.25</v>
      </c>
      <c r="R684" s="12">
        <f t="shared" si="1"/>
        <v>0</v>
      </c>
      <c r="S684" s="12">
        <f>IF($A684="","",IF($R684&lt;=0,1,1+$R684/SUMIF($R$4:$R$923,"&gt;0",$R$4:$R$923)*(Settings!$B$5*(Settings!$B$6-Settings!$B$7))))</f>
        <v>1</v>
      </c>
      <c r="T684" s="12">
        <f t="array" ref="T684">IF($A684="","",XLOOKUP($F684,Settings!$I$15:$I$20,Settings!$J$15:$J$20,1))</f>
        <v>0.75</v>
      </c>
      <c r="U684" s="12">
        <f>IF($A684="","",1+(($G684-5)/5)*Settings!$J$8)</f>
        <v>1</v>
      </c>
      <c r="V684" s="12">
        <f>IF($A684="","",1+(($H684-5)/5)*Settings!$J$9)</f>
        <v>1.06</v>
      </c>
      <c r="W684" s="12">
        <f t="array" ref="W684">IF($A684="","",XLOOKUP($J684,Lists!$C$3:$C$7,Lists!$D$3:$D$7,1))</f>
        <v>1</v>
      </c>
      <c r="X684" s="12">
        <f>IF($A684="","",IF($I684="Yes",Settings!$J$10,1))</f>
        <v>1</v>
      </c>
      <c r="Y684" s="12">
        <f t="shared" si="2"/>
        <v>1</v>
      </c>
      <c r="Z684" s="12">
        <f>IF($A684="","",IFERROR(ROUND(AVERAGEIFS('Historical Drafts'!$G$4:$G$300,'Historical Drafts'!$D$4:$D$300,$E684,'Historical Drafts'!$J$4:$J$300,"&gt;="&amp;$L684*0.85,'Historical Drafts'!$J$4:$J$300,"&lt;="&amp;$L684*1.15),0),$Y684))</f>
        <v>1</v>
      </c>
      <c r="AA684" s="12" t="str">
        <f>IF($A684="","",IF(COUNTIF('Auction Log'!$B$3:$B$300,$A684)&gt;0,"Sold","Available"))</f>
        <v>Available</v>
      </c>
      <c r="AB684" s="12" t="str">
        <f t="array" ref="AB684">IF($A684="","",IFERROR(XLOOKUP($A684,'Auction Log'!$B$3:$B$300,'Auction Log'!$G$3:$G$300,""),""))</f>
        <v/>
      </c>
      <c r="AC684" s="12" t="str">
        <f t="array" ref="AC684">IF($A684="","",IFERROR(XLOOKUP($A684,'Auction Log'!$B$3:$B$300,'Auction Log'!$F$3:$F$300,""),""))</f>
        <v/>
      </c>
      <c r="AD684" s="12">
        <f t="array" ref="AD684">IF($A684="","",ROUND($Y684*XLOOKUP($F684,Settings!$I$15:$I$20,Settings!$K$15:$K$20,0.4),0))</f>
        <v>0</v>
      </c>
      <c r="AE684" s="12">
        <f t="array" ref="AE684">IF($A684="","",ROUND($Y684*XLOOKUP($F684,Settings!$I$15:$I$20,Settings!$L$15:$L$20,0.8),0))</f>
        <v>1</v>
      </c>
      <c r="AF684" s="12">
        <f t="array" ref="AF684">IF($A684="","",ROUND($Y684*XLOOKUP($F684,Settings!$I$15:$I$20,Settings!$M$15:$M$20,1),0))</f>
        <v>1</v>
      </c>
      <c r="AG684" s="12">
        <f t="array" ref="AG684">IF($A684="","",ROUND($Y684*XLOOKUP($F684,Settings!$I$15:$I$20,Settings!$N$15:$N$20,1.1),0))</f>
        <v>1</v>
      </c>
      <c r="AH684" s="12">
        <f t="array" ref="AH684">IF($A684="","",ROUND($Y684*XLOOKUP($F684,Settings!$I$15:$I$20,Settings!$O$15:$O$20,1.1)*Settings!$J$7,0))</f>
        <v>1</v>
      </c>
      <c r="AI684" s="12">
        <f t="array" ref="AI684">IF($A684="","",IF($AA684="Sold","",MIN($AH684,IFERROR(XLOOKUP(Settings!$B$12,Managers!$B$4:$B$15,Managers!$H$4:$H$15),$AH684))))</f>
        <v>1</v>
      </c>
      <c r="AJ684" s="12" t="str">
        <f t="shared" si="3"/>
        <v>Recommended</v>
      </c>
      <c r="AK684" s="12">
        <f t="shared" si="4"/>
        <v>26</v>
      </c>
      <c r="AL684" s="12" t="str">
        <f t="shared" si="5"/>
        <v/>
      </c>
    </row>
    <row r="685" ht="15.75" customHeight="1">
      <c r="A685" s="10" t="s">
        <v>1651</v>
      </c>
      <c r="B685" s="10" t="s">
        <v>1652</v>
      </c>
      <c r="C685" s="10" t="s">
        <v>243</v>
      </c>
      <c r="D685" s="10" t="s">
        <v>123</v>
      </c>
      <c r="E685" s="10" t="s">
        <v>123</v>
      </c>
      <c r="F685" s="10" t="s">
        <v>117</v>
      </c>
      <c r="G685" s="10">
        <v>5.0</v>
      </c>
      <c r="H685" s="10">
        <v>7.0</v>
      </c>
      <c r="I685" s="10" t="s">
        <v>2140</v>
      </c>
      <c r="J685" s="10" t="s">
        <v>2136</v>
      </c>
      <c r="K685" s="10"/>
      <c r="L685" s="10">
        <v>0.0</v>
      </c>
      <c r="M685" s="10">
        <v>0.0</v>
      </c>
      <c r="N685" s="10"/>
      <c r="O685" s="10"/>
      <c r="P685" s="12">
        <f>IF($A685="","",IFERROR((IF($O685="",0,$O685)*Settings!$J$4+IF($L685="",0,$L685)*Settings!$J$5+IF($N685="",0,$N685)*Settings!$J$6)/(IF($O685="",0,Settings!$J$4)+IF($L685="",0,Settings!$J$5)+IF($N685="",0,Settings!$J$6)),0))</f>
        <v>0</v>
      </c>
      <c r="Q685" s="12">
        <f t="array" ref="Q685">IF($A685="","",XLOOKUP($E685,Settings!$A$19:$A$22,Settings!$G$19:$G$22,0))</f>
        <v>203</v>
      </c>
      <c r="R685" s="12">
        <f t="shared" si="1"/>
        <v>0</v>
      </c>
      <c r="S685" s="12">
        <f>IF($A685="","",IF($R685&lt;=0,1,1+$R685/SUMIF($R$4:$R$923,"&gt;0",$R$4:$R$923)*(Settings!$B$5*(Settings!$B$6-Settings!$B$7))))</f>
        <v>1</v>
      </c>
      <c r="T685" s="12">
        <f t="array" ref="T685">IF($A685="","",XLOOKUP($F685,Settings!$I$15:$I$20,Settings!$J$15:$J$20,1))</f>
        <v>0.75</v>
      </c>
      <c r="U685" s="12">
        <f>IF($A685="","",1+(($G685-5)/5)*Settings!$J$8)</f>
        <v>1</v>
      </c>
      <c r="V685" s="12">
        <f>IF($A685="","",1+(($H685-5)/5)*Settings!$J$9)</f>
        <v>1.06</v>
      </c>
      <c r="W685" s="12">
        <f t="array" ref="W685">IF($A685="","",XLOOKUP($J685,Lists!$C$3:$C$7,Lists!$D$3:$D$7,1))</f>
        <v>1</v>
      </c>
      <c r="X685" s="12">
        <f>IF($A685="","",IF($I685="Yes",Settings!$J$10,1))</f>
        <v>1</v>
      </c>
      <c r="Y685" s="12">
        <f t="shared" si="2"/>
        <v>1</v>
      </c>
      <c r="Z685" s="12">
        <f>IF($A685="","",IFERROR(ROUND(AVERAGEIFS('Historical Drafts'!$G$4:$G$300,'Historical Drafts'!$D$4:$D$300,$E685,'Historical Drafts'!$J$4:$J$300,"&gt;="&amp;$L685*0.85,'Historical Drafts'!$J$4:$J$300,"&lt;="&amp;$L685*1.15),0),$Y685))</f>
        <v>3</v>
      </c>
      <c r="AA685" s="12" t="str">
        <f>IF($A685="","",IF(COUNTIF('Auction Log'!$B$3:$B$300,$A685)&gt;0,"Sold","Available"))</f>
        <v>Available</v>
      </c>
      <c r="AB685" s="12" t="str">
        <f t="array" ref="AB685">IF($A685="","",IFERROR(XLOOKUP($A685,'Auction Log'!$B$3:$B$300,'Auction Log'!$G$3:$G$300,""),""))</f>
        <v/>
      </c>
      <c r="AC685" s="12" t="str">
        <f t="array" ref="AC685">IF($A685="","",IFERROR(XLOOKUP($A685,'Auction Log'!$B$3:$B$300,'Auction Log'!$F$3:$F$300,""),""))</f>
        <v/>
      </c>
      <c r="AD685" s="12">
        <f t="array" ref="AD685">IF($A685="","",ROUND($Y685*XLOOKUP($F685,Settings!$I$15:$I$20,Settings!$K$15:$K$20,0.4),0))</f>
        <v>0</v>
      </c>
      <c r="AE685" s="12">
        <f t="array" ref="AE685">IF($A685="","",ROUND($Y685*XLOOKUP($F685,Settings!$I$15:$I$20,Settings!$L$15:$L$20,0.8),0))</f>
        <v>1</v>
      </c>
      <c r="AF685" s="12">
        <f t="array" ref="AF685">IF($A685="","",ROUND($Y685*XLOOKUP($F685,Settings!$I$15:$I$20,Settings!$M$15:$M$20,1),0))</f>
        <v>1</v>
      </c>
      <c r="AG685" s="12">
        <f t="array" ref="AG685">IF($A685="","",ROUND($Y685*XLOOKUP($F685,Settings!$I$15:$I$20,Settings!$N$15:$N$20,1.1),0))</f>
        <v>1</v>
      </c>
      <c r="AH685" s="12">
        <f t="array" ref="AH685">IF($A685="","",ROUND($Y685*XLOOKUP($F685,Settings!$I$15:$I$20,Settings!$O$15:$O$20,1.1)*Settings!$J$7,0))</f>
        <v>1</v>
      </c>
      <c r="AI685" s="12">
        <f t="array" ref="AI685">IF($A685="","",IF($AA685="Sold","",MIN($AH685,IFERROR(XLOOKUP(Settings!$B$12,Managers!$B$4:$B$15,Managers!$H$4:$H$15),$AH685))))</f>
        <v>1</v>
      </c>
      <c r="AJ685" s="12" t="str">
        <f t="shared" si="3"/>
        <v>Budget Drainer</v>
      </c>
      <c r="AK685" s="12">
        <f t="shared" si="4"/>
        <v>28</v>
      </c>
      <c r="AL685" s="12" t="str">
        <f t="shared" si="5"/>
        <v/>
      </c>
    </row>
    <row r="686" ht="15.75" customHeight="1">
      <c r="A686" s="10" t="s">
        <v>1653</v>
      </c>
      <c r="B686" s="10" t="s">
        <v>1654</v>
      </c>
      <c r="C686" s="10" t="s">
        <v>221</v>
      </c>
      <c r="D686" s="10" t="s">
        <v>115</v>
      </c>
      <c r="E686" s="10" t="s">
        <v>115</v>
      </c>
      <c r="F686" s="10" t="s">
        <v>117</v>
      </c>
      <c r="G686" s="10">
        <v>5.0</v>
      </c>
      <c r="H686" s="10">
        <v>7.0</v>
      </c>
      <c r="I686" s="10" t="s">
        <v>2140</v>
      </c>
      <c r="J686" s="10" t="s">
        <v>2136</v>
      </c>
      <c r="K686" s="10"/>
      <c r="L686" s="10">
        <v>0.0</v>
      </c>
      <c r="M686" s="10">
        <v>0.0</v>
      </c>
      <c r="N686" s="10"/>
      <c r="O686" s="10"/>
      <c r="P686" s="12">
        <f>IF($A686="","",IFERROR((IF($O686="",0,$O686)*Settings!$J$4+IF($L686="",0,$L686)*Settings!$J$5+IF($N686="",0,$N686)*Settings!$J$6)/(IF($O686="",0,Settings!$J$4)+IF($L686="",0,Settings!$J$5)+IF($N686="",0,Settings!$J$6)),0))</f>
        <v>0</v>
      </c>
      <c r="Q686" s="12">
        <f t="array" ref="Q686">IF($A686="","",XLOOKUP($E686,Settings!$A$19:$A$22,Settings!$G$19:$G$22,0))</f>
        <v>249.25</v>
      </c>
      <c r="R686" s="12">
        <f t="shared" si="1"/>
        <v>0</v>
      </c>
      <c r="S686" s="12">
        <f>IF($A686="","",IF($R686&lt;=0,1,1+$R686/SUMIF($R$4:$R$923,"&gt;0",$R$4:$R$923)*(Settings!$B$5*(Settings!$B$6-Settings!$B$7))))</f>
        <v>1</v>
      </c>
      <c r="T686" s="12">
        <f t="array" ref="T686">IF($A686="","",XLOOKUP($F686,Settings!$I$15:$I$20,Settings!$J$15:$J$20,1))</f>
        <v>0.75</v>
      </c>
      <c r="U686" s="12">
        <f>IF($A686="","",1+(($G686-5)/5)*Settings!$J$8)</f>
        <v>1</v>
      </c>
      <c r="V686" s="12">
        <f>IF($A686="","",1+(($H686-5)/5)*Settings!$J$9)</f>
        <v>1.06</v>
      </c>
      <c r="W686" s="12">
        <f t="array" ref="W686">IF($A686="","",XLOOKUP($J686,Lists!$C$3:$C$7,Lists!$D$3:$D$7,1))</f>
        <v>1</v>
      </c>
      <c r="X686" s="12">
        <f>IF($A686="","",IF($I686="Yes",Settings!$J$10,1))</f>
        <v>1</v>
      </c>
      <c r="Y686" s="12">
        <f t="shared" si="2"/>
        <v>1</v>
      </c>
      <c r="Z686" s="12">
        <f>IF($A686="","",IFERROR(ROUND(AVERAGEIFS('Historical Drafts'!$G$4:$G$300,'Historical Drafts'!$D$4:$D$300,$E686,'Historical Drafts'!$J$4:$J$300,"&gt;="&amp;$L686*0.85,'Historical Drafts'!$J$4:$J$300,"&lt;="&amp;$L686*1.15),0),$Y686))</f>
        <v>1</v>
      </c>
      <c r="AA686" s="12" t="str">
        <f>IF($A686="","",IF(COUNTIF('Auction Log'!$B$3:$B$300,$A686)&gt;0,"Sold","Available"))</f>
        <v>Available</v>
      </c>
      <c r="AB686" s="12" t="str">
        <f t="array" ref="AB686">IF($A686="","",IFERROR(XLOOKUP($A686,'Auction Log'!$B$3:$B$300,'Auction Log'!$G$3:$G$300,""),""))</f>
        <v/>
      </c>
      <c r="AC686" s="12" t="str">
        <f t="array" ref="AC686">IF($A686="","",IFERROR(XLOOKUP($A686,'Auction Log'!$B$3:$B$300,'Auction Log'!$F$3:$F$300,""),""))</f>
        <v/>
      </c>
      <c r="AD686" s="12">
        <f t="array" ref="AD686">IF($A686="","",ROUND($Y686*XLOOKUP($F686,Settings!$I$15:$I$20,Settings!$K$15:$K$20,0.4),0))</f>
        <v>0</v>
      </c>
      <c r="AE686" s="12">
        <f t="array" ref="AE686">IF($A686="","",ROUND($Y686*XLOOKUP($F686,Settings!$I$15:$I$20,Settings!$L$15:$L$20,0.8),0))</f>
        <v>1</v>
      </c>
      <c r="AF686" s="12">
        <f t="array" ref="AF686">IF($A686="","",ROUND($Y686*XLOOKUP($F686,Settings!$I$15:$I$20,Settings!$M$15:$M$20,1),0))</f>
        <v>1</v>
      </c>
      <c r="AG686" s="12">
        <f t="array" ref="AG686">IF($A686="","",ROUND($Y686*XLOOKUP($F686,Settings!$I$15:$I$20,Settings!$N$15:$N$20,1.1),0))</f>
        <v>1</v>
      </c>
      <c r="AH686" s="12">
        <f t="array" ref="AH686">IF($A686="","",ROUND($Y686*XLOOKUP($F686,Settings!$I$15:$I$20,Settings!$O$15:$O$20,1.1)*Settings!$J$7,0))</f>
        <v>1</v>
      </c>
      <c r="AI686" s="12">
        <f t="array" ref="AI686">IF($A686="","",IF($AA686="Sold","",MIN($AH686,IFERROR(XLOOKUP(Settings!$B$12,Managers!$B$4:$B$15,Managers!$H$4:$H$15),$AH686))))</f>
        <v>1</v>
      </c>
      <c r="AJ686" s="12" t="str">
        <f t="shared" si="3"/>
        <v>Recommended</v>
      </c>
      <c r="AK686" s="12">
        <f t="shared" si="4"/>
        <v>26</v>
      </c>
      <c r="AL686" s="12" t="str">
        <f t="shared" si="5"/>
        <v/>
      </c>
    </row>
    <row r="687" ht="15.75" customHeight="1">
      <c r="A687" s="10" t="s">
        <v>1655</v>
      </c>
      <c r="B687" s="10" t="s">
        <v>1656</v>
      </c>
      <c r="C687" s="10" t="s">
        <v>221</v>
      </c>
      <c r="D687" s="10" t="s">
        <v>118</v>
      </c>
      <c r="E687" s="10" t="s">
        <v>118</v>
      </c>
      <c r="F687" s="10" t="s">
        <v>117</v>
      </c>
      <c r="G687" s="10">
        <v>5.0</v>
      </c>
      <c r="H687" s="10">
        <v>7.0</v>
      </c>
      <c r="I687" s="10" t="s">
        <v>2140</v>
      </c>
      <c r="J687" s="10" t="s">
        <v>2136</v>
      </c>
      <c r="K687" s="10"/>
      <c r="L687" s="10">
        <v>0.0</v>
      </c>
      <c r="M687" s="10">
        <v>0.0</v>
      </c>
      <c r="N687" s="10"/>
      <c r="O687" s="10"/>
      <c r="P687" s="12">
        <f>IF($A687="","",IFERROR((IF($O687="",0,$O687)*Settings!$J$4+IF($L687="",0,$L687)*Settings!$J$5+IF($N687="",0,$N687)*Settings!$J$6)/(IF($O687="",0,Settings!$J$4)+IF($L687="",0,Settings!$J$5)+IF($N687="",0,Settings!$J$6)),0))</f>
        <v>0</v>
      </c>
      <c r="Q687" s="12">
        <f t="array" ref="Q687">IF($A687="","",XLOOKUP($E687,Settings!$A$19:$A$22,Settings!$G$19:$G$22,0))</f>
        <v>196.25</v>
      </c>
      <c r="R687" s="12">
        <f t="shared" si="1"/>
        <v>0</v>
      </c>
      <c r="S687" s="12">
        <f>IF($A687="","",IF($R687&lt;=0,1,1+$R687/SUMIF($R$4:$R$923,"&gt;0",$R$4:$R$923)*(Settings!$B$5*(Settings!$B$6-Settings!$B$7))))</f>
        <v>1</v>
      </c>
      <c r="T687" s="12">
        <f t="array" ref="T687">IF($A687="","",XLOOKUP($F687,Settings!$I$15:$I$20,Settings!$J$15:$J$20,1))</f>
        <v>0.75</v>
      </c>
      <c r="U687" s="12">
        <f>IF($A687="","",1+(($G687-5)/5)*Settings!$J$8)</f>
        <v>1</v>
      </c>
      <c r="V687" s="12">
        <f>IF($A687="","",1+(($H687-5)/5)*Settings!$J$9)</f>
        <v>1.06</v>
      </c>
      <c r="W687" s="12">
        <f t="array" ref="W687">IF($A687="","",XLOOKUP($J687,Lists!$C$3:$C$7,Lists!$D$3:$D$7,1))</f>
        <v>1</v>
      </c>
      <c r="X687" s="12">
        <f>IF($A687="","",IF($I687="Yes",Settings!$J$10,1))</f>
        <v>1</v>
      </c>
      <c r="Y687" s="12">
        <f t="shared" si="2"/>
        <v>1</v>
      </c>
      <c r="Z687" s="12">
        <f>IF($A687="","",IFERROR(ROUND(AVERAGEIFS('Historical Drafts'!$G$4:$G$300,'Historical Drafts'!$D$4:$D$300,$E687,'Historical Drafts'!$J$4:$J$300,"&gt;="&amp;$L687*0.85,'Historical Drafts'!$J$4:$J$300,"&lt;="&amp;$L687*1.15),0),$Y687))</f>
        <v>1</v>
      </c>
      <c r="AA687" s="12" t="str">
        <f>IF($A687="","",IF(COUNTIF('Auction Log'!$B$3:$B$300,$A687)&gt;0,"Sold","Available"))</f>
        <v>Available</v>
      </c>
      <c r="AB687" s="12" t="str">
        <f t="array" ref="AB687">IF($A687="","",IFERROR(XLOOKUP($A687,'Auction Log'!$B$3:$B$300,'Auction Log'!$G$3:$G$300,""),""))</f>
        <v/>
      </c>
      <c r="AC687" s="12" t="str">
        <f t="array" ref="AC687">IF($A687="","",IFERROR(XLOOKUP($A687,'Auction Log'!$B$3:$B$300,'Auction Log'!$F$3:$F$300,""),""))</f>
        <v/>
      </c>
      <c r="AD687" s="12">
        <f t="array" ref="AD687">IF($A687="","",ROUND($Y687*XLOOKUP($F687,Settings!$I$15:$I$20,Settings!$K$15:$K$20,0.4),0))</f>
        <v>0</v>
      </c>
      <c r="AE687" s="12">
        <f t="array" ref="AE687">IF($A687="","",ROUND($Y687*XLOOKUP($F687,Settings!$I$15:$I$20,Settings!$L$15:$L$20,0.8),0))</f>
        <v>1</v>
      </c>
      <c r="AF687" s="12">
        <f t="array" ref="AF687">IF($A687="","",ROUND($Y687*XLOOKUP($F687,Settings!$I$15:$I$20,Settings!$M$15:$M$20,1),0))</f>
        <v>1</v>
      </c>
      <c r="AG687" s="12">
        <f t="array" ref="AG687">IF($A687="","",ROUND($Y687*XLOOKUP($F687,Settings!$I$15:$I$20,Settings!$N$15:$N$20,1.1),0))</f>
        <v>1</v>
      </c>
      <c r="AH687" s="12">
        <f t="array" ref="AH687">IF($A687="","",ROUND($Y687*XLOOKUP($F687,Settings!$I$15:$I$20,Settings!$O$15:$O$20,1.1)*Settings!$J$7,0))</f>
        <v>1</v>
      </c>
      <c r="AI687" s="12">
        <f t="array" ref="AI687">IF($A687="","",IF($AA687="Sold","",MIN($AH687,IFERROR(XLOOKUP(Settings!$B$12,Managers!$B$4:$B$15,Managers!$H$4:$H$15),$AH687))))</f>
        <v>1</v>
      </c>
      <c r="AJ687" s="12" t="str">
        <f t="shared" si="3"/>
        <v>Recommended</v>
      </c>
      <c r="AK687" s="12">
        <f t="shared" si="4"/>
        <v>26</v>
      </c>
      <c r="AL687" s="12" t="str">
        <f t="shared" si="5"/>
        <v/>
      </c>
    </row>
    <row r="688" ht="15.75" customHeight="1">
      <c r="A688" s="10" t="s">
        <v>1657</v>
      </c>
      <c r="B688" s="10" t="s">
        <v>1658</v>
      </c>
      <c r="C688" s="10" t="s">
        <v>199</v>
      </c>
      <c r="D688" s="10" t="s">
        <v>121</v>
      </c>
      <c r="E688" s="10" t="s">
        <v>121</v>
      </c>
      <c r="F688" s="10" t="s">
        <v>117</v>
      </c>
      <c r="G688" s="10">
        <v>5.0</v>
      </c>
      <c r="H688" s="10">
        <v>7.0</v>
      </c>
      <c r="I688" s="10" t="s">
        <v>2140</v>
      </c>
      <c r="J688" s="10" t="s">
        <v>2136</v>
      </c>
      <c r="K688" s="10"/>
      <c r="L688" s="10">
        <v>0.0</v>
      </c>
      <c r="M688" s="10">
        <v>0.0</v>
      </c>
      <c r="N688" s="10"/>
      <c r="O688" s="10"/>
      <c r="P688" s="12">
        <f>IF($A688="","",IFERROR((IF($O688="",0,$O688)*Settings!$J$4+IF($L688="",0,$L688)*Settings!$J$5+IF($N688="",0,$N688)*Settings!$J$6)/(IF($O688="",0,Settings!$J$4)+IF($L688="",0,Settings!$J$5)+IF($N688="",0,Settings!$J$6)),0))</f>
        <v>0</v>
      </c>
      <c r="Q688" s="12">
        <f t="array" ref="Q688">IF($A688="","",XLOOKUP($E688,Settings!$A$19:$A$22,Settings!$G$19:$G$22,0))</f>
        <v>206</v>
      </c>
      <c r="R688" s="12">
        <f t="shared" si="1"/>
        <v>0</v>
      </c>
      <c r="S688" s="12">
        <f>IF($A688="","",IF($R688&lt;=0,1,1+$R688/SUMIF($R$4:$R$923,"&gt;0",$R$4:$R$923)*(Settings!$B$5*(Settings!$B$6-Settings!$B$7))))</f>
        <v>1</v>
      </c>
      <c r="T688" s="12">
        <f t="array" ref="T688">IF($A688="","",XLOOKUP($F688,Settings!$I$15:$I$20,Settings!$J$15:$J$20,1))</f>
        <v>0.75</v>
      </c>
      <c r="U688" s="12">
        <f>IF($A688="","",1+(($G688-5)/5)*Settings!$J$8)</f>
        <v>1</v>
      </c>
      <c r="V688" s="12">
        <f>IF($A688="","",1+(($H688-5)/5)*Settings!$J$9)</f>
        <v>1.06</v>
      </c>
      <c r="W688" s="12">
        <f t="array" ref="W688">IF($A688="","",XLOOKUP($J688,Lists!$C$3:$C$7,Lists!$D$3:$D$7,1))</f>
        <v>1</v>
      </c>
      <c r="X688" s="12">
        <f>IF($A688="","",IF($I688="Yes",Settings!$J$10,1))</f>
        <v>1</v>
      </c>
      <c r="Y688" s="12">
        <f t="shared" si="2"/>
        <v>1</v>
      </c>
      <c r="Z688" s="12">
        <f>IF($A688="","",IFERROR(ROUND(AVERAGEIFS('Historical Drafts'!$G$4:$G$300,'Historical Drafts'!$D$4:$D$300,$E688,'Historical Drafts'!$J$4:$J$300,"&gt;="&amp;$L688*0.85,'Historical Drafts'!$J$4:$J$300,"&lt;="&amp;$L688*1.15),0),$Y688))</f>
        <v>3</v>
      </c>
      <c r="AA688" s="12" t="str">
        <f>IF($A688="","",IF(COUNTIF('Auction Log'!$B$3:$B$300,$A688)&gt;0,"Sold","Available"))</f>
        <v>Available</v>
      </c>
      <c r="AB688" s="12" t="str">
        <f t="array" ref="AB688">IF($A688="","",IFERROR(XLOOKUP($A688,'Auction Log'!$B$3:$B$300,'Auction Log'!$G$3:$G$300,""),""))</f>
        <v/>
      </c>
      <c r="AC688" s="12" t="str">
        <f t="array" ref="AC688">IF($A688="","",IFERROR(XLOOKUP($A688,'Auction Log'!$B$3:$B$300,'Auction Log'!$F$3:$F$300,""),""))</f>
        <v/>
      </c>
      <c r="AD688" s="12">
        <f t="array" ref="AD688">IF($A688="","",ROUND($Y688*XLOOKUP($F688,Settings!$I$15:$I$20,Settings!$K$15:$K$20,0.4),0))</f>
        <v>0</v>
      </c>
      <c r="AE688" s="12">
        <f t="array" ref="AE688">IF($A688="","",ROUND($Y688*XLOOKUP($F688,Settings!$I$15:$I$20,Settings!$L$15:$L$20,0.8),0))</f>
        <v>1</v>
      </c>
      <c r="AF688" s="12">
        <f t="array" ref="AF688">IF($A688="","",ROUND($Y688*XLOOKUP($F688,Settings!$I$15:$I$20,Settings!$M$15:$M$20,1),0))</f>
        <v>1</v>
      </c>
      <c r="AG688" s="12">
        <f t="array" ref="AG688">IF($A688="","",ROUND($Y688*XLOOKUP($F688,Settings!$I$15:$I$20,Settings!$N$15:$N$20,1.1),0))</f>
        <v>1</v>
      </c>
      <c r="AH688" s="12">
        <f t="array" ref="AH688">IF($A688="","",ROUND($Y688*XLOOKUP($F688,Settings!$I$15:$I$20,Settings!$O$15:$O$20,1.1)*Settings!$J$7,0))</f>
        <v>1</v>
      </c>
      <c r="AI688" s="12">
        <f t="array" ref="AI688">IF($A688="","",IF($AA688="Sold","",MIN($AH688,IFERROR(XLOOKUP(Settings!$B$12,Managers!$B$4:$B$15,Managers!$H$4:$H$15),$AH688))))</f>
        <v>1</v>
      </c>
      <c r="AJ688" s="12" t="str">
        <f t="shared" si="3"/>
        <v>Budget Drainer</v>
      </c>
      <c r="AK688" s="12">
        <f t="shared" si="4"/>
        <v>28</v>
      </c>
      <c r="AL688" s="12" t="str">
        <f t="shared" si="5"/>
        <v/>
      </c>
    </row>
    <row r="689" ht="15.75" customHeight="1">
      <c r="A689" s="10" t="s">
        <v>1659</v>
      </c>
      <c r="B689" s="10" t="s">
        <v>1660</v>
      </c>
      <c r="C689" s="10" t="s">
        <v>314</v>
      </c>
      <c r="D689" s="10" t="s">
        <v>118</v>
      </c>
      <c r="E689" s="10" t="s">
        <v>118</v>
      </c>
      <c r="F689" s="10" t="s">
        <v>117</v>
      </c>
      <c r="G689" s="10">
        <v>5.0</v>
      </c>
      <c r="H689" s="10">
        <v>7.0</v>
      </c>
      <c r="I689" s="10" t="s">
        <v>2140</v>
      </c>
      <c r="J689" s="10" t="s">
        <v>2136</v>
      </c>
      <c r="K689" s="10"/>
      <c r="L689" s="10">
        <v>0.0</v>
      </c>
      <c r="M689" s="10">
        <v>0.0</v>
      </c>
      <c r="N689" s="10"/>
      <c r="O689" s="10"/>
      <c r="P689" s="12">
        <f>IF($A689="","",IFERROR((IF($O689="",0,$O689)*Settings!$J$4+IF($L689="",0,$L689)*Settings!$J$5+IF($N689="",0,$N689)*Settings!$J$6)/(IF($O689="",0,Settings!$J$4)+IF($L689="",0,Settings!$J$5)+IF($N689="",0,Settings!$J$6)),0))</f>
        <v>0</v>
      </c>
      <c r="Q689" s="12">
        <f t="array" ref="Q689">IF($A689="","",XLOOKUP($E689,Settings!$A$19:$A$22,Settings!$G$19:$G$22,0))</f>
        <v>196.25</v>
      </c>
      <c r="R689" s="12">
        <f t="shared" si="1"/>
        <v>0</v>
      </c>
      <c r="S689" s="12">
        <f>IF($A689="","",IF($R689&lt;=0,1,1+$R689/SUMIF($R$4:$R$923,"&gt;0",$R$4:$R$923)*(Settings!$B$5*(Settings!$B$6-Settings!$B$7))))</f>
        <v>1</v>
      </c>
      <c r="T689" s="12">
        <f t="array" ref="T689">IF($A689="","",XLOOKUP($F689,Settings!$I$15:$I$20,Settings!$J$15:$J$20,1))</f>
        <v>0.75</v>
      </c>
      <c r="U689" s="12">
        <f>IF($A689="","",1+(($G689-5)/5)*Settings!$J$8)</f>
        <v>1</v>
      </c>
      <c r="V689" s="12">
        <f>IF($A689="","",1+(($H689-5)/5)*Settings!$J$9)</f>
        <v>1.06</v>
      </c>
      <c r="W689" s="12">
        <f t="array" ref="W689">IF($A689="","",XLOOKUP($J689,Lists!$C$3:$C$7,Lists!$D$3:$D$7,1))</f>
        <v>1</v>
      </c>
      <c r="X689" s="12">
        <f>IF($A689="","",IF($I689="Yes",Settings!$J$10,1))</f>
        <v>1</v>
      </c>
      <c r="Y689" s="12">
        <f t="shared" si="2"/>
        <v>1</v>
      </c>
      <c r="Z689" s="12">
        <f>IF($A689="","",IFERROR(ROUND(AVERAGEIFS('Historical Drafts'!$G$4:$G$300,'Historical Drafts'!$D$4:$D$300,$E689,'Historical Drafts'!$J$4:$J$300,"&gt;="&amp;$L689*0.85,'Historical Drafts'!$J$4:$J$300,"&lt;="&amp;$L689*1.15),0),$Y689))</f>
        <v>1</v>
      </c>
      <c r="AA689" s="12" t="str">
        <f>IF($A689="","",IF(COUNTIF('Auction Log'!$B$3:$B$300,$A689)&gt;0,"Sold","Available"))</f>
        <v>Available</v>
      </c>
      <c r="AB689" s="12" t="str">
        <f t="array" ref="AB689">IF($A689="","",IFERROR(XLOOKUP($A689,'Auction Log'!$B$3:$B$300,'Auction Log'!$G$3:$G$300,""),""))</f>
        <v/>
      </c>
      <c r="AC689" s="12" t="str">
        <f t="array" ref="AC689">IF($A689="","",IFERROR(XLOOKUP($A689,'Auction Log'!$B$3:$B$300,'Auction Log'!$F$3:$F$300,""),""))</f>
        <v/>
      </c>
      <c r="AD689" s="12">
        <f t="array" ref="AD689">IF($A689="","",ROUND($Y689*XLOOKUP($F689,Settings!$I$15:$I$20,Settings!$K$15:$K$20,0.4),0))</f>
        <v>0</v>
      </c>
      <c r="AE689" s="12">
        <f t="array" ref="AE689">IF($A689="","",ROUND($Y689*XLOOKUP($F689,Settings!$I$15:$I$20,Settings!$L$15:$L$20,0.8),0))</f>
        <v>1</v>
      </c>
      <c r="AF689" s="12">
        <f t="array" ref="AF689">IF($A689="","",ROUND($Y689*XLOOKUP($F689,Settings!$I$15:$I$20,Settings!$M$15:$M$20,1),0))</f>
        <v>1</v>
      </c>
      <c r="AG689" s="12">
        <f t="array" ref="AG689">IF($A689="","",ROUND($Y689*XLOOKUP($F689,Settings!$I$15:$I$20,Settings!$N$15:$N$20,1.1),0))</f>
        <v>1</v>
      </c>
      <c r="AH689" s="12">
        <f t="array" ref="AH689">IF($A689="","",ROUND($Y689*XLOOKUP($F689,Settings!$I$15:$I$20,Settings!$O$15:$O$20,1.1)*Settings!$J$7,0))</f>
        <v>1</v>
      </c>
      <c r="AI689" s="12">
        <f t="array" ref="AI689">IF($A689="","",IF($AA689="Sold","",MIN($AH689,IFERROR(XLOOKUP(Settings!$B$12,Managers!$B$4:$B$15,Managers!$H$4:$H$15),$AH689))))</f>
        <v>1</v>
      </c>
      <c r="AJ689" s="12" t="str">
        <f t="shared" si="3"/>
        <v>Recommended</v>
      </c>
      <c r="AK689" s="12">
        <f t="shared" si="4"/>
        <v>26</v>
      </c>
      <c r="AL689" s="12" t="str">
        <f t="shared" si="5"/>
        <v/>
      </c>
    </row>
    <row r="690" ht="15.75" customHeight="1">
      <c r="A690" s="10" t="s">
        <v>1661</v>
      </c>
      <c r="B690" s="10" t="s">
        <v>1662</v>
      </c>
      <c r="C690" s="10" t="s">
        <v>314</v>
      </c>
      <c r="D690" s="10" t="s">
        <v>121</v>
      </c>
      <c r="E690" s="10" t="s">
        <v>121</v>
      </c>
      <c r="F690" s="10" t="s">
        <v>117</v>
      </c>
      <c r="G690" s="10">
        <v>5.0</v>
      </c>
      <c r="H690" s="10">
        <v>7.0</v>
      </c>
      <c r="I690" s="10" t="s">
        <v>2140</v>
      </c>
      <c r="J690" s="10" t="s">
        <v>2136</v>
      </c>
      <c r="K690" s="10"/>
      <c r="L690" s="10">
        <v>0.0</v>
      </c>
      <c r="M690" s="10">
        <v>0.0</v>
      </c>
      <c r="N690" s="10"/>
      <c r="O690" s="10"/>
      <c r="P690" s="12">
        <f>IF($A690="","",IFERROR((IF($O690="",0,$O690)*Settings!$J$4+IF($L690="",0,$L690)*Settings!$J$5+IF($N690="",0,$N690)*Settings!$J$6)/(IF($O690="",0,Settings!$J$4)+IF($L690="",0,Settings!$J$5)+IF($N690="",0,Settings!$J$6)),0))</f>
        <v>0</v>
      </c>
      <c r="Q690" s="12">
        <f t="array" ref="Q690">IF($A690="","",XLOOKUP($E690,Settings!$A$19:$A$22,Settings!$G$19:$G$22,0))</f>
        <v>206</v>
      </c>
      <c r="R690" s="12">
        <f t="shared" si="1"/>
        <v>0</v>
      </c>
      <c r="S690" s="12">
        <f>IF($A690="","",IF($R690&lt;=0,1,1+$R690/SUMIF($R$4:$R$923,"&gt;0",$R$4:$R$923)*(Settings!$B$5*(Settings!$B$6-Settings!$B$7))))</f>
        <v>1</v>
      </c>
      <c r="T690" s="12">
        <f t="array" ref="T690">IF($A690="","",XLOOKUP($F690,Settings!$I$15:$I$20,Settings!$J$15:$J$20,1))</f>
        <v>0.75</v>
      </c>
      <c r="U690" s="12">
        <f>IF($A690="","",1+(($G690-5)/5)*Settings!$J$8)</f>
        <v>1</v>
      </c>
      <c r="V690" s="12">
        <f>IF($A690="","",1+(($H690-5)/5)*Settings!$J$9)</f>
        <v>1.06</v>
      </c>
      <c r="W690" s="12">
        <f t="array" ref="W690">IF($A690="","",XLOOKUP($J690,Lists!$C$3:$C$7,Lists!$D$3:$D$7,1))</f>
        <v>1</v>
      </c>
      <c r="X690" s="12">
        <f>IF($A690="","",IF($I690="Yes",Settings!$J$10,1))</f>
        <v>1</v>
      </c>
      <c r="Y690" s="12">
        <f t="shared" si="2"/>
        <v>1</v>
      </c>
      <c r="Z690" s="12">
        <f>IF($A690="","",IFERROR(ROUND(AVERAGEIFS('Historical Drafts'!$G$4:$G$300,'Historical Drafts'!$D$4:$D$300,$E690,'Historical Drafts'!$J$4:$J$300,"&gt;="&amp;$L690*0.85,'Historical Drafts'!$J$4:$J$300,"&lt;="&amp;$L690*1.15),0),$Y690))</f>
        <v>3</v>
      </c>
      <c r="AA690" s="12" t="str">
        <f>IF($A690="","",IF(COUNTIF('Auction Log'!$B$3:$B$300,$A690)&gt;0,"Sold","Available"))</f>
        <v>Available</v>
      </c>
      <c r="AB690" s="12" t="str">
        <f t="array" ref="AB690">IF($A690="","",IFERROR(XLOOKUP($A690,'Auction Log'!$B$3:$B$300,'Auction Log'!$G$3:$G$300,""),""))</f>
        <v/>
      </c>
      <c r="AC690" s="12" t="str">
        <f t="array" ref="AC690">IF($A690="","",IFERROR(XLOOKUP($A690,'Auction Log'!$B$3:$B$300,'Auction Log'!$F$3:$F$300,""),""))</f>
        <v/>
      </c>
      <c r="AD690" s="12">
        <f t="array" ref="AD690">IF($A690="","",ROUND($Y690*XLOOKUP($F690,Settings!$I$15:$I$20,Settings!$K$15:$K$20,0.4),0))</f>
        <v>0</v>
      </c>
      <c r="AE690" s="12">
        <f t="array" ref="AE690">IF($A690="","",ROUND($Y690*XLOOKUP($F690,Settings!$I$15:$I$20,Settings!$L$15:$L$20,0.8),0))</f>
        <v>1</v>
      </c>
      <c r="AF690" s="12">
        <f t="array" ref="AF690">IF($A690="","",ROUND($Y690*XLOOKUP($F690,Settings!$I$15:$I$20,Settings!$M$15:$M$20,1),0))</f>
        <v>1</v>
      </c>
      <c r="AG690" s="12">
        <f t="array" ref="AG690">IF($A690="","",ROUND($Y690*XLOOKUP($F690,Settings!$I$15:$I$20,Settings!$N$15:$N$20,1.1),0))</f>
        <v>1</v>
      </c>
      <c r="AH690" s="12">
        <f t="array" ref="AH690">IF($A690="","",ROUND($Y690*XLOOKUP($F690,Settings!$I$15:$I$20,Settings!$O$15:$O$20,1.1)*Settings!$J$7,0))</f>
        <v>1</v>
      </c>
      <c r="AI690" s="12">
        <f t="array" ref="AI690">IF($A690="","",IF($AA690="Sold","",MIN($AH690,IFERROR(XLOOKUP(Settings!$B$12,Managers!$B$4:$B$15,Managers!$H$4:$H$15),$AH690))))</f>
        <v>1</v>
      </c>
      <c r="AJ690" s="12" t="str">
        <f t="shared" si="3"/>
        <v>Budget Drainer</v>
      </c>
      <c r="AK690" s="12">
        <f t="shared" si="4"/>
        <v>28</v>
      </c>
      <c r="AL690" s="12" t="str">
        <f t="shared" si="5"/>
        <v/>
      </c>
    </row>
    <row r="691" ht="15.75" customHeight="1">
      <c r="A691" s="10" t="s">
        <v>1663</v>
      </c>
      <c r="B691" s="10" t="s">
        <v>1664</v>
      </c>
      <c r="C691" s="10" t="s">
        <v>314</v>
      </c>
      <c r="D691" s="10" t="s">
        <v>121</v>
      </c>
      <c r="E691" s="10" t="s">
        <v>121</v>
      </c>
      <c r="F691" s="10" t="s">
        <v>117</v>
      </c>
      <c r="G691" s="10">
        <v>5.0</v>
      </c>
      <c r="H691" s="10">
        <v>7.0</v>
      </c>
      <c r="I691" s="10" t="s">
        <v>2140</v>
      </c>
      <c r="J691" s="10" t="s">
        <v>2136</v>
      </c>
      <c r="K691" s="10"/>
      <c r="L691" s="10">
        <v>0.0</v>
      </c>
      <c r="M691" s="10">
        <v>0.0</v>
      </c>
      <c r="N691" s="10"/>
      <c r="O691" s="10"/>
      <c r="P691" s="12">
        <f>IF($A691="","",IFERROR((IF($O691="",0,$O691)*Settings!$J$4+IF($L691="",0,$L691)*Settings!$J$5+IF($N691="",0,$N691)*Settings!$J$6)/(IF($O691="",0,Settings!$J$4)+IF($L691="",0,Settings!$J$5)+IF($N691="",0,Settings!$J$6)),0))</f>
        <v>0</v>
      </c>
      <c r="Q691" s="12">
        <f t="array" ref="Q691">IF($A691="","",XLOOKUP($E691,Settings!$A$19:$A$22,Settings!$G$19:$G$22,0))</f>
        <v>206</v>
      </c>
      <c r="R691" s="12">
        <f t="shared" si="1"/>
        <v>0</v>
      </c>
      <c r="S691" s="12">
        <f>IF($A691="","",IF($R691&lt;=0,1,1+$R691/SUMIF($R$4:$R$923,"&gt;0",$R$4:$R$923)*(Settings!$B$5*(Settings!$B$6-Settings!$B$7))))</f>
        <v>1</v>
      </c>
      <c r="T691" s="12">
        <f t="array" ref="T691">IF($A691="","",XLOOKUP($F691,Settings!$I$15:$I$20,Settings!$J$15:$J$20,1))</f>
        <v>0.75</v>
      </c>
      <c r="U691" s="12">
        <f>IF($A691="","",1+(($G691-5)/5)*Settings!$J$8)</f>
        <v>1</v>
      </c>
      <c r="V691" s="12">
        <f>IF($A691="","",1+(($H691-5)/5)*Settings!$J$9)</f>
        <v>1.06</v>
      </c>
      <c r="W691" s="12">
        <f t="array" ref="W691">IF($A691="","",XLOOKUP($J691,Lists!$C$3:$C$7,Lists!$D$3:$D$7,1))</f>
        <v>1</v>
      </c>
      <c r="X691" s="12">
        <f>IF($A691="","",IF($I691="Yes",Settings!$J$10,1))</f>
        <v>1</v>
      </c>
      <c r="Y691" s="12">
        <f t="shared" si="2"/>
        <v>1</v>
      </c>
      <c r="Z691" s="12">
        <f>IF($A691="","",IFERROR(ROUND(AVERAGEIFS('Historical Drafts'!$G$4:$G$300,'Historical Drafts'!$D$4:$D$300,$E691,'Historical Drafts'!$J$4:$J$300,"&gt;="&amp;$L691*0.85,'Historical Drafts'!$J$4:$J$300,"&lt;="&amp;$L691*1.15),0),$Y691))</f>
        <v>3</v>
      </c>
      <c r="AA691" s="12" t="str">
        <f>IF($A691="","",IF(COUNTIF('Auction Log'!$B$3:$B$300,$A691)&gt;0,"Sold","Available"))</f>
        <v>Available</v>
      </c>
      <c r="AB691" s="12" t="str">
        <f t="array" ref="AB691">IF($A691="","",IFERROR(XLOOKUP($A691,'Auction Log'!$B$3:$B$300,'Auction Log'!$G$3:$G$300,""),""))</f>
        <v/>
      </c>
      <c r="AC691" s="12" t="str">
        <f t="array" ref="AC691">IF($A691="","",IFERROR(XLOOKUP($A691,'Auction Log'!$B$3:$B$300,'Auction Log'!$F$3:$F$300,""),""))</f>
        <v/>
      </c>
      <c r="AD691" s="12">
        <f t="array" ref="AD691">IF($A691="","",ROUND($Y691*XLOOKUP($F691,Settings!$I$15:$I$20,Settings!$K$15:$K$20,0.4),0))</f>
        <v>0</v>
      </c>
      <c r="AE691" s="12">
        <f t="array" ref="AE691">IF($A691="","",ROUND($Y691*XLOOKUP($F691,Settings!$I$15:$I$20,Settings!$L$15:$L$20,0.8),0))</f>
        <v>1</v>
      </c>
      <c r="AF691" s="12">
        <f t="array" ref="AF691">IF($A691="","",ROUND($Y691*XLOOKUP($F691,Settings!$I$15:$I$20,Settings!$M$15:$M$20,1),0))</f>
        <v>1</v>
      </c>
      <c r="AG691" s="12">
        <f t="array" ref="AG691">IF($A691="","",ROUND($Y691*XLOOKUP($F691,Settings!$I$15:$I$20,Settings!$N$15:$N$20,1.1),0))</f>
        <v>1</v>
      </c>
      <c r="AH691" s="12">
        <f t="array" ref="AH691">IF($A691="","",ROUND($Y691*XLOOKUP($F691,Settings!$I$15:$I$20,Settings!$O$15:$O$20,1.1)*Settings!$J$7,0))</f>
        <v>1</v>
      </c>
      <c r="AI691" s="12">
        <f t="array" ref="AI691">IF($A691="","",IF($AA691="Sold","",MIN($AH691,IFERROR(XLOOKUP(Settings!$B$12,Managers!$B$4:$B$15,Managers!$H$4:$H$15),$AH691))))</f>
        <v>1</v>
      </c>
      <c r="AJ691" s="12" t="str">
        <f t="shared" si="3"/>
        <v>Budget Drainer</v>
      </c>
      <c r="AK691" s="12">
        <f t="shared" si="4"/>
        <v>28</v>
      </c>
      <c r="AL691" s="12" t="str">
        <f t="shared" si="5"/>
        <v/>
      </c>
    </row>
    <row r="692" ht="15.75" customHeight="1">
      <c r="A692" s="10" t="s">
        <v>1665</v>
      </c>
      <c r="B692" s="10" t="s">
        <v>1666</v>
      </c>
      <c r="C692" s="10" t="s">
        <v>314</v>
      </c>
      <c r="D692" s="10" t="s">
        <v>576</v>
      </c>
      <c r="E692" s="10" t="s">
        <v>576</v>
      </c>
      <c r="F692" s="10" t="s">
        <v>117</v>
      </c>
      <c r="G692" s="10">
        <v>5.0</v>
      </c>
      <c r="H692" s="10">
        <v>7.0</v>
      </c>
      <c r="I692" s="10" t="s">
        <v>2140</v>
      </c>
      <c r="J692" s="10" t="s">
        <v>2136</v>
      </c>
      <c r="K692" s="10"/>
      <c r="L692" s="10">
        <v>0.0</v>
      </c>
      <c r="M692" s="10">
        <v>0.0</v>
      </c>
      <c r="N692" s="10"/>
      <c r="O692" s="10"/>
      <c r="P692" s="12">
        <f>IF($A692="","",IFERROR((IF($O692="",0,$O692)*Settings!$J$4+IF($L692="",0,$L692)*Settings!$J$5+IF($N692="",0,$N692)*Settings!$J$6)/(IF($O692="",0,Settings!$J$4)+IF($L692="",0,Settings!$J$5)+IF($N692="",0,Settings!$J$6)),0))</f>
        <v>0</v>
      </c>
      <c r="Q692" s="12">
        <f t="array" ref="Q692">IF($A692="","",XLOOKUP($E692,Settings!$A$19:$A$22,Settings!$G$19:$G$22,0))</f>
        <v>0</v>
      </c>
      <c r="R692" s="12">
        <f t="shared" si="1"/>
        <v>0</v>
      </c>
      <c r="S692" s="12">
        <f>IF($A692="","",IF($R692&lt;=0,1,1+$R692/SUMIF($R$4:$R$923,"&gt;0",$R$4:$R$923)*(Settings!$B$5*(Settings!$B$6-Settings!$B$7))))</f>
        <v>1</v>
      </c>
      <c r="T692" s="12">
        <f t="array" ref="T692">IF($A692="","",XLOOKUP($F692,Settings!$I$15:$I$20,Settings!$J$15:$J$20,1))</f>
        <v>0.75</v>
      </c>
      <c r="U692" s="12">
        <f>IF($A692="","",1+(($G692-5)/5)*Settings!$J$8)</f>
        <v>1</v>
      </c>
      <c r="V692" s="12">
        <f>IF($A692="","",1+(($H692-5)/5)*Settings!$J$9)</f>
        <v>1.06</v>
      </c>
      <c r="W692" s="12">
        <f t="array" ref="W692">IF($A692="","",XLOOKUP($J692,Lists!$C$3:$C$7,Lists!$D$3:$D$7,1))</f>
        <v>1</v>
      </c>
      <c r="X692" s="12">
        <f>IF($A692="","",IF($I692="Yes",Settings!$J$10,1))</f>
        <v>1</v>
      </c>
      <c r="Y692" s="12">
        <f t="shared" si="2"/>
        <v>1</v>
      </c>
      <c r="Z692" s="12">
        <f>IF($A692="","",IFERROR(ROUND(AVERAGEIFS('Historical Drafts'!$G$4:$G$300,'Historical Drafts'!$D$4:$D$300,$E692,'Historical Drafts'!$J$4:$J$300,"&gt;="&amp;$L692*0.85,'Historical Drafts'!$J$4:$J$300,"&lt;="&amp;$L692*1.15),0),$Y692))</f>
        <v>1</v>
      </c>
      <c r="AA692" s="12" t="str">
        <f>IF($A692="","",IF(COUNTIF('Auction Log'!$B$3:$B$300,$A692)&gt;0,"Sold","Available"))</f>
        <v>Available</v>
      </c>
      <c r="AB692" s="12" t="str">
        <f t="array" ref="AB692">IF($A692="","",IFERROR(XLOOKUP($A692,'Auction Log'!$B$3:$B$300,'Auction Log'!$G$3:$G$300,""),""))</f>
        <v/>
      </c>
      <c r="AC692" s="12" t="str">
        <f t="array" ref="AC692">IF($A692="","",IFERROR(XLOOKUP($A692,'Auction Log'!$B$3:$B$300,'Auction Log'!$F$3:$F$300,""),""))</f>
        <v/>
      </c>
      <c r="AD692" s="12">
        <f t="array" ref="AD692">IF($A692="","",ROUND($Y692*XLOOKUP($F692,Settings!$I$15:$I$20,Settings!$K$15:$K$20,0.4),0))</f>
        <v>0</v>
      </c>
      <c r="AE692" s="12">
        <f t="array" ref="AE692">IF($A692="","",ROUND($Y692*XLOOKUP($F692,Settings!$I$15:$I$20,Settings!$L$15:$L$20,0.8),0))</f>
        <v>1</v>
      </c>
      <c r="AF692" s="12">
        <f t="array" ref="AF692">IF($A692="","",ROUND($Y692*XLOOKUP($F692,Settings!$I$15:$I$20,Settings!$M$15:$M$20,1),0))</f>
        <v>1</v>
      </c>
      <c r="AG692" s="12">
        <f t="array" ref="AG692">IF($A692="","",ROUND($Y692*XLOOKUP($F692,Settings!$I$15:$I$20,Settings!$N$15:$N$20,1.1),0))</f>
        <v>1</v>
      </c>
      <c r="AH692" s="12">
        <f t="array" ref="AH692">IF($A692="","",ROUND($Y692*XLOOKUP($F692,Settings!$I$15:$I$20,Settings!$O$15:$O$20,1.1)*Settings!$J$7,0))</f>
        <v>1</v>
      </c>
      <c r="AI692" s="12">
        <f t="array" ref="AI692">IF($A692="","",IF($AA692="Sold","",MIN($AH692,IFERROR(XLOOKUP(Settings!$B$12,Managers!$B$4:$B$15,Managers!$H$4:$H$15),$AH692))))</f>
        <v>1</v>
      </c>
      <c r="AJ692" s="12" t="str">
        <f t="shared" si="3"/>
        <v>Recommended</v>
      </c>
      <c r="AK692" s="12">
        <f t="shared" si="4"/>
        <v>26</v>
      </c>
      <c r="AL692" s="12" t="str">
        <f t="shared" si="5"/>
        <v/>
      </c>
    </row>
    <row r="693" ht="15.75" customHeight="1">
      <c r="A693" s="10" t="s">
        <v>1667</v>
      </c>
      <c r="B693" s="10" t="s">
        <v>1668</v>
      </c>
      <c r="C693" s="10" t="s">
        <v>191</v>
      </c>
      <c r="D693" s="10" t="s">
        <v>123</v>
      </c>
      <c r="E693" s="10" t="s">
        <v>123</v>
      </c>
      <c r="F693" s="10" t="s">
        <v>117</v>
      </c>
      <c r="G693" s="10">
        <v>5.0</v>
      </c>
      <c r="H693" s="10">
        <v>7.0</v>
      </c>
      <c r="I693" s="10" t="s">
        <v>2140</v>
      </c>
      <c r="J693" s="10" t="s">
        <v>2136</v>
      </c>
      <c r="K693" s="10"/>
      <c r="L693" s="10">
        <v>0.0</v>
      </c>
      <c r="M693" s="10">
        <v>0.0</v>
      </c>
      <c r="N693" s="10"/>
      <c r="O693" s="10"/>
      <c r="P693" s="12">
        <f>IF($A693="","",IFERROR((IF($O693="",0,$O693)*Settings!$J$4+IF($L693="",0,$L693)*Settings!$J$5+IF($N693="",0,$N693)*Settings!$J$6)/(IF($O693="",0,Settings!$J$4)+IF($L693="",0,Settings!$J$5)+IF($N693="",0,Settings!$J$6)),0))</f>
        <v>0</v>
      </c>
      <c r="Q693" s="12">
        <f t="array" ref="Q693">IF($A693="","",XLOOKUP($E693,Settings!$A$19:$A$22,Settings!$G$19:$G$22,0))</f>
        <v>203</v>
      </c>
      <c r="R693" s="12">
        <f t="shared" si="1"/>
        <v>0</v>
      </c>
      <c r="S693" s="12">
        <f>IF($A693="","",IF($R693&lt;=0,1,1+$R693/SUMIF($R$4:$R$923,"&gt;0",$R$4:$R$923)*(Settings!$B$5*(Settings!$B$6-Settings!$B$7))))</f>
        <v>1</v>
      </c>
      <c r="T693" s="12">
        <f t="array" ref="T693">IF($A693="","",XLOOKUP($F693,Settings!$I$15:$I$20,Settings!$J$15:$J$20,1))</f>
        <v>0.75</v>
      </c>
      <c r="U693" s="12">
        <f>IF($A693="","",1+(($G693-5)/5)*Settings!$J$8)</f>
        <v>1</v>
      </c>
      <c r="V693" s="12">
        <f>IF($A693="","",1+(($H693-5)/5)*Settings!$J$9)</f>
        <v>1.06</v>
      </c>
      <c r="W693" s="12">
        <f t="array" ref="W693">IF($A693="","",XLOOKUP($J693,Lists!$C$3:$C$7,Lists!$D$3:$D$7,1))</f>
        <v>1</v>
      </c>
      <c r="X693" s="12">
        <f>IF($A693="","",IF($I693="Yes",Settings!$J$10,1))</f>
        <v>1</v>
      </c>
      <c r="Y693" s="12">
        <f t="shared" si="2"/>
        <v>1</v>
      </c>
      <c r="Z693" s="12">
        <f>IF($A693="","",IFERROR(ROUND(AVERAGEIFS('Historical Drafts'!$G$4:$G$300,'Historical Drafts'!$D$4:$D$300,$E693,'Historical Drafts'!$J$4:$J$300,"&gt;="&amp;$L693*0.85,'Historical Drafts'!$J$4:$J$300,"&lt;="&amp;$L693*1.15),0),$Y693))</f>
        <v>3</v>
      </c>
      <c r="AA693" s="12" t="str">
        <f>IF($A693="","",IF(COUNTIF('Auction Log'!$B$3:$B$300,$A693)&gt;0,"Sold","Available"))</f>
        <v>Available</v>
      </c>
      <c r="AB693" s="12" t="str">
        <f t="array" ref="AB693">IF($A693="","",IFERROR(XLOOKUP($A693,'Auction Log'!$B$3:$B$300,'Auction Log'!$G$3:$G$300,""),""))</f>
        <v/>
      </c>
      <c r="AC693" s="12" t="str">
        <f t="array" ref="AC693">IF($A693="","",IFERROR(XLOOKUP($A693,'Auction Log'!$B$3:$B$300,'Auction Log'!$F$3:$F$300,""),""))</f>
        <v/>
      </c>
      <c r="AD693" s="12">
        <f t="array" ref="AD693">IF($A693="","",ROUND($Y693*XLOOKUP($F693,Settings!$I$15:$I$20,Settings!$K$15:$K$20,0.4),0))</f>
        <v>0</v>
      </c>
      <c r="AE693" s="12">
        <f t="array" ref="AE693">IF($A693="","",ROUND($Y693*XLOOKUP($F693,Settings!$I$15:$I$20,Settings!$L$15:$L$20,0.8),0))</f>
        <v>1</v>
      </c>
      <c r="AF693" s="12">
        <f t="array" ref="AF693">IF($A693="","",ROUND($Y693*XLOOKUP($F693,Settings!$I$15:$I$20,Settings!$M$15:$M$20,1),0))</f>
        <v>1</v>
      </c>
      <c r="AG693" s="12">
        <f t="array" ref="AG693">IF($A693="","",ROUND($Y693*XLOOKUP($F693,Settings!$I$15:$I$20,Settings!$N$15:$N$20,1.1),0))</f>
        <v>1</v>
      </c>
      <c r="AH693" s="12">
        <f t="array" ref="AH693">IF($A693="","",ROUND($Y693*XLOOKUP($F693,Settings!$I$15:$I$20,Settings!$O$15:$O$20,1.1)*Settings!$J$7,0))</f>
        <v>1</v>
      </c>
      <c r="AI693" s="12">
        <f t="array" ref="AI693">IF($A693="","",IF($AA693="Sold","",MIN($AH693,IFERROR(XLOOKUP(Settings!$B$12,Managers!$B$4:$B$15,Managers!$H$4:$H$15),$AH693))))</f>
        <v>1</v>
      </c>
      <c r="AJ693" s="12" t="str">
        <f t="shared" si="3"/>
        <v>Budget Drainer</v>
      </c>
      <c r="AK693" s="12">
        <f t="shared" si="4"/>
        <v>28</v>
      </c>
      <c r="AL693" s="12" t="str">
        <f t="shared" si="5"/>
        <v/>
      </c>
    </row>
    <row r="694" ht="15.75" customHeight="1">
      <c r="A694" s="10" t="s">
        <v>1669</v>
      </c>
      <c r="B694" s="10" t="s">
        <v>1670</v>
      </c>
      <c r="C694" s="10" t="s">
        <v>180</v>
      </c>
      <c r="D694" s="10" t="s">
        <v>118</v>
      </c>
      <c r="E694" s="10" t="s">
        <v>118</v>
      </c>
      <c r="F694" s="10" t="s">
        <v>117</v>
      </c>
      <c r="G694" s="10">
        <v>5.0</v>
      </c>
      <c r="H694" s="10">
        <v>7.0</v>
      </c>
      <c r="I694" s="10" t="s">
        <v>2140</v>
      </c>
      <c r="J694" s="10" t="s">
        <v>2136</v>
      </c>
      <c r="K694" s="10"/>
      <c r="L694" s="10">
        <v>0.0</v>
      </c>
      <c r="M694" s="10">
        <v>0.0</v>
      </c>
      <c r="N694" s="10"/>
      <c r="O694" s="10"/>
      <c r="P694" s="12">
        <f>IF($A694="","",IFERROR((IF($O694="",0,$O694)*Settings!$J$4+IF($L694="",0,$L694)*Settings!$J$5+IF($N694="",0,$N694)*Settings!$J$6)/(IF($O694="",0,Settings!$J$4)+IF($L694="",0,Settings!$J$5)+IF($N694="",0,Settings!$J$6)),0))</f>
        <v>0</v>
      </c>
      <c r="Q694" s="12">
        <f t="array" ref="Q694">IF($A694="","",XLOOKUP($E694,Settings!$A$19:$A$22,Settings!$G$19:$G$22,0))</f>
        <v>196.25</v>
      </c>
      <c r="R694" s="12">
        <f t="shared" si="1"/>
        <v>0</v>
      </c>
      <c r="S694" s="12">
        <f>IF($A694="","",IF($R694&lt;=0,1,1+$R694/SUMIF($R$4:$R$923,"&gt;0",$R$4:$R$923)*(Settings!$B$5*(Settings!$B$6-Settings!$B$7))))</f>
        <v>1</v>
      </c>
      <c r="T694" s="12">
        <f t="array" ref="T694">IF($A694="","",XLOOKUP($F694,Settings!$I$15:$I$20,Settings!$J$15:$J$20,1))</f>
        <v>0.75</v>
      </c>
      <c r="U694" s="12">
        <f>IF($A694="","",1+(($G694-5)/5)*Settings!$J$8)</f>
        <v>1</v>
      </c>
      <c r="V694" s="12">
        <f>IF($A694="","",1+(($H694-5)/5)*Settings!$J$9)</f>
        <v>1.06</v>
      </c>
      <c r="W694" s="12">
        <f t="array" ref="W694">IF($A694="","",XLOOKUP($J694,Lists!$C$3:$C$7,Lists!$D$3:$D$7,1))</f>
        <v>1</v>
      </c>
      <c r="X694" s="12">
        <f>IF($A694="","",IF($I694="Yes",Settings!$J$10,1))</f>
        <v>1</v>
      </c>
      <c r="Y694" s="12">
        <f t="shared" si="2"/>
        <v>1</v>
      </c>
      <c r="Z694" s="12">
        <f>IF($A694="","",IFERROR(ROUND(AVERAGEIFS('Historical Drafts'!$G$4:$G$300,'Historical Drafts'!$D$4:$D$300,$E694,'Historical Drafts'!$J$4:$J$300,"&gt;="&amp;$L694*0.85,'Historical Drafts'!$J$4:$J$300,"&lt;="&amp;$L694*1.15),0),$Y694))</f>
        <v>1</v>
      </c>
      <c r="AA694" s="12" t="str">
        <f>IF($A694="","",IF(COUNTIF('Auction Log'!$B$3:$B$300,$A694)&gt;0,"Sold","Available"))</f>
        <v>Available</v>
      </c>
      <c r="AB694" s="12" t="str">
        <f t="array" ref="AB694">IF($A694="","",IFERROR(XLOOKUP($A694,'Auction Log'!$B$3:$B$300,'Auction Log'!$G$3:$G$300,""),""))</f>
        <v/>
      </c>
      <c r="AC694" s="12" t="str">
        <f t="array" ref="AC694">IF($A694="","",IFERROR(XLOOKUP($A694,'Auction Log'!$B$3:$B$300,'Auction Log'!$F$3:$F$300,""),""))</f>
        <v/>
      </c>
      <c r="AD694" s="12">
        <f t="array" ref="AD694">IF($A694="","",ROUND($Y694*XLOOKUP($F694,Settings!$I$15:$I$20,Settings!$K$15:$K$20,0.4),0))</f>
        <v>0</v>
      </c>
      <c r="AE694" s="12">
        <f t="array" ref="AE694">IF($A694="","",ROUND($Y694*XLOOKUP($F694,Settings!$I$15:$I$20,Settings!$L$15:$L$20,0.8),0))</f>
        <v>1</v>
      </c>
      <c r="AF694" s="12">
        <f t="array" ref="AF694">IF($A694="","",ROUND($Y694*XLOOKUP($F694,Settings!$I$15:$I$20,Settings!$M$15:$M$20,1),0))</f>
        <v>1</v>
      </c>
      <c r="AG694" s="12">
        <f t="array" ref="AG694">IF($A694="","",ROUND($Y694*XLOOKUP($F694,Settings!$I$15:$I$20,Settings!$N$15:$N$20,1.1),0))</f>
        <v>1</v>
      </c>
      <c r="AH694" s="12">
        <f t="array" ref="AH694">IF($A694="","",ROUND($Y694*XLOOKUP($F694,Settings!$I$15:$I$20,Settings!$O$15:$O$20,1.1)*Settings!$J$7,0))</f>
        <v>1</v>
      </c>
      <c r="AI694" s="12">
        <f t="array" ref="AI694">IF($A694="","",IF($AA694="Sold","",MIN($AH694,IFERROR(XLOOKUP(Settings!$B$12,Managers!$B$4:$B$15,Managers!$H$4:$H$15),$AH694))))</f>
        <v>1</v>
      </c>
      <c r="AJ694" s="12" t="str">
        <f t="shared" si="3"/>
        <v>Recommended</v>
      </c>
      <c r="AK694" s="12">
        <f t="shared" si="4"/>
        <v>26</v>
      </c>
      <c r="AL694" s="12" t="str">
        <f t="shared" si="5"/>
        <v/>
      </c>
    </row>
    <row r="695" ht="15.75" customHeight="1">
      <c r="A695" s="10" t="s">
        <v>1671</v>
      </c>
      <c r="B695" s="10" t="s">
        <v>1672</v>
      </c>
      <c r="C695" s="10" t="s">
        <v>215</v>
      </c>
      <c r="D695" s="10" t="s">
        <v>121</v>
      </c>
      <c r="E695" s="10" t="s">
        <v>121</v>
      </c>
      <c r="F695" s="10" t="s">
        <v>117</v>
      </c>
      <c r="G695" s="10">
        <v>5.0</v>
      </c>
      <c r="H695" s="10">
        <v>7.0</v>
      </c>
      <c r="I695" s="10" t="s">
        <v>2140</v>
      </c>
      <c r="J695" s="10" t="s">
        <v>2136</v>
      </c>
      <c r="K695" s="10"/>
      <c r="L695" s="10">
        <v>0.0</v>
      </c>
      <c r="M695" s="10">
        <v>0.0</v>
      </c>
      <c r="N695" s="10"/>
      <c r="O695" s="10"/>
      <c r="P695" s="12">
        <f>IF($A695="","",IFERROR((IF($O695="",0,$O695)*Settings!$J$4+IF($L695="",0,$L695)*Settings!$J$5+IF($N695="",0,$N695)*Settings!$J$6)/(IF($O695="",0,Settings!$J$4)+IF($L695="",0,Settings!$J$5)+IF($N695="",0,Settings!$J$6)),0))</f>
        <v>0</v>
      </c>
      <c r="Q695" s="12">
        <f t="array" ref="Q695">IF($A695="","",XLOOKUP($E695,Settings!$A$19:$A$22,Settings!$G$19:$G$22,0))</f>
        <v>206</v>
      </c>
      <c r="R695" s="12">
        <f t="shared" si="1"/>
        <v>0</v>
      </c>
      <c r="S695" s="12">
        <f>IF($A695="","",IF($R695&lt;=0,1,1+$R695/SUMIF($R$4:$R$923,"&gt;0",$R$4:$R$923)*(Settings!$B$5*(Settings!$B$6-Settings!$B$7))))</f>
        <v>1</v>
      </c>
      <c r="T695" s="12">
        <f t="array" ref="T695">IF($A695="","",XLOOKUP($F695,Settings!$I$15:$I$20,Settings!$J$15:$J$20,1))</f>
        <v>0.75</v>
      </c>
      <c r="U695" s="12">
        <f>IF($A695="","",1+(($G695-5)/5)*Settings!$J$8)</f>
        <v>1</v>
      </c>
      <c r="V695" s="12">
        <f>IF($A695="","",1+(($H695-5)/5)*Settings!$J$9)</f>
        <v>1.06</v>
      </c>
      <c r="W695" s="12">
        <f t="array" ref="W695">IF($A695="","",XLOOKUP($J695,Lists!$C$3:$C$7,Lists!$D$3:$D$7,1))</f>
        <v>1</v>
      </c>
      <c r="X695" s="12">
        <f>IF($A695="","",IF($I695="Yes",Settings!$J$10,1))</f>
        <v>1</v>
      </c>
      <c r="Y695" s="12">
        <f t="shared" si="2"/>
        <v>1</v>
      </c>
      <c r="Z695" s="12">
        <f>IF($A695="","",IFERROR(ROUND(AVERAGEIFS('Historical Drafts'!$G$4:$G$300,'Historical Drafts'!$D$4:$D$300,$E695,'Historical Drafts'!$J$4:$J$300,"&gt;="&amp;$L695*0.85,'Historical Drafts'!$J$4:$J$300,"&lt;="&amp;$L695*1.15),0),$Y695))</f>
        <v>3</v>
      </c>
      <c r="AA695" s="12" t="str">
        <f>IF($A695="","",IF(COUNTIF('Auction Log'!$B$3:$B$300,$A695)&gt;0,"Sold","Available"))</f>
        <v>Available</v>
      </c>
      <c r="AB695" s="12" t="str">
        <f t="array" ref="AB695">IF($A695="","",IFERROR(XLOOKUP($A695,'Auction Log'!$B$3:$B$300,'Auction Log'!$G$3:$G$300,""),""))</f>
        <v/>
      </c>
      <c r="AC695" s="12" t="str">
        <f t="array" ref="AC695">IF($A695="","",IFERROR(XLOOKUP($A695,'Auction Log'!$B$3:$B$300,'Auction Log'!$F$3:$F$300,""),""))</f>
        <v/>
      </c>
      <c r="AD695" s="12">
        <f t="array" ref="AD695">IF($A695="","",ROUND($Y695*XLOOKUP($F695,Settings!$I$15:$I$20,Settings!$K$15:$K$20,0.4),0))</f>
        <v>0</v>
      </c>
      <c r="AE695" s="12">
        <f t="array" ref="AE695">IF($A695="","",ROUND($Y695*XLOOKUP($F695,Settings!$I$15:$I$20,Settings!$L$15:$L$20,0.8),0))</f>
        <v>1</v>
      </c>
      <c r="AF695" s="12">
        <f t="array" ref="AF695">IF($A695="","",ROUND($Y695*XLOOKUP($F695,Settings!$I$15:$I$20,Settings!$M$15:$M$20,1),0))</f>
        <v>1</v>
      </c>
      <c r="AG695" s="12">
        <f t="array" ref="AG695">IF($A695="","",ROUND($Y695*XLOOKUP($F695,Settings!$I$15:$I$20,Settings!$N$15:$N$20,1.1),0))</f>
        <v>1</v>
      </c>
      <c r="AH695" s="12">
        <f t="array" ref="AH695">IF($A695="","",ROUND($Y695*XLOOKUP($F695,Settings!$I$15:$I$20,Settings!$O$15:$O$20,1.1)*Settings!$J$7,0))</f>
        <v>1</v>
      </c>
      <c r="AI695" s="12">
        <f t="array" ref="AI695">IF($A695="","",IF($AA695="Sold","",MIN($AH695,IFERROR(XLOOKUP(Settings!$B$12,Managers!$B$4:$B$15,Managers!$H$4:$H$15),$AH695))))</f>
        <v>1</v>
      </c>
      <c r="AJ695" s="12" t="str">
        <f t="shared" si="3"/>
        <v>Budget Drainer</v>
      </c>
      <c r="AK695" s="12">
        <f t="shared" si="4"/>
        <v>28</v>
      </c>
      <c r="AL695" s="12" t="str">
        <f t="shared" si="5"/>
        <v/>
      </c>
    </row>
    <row r="696" ht="15.75" customHeight="1">
      <c r="A696" s="10" t="s">
        <v>1673</v>
      </c>
      <c r="B696" s="10" t="s">
        <v>1674</v>
      </c>
      <c r="C696" s="10" t="s">
        <v>188</v>
      </c>
      <c r="D696" s="10" t="s">
        <v>123</v>
      </c>
      <c r="E696" s="10" t="s">
        <v>123</v>
      </c>
      <c r="F696" s="10" t="s">
        <v>117</v>
      </c>
      <c r="G696" s="10">
        <v>5.0</v>
      </c>
      <c r="H696" s="10">
        <v>7.0</v>
      </c>
      <c r="I696" s="10" t="s">
        <v>2140</v>
      </c>
      <c r="J696" s="10" t="s">
        <v>2136</v>
      </c>
      <c r="K696" s="10"/>
      <c r="L696" s="10">
        <v>0.0</v>
      </c>
      <c r="M696" s="10">
        <v>0.0</v>
      </c>
      <c r="N696" s="10"/>
      <c r="O696" s="10"/>
      <c r="P696" s="12">
        <f>IF($A696="","",IFERROR((IF($O696="",0,$O696)*Settings!$J$4+IF($L696="",0,$L696)*Settings!$J$5+IF($N696="",0,$N696)*Settings!$J$6)/(IF($O696="",0,Settings!$J$4)+IF($L696="",0,Settings!$J$5)+IF($N696="",0,Settings!$J$6)),0))</f>
        <v>0</v>
      </c>
      <c r="Q696" s="12">
        <f t="array" ref="Q696">IF($A696="","",XLOOKUP($E696,Settings!$A$19:$A$22,Settings!$G$19:$G$22,0))</f>
        <v>203</v>
      </c>
      <c r="R696" s="12">
        <f t="shared" si="1"/>
        <v>0</v>
      </c>
      <c r="S696" s="12">
        <f>IF($A696="","",IF($R696&lt;=0,1,1+$R696/SUMIF($R$4:$R$923,"&gt;0",$R$4:$R$923)*(Settings!$B$5*(Settings!$B$6-Settings!$B$7))))</f>
        <v>1</v>
      </c>
      <c r="T696" s="12">
        <f t="array" ref="T696">IF($A696="","",XLOOKUP($F696,Settings!$I$15:$I$20,Settings!$J$15:$J$20,1))</f>
        <v>0.75</v>
      </c>
      <c r="U696" s="12">
        <f>IF($A696="","",1+(($G696-5)/5)*Settings!$J$8)</f>
        <v>1</v>
      </c>
      <c r="V696" s="12">
        <f>IF($A696="","",1+(($H696-5)/5)*Settings!$J$9)</f>
        <v>1.06</v>
      </c>
      <c r="W696" s="12">
        <f t="array" ref="W696">IF($A696="","",XLOOKUP($J696,Lists!$C$3:$C$7,Lists!$D$3:$D$7,1))</f>
        <v>1</v>
      </c>
      <c r="X696" s="12">
        <f>IF($A696="","",IF($I696="Yes",Settings!$J$10,1))</f>
        <v>1</v>
      </c>
      <c r="Y696" s="12">
        <f t="shared" si="2"/>
        <v>1</v>
      </c>
      <c r="Z696" s="12">
        <f>IF($A696="","",IFERROR(ROUND(AVERAGEIFS('Historical Drafts'!$G$4:$G$300,'Historical Drafts'!$D$4:$D$300,$E696,'Historical Drafts'!$J$4:$J$300,"&gt;="&amp;$L696*0.85,'Historical Drafts'!$J$4:$J$300,"&lt;="&amp;$L696*1.15),0),$Y696))</f>
        <v>3</v>
      </c>
      <c r="AA696" s="12" t="str">
        <f>IF($A696="","",IF(COUNTIF('Auction Log'!$B$3:$B$300,$A696)&gt;0,"Sold","Available"))</f>
        <v>Available</v>
      </c>
      <c r="AB696" s="12" t="str">
        <f t="array" ref="AB696">IF($A696="","",IFERROR(XLOOKUP($A696,'Auction Log'!$B$3:$B$300,'Auction Log'!$G$3:$G$300,""),""))</f>
        <v/>
      </c>
      <c r="AC696" s="12" t="str">
        <f t="array" ref="AC696">IF($A696="","",IFERROR(XLOOKUP($A696,'Auction Log'!$B$3:$B$300,'Auction Log'!$F$3:$F$300,""),""))</f>
        <v/>
      </c>
      <c r="AD696" s="12">
        <f t="array" ref="AD696">IF($A696="","",ROUND($Y696*XLOOKUP($F696,Settings!$I$15:$I$20,Settings!$K$15:$K$20,0.4),0))</f>
        <v>0</v>
      </c>
      <c r="AE696" s="12">
        <f t="array" ref="AE696">IF($A696="","",ROUND($Y696*XLOOKUP($F696,Settings!$I$15:$I$20,Settings!$L$15:$L$20,0.8),0))</f>
        <v>1</v>
      </c>
      <c r="AF696" s="12">
        <f t="array" ref="AF696">IF($A696="","",ROUND($Y696*XLOOKUP($F696,Settings!$I$15:$I$20,Settings!$M$15:$M$20,1),0))</f>
        <v>1</v>
      </c>
      <c r="AG696" s="12">
        <f t="array" ref="AG696">IF($A696="","",ROUND($Y696*XLOOKUP($F696,Settings!$I$15:$I$20,Settings!$N$15:$N$20,1.1),0))</f>
        <v>1</v>
      </c>
      <c r="AH696" s="12">
        <f t="array" ref="AH696">IF($A696="","",ROUND($Y696*XLOOKUP($F696,Settings!$I$15:$I$20,Settings!$O$15:$O$20,1.1)*Settings!$J$7,0))</f>
        <v>1</v>
      </c>
      <c r="AI696" s="12">
        <f t="array" ref="AI696">IF($A696="","",IF($AA696="Sold","",MIN($AH696,IFERROR(XLOOKUP(Settings!$B$12,Managers!$B$4:$B$15,Managers!$H$4:$H$15),$AH696))))</f>
        <v>1</v>
      </c>
      <c r="AJ696" s="12" t="str">
        <f t="shared" si="3"/>
        <v>Budget Drainer</v>
      </c>
      <c r="AK696" s="12">
        <f t="shared" si="4"/>
        <v>28</v>
      </c>
      <c r="AL696" s="12" t="str">
        <f t="shared" si="5"/>
        <v/>
      </c>
    </row>
    <row r="697" ht="15.75" customHeight="1">
      <c r="A697" s="10" t="s">
        <v>1675</v>
      </c>
      <c r="B697" s="10" t="s">
        <v>1676</v>
      </c>
      <c r="C697" s="10" t="s">
        <v>188</v>
      </c>
      <c r="D697" s="10" t="s">
        <v>121</v>
      </c>
      <c r="E697" s="10" t="s">
        <v>121</v>
      </c>
      <c r="F697" s="10" t="s">
        <v>117</v>
      </c>
      <c r="G697" s="10">
        <v>5.0</v>
      </c>
      <c r="H697" s="10">
        <v>7.0</v>
      </c>
      <c r="I697" s="10" t="s">
        <v>2140</v>
      </c>
      <c r="J697" s="10" t="s">
        <v>2136</v>
      </c>
      <c r="K697" s="10"/>
      <c r="L697" s="10">
        <v>0.0</v>
      </c>
      <c r="M697" s="10">
        <v>0.0</v>
      </c>
      <c r="N697" s="10"/>
      <c r="O697" s="10"/>
      <c r="P697" s="12">
        <f>IF($A697="","",IFERROR((IF($O697="",0,$O697)*Settings!$J$4+IF($L697="",0,$L697)*Settings!$J$5+IF($N697="",0,$N697)*Settings!$J$6)/(IF($O697="",0,Settings!$J$4)+IF($L697="",0,Settings!$J$5)+IF($N697="",0,Settings!$J$6)),0))</f>
        <v>0</v>
      </c>
      <c r="Q697" s="12">
        <f t="array" ref="Q697">IF($A697="","",XLOOKUP($E697,Settings!$A$19:$A$22,Settings!$G$19:$G$22,0))</f>
        <v>206</v>
      </c>
      <c r="R697" s="12">
        <f t="shared" si="1"/>
        <v>0</v>
      </c>
      <c r="S697" s="12">
        <f>IF($A697="","",IF($R697&lt;=0,1,1+$R697/SUMIF($R$4:$R$923,"&gt;0",$R$4:$R$923)*(Settings!$B$5*(Settings!$B$6-Settings!$B$7))))</f>
        <v>1</v>
      </c>
      <c r="T697" s="12">
        <f t="array" ref="T697">IF($A697="","",XLOOKUP($F697,Settings!$I$15:$I$20,Settings!$J$15:$J$20,1))</f>
        <v>0.75</v>
      </c>
      <c r="U697" s="12">
        <f>IF($A697="","",1+(($G697-5)/5)*Settings!$J$8)</f>
        <v>1</v>
      </c>
      <c r="V697" s="12">
        <f>IF($A697="","",1+(($H697-5)/5)*Settings!$J$9)</f>
        <v>1.06</v>
      </c>
      <c r="W697" s="12">
        <f t="array" ref="W697">IF($A697="","",XLOOKUP($J697,Lists!$C$3:$C$7,Lists!$D$3:$D$7,1))</f>
        <v>1</v>
      </c>
      <c r="X697" s="12">
        <f>IF($A697="","",IF($I697="Yes",Settings!$J$10,1))</f>
        <v>1</v>
      </c>
      <c r="Y697" s="12">
        <f t="shared" si="2"/>
        <v>1</v>
      </c>
      <c r="Z697" s="12">
        <f>IF($A697="","",IFERROR(ROUND(AVERAGEIFS('Historical Drafts'!$G$4:$G$300,'Historical Drafts'!$D$4:$D$300,$E697,'Historical Drafts'!$J$4:$J$300,"&gt;="&amp;$L697*0.85,'Historical Drafts'!$J$4:$J$300,"&lt;="&amp;$L697*1.15),0),$Y697))</f>
        <v>3</v>
      </c>
      <c r="AA697" s="12" t="str">
        <f>IF($A697="","",IF(COUNTIF('Auction Log'!$B$3:$B$300,$A697)&gt;0,"Sold","Available"))</f>
        <v>Available</v>
      </c>
      <c r="AB697" s="12" t="str">
        <f t="array" ref="AB697">IF($A697="","",IFERROR(XLOOKUP($A697,'Auction Log'!$B$3:$B$300,'Auction Log'!$G$3:$G$300,""),""))</f>
        <v/>
      </c>
      <c r="AC697" s="12" t="str">
        <f t="array" ref="AC697">IF($A697="","",IFERROR(XLOOKUP($A697,'Auction Log'!$B$3:$B$300,'Auction Log'!$F$3:$F$300,""),""))</f>
        <v/>
      </c>
      <c r="AD697" s="12">
        <f t="array" ref="AD697">IF($A697="","",ROUND($Y697*XLOOKUP($F697,Settings!$I$15:$I$20,Settings!$K$15:$K$20,0.4),0))</f>
        <v>0</v>
      </c>
      <c r="AE697" s="12">
        <f t="array" ref="AE697">IF($A697="","",ROUND($Y697*XLOOKUP($F697,Settings!$I$15:$I$20,Settings!$L$15:$L$20,0.8),0))</f>
        <v>1</v>
      </c>
      <c r="AF697" s="12">
        <f t="array" ref="AF697">IF($A697="","",ROUND($Y697*XLOOKUP($F697,Settings!$I$15:$I$20,Settings!$M$15:$M$20,1),0))</f>
        <v>1</v>
      </c>
      <c r="AG697" s="12">
        <f t="array" ref="AG697">IF($A697="","",ROUND($Y697*XLOOKUP($F697,Settings!$I$15:$I$20,Settings!$N$15:$N$20,1.1),0))</f>
        <v>1</v>
      </c>
      <c r="AH697" s="12">
        <f t="array" ref="AH697">IF($A697="","",ROUND($Y697*XLOOKUP($F697,Settings!$I$15:$I$20,Settings!$O$15:$O$20,1.1)*Settings!$J$7,0))</f>
        <v>1</v>
      </c>
      <c r="AI697" s="12">
        <f t="array" ref="AI697">IF($A697="","",IF($AA697="Sold","",MIN($AH697,IFERROR(XLOOKUP(Settings!$B$12,Managers!$B$4:$B$15,Managers!$H$4:$H$15),$AH697))))</f>
        <v>1</v>
      </c>
      <c r="AJ697" s="12" t="str">
        <f t="shared" si="3"/>
        <v>Budget Drainer</v>
      </c>
      <c r="AK697" s="12">
        <f t="shared" si="4"/>
        <v>28</v>
      </c>
      <c r="AL697" s="12" t="str">
        <f t="shared" si="5"/>
        <v/>
      </c>
    </row>
    <row r="698" ht="15.75" customHeight="1">
      <c r="A698" s="10" t="s">
        <v>1677</v>
      </c>
      <c r="B698" s="10" t="s">
        <v>1678</v>
      </c>
      <c r="C698" s="10" t="s">
        <v>221</v>
      </c>
      <c r="D698" s="10" t="s">
        <v>118</v>
      </c>
      <c r="E698" s="10" t="s">
        <v>118</v>
      </c>
      <c r="F698" s="10" t="s">
        <v>117</v>
      </c>
      <c r="G698" s="10">
        <v>5.0</v>
      </c>
      <c r="H698" s="10">
        <v>7.0</v>
      </c>
      <c r="I698" s="10" t="s">
        <v>2140</v>
      </c>
      <c r="J698" s="10" t="s">
        <v>2136</v>
      </c>
      <c r="K698" s="10"/>
      <c r="L698" s="10">
        <v>0.0</v>
      </c>
      <c r="M698" s="10">
        <v>0.0</v>
      </c>
      <c r="N698" s="10"/>
      <c r="O698" s="10"/>
      <c r="P698" s="12">
        <f>IF($A698="","",IFERROR((IF($O698="",0,$O698)*Settings!$J$4+IF($L698="",0,$L698)*Settings!$J$5+IF($N698="",0,$N698)*Settings!$J$6)/(IF($O698="",0,Settings!$J$4)+IF($L698="",0,Settings!$J$5)+IF($N698="",0,Settings!$J$6)),0))</f>
        <v>0</v>
      </c>
      <c r="Q698" s="12">
        <f t="array" ref="Q698">IF($A698="","",XLOOKUP($E698,Settings!$A$19:$A$22,Settings!$G$19:$G$22,0))</f>
        <v>196.25</v>
      </c>
      <c r="R698" s="12">
        <f t="shared" si="1"/>
        <v>0</v>
      </c>
      <c r="S698" s="12">
        <f>IF($A698="","",IF($R698&lt;=0,1,1+$R698/SUMIF($R$4:$R$923,"&gt;0",$R$4:$R$923)*(Settings!$B$5*(Settings!$B$6-Settings!$B$7))))</f>
        <v>1</v>
      </c>
      <c r="T698" s="12">
        <f t="array" ref="T698">IF($A698="","",XLOOKUP($F698,Settings!$I$15:$I$20,Settings!$J$15:$J$20,1))</f>
        <v>0.75</v>
      </c>
      <c r="U698" s="12">
        <f>IF($A698="","",1+(($G698-5)/5)*Settings!$J$8)</f>
        <v>1</v>
      </c>
      <c r="V698" s="12">
        <f>IF($A698="","",1+(($H698-5)/5)*Settings!$J$9)</f>
        <v>1.06</v>
      </c>
      <c r="W698" s="12">
        <f t="array" ref="W698">IF($A698="","",XLOOKUP($J698,Lists!$C$3:$C$7,Lists!$D$3:$D$7,1))</f>
        <v>1</v>
      </c>
      <c r="X698" s="12">
        <f>IF($A698="","",IF($I698="Yes",Settings!$J$10,1))</f>
        <v>1</v>
      </c>
      <c r="Y698" s="12">
        <f t="shared" si="2"/>
        <v>1</v>
      </c>
      <c r="Z698" s="12">
        <f>IF($A698="","",IFERROR(ROUND(AVERAGEIFS('Historical Drafts'!$G$4:$G$300,'Historical Drafts'!$D$4:$D$300,$E698,'Historical Drafts'!$J$4:$J$300,"&gt;="&amp;$L698*0.85,'Historical Drafts'!$J$4:$J$300,"&lt;="&amp;$L698*1.15),0),$Y698))</f>
        <v>1</v>
      </c>
      <c r="AA698" s="12" t="str">
        <f>IF($A698="","",IF(COUNTIF('Auction Log'!$B$3:$B$300,$A698)&gt;0,"Sold","Available"))</f>
        <v>Available</v>
      </c>
      <c r="AB698" s="12" t="str">
        <f t="array" ref="AB698">IF($A698="","",IFERROR(XLOOKUP($A698,'Auction Log'!$B$3:$B$300,'Auction Log'!$G$3:$G$300,""),""))</f>
        <v/>
      </c>
      <c r="AC698" s="12" t="str">
        <f t="array" ref="AC698">IF($A698="","",IFERROR(XLOOKUP($A698,'Auction Log'!$B$3:$B$300,'Auction Log'!$F$3:$F$300,""),""))</f>
        <v/>
      </c>
      <c r="AD698" s="12">
        <f t="array" ref="AD698">IF($A698="","",ROUND($Y698*XLOOKUP($F698,Settings!$I$15:$I$20,Settings!$K$15:$K$20,0.4),0))</f>
        <v>0</v>
      </c>
      <c r="AE698" s="12">
        <f t="array" ref="AE698">IF($A698="","",ROUND($Y698*XLOOKUP($F698,Settings!$I$15:$I$20,Settings!$L$15:$L$20,0.8),0))</f>
        <v>1</v>
      </c>
      <c r="AF698" s="12">
        <f t="array" ref="AF698">IF($A698="","",ROUND($Y698*XLOOKUP($F698,Settings!$I$15:$I$20,Settings!$M$15:$M$20,1),0))</f>
        <v>1</v>
      </c>
      <c r="AG698" s="12">
        <f t="array" ref="AG698">IF($A698="","",ROUND($Y698*XLOOKUP($F698,Settings!$I$15:$I$20,Settings!$N$15:$N$20,1.1),0))</f>
        <v>1</v>
      </c>
      <c r="AH698" s="12">
        <f t="array" ref="AH698">IF($A698="","",ROUND($Y698*XLOOKUP($F698,Settings!$I$15:$I$20,Settings!$O$15:$O$20,1.1)*Settings!$J$7,0))</f>
        <v>1</v>
      </c>
      <c r="AI698" s="12">
        <f t="array" ref="AI698">IF($A698="","",IF($AA698="Sold","",MIN($AH698,IFERROR(XLOOKUP(Settings!$B$12,Managers!$B$4:$B$15,Managers!$H$4:$H$15),$AH698))))</f>
        <v>1</v>
      </c>
      <c r="AJ698" s="12" t="str">
        <f t="shared" si="3"/>
        <v>Recommended</v>
      </c>
      <c r="AK698" s="12">
        <f t="shared" si="4"/>
        <v>26</v>
      </c>
      <c r="AL698" s="12" t="str">
        <f t="shared" si="5"/>
        <v/>
      </c>
    </row>
    <row r="699" ht="15.75" customHeight="1">
      <c r="A699" s="10" t="s">
        <v>1679</v>
      </c>
      <c r="B699" s="10" t="s">
        <v>1680</v>
      </c>
      <c r="C699" s="10" t="s">
        <v>1681</v>
      </c>
      <c r="D699" s="10" t="s">
        <v>115</v>
      </c>
      <c r="E699" s="10" t="s">
        <v>115</v>
      </c>
      <c r="F699" s="10" t="s">
        <v>117</v>
      </c>
      <c r="G699" s="10">
        <v>5.0</v>
      </c>
      <c r="H699" s="10">
        <v>7.0</v>
      </c>
      <c r="I699" s="10" t="s">
        <v>2140</v>
      </c>
      <c r="J699" s="10" t="s">
        <v>2136</v>
      </c>
      <c r="K699" s="10"/>
      <c r="L699" s="10">
        <v>0.0</v>
      </c>
      <c r="M699" s="10">
        <v>0.0</v>
      </c>
      <c r="N699" s="10"/>
      <c r="O699" s="10"/>
      <c r="P699" s="12">
        <f>IF($A699="","",IFERROR((IF($O699="",0,$O699)*Settings!$J$4+IF($L699="",0,$L699)*Settings!$J$5+IF($N699="",0,$N699)*Settings!$J$6)/(IF($O699="",0,Settings!$J$4)+IF($L699="",0,Settings!$J$5)+IF($N699="",0,Settings!$J$6)),0))</f>
        <v>0</v>
      </c>
      <c r="Q699" s="12">
        <f t="array" ref="Q699">IF($A699="","",XLOOKUP($E699,Settings!$A$19:$A$22,Settings!$G$19:$G$22,0))</f>
        <v>249.25</v>
      </c>
      <c r="R699" s="12">
        <f t="shared" si="1"/>
        <v>0</v>
      </c>
      <c r="S699" s="12">
        <f>IF($A699="","",IF($R699&lt;=0,1,1+$R699/SUMIF($R$4:$R$923,"&gt;0",$R$4:$R$923)*(Settings!$B$5*(Settings!$B$6-Settings!$B$7))))</f>
        <v>1</v>
      </c>
      <c r="T699" s="12">
        <f t="array" ref="T699">IF($A699="","",XLOOKUP($F699,Settings!$I$15:$I$20,Settings!$J$15:$J$20,1))</f>
        <v>0.75</v>
      </c>
      <c r="U699" s="12">
        <f>IF($A699="","",1+(($G699-5)/5)*Settings!$J$8)</f>
        <v>1</v>
      </c>
      <c r="V699" s="12">
        <f>IF($A699="","",1+(($H699-5)/5)*Settings!$J$9)</f>
        <v>1.06</v>
      </c>
      <c r="W699" s="12">
        <f t="array" ref="W699">IF($A699="","",XLOOKUP($J699,Lists!$C$3:$C$7,Lists!$D$3:$D$7,1))</f>
        <v>1</v>
      </c>
      <c r="X699" s="12">
        <f>IF($A699="","",IF($I699="Yes",Settings!$J$10,1))</f>
        <v>1</v>
      </c>
      <c r="Y699" s="12">
        <f t="shared" si="2"/>
        <v>1</v>
      </c>
      <c r="Z699" s="12">
        <f>IF($A699="","",IFERROR(ROUND(AVERAGEIFS('Historical Drafts'!$G$4:$G$300,'Historical Drafts'!$D$4:$D$300,$E699,'Historical Drafts'!$J$4:$J$300,"&gt;="&amp;$L699*0.85,'Historical Drafts'!$J$4:$J$300,"&lt;="&amp;$L699*1.15),0),$Y699))</f>
        <v>1</v>
      </c>
      <c r="AA699" s="12" t="str">
        <f>IF($A699="","",IF(COUNTIF('Auction Log'!$B$3:$B$300,$A699)&gt;0,"Sold","Available"))</f>
        <v>Available</v>
      </c>
      <c r="AB699" s="12" t="str">
        <f t="array" ref="AB699">IF($A699="","",IFERROR(XLOOKUP($A699,'Auction Log'!$B$3:$B$300,'Auction Log'!$G$3:$G$300,""),""))</f>
        <v/>
      </c>
      <c r="AC699" s="12" t="str">
        <f t="array" ref="AC699">IF($A699="","",IFERROR(XLOOKUP($A699,'Auction Log'!$B$3:$B$300,'Auction Log'!$F$3:$F$300,""),""))</f>
        <v/>
      </c>
      <c r="AD699" s="12">
        <f t="array" ref="AD699">IF($A699="","",ROUND($Y699*XLOOKUP($F699,Settings!$I$15:$I$20,Settings!$K$15:$K$20,0.4),0))</f>
        <v>0</v>
      </c>
      <c r="AE699" s="12">
        <f t="array" ref="AE699">IF($A699="","",ROUND($Y699*XLOOKUP($F699,Settings!$I$15:$I$20,Settings!$L$15:$L$20,0.8),0))</f>
        <v>1</v>
      </c>
      <c r="AF699" s="12">
        <f t="array" ref="AF699">IF($A699="","",ROUND($Y699*XLOOKUP($F699,Settings!$I$15:$I$20,Settings!$M$15:$M$20,1),0))</f>
        <v>1</v>
      </c>
      <c r="AG699" s="12">
        <f t="array" ref="AG699">IF($A699="","",ROUND($Y699*XLOOKUP($F699,Settings!$I$15:$I$20,Settings!$N$15:$N$20,1.1),0))</f>
        <v>1</v>
      </c>
      <c r="AH699" s="12">
        <f t="array" ref="AH699">IF($A699="","",ROUND($Y699*XLOOKUP($F699,Settings!$I$15:$I$20,Settings!$O$15:$O$20,1.1)*Settings!$J$7,0))</f>
        <v>1</v>
      </c>
      <c r="AI699" s="12">
        <f t="array" ref="AI699">IF($A699="","",IF($AA699="Sold","",MIN($AH699,IFERROR(XLOOKUP(Settings!$B$12,Managers!$B$4:$B$15,Managers!$H$4:$H$15),$AH699))))</f>
        <v>1</v>
      </c>
      <c r="AJ699" s="12" t="str">
        <f t="shared" si="3"/>
        <v>Recommended</v>
      </c>
      <c r="AK699" s="12">
        <f t="shared" si="4"/>
        <v>26</v>
      </c>
      <c r="AL699" s="12" t="str">
        <f t="shared" si="5"/>
        <v/>
      </c>
    </row>
    <row r="700" ht="15.75" customHeight="1">
      <c r="A700" s="10" t="s">
        <v>1682</v>
      </c>
      <c r="B700" s="10" t="s">
        <v>1683</v>
      </c>
      <c r="C700" s="10" t="s">
        <v>191</v>
      </c>
      <c r="D700" s="10" t="s">
        <v>118</v>
      </c>
      <c r="E700" s="10" t="s">
        <v>118</v>
      </c>
      <c r="F700" s="10" t="s">
        <v>117</v>
      </c>
      <c r="G700" s="10">
        <v>5.0</v>
      </c>
      <c r="H700" s="10">
        <v>7.0</v>
      </c>
      <c r="I700" s="10" t="s">
        <v>2140</v>
      </c>
      <c r="J700" s="10" t="s">
        <v>2136</v>
      </c>
      <c r="K700" s="10"/>
      <c r="L700" s="10">
        <v>0.0</v>
      </c>
      <c r="M700" s="10">
        <v>0.0</v>
      </c>
      <c r="N700" s="10"/>
      <c r="O700" s="10"/>
      <c r="P700" s="12">
        <f>IF($A700="","",IFERROR((IF($O700="",0,$O700)*Settings!$J$4+IF($L700="",0,$L700)*Settings!$J$5+IF($N700="",0,$N700)*Settings!$J$6)/(IF($O700="",0,Settings!$J$4)+IF($L700="",0,Settings!$J$5)+IF($N700="",0,Settings!$J$6)),0))</f>
        <v>0</v>
      </c>
      <c r="Q700" s="12">
        <f t="array" ref="Q700">IF($A700="","",XLOOKUP($E700,Settings!$A$19:$A$22,Settings!$G$19:$G$22,0))</f>
        <v>196.25</v>
      </c>
      <c r="R700" s="12">
        <f t="shared" si="1"/>
        <v>0</v>
      </c>
      <c r="S700" s="12">
        <f>IF($A700="","",IF($R700&lt;=0,1,1+$R700/SUMIF($R$4:$R$923,"&gt;0",$R$4:$R$923)*(Settings!$B$5*(Settings!$B$6-Settings!$B$7))))</f>
        <v>1</v>
      </c>
      <c r="T700" s="12">
        <f t="array" ref="T700">IF($A700="","",XLOOKUP($F700,Settings!$I$15:$I$20,Settings!$J$15:$J$20,1))</f>
        <v>0.75</v>
      </c>
      <c r="U700" s="12">
        <f>IF($A700="","",1+(($G700-5)/5)*Settings!$J$8)</f>
        <v>1</v>
      </c>
      <c r="V700" s="12">
        <f>IF($A700="","",1+(($H700-5)/5)*Settings!$J$9)</f>
        <v>1.06</v>
      </c>
      <c r="W700" s="12">
        <f t="array" ref="W700">IF($A700="","",XLOOKUP($J700,Lists!$C$3:$C$7,Lists!$D$3:$D$7,1))</f>
        <v>1</v>
      </c>
      <c r="X700" s="12">
        <f>IF($A700="","",IF($I700="Yes",Settings!$J$10,1))</f>
        <v>1</v>
      </c>
      <c r="Y700" s="12">
        <f t="shared" si="2"/>
        <v>1</v>
      </c>
      <c r="Z700" s="12">
        <f>IF($A700="","",IFERROR(ROUND(AVERAGEIFS('Historical Drafts'!$G$4:$G$300,'Historical Drafts'!$D$4:$D$300,$E700,'Historical Drafts'!$J$4:$J$300,"&gt;="&amp;$L700*0.85,'Historical Drafts'!$J$4:$J$300,"&lt;="&amp;$L700*1.15),0),$Y700))</f>
        <v>1</v>
      </c>
      <c r="AA700" s="12" t="str">
        <f>IF($A700="","",IF(COUNTIF('Auction Log'!$B$3:$B$300,$A700)&gt;0,"Sold","Available"))</f>
        <v>Available</v>
      </c>
      <c r="AB700" s="12" t="str">
        <f t="array" ref="AB700">IF($A700="","",IFERROR(XLOOKUP($A700,'Auction Log'!$B$3:$B$300,'Auction Log'!$G$3:$G$300,""),""))</f>
        <v/>
      </c>
      <c r="AC700" s="12" t="str">
        <f t="array" ref="AC700">IF($A700="","",IFERROR(XLOOKUP($A700,'Auction Log'!$B$3:$B$300,'Auction Log'!$F$3:$F$300,""),""))</f>
        <v/>
      </c>
      <c r="AD700" s="12">
        <f t="array" ref="AD700">IF($A700="","",ROUND($Y700*XLOOKUP($F700,Settings!$I$15:$I$20,Settings!$K$15:$K$20,0.4),0))</f>
        <v>0</v>
      </c>
      <c r="AE700" s="12">
        <f t="array" ref="AE700">IF($A700="","",ROUND($Y700*XLOOKUP($F700,Settings!$I$15:$I$20,Settings!$L$15:$L$20,0.8),0))</f>
        <v>1</v>
      </c>
      <c r="AF700" s="12">
        <f t="array" ref="AF700">IF($A700="","",ROUND($Y700*XLOOKUP($F700,Settings!$I$15:$I$20,Settings!$M$15:$M$20,1),0))</f>
        <v>1</v>
      </c>
      <c r="AG700" s="12">
        <f t="array" ref="AG700">IF($A700="","",ROUND($Y700*XLOOKUP($F700,Settings!$I$15:$I$20,Settings!$N$15:$N$20,1.1),0))</f>
        <v>1</v>
      </c>
      <c r="AH700" s="12">
        <f t="array" ref="AH700">IF($A700="","",ROUND($Y700*XLOOKUP($F700,Settings!$I$15:$I$20,Settings!$O$15:$O$20,1.1)*Settings!$J$7,0))</f>
        <v>1</v>
      </c>
      <c r="AI700" s="12">
        <f t="array" ref="AI700">IF($A700="","",IF($AA700="Sold","",MIN($AH700,IFERROR(XLOOKUP(Settings!$B$12,Managers!$B$4:$B$15,Managers!$H$4:$H$15),$AH700))))</f>
        <v>1</v>
      </c>
      <c r="AJ700" s="12" t="str">
        <f t="shared" si="3"/>
        <v>Recommended</v>
      </c>
      <c r="AK700" s="12">
        <f t="shared" si="4"/>
        <v>26</v>
      </c>
      <c r="AL700" s="12" t="str">
        <f t="shared" si="5"/>
        <v/>
      </c>
    </row>
    <row r="701" ht="15.75" customHeight="1">
      <c r="A701" s="10" t="s">
        <v>1684</v>
      </c>
      <c r="B701" s="10" t="s">
        <v>1685</v>
      </c>
      <c r="C701" s="10" t="s">
        <v>231</v>
      </c>
      <c r="D701" s="10" t="s">
        <v>121</v>
      </c>
      <c r="E701" s="10" t="s">
        <v>121</v>
      </c>
      <c r="F701" s="10" t="s">
        <v>117</v>
      </c>
      <c r="G701" s="10">
        <v>5.0</v>
      </c>
      <c r="H701" s="10">
        <v>7.0</v>
      </c>
      <c r="I701" s="10" t="s">
        <v>2140</v>
      </c>
      <c r="J701" s="10" t="s">
        <v>2136</v>
      </c>
      <c r="K701" s="10"/>
      <c r="L701" s="10">
        <v>0.0</v>
      </c>
      <c r="M701" s="10">
        <v>0.0</v>
      </c>
      <c r="N701" s="10"/>
      <c r="O701" s="10"/>
      <c r="P701" s="12">
        <f>IF($A701="","",IFERROR((IF($O701="",0,$O701)*Settings!$J$4+IF($L701="",0,$L701)*Settings!$J$5+IF($N701="",0,$N701)*Settings!$J$6)/(IF($O701="",0,Settings!$J$4)+IF($L701="",0,Settings!$J$5)+IF($N701="",0,Settings!$J$6)),0))</f>
        <v>0</v>
      </c>
      <c r="Q701" s="12">
        <f t="array" ref="Q701">IF($A701="","",XLOOKUP($E701,Settings!$A$19:$A$22,Settings!$G$19:$G$22,0))</f>
        <v>206</v>
      </c>
      <c r="R701" s="12">
        <f t="shared" si="1"/>
        <v>0</v>
      </c>
      <c r="S701" s="12">
        <f>IF($A701="","",IF($R701&lt;=0,1,1+$R701/SUMIF($R$4:$R$923,"&gt;0",$R$4:$R$923)*(Settings!$B$5*(Settings!$B$6-Settings!$B$7))))</f>
        <v>1</v>
      </c>
      <c r="T701" s="12">
        <f t="array" ref="T701">IF($A701="","",XLOOKUP($F701,Settings!$I$15:$I$20,Settings!$J$15:$J$20,1))</f>
        <v>0.75</v>
      </c>
      <c r="U701" s="12">
        <f>IF($A701="","",1+(($G701-5)/5)*Settings!$J$8)</f>
        <v>1</v>
      </c>
      <c r="V701" s="12">
        <f>IF($A701="","",1+(($H701-5)/5)*Settings!$J$9)</f>
        <v>1.06</v>
      </c>
      <c r="W701" s="12">
        <f t="array" ref="W701">IF($A701="","",XLOOKUP($J701,Lists!$C$3:$C$7,Lists!$D$3:$D$7,1))</f>
        <v>1</v>
      </c>
      <c r="X701" s="12">
        <f>IF($A701="","",IF($I701="Yes",Settings!$J$10,1))</f>
        <v>1</v>
      </c>
      <c r="Y701" s="12">
        <f t="shared" si="2"/>
        <v>1</v>
      </c>
      <c r="Z701" s="12">
        <f>IF($A701="","",IFERROR(ROUND(AVERAGEIFS('Historical Drafts'!$G$4:$G$300,'Historical Drafts'!$D$4:$D$300,$E701,'Historical Drafts'!$J$4:$J$300,"&gt;="&amp;$L701*0.85,'Historical Drafts'!$J$4:$J$300,"&lt;="&amp;$L701*1.15),0),$Y701))</f>
        <v>3</v>
      </c>
      <c r="AA701" s="12" t="str">
        <f>IF($A701="","",IF(COUNTIF('Auction Log'!$B$3:$B$300,$A701)&gt;0,"Sold","Available"))</f>
        <v>Available</v>
      </c>
      <c r="AB701" s="12" t="str">
        <f t="array" ref="AB701">IF($A701="","",IFERROR(XLOOKUP($A701,'Auction Log'!$B$3:$B$300,'Auction Log'!$G$3:$G$300,""),""))</f>
        <v/>
      </c>
      <c r="AC701" s="12" t="str">
        <f t="array" ref="AC701">IF($A701="","",IFERROR(XLOOKUP($A701,'Auction Log'!$B$3:$B$300,'Auction Log'!$F$3:$F$300,""),""))</f>
        <v/>
      </c>
      <c r="AD701" s="12">
        <f t="array" ref="AD701">IF($A701="","",ROUND($Y701*XLOOKUP($F701,Settings!$I$15:$I$20,Settings!$K$15:$K$20,0.4),0))</f>
        <v>0</v>
      </c>
      <c r="AE701" s="12">
        <f t="array" ref="AE701">IF($A701="","",ROUND($Y701*XLOOKUP($F701,Settings!$I$15:$I$20,Settings!$L$15:$L$20,0.8),0))</f>
        <v>1</v>
      </c>
      <c r="AF701" s="12">
        <f t="array" ref="AF701">IF($A701="","",ROUND($Y701*XLOOKUP($F701,Settings!$I$15:$I$20,Settings!$M$15:$M$20,1),0))</f>
        <v>1</v>
      </c>
      <c r="AG701" s="12">
        <f t="array" ref="AG701">IF($A701="","",ROUND($Y701*XLOOKUP($F701,Settings!$I$15:$I$20,Settings!$N$15:$N$20,1.1),0))</f>
        <v>1</v>
      </c>
      <c r="AH701" s="12">
        <f t="array" ref="AH701">IF($A701="","",ROUND($Y701*XLOOKUP($F701,Settings!$I$15:$I$20,Settings!$O$15:$O$20,1.1)*Settings!$J$7,0))</f>
        <v>1</v>
      </c>
      <c r="AI701" s="12">
        <f t="array" ref="AI701">IF($A701="","",IF($AA701="Sold","",MIN($AH701,IFERROR(XLOOKUP(Settings!$B$12,Managers!$B$4:$B$15,Managers!$H$4:$H$15),$AH701))))</f>
        <v>1</v>
      </c>
      <c r="AJ701" s="12" t="str">
        <f t="shared" si="3"/>
        <v>Budget Drainer</v>
      </c>
      <c r="AK701" s="12">
        <f t="shared" si="4"/>
        <v>28</v>
      </c>
      <c r="AL701" s="12" t="str">
        <f t="shared" si="5"/>
        <v/>
      </c>
    </row>
    <row r="702" ht="15.75" customHeight="1">
      <c r="A702" s="10" t="s">
        <v>1686</v>
      </c>
      <c r="B702" s="10" t="s">
        <v>1687</v>
      </c>
      <c r="C702" s="10" t="s">
        <v>566</v>
      </c>
      <c r="D702" s="10" t="s">
        <v>121</v>
      </c>
      <c r="E702" s="10" t="s">
        <v>121</v>
      </c>
      <c r="F702" s="10" t="s">
        <v>117</v>
      </c>
      <c r="G702" s="10">
        <v>5.0</v>
      </c>
      <c r="H702" s="10">
        <v>7.0</v>
      </c>
      <c r="I702" s="10" t="s">
        <v>2140</v>
      </c>
      <c r="J702" s="10" t="s">
        <v>2136</v>
      </c>
      <c r="K702" s="10"/>
      <c r="L702" s="10">
        <v>0.0</v>
      </c>
      <c r="M702" s="10">
        <v>0.0</v>
      </c>
      <c r="N702" s="10"/>
      <c r="O702" s="10"/>
      <c r="P702" s="12">
        <f>IF($A702="","",IFERROR((IF($O702="",0,$O702)*Settings!$J$4+IF($L702="",0,$L702)*Settings!$J$5+IF($N702="",0,$N702)*Settings!$J$6)/(IF($O702="",0,Settings!$J$4)+IF($L702="",0,Settings!$J$5)+IF($N702="",0,Settings!$J$6)),0))</f>
        <v>0</v>
      </c>
      <c r="Q702" s="12">
        <f t="array" ref="Q702">IF($A702="","",XLOOKUP($E702,Settings!$A$19:$A$22,Settings!$G$19:$G$22,0))</f>
        <v>206</v>
      </c>
      <c r="R702" s="12">
        <f t="shared" si="1"/>
        <v>0</v>
      </c>
      <c r="S702" s="12">
        <f>IF($A702="","",IF($R702&lt;=0,1,1+$R702/SUMIF($R$4:$R$923,"&gt;0",$R$4:$R$923)*(Settings!$B$5*(Settings!$B$6-Settings!$B$7))))</f>
        <v>1</v>
      </c>
      <c r="T702" s="12">
        <f t="array" ref="T702">IF($A702="","",XLOOKUP($F702,Settings!$I$15:$I$20,Settings!$J$15:$J$20,1))</f>
        <v>0.75</v>
      </c>
      <c r="U702" s="12">
        <f>IF($A702="","",1+(($G702-5)/5)*Settings!$J$8)</f>
        <v>1</v>
      </c>
      <c r="V702" s="12">
        <f>IF($A702="","",1+(($H702-5)/5)*Settings!$J$9)</f>
        <v>1.06</v>
      </c>
      <c r="W702" s="12">
        <f t="array" ref="W702">IF($A702="","",XLOOKUP($J702,Lists!$C$3:$C$7,Lists!$D$3:$D$7,1))</f>
        <v>1</v>
      </c>
      <c r="X702" s="12">
        <f>IF($A702="","",IF($I702="Yes",Settings!$J$10,1))</f>
        <v>1</v>
      </c>
      <c r="Y702" s="12">
        <f t="shared" si="2"/>
        <v>1</v>
      </c>
      <c r="Z702" s="12">
        <f>IF($A702="","",IFERROR(ROUND(AVERAGEIFS('Historical Drafts'!$G$4:$G$300,'Historical Drafts'!$D$4:$D$300,$E702,'Historical Drafts'!$J$4:$J$300,"&gt;="&amp;$L702*0.85,'Historical Drafts'!$J$4:$J$300,"&lt;="&amp;$L702*1.15),0),$Y702))</f>
        <v>3</v>
      </c>
      <c r="AA702" s="12" t="str">
        <f>IF($A702="","",IF(COUNTIF('Auction Log'!$B$3:$B$300,$A702)&gt;0,"Sold","Available"))</f>
        <v>Available</v>
      </c>
      <c r="AB702" s="12" t="str">
        <f t="array" ref="AB702">IF($A702="","",IFERROR(XLOOKUP($A702,'Auction Log'!$B$3:$B$300,'Auction Log'!$G$3:$G$300,""),""))</f>
        <v/>
      </c>
      <c r="AC702" s="12" t="str">
        <f t="array" ref="AC702">IF($A702="","",IFERROR(XLOOKUP($A702,'Auction Log'!$B$3:$B$300,'Auction Log'!$F$3:$F$300,""),""))</f>
        <v/>
      </c>
      <c r="AD702" s="12">
        <f t="array" ref="AD702">IF($A702="","",ROUND($Y702*XLOOKUP($F702,Settings!$I$15:$I$20,Settings!$K$15:$K$20,0.4),0))</f>
        <v>0</v>
      </c>
      <c r="AE702" s="12">
        <f t="array" ref="AE702">IF($A702="","",ROUND($Y702*XLOOKUP($F702,Settings!$I$15:$I$20,Settings!$L$15:$L$20,0.8),0))</f>
        <v>1</v>
      </c>
      <c r="AF702" s="12">
        <f t="array" ref="AF702">IF($A702="","",ROUND($Y702*XLOOKUP($F702,Settings!$I$15:$I$20,Settings!$M$15:$M$20,1),0))</f>
        <v>1</v>
      </c>
      <c r="AG702" s="12">
        <f t="array" ref="AG702">IF($A702="","",ROUND($Y702*XLOOKUP($F702,Settings!$I$15:$I$20,Settings!$N$15:$N$20,1.1),0))</f>
        <v>1</v>
      </c>
      <c r="AH702" s="12">
        <f t="array" ref="AH702">IF($A702="","",ROUND($Y702*XLOOKUP($F702,Settings!$I$15:$I$20,Settings!$O$15:$O$20,1.1)*Settings!$J$7,0))</f>
        <v>1</v>
      </c>
      <c r="AI702" s="12">
        <f t="array" ref="AI702">IF($A702="","",IF($AA702="Sold","",MIN($AH702,IFERROR(XLOOKUP(Settings!$B$12,Managers!$B$4:$B$15,Managers!$H$4:$H$15),$AH702))))</f>
        <v>1</v>
      </c>
      <c r="AJ702" s="12" t="str">
        <f t="shared" si="3"/>
        <v>Budget Drainer</v>
      </c>
      <c r="AK702" s="12">
        <f t="shared" si="4"/>
        <v>28</v>
      </c>
      <c r="AL702" s="12" t="str">
        <f t="shared" si="5"/>
        <v/>
      </c>
    </row>
    <row r="703" ht="15.75" customHeight="1">
      <c r="A703" s="10" t="s">
        <v>1688</v>
      </c>
      <c r="B703" s="10" t="s">
        <v>1689</v>
      </c>
      <c r="C703" s="10" t="s">
        <v>327</v>
      </c>
      <c r="D703" s="10" t="s">
        <v>121</v>
      </c>
      <c r="E703" s="10" t="s">
        <v>121</v>
      </c>
      <c r="F703" s="10" t="s">
        <v>117</v>
      </c>
      <c r="G703" s="10">
        <v>5.0</v>
      </c>
      <c r="H703" s="10">
        <v>7.0</v>
      </c>
      <c r="I703" s="10" t="s">
        <v>2140</v>
      </c>
      <c r="J703" s="10" t="s">
        <v>2136</v>
      </c>
      <c r="K703" s="10"/>
      <c r="L703" s="10">
        <v>0.0</v>
      </c>
      <c r="M703" s="10">
        <v>0.0</v>
      </c>
      <c r="N703" s="10"/>
      <c r="O703" s="10"/>
      <c r="P703" s="12">
        <f>IF($A703="","",IFERROR((IF($O703="",0,$O703)*Settings!$J$4+IF($L703="",0,$L703)*Settings!$J$5+IF($N703="",0,$N703)*Settings!$J$6)/(IF($O703="",0,Settings!$J$4)+IF($L703="",0,Settings!$J$5)+IF($N703="",0,Settings!$J$6)),0))</f>
        <v>0</v>
      </c>
      <c r="Q703" s="12">
        <f t="array" ref="Q703">IF($A703="","",XLOOKUP($E703,Settings!$A$19:$A$22,Settings!$G$19:$G$22,0))</f>
        <v>206</v>
      </c>
      <c r="R703" s="12">
        <f t="shared" si="1"/>
        <v>0</v>
      </c>
      <c r="S703" s="12">
        <f>IF($A703="","",IF($R703&lt;=0,1,1+$R703/SUMIF($R$4:$R$923,"&gt;0",$R$4:$R$923)*(Settings!$B$5*(Settings!$B$6-Settings!$B$7))))</f>
        <v>1</v>
      </c>
      <c r="T703" s="12">
        <f t="array" ref="T703">IF($A703="","",XLOOKUP($F703,Settings!$I$15:$I$20,Settings!$J$15:$J$20,1))</f>
        <v>0.75</v>
      </c>
      <c r="U703" s="12">
        <f>IF($A703="","",1+(($G703-5)/5)*Settings!$J$8)</f>
        <v>1</v>
      </c>
      <c r="V703" s="12">
        <f>IF($A703="","",1+(($H703-5)/5)*Settings!$J$9)</f>
        <v>1.06</v>
      </c>
      <c r="W703" s="12">
        <f t="array" ref="W703">IF($A703="","",XLOOKUP($J703,Lists!$C$3:$C$7,Lists!$D$3:$D$7,1))</f>
        <v>1</v>
      </c>
      <c r="X703" s="12">
        <f>IF($A703="","",IF($I703="Yes",Settings!$J$10,1))</f>
        <v>1</v>
      </c>
      <c r="Y703" s="12">
        <f t="shared" si="2"/>
        <v>1</v>
      </c>
      <c r="Z703" s="12">
        <f>IF($A703="","",IFERROR(ROUND(AVERAGEIFS('Historical Drafts'!$G$4:$G$300,'Historical Drafts'!$D$4:$D$300,$E703,'Historical Drafts'!$J$4:$J$300,"&gt;="&amp;$L703*0.85,'Historical Drafts'!$J$4:$J$300,"&lt;="&amp;$L703*1.15),0),$Y703))</f>
        <v>3</v>
      </c>
      <c r="AA703" s="12" t="str">
        <f>IF($A703="","",IF(COUNTIF('Auction Log'!$B$3:$B$300,$A703)&gt;0,"Sold","Available"))</f>
        <v>Available</v>
      </c>
      <c r="AB703" s="12" t="str">
        <f t="array" ref="AB703">IF($A703="","",IFERROR(XLOOKUP($A703,'Auction Log'!$B$3:$B$300,'Auction Log'!$G$3:$G$300,""),""))</f>
        <v/>
      </c>
      <c r="AC703" s="12" t="str">
        <f t="array" ref="AC703">IF($A703="","",IFERROR(XLOOKUP($A703,'Auction Log'!$B$3:$B$300,'Auction Log'!$F$3:$F$300,""),""))</f>
        <v/>
      </c>
      <c r="AD703" s="12">
        <f t="array" ref="AD703">IF($A703="","",ROUND($Y703*XLOOKUP($F703,Settings!$I$15:$I$20,Settings!$K$15:$K$20,0.4),0))</f>
        <v>0</v>
      </c>
      <c r="AE703" s="12">
        <f t="array" ref="AE703">IF($A703="","",ROUND($Y703*XLOOKUP($F703,Settings!$I$15:$I$20,Settings!$L$15:$L$20,0.8),0))</f>
        <v>1</v>
      </c>
      <c r="AF703" s="12">
        <f t="array" ref="AF703">IF($A703="","",ROUND($Y703*XLOOKUP($F703,Settings!$I$15:$I$20,Settings!$M$15:$M$20,1),0))</f>
        <v>1</v>
      </c>
      <c r="AG703" s="12">
        <f t="array" ref="AG703">IF($A703="","",ROUND($Y703*XLOOKUP($F703,Settings!$I$15:$I$20,Settings!$N$15:$N$20,1.1),0))</f>
        <v>1</v>
      </c>
      <c r="AH703" s="12">
        <f t="array" ref="AH703">IF($A703="","",ROUND($Y703*XLOOKUP($F703,Settings!$I$15:$I$20,Settings!$O$15:$O$20,1.1)*Settings!$J$7,0))</f>
        <v>1</v>
      </c>
      <c r="AI703" s="12">
        <f t="array" ref="AI703">IF($A703="","",IF($AA703="Sold","",MIN($AH703,IFERROR(XLOOKUP(Settings!$B$12,Managers!$B$4:$B$15,Managers!$H$4:$H$15),$AH703))))</f>
        <v>1</v>
      </c>
      <c r="AJ703" s="12" t="str">
        <f t="shared" si="3"/>
        <v>Budget Drainer</v>
      </c>
      <c r="AK703" s="12">
        <f t="shared" si="4"/>
        <v>28</v>
      </c>
      <c r="AL703" s="12" t="str">
        <f t="shared" si="5"/>
        <v/>
      </c>
    </row>
    <row r="704" ht="15.75" customHeight="1">
      <c r="A704" s="10" t="s">
        <v>1690</v>
      </c>
      <c r="B704" s="10" t="s">
        <v>1691</v>
      </c>
      <c r="C704" s="10" t="s">
        <v>177</v>
      </c>
      <c r="D704" s="10" t="s">
        <v>123</v>
      </c>
      <c r="E704" s="10" t="s">
        <v>123</v>
      </c>
      <c r="F704" s="10" t="s">
        <v>117</v>
      </c>
      <c r="G704" s="10">
        <v>5.0</v>
      </c>
      <c r="H704" s="10">
        <v>7.0</v>
      </c>
      <c r="I704" s="10" t="s">
        <v>2140</v>
      </c>
      <c r="J704" s="10" t="s">
        <v>2136</v>
      </c>
      <c r="K704" s="10"/>
      <c r="L704" s="10">
        <v>0.0</v>
      </c>
      <c r="M704" s="10">
        <v>0.0</v>
      </c>
      <c r="N704" s="10"/>
      <c r="O704" s="10"/>
      <c r="P704" s="12">
        <f>IF($A704="","",IFERROR((IF($O704="",0,$O704)*Settings!$J$4+IF($L704="",0,$L704)*Settings!$J$5+IF($N704="",0,$N704)*Settings!$J$6)/(IF($O704="",0,Settings!$J$4)+IF($L704="",0,Settings!$J$5)+IF($N704="",0,Settings!$J$6)),0))</f>
        <v>0</v>
      </c>
      <c r="Q704" s="12">
        <f t="array" ref="Q704">IF($A704="","",XLOOKUP($E704,Settings!$A$19:$A$22,Settings!$G$19:$G$22,0))</f>
        <v>203</v>
      </c>
      <c r="R704" s="12">
        <f t="shared" si="1"/>
        <v>0</v>
      </c>
      <c r="S704" s="12">
        <f>IF($A704="","",IF($R704&lt;=0,1,1+$R704/SUMIF($R$4:$R$923,"&gt;0",$R$4:$R$923)*(Settings!$B$5*(Settings!$B$6-Settings!$B$7))))</f>
        <v>1</v>
      </c>
      <c r="T704" s="12">
        <f t="array" ref="T704">IF($A704="","",XLOOKUP($F704,Settings!$I$15:$I$20,Settings!$J$15:$J$20,1))</f>
        <v>0.75</v>
      </c>
      <c r="U704" s="12">
        <f>IF($A704="","",1+(($G704-5)/5)*Settings!$J$8)</f>
        <v>1</v>
      </c>
      <c r="V704" s="12">
        <f>IF($A704="","",1+(($H704-5)/5)*Settings!$J$9)</f>
        <v>1.06</v>
      </c>
      <c r="W704" s="12">
        <f t="array" ref="W704">IF($A704="","",XLOOKUP($J704,Lists!$C$3:$C$7,Lists!$D$3:$D$7,1))</f>
        <v>1</v>
      </c>
      <c r="X704" s="12">
        <f>IF($A704="","",IF($I704="Yes",Settings!$J$10,1))</f>
        <v>1</v>
      </c>
      <c r="Y704" s="12">
        <f t="shared" si="2"/>
        <v>1</v>
      </c>
      <c r="Z704" s="12">
        <f>IF($A704="","",IFERROR(ROUND(AVERAGEIFS('Historical Drafts'!$G$4:$G$300,'Historical Drafts'!$D$4:$D$300,$E704,'Historical Drafts'!$J$4:$J$300,"&gt;="&amp;$L704*0.85,'Historical Drafts'!$J$4:$J$300,"&lt;="&amp;$L704*1.15),0),$Y704))</f>
        <v>3</v>
      </c>
      <c r="AA704" s="12" t="str">
        <f>IF($A704="","",IF(COUNTIF('Auction Log'!$B$3:$B$300,$A704)&gt;0,"Sold","Available"))</f>
        <v>Available</v>
      </c>
      <c r="AB704" s="12" t="str">
        <f t="array" ref="AB704">IF($A704="","",IFERROR(XLOOKUP($A704,'Auction Log'!$B$3:$B$300,'Auction Log'!$G$3:$G$300,""),""))</f>
        <v/>
      </c>
      <c r="AC704" s="12" t="str">
        <f t="array" ref="AC704">IF($A704="","",IFERROR(XLOOKUP($A704,'Auction Log'!$B$3:$B$300,'Auction Log'!$F$3:$F$300,""),""))</f>
        <v/>
      </c>
      <c r="AD704" s="12">
        <f t="array" ref="AD704">IF($A704="","",ROUND($Y704*XLOOKUP($F704,Settings!$I$15:$I$20,Settings!$K$15:$K$20,0.4),0))</f>
        <v>0</v>
      </c>
      <c r="AE704" s="12">
        <f t="array" ref="AE704">IF($A704="","",ROUND($Y704*XLOOKUP($F704,Settings!$I$15:$I$20,Settings!$L$15:$L$20,0.8),0))</f>
        <v>1</v>
      </c>
      <c r="AF704" s="12">
        <f t="array" ref="AF704">IF($A704="","",ROUND($Y704*XLOOKUP($F704,Settings!$I$15:$I$20,Settings!$M$15:$M$20,1),0))</f>
        <v>1</v>
      </c>
      <c r="AG704" s="12">
        <f t="array" ref="AG704">IF($A704="","",ROUND($Y704*XLOOKUP($F704,Settings!$I$15:$I$20,Settings!$N$15:$N$20,1.1),0))</f>
        <v>1</v>
      </c>
      <c r="AH704" s="12">
        <f t="array" ref="AH704">IF($A704="","",ROUND($Y704*XLOOKUP($F704,Settings!$I$15:$I$20,Settings!$O$15:$O$20,1.1)*Settings!$J$7,0))</f>
        <v>1</v>
      </c>
      <c r="AI704" s="12">
        <f t="array" ref="AI704">IF($A704="","",IF($AA704="Sold","",MIN($AH704,IFERROR(XLOOKUP(Settings!$B$12,Managers!$B$4:$B$15,Managers!$H$4:$H$15),$AH704))))</f>
        <v>1</v>
      </c>
      <c r="AJ704" s="12" t="str">
        <f t="shared" si="3"/>
        <v>Budget Drainer</v>
      </c>
      <c r="AK704" s="12">
        <f t="shared" si="4"/>
        <v>28</v>
      </c>
      <c r="AL704" s="12" t="str">
        <f t="shared" si="5"/>
        <v/>
      </c>
    </row>
    <row r="705" ht="15.75" customHeight="1">
      <c r="A705" s="10" t="s">
        <v>1692</v>
      </c>
      <c r="B705" s="10" t="s">
        <v>1693</v>
      </c>
      <c r="C705" s="10" t="s">
        <v>199</v>
      </c>
      <c r="D705" s="10" t="s">
        <v>121</v>
      </c>
      <c r="E705" s="10" t="s">
        <v>121</v>
      </c>
      <c r="F705" s="10" t="s">
        <v>117</v>
      </c>
      <c r="G705" s="10">
        <v>5.0</v>
      </c>
      <c r="H705" s="10">
        <v>7.0</v>
      </c>
      <c r="I705" s="10" t="s">
        <v>2140</v>
      </c>
      <c r="J705" s="10" t="s">
        <v>2136</v>
      </c>
      <c r="K705" s="10"/>
      <c r="L705" s="10">
        <v>0.0</v>
      </c>
      <c r="M705" s="10">
        <v>0.0</v>
      </c>
      <c r="N705" s="10"/>
      <c r="O705" s="10"/>
      <c r="P705" s="12">
        <f>IF($A705="","",IFERROR((IF($O705="",0,$O705)*Settings!$J$4+IF($L705="",0,$L705)*Settings!$J$5+IF($N705="",0,$N705)*Settings!$J$6)/(IF($O705="",0,Settings!$J$4)+IF($L705="",0,Settings!$J$5)+IF($N705="",0,Settings!$J$6)),0))</f>
        <v>0</v>
      </c>
      <c r="Q705" s="12">
        <f t="array" ref="Q705">IF($A705="","",XLOOKUP($E705,Settings!$A$19:$A$22,Settings!$G$19:$G$22,0))</f>
        <v>206</v>
      </c>
      <c r="R705" s="12">
        <f t="shared" si="1"/>
        <v>0</v>
      </c>
      <c r="S705" s="12">
        <f>IF($A705="","",IF($R705&lt;=0,1,1+$R705/SUMIF($R$4:$R$923,"&gt;0",$R$4:$R$923)*(Settings!$B$5*(Settings!$B$6-Settings!$B$7))))</f>
        <v>1</v>
      </c>
      <c r="T705" s="12">
        <f t="array" ref="T705">IF($A705="","",XLOOKUP($F705,Settings!$I$15:$I$20,Settings!$J$15:$J$20,1))</f>
        <v>0.75</v>
      </c>
      <c r="U705" s="12">
        <f>IF($A705="","",1+(($G705-5)/5)*Settings!$J$8)</f>
        <v>1</v>
      </c>
      <c r="V705" s="12">
        <f>IF($A705="","",1+(($H705-5)/5)*Settings!$J$9)</f>
        <v>1.06</v>
      </c>
      <c r="W705" s="12">
        <f t="array" ref="W705">IF($A705="","",XLOOKUP($J705,Lists!$C$3:$C$7,Lists!$D$3:$D$7,1))</f>
        <v>1</v>
      </c>
      <c r="X705" s="12">
        <f>IF($A705="","",IF($I705="Yes",Settings!$J$10,1))</f>
        <v>1</v>
      </c>
      <c r="Y705" s="12">
        <f t="shared" si="2"/>
        <v>1</v>
      </c>
      <c r="Z705" s="12">
        <f>IF($A705="","",IFERROR(ROUND(AVERAGEIFS('Historical Drafts'!$G$4:$G$300,'Historical Drafts'!$D$4:$D$300,$E705,'Historical Drafts'!$J$4:$J$300,"&gt;="&amp;$L705*0.85,'Historical Drafts'!$J$4:$J$300,"&lt;="&amp;$L705*1.15),0),$Y705))</f>
        <v>3</v>
      </c>
      <c r="AA705" s="12" t="str">
        <f>IF($A705="","",IF(COUNTIF('Auction Log'!$B$3:$B$300,$A705)&gt;0,"Sold","Available"))</f>
        <v>Available</v>
      </c>
      <c r="AB705" s="12" t="str">
        <f t="array" ref="AB705">IF($A705="","",IFERROR(XLOOKUP($A705,'Auction Log'!$B$3:$B$300,'Auction Log'!$G$3:$G$300,""),""))</f>
        <v/>
      </c>
      <c r="AC705" s="12" t="str">
        <f t="array" ref="AC705">IF($A705="","",IFERROR(XLOOKUP($A705,'Auction Log'!$B$3:$B$300,'Auction Log'!$F$3:$F$300,""),""))</f>
        <v/>
      </c>
      <c r="AD705" s="12">
        <f t="array" ref="AD705">IF($A705="","",ROUND($Y705*XLOOKUP($F705,Settings!$I$15:$I$20,Settings!$K$15:$K$20,0.4),0))</f>
        <v>0</v>
      </c>
      <c r="AE705" s="12">
        <f t="array" ref="AE705">IF($A705="","",ROUND($Y705*XLOOKUP($F705,Settings!$I$15:$I$20,Settings!$L$15:$L$20,0.8),0))</f>
        <v>1</v>
      </c>
      <c r="AF705" s="12">
        <f t="array" ref="AF705">IF($A705="","",ROUND($Y705*XLOOKUP($F705,Settings!$I$15:$I$20,Settings!$M$15:$M$20,1),0))</f>
        <v>1</v>
      </c>
      <c r="AG705" s="12">
        <f t="array" ref="AG705">IF($A705="","",ROUND($Y705*XLOOKUP($F705,Settings!$I$15:$I$20,Settings!$N$15:$N$20,1.1),0))</f>
        <v>1</v>
      </c>
      <c r="AH705" s="12">
        <f t="array" ref="AH705">IF($A705="","",ROUND($Y705*XLOOKUP($F705,Settings!$I$15:$I$20,Settings!$O$15:$O$20,1.1)*Settings!$J$7,0))</f>
        <v>1</v>
      </c>
      <c r="AI705" s="12">
        <f t="array" ref="AI705">IF($A705="","",IF($AA705="Sold","",MIN($AH705,IFERROR(XLOOKUP(Settings!$B$12,Managers!$B$4:$B$15,Managers!$H$4:$H$15),$AH705))))</f>
        <v>1</v>
      </c>
      <c r="AJ705" s="12" t="str">
        <f t="shared" si="3"/>
        <v>Budget Drainer</v>
      </c>
      <c r="AK705" s="12">
        <f t="shared" si="4"/>
        <v>28</v>
      </c>
      <c r="AL705" s="12" t="str">
        <f t="shared" si="5"/>
        <v/>
      </c>
    </row>
    <row r="706" ht="15.75" customHeight="1">
      <c r="A706" s="10" t="s">
        <v>1694</v>
      </c>
      <c r="B706" s="10" t="s">
        <v>1695</v>
      </c>
      <c r="C706" s="10" t="s">
        <v>185</v>
      </c>
      <c r="D706" s="10" t="s">
        <v>121</v>
      </c>
      <c r="E706" s="10" t="s">
        <v>121</v>
      </c>
      <c r="F706" s="10" t="s">
        <v>117</v>
      </c>
      <c r="G706" s="10">
        <v>5.0</v>
      </c>
      <c r="H706" s="10">
        <v>7.0</v>
      </c>
      <c r="I706" s="10" t="s">
        <v>2140</v>
      </c>
      <c r="J706" s="10" t="s">
        <v>2136</v>
      </c>
      <c r="K706" s="10"/>
      <c r="L706" s="10">
        <v>0.0</v>
      </c>
      <c r="M706" s="10">
        <v>0.0</v>
      </c>
      <c r="N706" s="10"/>
      <c r="O706" s="10"/>
      <c r="P706" s="12">
        <f>IF($A706="","",IFERROR((IF($O706="",0,$O706)*Settings!$J$4+IF($L706="",0,$L706)*Settings!$J$5+IF($N706="",0,$N706)*Settings!$J$6)/(IF($O706="",0,Settings!$J$4)+IF($L706="",0,Settings!$J$5)+IF($N706="",0,Settings!$J$6)),0))</f>
        <v>0</v>
      </c>
      <c r="Q706" s="12">
        <f t="array" ref="Q706">IF($A706="","",XLOOKUP($E706,Settings!$A$19:$A$22,Settings!$G$19:$G$22,0))</f>
        <v>206</v>
      </c>
      <c r="R706" s="12">
        <f t="shared" si="1"/>
        <v>0</v>
      </c>
      <c r="S706" s="12">
        <f>IF($A706="","",IF($R706&lt;=0,1,1+$R706/SUMIF($R$4:$R$923,"&gt;0",$R$4:$R$923)*(Settings!$B$5*(Settings!$B$6-Settings!$B$7))))</f>
        <v>1</v>
      </c>
      <c r="T706" s="12">
        <f t="array" ref="T706">IF($A706="","",XLOOKUP($F706,Settings!$I$15:$I$20,Settings!$J$15:$J$20,1))</f>
        <v>0.75</v>
      </c>
      <c r="U706" s="12">
        <f>IF($A706="","",1+(($G706-5)/5)*Settings!$J$8)</f>
        <v>1</v>
      </c>
      <c r="V706" s="12">
        <f>IF($A706="","",1+(($H706-5)/5)*Settings!$J$9)</f>
        <v>1.06</v>
      </c>
      <c r="W706" s="12">
        <f t="array" ref="W706">IF($A706="","",XLOOKUP($J706,Lists!$C$3:$C$7,Lists!$D$3:$D$7,1))</f>
        <v>1</v>
      </c>
      <c r="X706" s="12">
        <f>IF($A706="","",IF($I706="Yes",Settings!$J$10,1))</f>
        <v>1</v>
      </c>
      <c r="Y706" s="12">
        <f t="shared" si="2"/>
        <v>1</v>
      </c>
      <c r="Z706" s="12">
        <f>IF($A706="","",IFERROR(ROUND(AVERAGEIFS('Historical Drafts'!$G$4:$G$300,'Historical Drafts'!$D$4:$D$300,$E706,'Historical Drafts'!$J$4:$J$300,"&gt;="&amp;$L706*0.85,'Historical Drafts'!$J$4:$J$300,"&lt;="&amp;$L706*1.15),0),$Y706))</f>
        <v>3</v>
      </c>
      <c r="AA706" s="12" t="str">
        <f>IF($A706="","",IF(COUNTIF('Auction Log'!$B$3:$B$300,$A706)&gt;0,"Sold","Available"))</f>
        <v>Available</v>
      </c>
      <c r="AB706" s="12" t="str">
        <f t="array" ref="AB706">IF($A706="","",IFERROR(XLOOKUP($A706,'Auction Log'!$B$3:$B$300,'Auction Log'!$G$3:$G$300,""),""))</f>
        <v/>
      </c>
      <c r="AC706" s="12" t="str">
        <f t="array" ref="AC706">IF($A706="","",IFERROR(XLOOKUP($A706,'Auction Log'!$B$3:$B$300,'Auction Log'!$F$3:$F$300,""),""))</f>
        <v/>
      </c>
      <c r="AD706" s="12">
        <f t="array" ref="AD706">IF($A706="","",ROUND($Y706*XLOOKUP($F706,Settings!$I$15:$I$20,Settings!$K$15:$K$20,0.4),0))</f>
        <v>0</v>
      </c>
      <c r="AE706" s="12">
        <f t="array" ref="AE706">IF($A706="","",ROUND($Y706*XLOOKUP($F706,Settings!$I$15:$I$20,Settings!$L$15:$L$20,0.8),0))</f>
        <v>1</v>
      </c>
      <c r="AF706" s="12">
        <f t="array" ref="AF706">IF($A706="","",ROUND($Y706*XLOOKUP($F706,Settings!$I$15:$I$20,Settings!$M$15:$M$20,1),0))</f>
        <v>1</v>
      </c>
      <c r="AG706" s="12">
        <f t="array" ref="AG706">IF($A706="","",ROUND($Y706*XLOOKUP($F706,Settings!$I$15:$I$20,Settings!$N$15:$N$20,1.1),0))</f>
        <v>1</v>
      </c>
      <c r="AH706" s="12">
        <f t="array" ref="AH706">IF($A706="","",ROUND($Y706*XLOOKUP($F706,Settings!$I$15:$I$20,Settings!$O$15:$O$20,1.1)*Settings!$J$7,0))</f>
        <v>1</v>
      </c>
      <c r="AI706" s="12">
        <f t="array" ref="AI706">IF($A706="","",IF($AA706="Sold","",MIN($AH706,IFERROR(XLOOKUP(Settings!$B$12,Managers!$B$4:$B$15,Managers!$H$4:$H$15),$AH706))))</f>
        <v>1</v>
      </c>
      <c r="AJ706" s="12" t="str">
        <f t="shared" si="3"/>
        <v>Budget Drainer</v>
      </c>
      <c r="AK706" s="12">
        <f t="shared" si="4"/>
        <v>28</v>
      </c>
      <c r="AL706" s="12" t="str">
        <f t="shared" si="5"/>
        <v/>
      </c>
    </row>
    <row r="707" ht="15.75" customHeight="1">
      <c r="A707" s="10" t="s">
        <v>1696</v>
      </c>
      <c r="B707" s="10" t="s">
        <v>1697</v>
      </c>
      <c r="C707" s="10" t="s">
        <v>221</v>
      </c>
      <c r="D707" s="10" t="s">
        <v>118</v>
      </c>
      <c r="E707" s="10" t="s">
        <v>118</v>
      </c>
      <c r="F707" s="10" t="s">
        <v>117</v>
      </c>
      <c r="G707" s="10">
        <v>5.0</v>
      </c>
      <c r="H707" s="10">
        <v>7.0</v>
      </c>
      <c r="I707" s="10" t="s">
        <v>2140</v>
      </c>
      <c r="J707" s="10" t="s">
        <v>2136</v>
      </c>
      <c r="K707" s="10"/>
      <c r="L707" s="10">
        <v>0.0</v>
      </c>
      <c r="M707" s="10">
        <v>0.0</v>
      </c>
      <c r="N707" s="10"/>
      <c r="O707" s="10"/>
      <c r="P707" s="12">
        <f>IF($A707="","",IFERROR((IF($O707="",0,$O707)*Settings!$J$4+IF($L707="",0,$L707)*Settings!$J$5+IF($N707="",0,$N707)*Settings!$J$6)/(IF($O707="",0,Settings!$J$4)+IF($L707="",0,Settings!$J$5)+IF($N707="",0,Settings!$J$6)),0))</f>
        <v>0</v>
      </c>
      <c r="Q707" s="12">
        <f t="array" ref="Q707">IF($A707="","",XLOOKUP($E707,Settings!$A$19:$A$22,Settings!$G$19:$G$22,0))</f>
        <v>196.25</v>
      </c>
      <c r="R707" s="12">
        <f t="shared" si="1"/>
        <v>0</v>
      </c>
      <c r="S707" s="12">
        <f>IF($A707="","",IF($R707&lt;=0,1,1+$R707/SUMIF($R$4:$R$923,"&gt;0",$R$4:$R$923)*(Settings!$B$5*(Settings!$B$6-Settings!$B$7))))</f>
        <v>1</v>
      </c>
      <c r="T707" s="12">
        <f t="array" ref="T707">IF($A707="","",XLOOKUP($F707,Settings!$I$15:$I$20,Settings!$J$15:$J$20,1))</f>
        <v>0.75</v>
      </c>
      <c r="U707" s="12">
        <f>IF($A707="","",1+(($G707-5)/5)*Settings!$J$8)</f>
        <v>1</v>
      </c>
      <c r="V707" s="12">
        <f>IF($A707="","",1+(($H707-5)/5)*Settings!$J$9)</f>
        <v>1.06</v>
      </c>
      <c r="W707" s="12">
        <f t="array" ref="W707">IF($A707="","",XLOOKUP($J707,Lists!$C$3:$C$7,Lists!$D$3:$D$7,1))</f>
        <v>1</v>
      </c>
      <c r="X707" s="12">
        <f>IF($A707="","",IF($I707="Yes",Settings!$J$10,1))</f>
        <v>1</v>
      </c>
      <c r="Y707" s="12">
        <f t="shared" si="2"/>
        <v>1</v>
      </c>
      <c r="Z707" s="12">
        <f>IF($A707="","",IFERROR(ROUND(AVERAGEIFS('Historical Drafts'!$G$4:$G$300,'Historical Drafts'!$D$4:$D$300,$E707,'Historical Drafts'!$J$4:$J$300,"&gt;="&amp;$L707*0.85,'Historical Drafts'!$J$4:$J$300,"&lt;="&amp;$L707*1.15),0),$Y707))</f>
        <v>1</v>
      </c>
      <c r="AA707" s="12" t="str">
        <f>IF($A707="","",IF(COUNTIF('Auction Log'!$B$3:$B$300,$A707)&gt;0,"Sold","Available"))</f>
        <v>Available</v>
      </c>
      <c r="AB707" s="12" t="str">
        <f t="array" ref="AB707">IF($A707="","",IFERROR(XLOOKUP($A707,'Auction Log'!$B$3:$B$300,'Auction Log'!$G$3:$G$300,""),""))</f>
        <v/>
      </c>
      <c r="AC707" s="12" t="str">
        <f t="array" ref="AC707">IF($A707="","",IFERROR(XLOOKUP($A707,'Auction Log'!$B$3:$B$300,'Auction Log'!$F$3:$F$300,""),""))</f>
        <v/>
      </c>
      <c r="AD707" s="12">
        <f t="array" ref="AD707">IF($A707="","",ROUND($Y707*XLOOKUP($F707,Settings!$I$15:$I$20,Settings!$K$15:$K$20,0.4),0))</f>
        <v>0</v>
      </c>
      <c r="AE707" s="12">
        <f t="array" ref="AE707">IF($A707="","",ROUND($Y707*XLOOKUP($F707,Settings!$I$15:$I$20,Settings!$L$15:$L$20,0.8),0))</f>
        <v>1</v>
      </c>
      <c r="AF707" s="12">
        <f t="array" ref="AF707">IF($A707="","",ROUND($Y707*XLOOKUP($F707,Settings!$I$15:$I$20,Settings!$M$15:$M$20,1),0))</f>
        <v>1</v>
      </c>
      <c r="AG707" s="12">
        <f t="array" ref="AG707">IF($A707="","",ROUND($Y707*XLOOKUP($F707,Settings!$I$15:$I$20,Settings!$N$15:$N$20,1.1),0))</f>
        <v>1</v>
      </c>
      <c r="AH707" s="12">
        <f t="array" ref="AH707">IF($A707="","",ROUND($Y707*XLOOKUP($F707,Settings!$I$15:$I$20,Settings!$O$15:$O$20,1.1)*Settings!$J$7,0))</f>
        <v>1</v>
      </c>
      <c r="AI707" s="12">
        <f t="array" ref="AI707">IF($A707="","",IF($AA707="Sold","",MIN($AH707,IFERROR(XLOOKUP(Settings!$B$12,Managers!$B$4:$B$15,Managers!$H$4:$H$15),$AH707))))</f>
        <v>1</v>
      </c>
      <c r="AJ707" s="12" t="str">
        <f t="shared" si="3"/>
        <v>Recommended</v>
      </c>
      <c r="AK707" s="12">
        <f t="shared" si="4"/>
        <v>26</v>
      </c>
      <c r="AL707" s="12" t="str">
        <f t="shared" si="5"/>
        <v/>
      </c>
    </row>
    <row r="708" ht="15.75" customHeight="1">
      <c r="A708" s="10" t="s">
        <v>1698</v>
      </c>
      <c r="B708" s="10" t="s">
        <v>1699</v>
      </c>
      <c r="C708" s="10" t="s">
        <v>185</v>
      </c>
      <c r="D708" s="10" t="s">
        <v>118</v>
      </c>
      <c r="E708" s="10" t="s">
        <v>118</v>
      </c>
      <c r="F708" s="10" t="s">
        <v>117</v>
      </c>
      <c r="G708" s="10">
        <v>5.0</v>
      </c>
      <c r="H708" s="10">
        <v>7.0</v>
      </c>
      <c r="I708" s="10" t="s">
        <v>2140</v>
      </c>
      <c r="J708" s="10" t="s">
        <v>2136</v>
      </c>
      <c r="K708" s="10"/>
      <c r="L708" s="10">
        <v>0.0</v>
      </c>
      <c r="M708" s="10">
        <v>0.0</v>
      </c>
      <c r="N708" s="10"/>
      <c r="O708" s="10"/>
      <c r="P708" s="12">
        <f>IF($A708="","",IFERROR((IF($O708="",0,$O708)*Settings!$J$4+IF($L708="",0,$L708)*Settings!$J$5+IF($N708="",0,$N708)*Settings!$J$6)/(IF($O708="",0,Settings!$J$4)+IF($L708="",0,Settings!$J$5)+IF($N708="",0,Settings!$J$6)),0))</f>
        <v>0</v>
      </c>
      <c r="Q708" s="12">
        <f t="array" ref="Q708">IF($A708="","",XLOOKUP($E708,Settings!$A$19:$A$22,Settings!$G$19:$G$22,0))</f>
        <v>196.25</v>
      </c>
      <c r="R708" s="12">
        <f t="shared" si="1"/>
        <v>0</v>
      </c>
      <c r="S708" s="12">
        <f>IF($A708="","",IF($R708&lt;=0,1,1+$R708/SUMIF($R$4:$R$923,"&gt;0",$R$4:$R$923)*(Settings!$B$5*(Settings!$B$6-Settings!$B$7))))</f>
        <v>1</v>
      </c>
      <c r="T708" s="12">
        <f t="array" ref="T708">IF($A708="","",XLOOKUP($F708,Settings!$I$15:$I$20,Settings!$J$15:$J$20,1))</f>
        <v>0.75</v>
      </c>
      <c r="U708" s="12">
        <f>IF($A708="","",1+(($G708-5)/5)*Settings!$J$8)</f>
        <v>1</v>
      </c>
      <c r="V708" s="12">
        <f>IF($A708="","",1+(($H708-5)/5)*Settings!$J$9)</f>
        <v>1.06</v>
      </c>
      <c r="W708" s="12">
        <f t="array" ref="W708">IF($A708="","",XLOOKUP($J708,Lists!$C$3:$C$7,Lists!$D$3:$D$7,1))</f>
        <v>1</v>
      </c>
      <c r="X708" s="12">
        <f>IF($A708="","",IF($I708="Yes",Settings!$J$10,1))</f>
        <v>1</v>
      </c>
      <c r="Y708" s="12">
        <f t="shared" si="2"/>
        <v>1</v>
      </c>
      <c r="Z708" s="12">
        <f>IF($A708="","",IFERROR(ROUND(AVERAGEIFS('Historical Drafts'!$G$4:$G$300,'Historical Drafts'!$D$4:$D$300,$E708,'Historical Drafts'!$J$4:$J$300,"&gt;="&amp;$L708*0.85,'Historical Drafts'!$J$4:$J$300,"&lt;="&amp;$L708*1.15),0),$Y708))</f>
        <v>1</v>
      </c>
      <c r="AA708" s="12" t="str">
        <f>IF($A708="","",IF(COUNTIF('Auction Log'!$B$3:$B$300,$A708)&gt;0,"Sold","Available"))</f>
        <v>Available</v>
      </c>
      <c r="AB708" s="12" t="str">
        <f t="array" ref="AB708">IF($A708="","",IFERROR(XLOOKUP($A708,'Auction Log'!$B$3:$B$300,'Auction Log'!$G$3:$G$300,""),""))</f>
        <v/>
      </c>
      <c r="AC708" s="12" t="str">
        <f t="array" ref="AC708">IF($A708="","",IFERROR(XLOOKUP($A708,'Auction Log'!$B$3:$B$300,'Auction Log'!$F$3:$F$300,""),""))</f>
        <v/>
      </c>
      <c r="AD708" s="12">
        <f t="array" ref="AD708">IF($A708="","",ROUND($Y708*XLOOKUP($F708,Settings!$I$15:$I$20,Settings!$K$15:$K$20,0.4),0))</f>
        <v>0</v>
      </c>
      <c r="AE708" s="12">
        <f t="array" ref="AE708">IF($A708="","",ROUND($Y708*XLOOKUP($F708,Settings!$I$15:$I$20,Settings!$L$15:$L$20,0.8),0))</f>
        <v>1</v>
      </c>
      <c r="AF708" s="12">
        <f t="array" ref="AF708">IF($A708="","",ROUND($Y708*XLOOKUP($F708,Settings!$I$15:$I$20,Settings!$M$15:$M$20,1),0))</f>
        <v>1</v>
      </c>
      <c r="AG708" s="12">
        <f t="array" ref="AG708">IF($A708="","",ROUND($Y708*XLOOKUP($F708,Settings!$I$15:$I$20,Settings!$N$15:$N$20,1.1),0))</f>
        <v>1</v>
      </c>
      <c r="AH708" s="12">
        <f t="array" ref="AH708">IF($A708="","",ROUND($Y708*XLOOKUP($F708,Settings!$I$15:$I$20,Settings!$O$15:$O$20,1.1)*Settings!$J$7,0))</f>
        <v>1</v>
      </c>
      <c r="AI708" s="12">
        <f t="array" ref="AI708">IF($A708="","",IF($AA708="Sold","",MIN($AH708,IFERROR(XLOOKUP(Settings!$B$12,Managers!$B$4:$B$15,Managers!$H$4:$H$15),$AH708))))</f>
        <v>1</v>
      </c>
      <c r="AJ708" s="12" t="str">
        <f t="shared" si="3"/>
        <v>Recommended</v>
      </c>
      <c r="AK708" s="12">
        <f t="shared" si="4"/>
        <v>26</v>
      </c>
      <c r="AL708" s="12" t="str">
        <f t="shared" si="5"/>
        <v/>
      </c>
    </row>
    <row r="709" ht="15.75" customHeight="1">
      <c r="A709" s="10" t="s">
        <v>390</v>
      </c>
      <c r="B709" s="10" t="s">
        <v>391</v>
      </c>
      <c r="C709" s="10" t="s">
        <v>243</v>
      </c>
      <c r="D709" s="10" t="s">
        <v>121</v>
      </c>
      <c r="E709" s="10" t="s">
        <v>121</v>
      </c>
      <c r="F709" s="10" t="s">
        <v>117</v>
      </c>
      <c r="G709" s="10">
        <v>5.0</v>
      </c>
      <c r="H709" s="10">
        <v>7.0</v>
      </c>
      <c r="I709" s="10" t="s">
        <v>2140</v>
      </c>
      <c r="J709" s="10" t="s">
        <v>2136</v>
      </c>
      <c r="K709" s="10"/>
      <c r="L709" s="10">
        <v>0.0</v>
      </c>
      <c r="M709" s="10">
        <v>0.0</v>
      </c>
      <c r="N709" s="10"/>
      <c r="O709" s="10"/>
      <c r="P709" s="12">
        <f>IF($A709="","",IFERROR((IF($O709="",0,$O709)*Settings!$J$4+IF($L709="",0,$L709)*Settings!$J$5+IF($N709="",0,$N709)*Settings!$J$6)/(IF($O709="",0,Settings!$J$4)+IF($L709="",0,Settings!$J$5)+IF($N709="",0,Settings!$J$6)),0))</f>
        <v>0</v>
      </c>
      <c r="Q709" s="12">
        <f t="array" ref="Q709">IF($A709="","",XLOOKUP($E709,Settings!$A$19:$A$22,Settings!$G$19:$G$22,0))</f>
        <v>206</v>
      </c>
      <c r="R709" s="12">
        <f t="shared" si="1"/>
        <v>0</v>
      </c>
      <c r="S709" s="12">
        <f>IF($A709="","",IF($R709&lt;=0,1,1+$R709/SUMIF($R$4:$R$923,"&gt;0",$R$4:$R$923)*(Settings!$B$5*(Settings!$B$6-Settings!$B$7))))</f>
        <v>1</v>
      </c>
      <c r="T709" s="12">
        <f t="array" ref="T709">IF($A709="","",XLOOKUP($F709,Settings!$I$15:$I$20,Settings!$J$15:$J$20,1))</f>
        <v>0.75</v>
      </c>
      <c r="U709" s="12">
        <f>IF($A709="","",1+(($G709-5)/5)*Settings!$J$8)</f>
        <v>1</v>
      </c>
      <c r="V709" s="12">
        <f>IF($A709="","",1+(($H709-5)/5)*Settings!$J$9)</f>
        <v>1.06</v>
      </c>
      <c r="W709" s="12">
        <f t="array" ref="W709">IF($A709="","",XLOOKUP($J709,Lists!$C$3:$C$7,Lists!$D$3:$D$7,1))</f>
        <v>1</v>
      </c>
      <c r="X709" s="12">
        <f>IF($A709="","",IF($I709="Yes",Settings!$J$10,1))</f>
        <v>1</v>
      </c>
      <c r="Y709" s="12">
        <f t="shared" si="2"/>
        <v>1</v>
      </c>
      <c r="Z709" s="12">
        <f>IF($A709="","",IFERROR(ROUND(AVERAGEIFS('Historical Drafts'!$G$4:$G$300,'Historical Drafts'!$D$4:$D$300,$E709,'Historical Drafts'!$J$4:$J$300,"&gt;="&amp;$L709*0.85,'Historical Drafts'!$J$4:$J$300,"&lt;="&amp;$L709*1.15),0),$Y709))</f>
        <v>3</v>
      </c>
      <c r="AA709" s="12" t="str">
        <f>IF($A709="","",IF(COUNTIF('Auction Log'!$B$3:$B$300,$A709)&gt;0,"Sold","Available"))</f>
        <v>Available</v>
      </c>
      <c r="AB709" s="12" t="str">
        <f t="array" ref="AB709">IF($A709="","",IFERROR(XLOOKUP($A709,'Auction Log'!$B$3:$B$300,'Auction Log'!$G$3:$G$300,""),""))</f>
        <v/>
      </c>
      <c r="AC709" s="12" t="str">
        <f t="array" ref="AC709">IF($A709="","",IFERROR(XLOOKUP($A709,'Auction Log'!$B$3:$B$300,'Auction Log'!$F$3:$F$300,""),""))</f>
        <v/>
      </c>
      <c r="AD709" s="12">
        <f t="array" ref="AD709">IF($A709="","",ROUND($Y709*XLOOKUP($F709,Settings!$I$15:$I$20,Settings!$K$15:$K$20,0.4),0))</f>
        <v>0</v>
      </c>
      <c r="AE709" s="12">
        <f t="array" ref="AE709">IF($A709="","",ROUND($Y709*XLOOKUP($F709,Settings!$I$15:$I$20,Settings!$L$15:$L$20,0.8),0))</f>
        <v>1</v>
      </c>
      <c r="AF709" s="12">
        <f t="array" ref="AF709">IF($A709="","",ROUND($Y709*XLOOKUP($F709,Settings!$I$15:$I$20,Settings!$M$15:$M$20,1),0))</f>
        <v>1</v>
      </c>
      <c r="AG709" s="12">
        <f t="array" ref="AG709">IF($A709="","",ROUND($Y709*XLOOKUP($F709,Settings!$I$15:$I$20,Settings!$N$15:$N$20,1.1),0))</f>
        <v>1</v>
      </c>
      <c r="AH709" s="12">
        <f t="array" ref="AH709">IF($A709="","",ROUND($Y709*XLOOKUP($F709,Settings!$I$15:$I$20,Settings!$O$15:$O$20,1.1)*Settings!$J$7,0))</f>
        <v>1</v>
      </c>
      <c r="AI709" s="12">
        <f t="array" ref="AI709">IF($A709="","",IF($AA709="Sold","",MIN($AH709,IFERROR(XLOOKUP(Settings!$B$12,Managers!$B$4:$B$15,Managers!$H$4:$H$15),$AH709))))</f>
        <v>1</v>
      </c>
      <c r="AJ709" s="12" t="str">
        <f t="shared" si="3"/>
        <v>Budget Drainer</v>
      </c>
      <c r="AK709" s="12">
        <f t="shared" si="4"/>
        <v>28</v>
      </c>
      <c r="AL709" s="12" t="str">
        <f t="shared" si="5"/>
        <v/>
      </c>
    </row>
    <row r="710" ht="15.75" customHeight="1">
      <c r="A710" s="10" t="s">
        <v>1700</v>
      </c>
      <c r="B710" s="10" t="s">
        <v>1701</v>
      </c>
      <c r="C710" s="10" t="s">
        <v>243</v>
      </c>
      <c r="D710" s="10" t="s">
        <v>121</v>
      </c>
      <c r="E710" s="10" t="s">
        <v>121</v>
      </c>
      <c r="F710" s="10" t="s">
        <v>117</v>
      </c>
      <c r="G710" s="10">
        <v>5.0</v>
      </c>
      <c r="H710" s="10">
        <v>7.0</v>
      </c>
      <c r="I710" s="10" t="s">
        <v>2140</v>
      </c>
      <c r="J710" s="10" t="s">
        <v>2136</v>
      </c>
      <c r="K710" s="10"/>
      <c r="L710" s="10">
        <v>0.0</v>
      </c>
      <c r="M710" s="10">
        <v>0.0</v>
      </c>
      <c r="N710" s="10"/>
      <c r="O710" s="10"/>
      <c r="P710" s="12">
        <f>IF($A710="","",IFERROR((IF($O710="",0,$O710)*Settings!$J$4+IF($L710="",0,$L710)*Settings!$J$5+IF($N710="",0,$N710)*Settings!$J$6)/(IF($O710="",0,Settings!$J$4)+IF($L710="",0,Settings!$J$5)+IF($N710="",0,Settings!$J$6)),0))</f>
        <v>0</v>
      </c>
      <c r="Q710" s="12">
        <f t="array" ref="Q710">IF($A710="","",XLOOKUP($E710,Settings!$A$19:$A$22,Settings!$G$19:$G$22,0))</f>
        <v>206</v>
      </c>
      <c r="R710" s="12">
        <f t="shared" si="1"/>
        <v>0</v>
      </c>
      <c r="S710" s="12">
        <f>IF($A710="","",IF($R710&lt;=0,1,1+$R710/SUMIF($R$4:$R$923,"&gt;0",$R$4:$R$923)*(Settings!$B$5*(Settings!$B$6-Settings!$B$7))))</f>
        <v>1</v>
      </c>
      <c r="T710" s="12">
        <f t="array" ref="T710">IF($A710="","",XLOOKUP($F710,Settings!$I$15:$I$20,Settings!$J$15:$J$20,1))</f>
        <v>0.75</v>
      </c>
      <c r="U710" s="12">
        <f>IF($A710="","",1+(($G710-5)/5)*Settings!$J$8)</f>
        <v>1</v>
      </c>
      <c r="V710" s="12">
        <f>IF($A710="","",1+(($H710-5)/5)*Settings!$J$9)</f>
        <v>1.06</v>
      </c>
      <c r="W710" s="12">
        <f t="array" ref="W710">IF($A710="","",XLOOKUP($J710,Lists!$C$3:$C$7,Lists!$D$3:$D$7,1))</f>
        <v>1</v>
      </c>
      <c r="X710" s="12">
        <f>IF($A710="","",IF($I710="Yes",Settings!$J$10,1))</f>
        <v>1</v>
      </c>
      <c r="Y710" s="12">
        <f t="shared" si="2"/>
        <v>1</v>
      </c>
      <c r="Z710" s="12">
        <f>IF($A710="","",IFERROR(ROUND(AVERAGEIFS('Historical Drafts'!$G$4:$G$300,'Historical Drafts'!$D$4:$D$300,$E710,'Historical Drafts'!$J$4:$J$300,"&gt;="&amp;$L710*0.85,'Historical Drafts'!$J$4:$J$300,"&lt;="&amp;$L710*1.15),0),$Y710))</f>
        <v>3</v>
      </c>
      <c r="AA710" s="12" t="str">
        <f>IF($A710="","",IF(COUNTIF('Auction Log'!$B$3:$B$300,$A710)&gt;0,"Sold","Available"))</f>
        <v>Available</v>
      </c>
      <c r="AB710" s="12" t="str">
        <f t="array" ref="AB710">IF($A710="","",IFERROR(XLOOKUP($A710,'Auction Log'!$B$3:$B$300,'Auction Log'!$G$3:$G$300,""),""))</f>
        <v/>
      </c>
      <c r="AC710" s="12" t="str">
        <f t="array" ref="AC710">IF($A710="","",IFERROR(XLOOKUP($A710,'Auction Log'!$B$3:$B$300,'Auction Log'!$F$3:$F$300,""),""))</f>
        <v/>
      </c>
      <c r="AD710" s="12">
        <f t="array" ref="AD710">IF($A710="","",ROUND($Y710*XLOOKUP($F710,Settings!$I$15:$I$20,Settings!$K$15:$K$20,0.4),0))</f>
        <v>0</v>
      </c>
      <c r="AE710" s="12">
        <f t="array" ref="AE710">IF($A710="","",ROUND($Y710*XLOOKUP($F710,Settings!$I$15:$I$20,Settings!$L$15:$L$20,0.8),0))</f>
        <v>1</v>
      </c>
      <c r="AF710" s="12">
        <f t="array" ref="AF710">IF($A710="","",ROUND($Y710*XLOOKUP($F710,Settings!$I$15:$I$20,Settings!$M$15:$M$20,1),0))</f>
        <v>1</v>
      </c>
      <c r="AG710" s="12">
        <f t="array" ref="AG710">IF($A710="","",ROUND($Y710*XLOOKUP($F710,Settings!$I$15:$I$20,Settings!$N$15:$N$20,1.1),0))</f>
        <v>1</v>
      </c>
      <c r="AH710" s="12">
        <f t="array" ref="AH710">IF($A710="","",ROUND($Y710*XLOOKUP($F710,Settings!$I$15:$I$20,Settings!$O$15:$O$20,1.1)*Settings!$J$7,0))</f>
        <v>1</v>
      </c>
      <c r="AI710" s="12">
        <f t="array" ref="AI710">IF($A710="","",IF($AA710="Sold","",MIN($AH710,IFERROR(XLOOKUP(Settings!$B$12,Managers!$B$4:$B$15,Managers!$H$4:$H$15),$AH710))))</f>
        <v>1</v>
      </c>
      <c r="AJ710" s="12" t="str">
        <f t="shared" si="3"/>
        <v>Budget Drainer</v>
      </c>
      <c r="AK710" s="12">
        <f t="shared" si="4"/>
        <v>28</v>
      </c>
      <c r="AL710" s="12" t="str">
        <f t="shared" si="5"/>
        <v/>
      </c>
    </row>
    <row r="711" ht="15.75" customHeight="1">
      <c r="A711" s="10" t="s">
        <v>1702</v>
      </c>
      <c r="B711" s="10" t="s">
        <v>1703</v>
      </c>
      <c r="C711" s="10" t="s">
        <v>177</v>
      </c>
      <c r="D711" s="10" t="s">
        <v>121</v>
      </c>
      <c r="E711" s="10" t="s">
        <v>121</v>
      </c>
      <c r="F711" s="10" t="s">
        <v>117</v>
      </c>
      <c r="G711" s="10">
        <v>5.0</v>
      </c>
      <c r="H711" s="10">
        <v>7.0</v>
      </c>
      <c r="I711" s="10" t="s">
        <v>2140</v>
      </c>
      <c r="J711" s="10" t="s">
        <v>2136</v>
      </c>
      <c r="K711" s="10"/>
      <c r="L711" s="10">
        <v>0.0</v>
      </c>
      <c r="M711" s="10">
        <v>0.0</v>
      </c>
      <c r="N711" s="10"/>
      <c r="O711" s="10"/>
      <c r="P711" s="12">
        <f>IF($A711="","",IFERROR((IF($O711="",0,$O711)*Settings!$J$4+IF($L711="",0,$L711)*Settings!$J$5+IF($N711="",0,$N711)*Settings!$J$6)/(IF($O711="",0,Settings!$J$4)+IF($L711="",0,Settings!$J$5)+IF($N711="",0,Settings!$J$6)),0))</f>
        <v>0</v>
      </c>
      <c r="Q711" s="12">
        <f t="array" ref="Q711">IF($A711="","",XLOOKUP($E711,Settings!$A$19:$A$22,Settings!$G$19:$G$22,0))</f>
        <v>206</v>
      </c>
      <c r="R711" s="12">
        <f t="shared" si="1"/>
        <v>0</v>
      </c>
      <c r="S711" s="12">
        <f>IF($A711="","",IF($R711&lt;=0,1,1+$R711/SUMIF($R$4:$R$923,"&gt;0",$R$4:$R$923)*(Settings!$B$5*(Settings!$B$6-Settings!$B$7))))</f>
        <v>1</v>
      </c>
      <c r="T711" s="12">
        <f t="array" ref="T711">IF($A711="","",XLOOKUP($F711,Settings!$I$15:$I$20,Settings!$J$15:$J$20,1))</f>
        <v>0.75</v>
      </c>
      <c r="U711" s="12">
        <f>IF($A711="","",1+(($G711-5)/5)*Settings!$J$8)</f>
        <v>1</v>
      </c>
      <c r="V711" s="12">
        <f>IF($A711="","",1+(($H711-5)/5)*Settings!$J$9)</f>
        <v>1.06</v>
      </c>
      <c r="W711" s="12">
        <f t="array" ref="W711">IF($A711="","",XLOOKUP($J711,Lists!$C$3:$C$7,Lists!$D$3:$D$7,1))</f>
        <v>1</v>
      </c>
      <c r="X711" s="12">
        <f>IF($A711="","",IF($I711="Yes",Settings!$J$10,1))</f>
        <v>1</v>
      </c>
      <c r="Y711" s="12">
        <f t="shared" si="2"/>
        <v>1</v>
      </c>
      <c r="Z711" s="12">
        <f>IF($A711="","",IFERROR(ROUND(AVERAGEIFS('Historical Drafts'!$G$4:$G$300,'Historical Drafts'!$D$4:$D$300,$E711,'Historical Drafts'!$J$4:$J$300,"&gt;="&amp;$L711*0.85,'Historical Drafts'!$J$4:$J$300,"&lt;="&amp;$L711*1.15),0),$Y711))</f>
        <v>3</v>
      </c>
      <c r="AA711" s="12" t="str">
        <f>IF($A711="","",IF(COUNTIF('Auction Log'!$B$3:$B$300,$A711)&gt;0,"Sold","Available"))</f>
        <v>Available</v>
      </c>
      <c r="AB711" s="12" t="str">
        <f t="array" ref="AB711">IF($A711="","",IFERROR(XLOOKUP($A711,'Auction Log'!$B$3:$B$300,'Auction Log'!$G$3:$G$300,""),""))</f>
        <v/>
      </c>
      <c r="AC711" s="12" t="str">
        <f t="array" ref="AC711">IF($A711="","",IFERROR(XLOOKUP($A711,'Auction Log'!$B$3:$B$300,'Auction Log'!$F$3:$F$300,""),""))</f>
        <v/>
      </c>
      <c r="AD711" s="12">
        <f t="array" ref="AD711">IF($A711="","",ROUND($Y711*XLOOKUP($F711,Settings!$I$15:$I$20,Settings!$K$15:$K$20,0.4),0))</f>
        <v>0</v>
      </c>
      <c r="AE711" s="12">
        <f t="array" ref="AE711">IF($A711="","",ROUND($Y711*XLOOKUP($F711,Settings!$I$15:$I$20,Settings!$L$15:$L$20,0.8),0))</f>
        <v>1</v>
      </c>
      <c r="AF711" s="12">
        <f t="array" ref="AF711">IF($A711="","",ROUND($Y711*XLOOKUP($F711,Settings!$I$15:$I$20,Settings!$M$15:$M$20,1),0))</f>
        <v>1</v>
      </c>
      <c r="AG711" s="12">
        <f t="array" ref="AG711">IF($A711="","",ROUND($Y711*XLOOKUP($F711,Settings!$I$15:$I$20,Settings!$N$15:$N$20,1.1),0))</f>
        <v>1</v>
      </c>
      <c r="AH711" s="12">
        <f t="array" ref="AH711">IF($A711="","",ROUND($Y711*XLOOKUP($F711,Settings!$I$15:$I$20,Settings!$O$15:$O$20,1.1)*Settings!$J$7,0))</f>
        <v>1</v>
      </c>
      <c r="AI711" s="12">
        <f t="array" ref="AI711">IF($A711="","",IF($AA711="Sold","",MIN($AH711,IFERROR(XLOOKUP(Settings!$B$12,Managers!$B$4:$B$15,Managers!$H$4:$H$15),$AH711))))</f>
        <v>1</v>
      </c>
      <c r="AJ711" s="12" t="str">
        <f t="shared" si="3"/>
        <v>Budget Drainer</v>
      </c>
      <c r="AK711" s="12">
        <f t="shared" si="4"/>
        <v>28</v>
      </c>
      <c r="AL711" s="12" t="str">
        <f t="shared" si="5"/>
        <v/>
      </c>
    </row>
    <row r="712" ht="15.75" customHeight="1">
      <c r="A712" s="10" t="s">
        <v>1704</v>
      </c>
      <c r="B712" s="10" t="s">
        <v>1705</v>
      </c>
      <c r="C712" s="10" t="s">
        <v>327</v>
      </c>
      <c r="D712" s="10" t="s">
        <v>123</v>
      </c>
      <c r="E712" s="10" t="s">
        <v>123</v>
      </c>
      <c r="F712" s="10" t="s">
        <v>117</v>
      </c>
      <c r="G712" s="10">
        <v>5.0</v>
      </c>
      <c r="H712" s="10">
        <v>7.0</v>
      </c>
      <c r="I712" s="10" t="s">
        <v>2140</v>
      </c>
      <c r="J712" s="10" t="s">
        <v>2136</v>
      </c>
      <c r="K712" s="10"/>
      <c r="L712" s="10">
        <v>0.0</v>
      </c>
      <c r="M712" s="10">
        <v>0.0</v>
      </c>
      <c r="N712" s="10"/>
      <c r="O712" s="10"/>
      <c r="P712" s="12">
        <f>IF($A712="","",IFERROR((IF($O712="",0,$O712)*Settings!$J$4+IF($L712="",0,$L712)*Settings!$J$5+IF($N712="",0,$N712)*Settings!$J$6)/(IF($O712="",0,Settings!$J$4)+IF($L712="",0,Settings!$J$5)+IF($N712="",0,Settings!$J$6)),0))</f>
        <v>0</v>
      </c>
      <c r="Q712" s="12">
        <f t="array" ref="Q712">IF($A712="","",XLOOKUP($E712,Settings!$A$19:$A$22,Settings!$G$19:$G$22,0))</f>
        <v>203</v>
      </c>
      <c r="R712" s="12">
        <f t="shared" si="1"/>
        <v>0</v>
      </c>
      <c r="S712" s="12">
        <f>IF($A712="","",IF($R712&lt;=0,1,1+$R712/SUMIF($R$4:$R$923,"&gt;0",$R$4:$R$923)*(Settings!$B$5*(Settings!$B$6-Settings!$B$7))))</f>
        <v>1</v>
      </c>
      <c r="T712" s="12">
        <f t="array" ref="T712">IF($A712="","",XLOOKUP($F712,Settings!$I$15:$I$20,Settings!$J$15:$J$20,1))</f>
        <v>0.75</v>
      </c>
      <c r="U712" s="12">
        <f>IF($A712="","",1+(($G712-5)/5)*Settings!$J$8)</f>
        <v>1</v>
      </c>
      <c r="V712" s="12">
        <f>IF($A712="","",1+(($H712-5)/5)*Settings!$J$9)</f>
        <v>1.06</v>
      </c>
      <c r="W712" s="12">
        <f t="array" ref="W712">IF($A712="","",XLOOKUP($J712,Lists!$C$3:$C$7,Lists!$D$3:$D$7,1))</f>
        <v>1</v>
      </c>
      <c r="X712" s="12">
        <f>IF($A712="","",IF($I712="Yes",Settings!$J$10,1))</f>
        <v>1</v>
      </c>
      <c r="Y712" s="12">
        <f t="shared" si="2"/>
        <v>1</v>
      </c>
      <c r="Z712" s="12">
        <f>IF($A712="","",IFERROR(ROUND(AVERAGEIFS('Historical Drafts'!$G$4:$G$300,'Historical Drafts'!$D$4:$D$300,$E712,'Historical Drafts'!$J$4:$J$300,"&gt;="&amp;$L712*0.85,'Historical Drafts'!$J$4:$J$300,"&lt;="&amp;$L712*1.15),0),$Y712))</f>
        <v>3</v>
      </c>
      <c r="AA712" s="12" t="str">
        <f>IF($A712="","",IF(COUNTIF('Auction Log'!$B$3:$B$300,$A712)&gt;0,"Sold","Available"))</f>
        <v>Available</v>
      </c>
      <c r="AB712" s="12" t="str">
        <f t="array" ref="AB712">IF($A712="","",IFERROR(XLOOKUP($A712,'Auction Log'!$B$3:$B$300,'Auction Log'!$G$3:$G$300,""),""))</f>
        <v/>
      </c>
      <c r="AC712" s="12" t="str">
        <f t="array" ref="AC712">IF($A712="","",IFERROR(XLOOKUP($A712,'Auction Log'!$B$3:$B$300,'Auction Log'!$F$3:$F$300,""),""))</f>
        <v/>
      </c>
      <c r="AD712" s="12">
        <f t="array" ref="AD712">IF($A712="","",ROUND($Y712*XLOOKUP($F712,Settings!$I$15:$I$20,Settings!$K$15:$K$20,0.4),0))</f>
        <v>0</v>
      </c>
      <c r="AE712" s="12">
        <f t="array" ref="AE712">IF($A712="","",ROUND($Y712*XLOOKUP($F712,Settings!$I$15:$I$20,Settings!$L$15:$L$20,0.8),0))</f>
        <v>1</v>
      </c>
      <c r="AF712" s="12">
        <f t="array" ref="AF712">IF($A712="","",ROUND($Y712*XLOOKUP($F712,Settings!$I$15:$I$20,Settings!$M$15:$M$20,1),0))</f>
        <v>1</v>
      </c>
      <c r="AG712" s="12">
        <f t="array" ref="AG712">IF($A712="","",ROUND($Y712*XLOOKUP($F712,Settings!$I$15:$I$20,Settings!$N$15:$N$20,1.1),0))</f>
        <v>1</v>
      </c>
      <c r="AH712" s="12">
        <f t="array" ref="AH712">IF($A712="","",ROUND($Y712*XLOOKUP($F712,Settings!$I$15:$I$20,Settings!$O$15:$O$20,1.1)*Settings!$J$7,0))</f>
        <v>1</v>
      </c>
      <c r="AI712" s="12">
        <f t="array" ref="AI712">IF($A712="","",IF($AA712="Sold","",MIN($AH712,IFERROR(XLOOKUP(Settings!$B$12,Managers!$B$4:$B$15,Managers!$H$4:$H$15),$AH712))))</f>
        <v>1</v>
      </c>
      <c r="AJ712" s="12" t="str">
        <f t="shared" si="3"/>
        <v>Budget Drainer</v>
      </c>
      <c r="AK712" s="12">
        <f t="shared" si="4"/>
        <v>28</v>
      </c>
      <c r="AL712" s="12" t="str">
        <f t="shared" si="5"/>
        <v/>
      </c>
    </row>
    <row r="713" ht="15.75" customHeight="1">
      <c r="A713" s="10" t="s">
        <v>1706</v>
      </c>
      <c r="B713" s="10" t="s">
        <v>1707</v>
      </c>
      <c r="C713" s="10" t="s">
        <v>215</v>
      </c>
      <c r="D713" s="10" t="s">
        <v>121</v>
      </c>
      <c r="E713" s="10" t="s">
        <v>121</v>
      </c>
      <c r="F713" s="10" t="s">
        <v>117</v>
      </c>
      <c r="G713" s="10">
        <v>5.0</v>
      </c>
      <c r="H713" s="10">
        <v>7.0</v>
      </c>
      <c r="I713" s="10" t="s">
        <v>2140</v>
      </c>
      <c r="J713" s="10" t="s">
        <v>2136</v>
      </c>
      <c r="K713" s="10"/>
      <c r="L713" s="10">
        <v>0.0</v>
      </c>
      <c r="M713" s="10">
        <v>0.0</v>
      </c>
      <c r="N713" s="10"/>
      <c r="O713" s="10"/>
      <c r="P713" s="12">
        <f>IF($A713="","",IFERROR((IF($O713="",0,$O713)*Settings!$J$4+IF($L713="",0,$L713)*Settings!$J$5+IF($N713="",0,$N713)*Settings!$J$6)/(IF($O713="",0,Settings!$J$4)+IF($L713="",0,Settings!$J$5)+IF($N713="",0,Settings!$J$6)),0))</f>
        <v>0</v>
      </c>
      <c r="Q713" s="12">
        <f t="array" ref="Q713">IF($A713="","",XLOOKUP($E713,Settings!$A$19:$A$22,Settings!$G$19:$G$22,0))</f>
        <v>206</v>
      </c>
      <c r="R713" s="12">
        <f t="shared" si="1"/>
        <v>0</v>
      </c>
      <c r="S713" s="12">
        <f>IF($A713="","",IF($R713&lt;=0,1,1+$R713/SUMIF($R$4:$R$923,"&gt;0",$R$4:$R$923)*(Settings!$B$5*(Settings!$B$6-Settings!$B$7))))</f>
        <v>1</v>
      </c>
      <c r="T713" s="12">
        <f t="array" ref="T713">IF($A713="","",XLOOKUP($F713,Settings!$I$15:$I$20,Settings!$J$15:$J$20,1))</f>
        <v>0.75</v>
      </c>
      <c r="U713" s="12">
        <f>IF($A713="","",1+(($G713-5)/5)*Settings!$J$8)</f>
        <v>1</v>
      </c>
      <c r="V713" s="12">
        <f>IF($A713="","",1+(($H713-5)/5)*Settings!$J$9)</f>
        <v>1.06</v>
      </c>
      <c r="W713" s="12">
        <f t="array" ref="W713">IF($A713="","",XLOOKUP($J713,Lists!$C$3:$C$7,Lists!$D$3:$D$7,1))</f>
        <v>1</v>
      </c>
      <c r="X713" s="12">
        <f>IF($A713="","",IF($I713="Yes",Settings!$J$10,1))</f>
        <v>1</v>
      </c>
      <c r="Y713" s="12">
        <f t="shared" si="2"/>
        <v>1</v>
      </c>
      <c r="Z713" s="12">
        <f>IF($A713="","",IFERROR(ROUND(AVERAGEIFS('Historical Drafts'!$G$4:$G$300,'Historical Drafts'!$D$4:$D$300,$E713,'Historical Drafts'!$J$4:$J$300,"&gt;="&amp;$L713*0.85,'Historical Drafts'!$J$4:$J$300,"&lt;="&amp;$L713*1.15),0),$Y713))</f>
        <v>3</v>
      </c>
      <c r="AA713" s="12" t="str">
        <f>IF($A713="","",IF(COUNTIF('Auction Log'!$B$3:$B$300,$A713)&gt;0,"Sold","Available"))</f>
        <v>Available</v>
      </c>
      <c r="AB713" s="12" t="str">
        <f t="array" ref="AB713">IF($A713="","",IFERROR(XLOOKUP($A713,'Auction Log'!$B$3:$B$300,'Auction Log'!$G$3:$G$300,""),""))</f>
        <v/>
      </c>
      <c r="AC713" s="12" t="str">
        <f t="array" ref="AC713">IF($A713="","",IFERROR(XLOOKUP($A713,'Auction Log'!$B$3:$B$300,'Auction Log'!$F$3:$F$300,""),""))</f>
        <v/>
      </c>
      <c r="AD713" s="12">
        <f t="array" ref="AD713">IF($A713="","",ROUND($Y713*XLOOKUP($F713,Settings!$I$15:$I$20,Settings!$K$15:$K$20,0.4),0))</f>
        <v>0</v>
      </c>
      <c r="AE713" s="12">
        <f t="array" ref="AE713">IF($A713="","",ROUND($Y713*XLOOKUP($F713,Settings!$I$15:$I$20,Settings!$L$15:$L$20,0.8),0))</f>
        <v>1</v>
      </c>
      <c r="AF713" s="12">
        <f t="array" ref="AF713">IF($A713="","",ROUND($Y713*XLOOKUP($F713,Settings!$I$15:$I$20,Settings!$M$15:$M$20,1),0))</f>
        <v>1</v>
      </c>
      <c r="AG713" s="12">
        <f t="array" ref="AG713">IF($A713="","",ROUND($Y713*XLOOKUP($F713,Settings!$I$15:$I$20,Settings!$N$15:$N$20,1.1),0))</f>
        <v>1</v>
      </c>
      <c r="AH713" s="12">
        <f t="array" ref="AH713">IF($A713="","",ROUND($Y713*XLOOKUP($F713,Settings!$I$15:$I$20,Settings!$O$15:$O$20,1.1)*Settings!$J$7,0))</f>
        <v>1</v>
      </c>
      <c r="AI713" s="12">
        <f t="array" ref="AI713">IF($A713="","",IF($AA713="Sold","",MIN($AH713,IFERROR(XLOOKUP(Settings!$B$12,Managers!$B$4:$B$15,Managers!$H$4:$H$15),$AH713))))</f>
        <v>1</v>
      </c>
      <c r="AJ713" s="12" t="str">
        <f t="shared" si="3"/>
        <v>Budget Drainer</v>
      </c>
      <c r="AK713" s="12">
        <f t="shared" si="4"/>
        <v>28</v>
      </c>
      <c r="AL713" s="12" t="str">
        <f t="shared" si="5"/>
        <v/>
      </c>
    </row>
    <row r="714" ht="15.75" customHeight="1">
      <c r="A714" s="10" t="s">
        <v>1708</v>
      </c>
      <c r="B714" s="10" t="s">
        <v>1709</v>
      </c>
      <c r="C714" s="10" t="s">
        <v>231</v>
      </c>
      <c r="D714" s="10" t="s">
        <v>118</v>
      </c>
      <c r="E714" s="10" t="s">
        <v>118</v>
      </c>
      <c r="F714" s="10" t="s">
        <v>117</v>
      </c>
      <c r="G714" s="10">
        <v>5.0</v>
      </c>
      <c r="H714" s="10">
        <v>7.0</v>
      </c>
      <c r="I714" s="10" t="s">
        <v>2140</v>
      </c>
      <c r="J714" s="10" t="s">
        <v>2136</v>
      </c>
      <c r="K714" s="10"/>
      <c r="L714" s="10">
        <v>0.0</v>
      </c>
      <c r="M714" s="10">
        <v>0.0</v>
      </c>
      <c r="N714" s="10"/>
      <c r="O714" s="10"/>
      <c r="P714" s="12">
        <f>IF($A714="","",IFERROR((IF($O714="",0,$O714)*Settings!$J$4+IF($L714="",0,$L714)*Settings!$J$5+IF($N714="",0,$N714)*Settings!$J$6)/(IF($O714="",0,Settings!$J$4)+IF($L714="",0,Settings!$J$5)+IF($N714="",0,Settings!$J$6)),0))</f>
        <v>0</v>
      </c>
      <c r="Q714" s="12">
        <f t="array" ref="Q714">IF($A714="","",XLOOKUP($E714,Settings!$A$19:$A$22,Settings!$G$19:$G$22,0))</f>
        <v>196.25</v>
      </c>
      <c r="R714" s="12">
        <f t="shared" si="1"/>
        <v>0</v>
      </c>
      <c r="S714" s="12">
        <f>IF($A714="","",IF($R714&lt;=0,1,1+$R714/SUMIF($R$4:$R$923,"&gt;0",$R$4:$R$923)*(Settings!$B$5*(Settings!$B$6-Settings!$B$7))))</f>
        <v>1</v>
      </c>
      <c r="T714" s="12">
        <f t="array" ref="T714">IF($A714="","",XLOOKUP($F714,Settings!$I$15:$I$20,Settings!$J$15:$J$20,1))</f>
        <v>0.75</v>
      </c>
      <c r="U714" s="12">
        <f>IF($A714="","",1+(($G714-5)/5)*Settings!$J$8)</f>
        <v>1</v>
      </c>
      <c r="V714" s="12">
        <f>IF($A714="","",1+(($H714-5)/5)*Settings!$J$9)</f>
        <v>1.06</v>
      </c>
      <c r="W714" s="12">
        <f t="array" ref="W714">IF($A714="","",XLOOKUP($J714,Lists!$C$3:$C$7,Lists!$D$3:$D$7,1))</f>
        <v>1</v>
      </c>
      <c r="X714" s="12">
        <f>IF($A714="","",IF($I714="Yes",Settings!$J$10,1))</f>
        <v>1</v>
      </c>
      <c r="Y714" s="12">
        <f t="shared" si="2"/>
        <v>1</v>
      </c>
      <c r="Z714" s="12">
        <f>IF($A714="","",IFERROR(ROUND(AVERAGEIFS('Historical Drafts'!$G$4:$G$300,'Historical Drafts'!$D$4:$D$300,$E714,'Historical Drafts'!$J$4:$J$300,"&gt;="&amp;$L714*0.85,'Historical Drafts'!$J$4:$J$300,"&lt;="&amp;$L714*1.15),0),$Y714))</f>
        <v>1</v>
      </c>
      <c r="AA714" s="12" t="str">
        <f>IF($A714="","",IF(COUNTIF('Auction Log'!$B$3:$B$300,$A714)&gt;0,"Sold","Available"))</f>
        <v>Available</v>
      </c>
      <c r="AB714" s="12" t="str">
        <f t="array" ref="AB714">IF($A714="","",IFERROR(XLOOKUP($A714,'Auction Log'!$B$3:$B$300,'Auction Log'!$G$3:$G$300,""),""))</f>
        <v/>
      </c>
      <c r="AC714" s="12" t="str">
        <f t="array" ref="AC714">IF($A714="","",IFERROR(XLOOKUP($A714,'Auction Log'!$B$3:$B$300,'Auction Log'!$F$3:$F$300,""),""))</f>
        <v/>
      </c>
      <c r="AD714" s="12">
        <f t="array" ref="AD714">IF($A714="","",ROUND($Y714*XLOOKUP($F714,Settings!$I$15:$I$20,Settings!$K$15:$K$20,0.4),0))</f>
        <v>0</v>
      </c>
      <c r="AE714" s="12">
        <f t="array" ref="AE714">IF($A714="","",ROUND($Y714*XLOOKUP($F714,Settings!$I$15:$I$20,Settings!$L$15:$L$20,0.8),0))</f>
        <v>1</v>
      </c>
      <c r="AF714" s="12">
        <f t="array" ref="AF714">IF($A714="","",ROUND($Y714*XLOOKUP($F714,Settings!$I$15:$I$20,Settings!$M$15:$M$20,1),0))</f>
        <v>1</v>
      </c>
      <c r="AG714" s="12">
        <f t="array" ref="AG714">IF($A714="","",ROUND($Y714*XLOOKUP($F714,Settings!$I$15:$I$20,Settings!$N$15:$N$20,1.1),0))</f>
        <v>1</v>
      </c>
      <c r="AH714" s="12">
        <f t="array" ref="AH714">IF($A714="","",ROUND($Y714*XLOOKUP($F714,Settings!$I$15:$I$20,Settings!$O$15:$O$20,1.1)*Settings!$J$7,0))</f>
        <v>1</v>
      </c>
      <c r="AI714" s="12">
        <f t="array" ref="AI714">IF($A714="","",IF($AA714="Sold","",MIN($AH714,IFERROR(XLOOKUP(Settings!$B$12,Managers!$B$4:$B$15,Managers!$H$4:$H$15),$AH714))))</f>
        <v>1</v>
      </c>
      <c r="AJ714" s="12" t="str">
        <f t="shared" si="3"/>
        <v>Recommended</v>
      </c>
      <c r="AK714" s="12">
        <f t="shared" si="4"/>
        <v>26</v>
      </c>
      <c r="AL714" s="12" t="str">
        <f t="shared" si="5"/>
        <v/>
      </c>
    </row>
    <row r="715" ht="15.75" customHeight="1">
      <c r="A715" s="10" t="s">
        <v>1710</v>
      </c>
      <c r="B715" s="10" t="s">
        <v>1711</v>
      </c>
      <c r="C715" s="10" t="s">
        <v>243</v>
      </c>
      <c r="D715" s="10" t="s">
        <v>123</v>
      </c>
      <c r="E715" s="10" t="s">
        <v>123</v>
      </c>
      <c r="F715" s="10" t="s">
        <v>117</v>
      </c>
      <c r="G715" s="10">
        <v>5.0</v>
      </c>
      <c r="H715" s="10">
        <v>7.0</v>
      </c>
      <c r="I715" s="10" t="s">
        <v>2140</v>
      </c>
      <c r="J715" s="10" t="s">
        <v>2136</v>
      </c>
      <c r="K715" s="10"/>
      <c r="L715" s="10">
        <v>0.0</v>
      </c>
      <c r="M715" s="10">
        <v>0.0</v>
      </c>
      <c r="N715" s="10"/>
      <c r="O715" s="10"/>
      <c r="P715" s="12">
        <f>IF($A715="","",IFERROR((IF($O715="",0,$O715)*Settings!$J$4+IF($L715="",0,$L715)*Settings!$J$5+IF($N715="",0,$N715)*Settings!$J$6)/(IF($O715="",0,Settings!$J$4)+IF($L715="",0,Settings!$J$5)+IF($N715="",0,Settings!$J$6)),0))</f>
        <v>0</v>
      </c>
      <c r="Q715" s="12">
        <f t="array" ref="Q715">IF($A715="","",XLOOKUP($E715,Settings!$A$19:$A$22,Settings!$G$19:$G$22,0))</f>
        <v>203</v>
      </c>
      <c r="R715" s="12">
        <f t="shared" si="1"/>
        <v>0</v>
      </c>
      <c r="S715" s="12">
        <f>IF($A715="","",IF($R715&lt;=0,1,1+$R715/SUMIF($R$4:$R$923,"&gt;0",$R$4:$R$923)*(Settings!$B$5*(Settings!$B$6-Settings!$B$7))))</f>
        <v>1</v>
      </c>
      <c r="T715" s="12">
        <f t="array" ref="T715">IF($A715="","",XLOOKUP($F715,Settings!$I$15:$I$20,Settings!$J$15:$J$20,1))</f>
        <v>0.75</v>
      </c>
      <c r="U715" s="12">
        <f>IF($A715="","",1+(($G715-5)/5)*Settings!$J$8)</f>
        <v>1</v>
      </c>
      <c r="V715" s="12">
        <f>IF($A715="","",1+(($H715-5)/5)*Settings!$J$9)</f>
        <v>1.06</v>
      </c>
      <c r="W715" s="12">
        <f t="array" ref="W715">IF($A715="","",XLOOKUP($J715,Lists!$C$3:$C$7,Lists!$D$3:$D$7,1))</f>
        <v>1</v>
      </c>
      <c r="X715" s="12">
        <f>IF($A715="","",IF($I715="Yes",Settings!$J$10,1))</f>
        <v>1</v>
      </c>
      <c r="Y715" s="12">
        <f t="shared" si="2"/>
        <v>1</v>
      </c>
      <c r="Z715" s="12">
        <f>IF($A715="","",IFERROR(ROUND(AVERAGEIFS('Historical Drafts'!$G$4:$G$300,'Historical Drafts'!$D$4:$D$300,$E715,'Historical Drafts'!$J$4:$J$300,"&gt;="&amp;$L715*0.85,'Historical Drafts'!$J$4:$J$300,"&lt;="&amp;$L715*1.15),0),$Y715))</f>
        <v>3</v>
      </c>
      <c r="AA715" s="12" t="str">
        <f>IF($A715="","",IF(COUNTIF('Auction Log'!$B$3:$B$300,$A715)&gt;0,"Sold","Available"))</f>
        <v>Available</v>
      </c>
      <c r="AB715" s="12" t="str">
        <f t="array" ref="AB715">IF($A715="","",IFERROR(XLOOKUP($A715,'Auction Log'!$B$3:$B$300,'Auction Log'!$G$3:$G$300,""),""))</f>
        <v/>
      </c>
      <c r="AC715" s="12" t="str">
        <f t="array" ref="AC715">IF($A715="","",IFERROR(XLOOKUP($A715,'Auction Log'!$B$3:$B$300,'Auction Log'!$F$3:$F$300,""),""))</f>
        <v/>
      </c>
      <c r="AD715" s="12">
        <f t="array" ref="AD715">IF($A715="","",ROUND($Y715*XLOOKUP($F715,Settings!$I$15:$I$20,Settings!$K$15:$K$20,0.4),0))</f>
        <v>0</v>
      </c>
      <c r="AE715" s="12">
        <f t="array" ref="AE715">IF($A715="","",ROUND($Y715*XLOOKUP($F715,Settings!$I$15:$I$20,Settings!$L$15:$L$20,0.8),0))</f>
        <v>1</v>
      </c>
      <c r="AF715" s="12">
        <f t="array" ref="AF715">IF($A715="","",ROUND($Y715*XLOOKUP($F715,Settings!$I$15:$I$20,Settings!$M$15:$M$20,1),0))</f>
        <v>1</v>
      </c>
      <c r="AG715" s="12">
        <f t="array" ref="AG715">IF($A715="","",ROUND($Y715*XLOOKUP($F715,Settings!$I$15:$I$20,Settings!$N$15:$N$20,1.1),0))</f>
        <v>1</v>
      </c>
      <c r="AH715" s="12">
        <f t="array" ref="AH715">IF($A715="","",ROUND($Y715*XLOOKUP($F715,Settings!$I$15:$I$20,Settings!$O$15:$O$20,1.1)*Settings!$J$7,0))</f>
        <v>1</v>
      </c>
      <c r="AI715" s="12">
        <f t="array" ref="AI715">IF($A715="","",IF($AA715="Sold","",MIN($AH715,IFERROR(XLOOKUP(Settings!$B$12,Managers!$B$4:$B$15,Managers!$H$4:$H$15),$AH715))))</f>
        <v>1</v>
      </c>
      <c r="AJ715" s="12" t="str">
        <f t="shared" si="3"/>
        <v>Budget Drainer</v>
      </c>
      <c r="AK715" s="12">
        <f t="shared" si="4"/>
        <v>28</v>
      </c>
      <c r="AL715" s="12" t="str">
        <f t="shared" si="5"/>
        <v/>
      </c>
    </row>
    <row r="716" ht="15.75" customHeight="1">
      <c r="A716" s="10" t="s">
        <v>1712</v>
      </c>
      <c r="B716" s="10" t="s">
        <v>1713</v>
      </c>
      <c r="C716" s="10" t="s">
        <v>305</v>
      </c>
      <c r="D716" s="10" t="s">
        <v>115</v>
      </c>
      <c r="E716" s="10" t="s">
        <v>115</v>
      </c>
      <c r="F716" s="10" t="s">
        <v>117</v>
      </c>
      <c r="G716" s="10">
        <v>5.0</v>
      </c>
      <c r="H716" s="10">
        <v>7.0</v>
      </c>
      <c r="I716" s="10" t="s">
        <v>2140</v>
      </c>
      <c r="J716" s="10" t="s">
        <v>2136</v>
      </c>
      <c r="K716" s="10"/>
      <c r="L716" s="10">
        <v>0.0</v>
      </c>
      <c r="M716" s="10">
        <v>0.0</v>
      </c>
      <c r="N716" s="10"/>
      <c r="O716" s="10"/>
      <c r="P716" s="12">
        <f>IF($A716="","",IFERROR((IF($O716="",0,$O716)*Settings!$J$4+IF($L716="",0,$L716)*Settings!$J$5+IF($N716="",0,$N716)*Settings!$J$6)/(IF($O716="",0,Settings!$J$4)+IF($L716="",0,Settings!$J$5)+IF($N716="",0,Settings!$J$6)),0))</f>
        <v>0</v>
      </c>
      <c r="Q716" s="12">
        <f t="array" ref="Q716">IF($A716="","",XLOOKUP($E716,Settings!$A$19:$A$22,Settings!$G$19:$G$22,0))</f>
        <v>249.25</v>
      </c>
      <c r="R716" s="12">
        <f t="shared" si="1"/>
        <v>0</v>
      </c>
      <c r="S716" s="12">
        <f>IF($A716="","",IF($R716&lt;=0,1,1+$R716/SUMIF($R$4:$R$923,"&gt;0",$R$4:$R$923)*(Settings!$B$5*(Settings!$B$6-Settings!$B$7))))</f>
        <v>1</v>
      </c>
      <c r="T716" s="12">
        <f t="array" ref="T716">IF($A716="","",XLOOKUP($F716,Settings!$I$15:$I$20,Settings!$J$15:$J$20,1))</f>
        <v>0.75</v>
      </c>
      <c r="U716" s="12">
        <f>IF($A716="","",1+(($G716-5)/5)*Settings!$J$8)</f>
        <v>1</v>
      </c>
      <c r="V716" s="12">
        <f>IF($A716="","",1+(($H716-5)/5)*Settings!$J$9)</f>
        <v>1.06</v>
      </c>
      <c r="W716" s="12">
        <f t="array" ref="W716">IF($A716="","",XLOOKUP($J716,Lists!$C$3:$C$7,Lists!$D$3:$D$7,1))</f>
        <v>1</v>
      </c>
      <c r="X716" s="12">
        <f>IF($A716="","",IF($I716="Yes",Settings!$J$10,1))</f>
        <v>1</v>
      </c>
      <c r="Y716" s="12">
        <f t="shared" si="2"/>
        <v>1</v>
      </c>
      <c r="Z716" s="12">
        <f>IF($A716="","",IFERROR(ROUND(AVERAGEIFS('Historical Drafts'!$G$4:$G$300,'Historical Drafts'!$D$4:$D$300,$E716,'Historical Drafts'!$J$4:$J$300,"&gt;="&amp;$L716*0.85,'Historical Drafts'!$J$4:$J$300,"&lt;="&amp;$L716*1.15),0),$Y716))</f>
        <v>1</v>
      </c>
      <c r="AA716" s="12" t="str">
        <f>IF($A716="","",IF(COUNTIF('Auction Log'!$B$3:$B$300,$A716)&gt;0,"Sold","Available"))</f>
        <v>Available</v>
      </c>
      <c r="AB716" s="12" t="str">
        <f t="array" ref="AB716">IF($A716="","",IFERROR(XLOOKUP($A716,'Auction Log'!$B$3:$B$300,'Auction Log'!$G$3:$G$300,""),""))</f>
        <v/>
      </c>
      <c r="AC716" s="12" t="str">
        <f t="array" ref="AC716">IF($A716="","",IFERROR(XLOOKUP($A716,'Auction Log'!$B$3:$B$300,'Auction Log'!$F$3:$F$300,""),""))</f>
        <v/>
      </c>
      <c r="AD716" s="12">
        <f t="array" ref="AD716">IF($A716="","",ROUND($Y716*XLOOKUP($F716,Settings!$I$15:$I$20,Settings!$K$15:$K$20,0.4),0))</f>
        <v>0</v>
      </c>
      <c r="AE716" s="12">
        <f t="array" ref="AE716">IF($A716="","",ROUND($Y716*XLOOKUP($F716,Settings!$I$15:$I$20,Settings!$L$15:$L$20,0.8),0))</f>
        <v>1</v>
      </c>
      <c r="AF716" s="12">
        <f t="array" ref="AF716">IF($A716="","",ROUND($Y716*XLOOKUP($F716,Settings!$I$15:$I$20,Settings!$M$15:$M$20,1),0))</f>
        <v>1</v>
      </c>
      <c r="AG716" s="12">
        <f t="array" ref="AG716">IF($A716="","",ROUND($Y716*XLOOKUP($F716,Settings!$I$15:$I$20,Settings!$N$15:$N$20,1.1),0))</f>
        <v>1</v>
      </c>
      <c r="AH716" s="12">
        <f t="array" ref="AH716">IF($A716="","",ROUND($Y716*XLOOKUP($F716,Settings!$I$15:$I$20,Settings!$O$15:$O$20,1.1)*Settings!$J$7,0))</f>
        <v>1</v>
      </c>
      <c r="AI716" s="12">
        <f t="array" ref="AI716">IF($A716="","",IF($AA716="Sold","",MIN($AH716,IFERROR(XLOOKUP(Settings!$B$12,Managers!$B$4:$B$15,Managers!$H$4:$H$15),$AH716))))</f>
        <v>1</v>
      </c>
      <c r="AJ716" s="12" t="str">
        <f t="shared" si="3"/>
        <v>Recommended</v>
      </c>
      <c r="AK716" s="12">
        <f t="shared" si="4"/>
        <v>26</v>
      </c>
      <c r="AL716" s="12" t="str">
        <f t="shared" si="5"/>
        <v/>
      </c>
    </row>
    <row r="717" ht="15.75" customHeight="1">
      <c r="A717" s="10" t="s">
        <v>1714</v>
      </c>
      <c r="B717" s="10" t="s">
        <v>1715</v>
      </c>
      <c r="C717" s="10" t="s">
        <v>243</v>
      </c>
      <c r="D717" s="10" t="s">
        <v>123</v>
      </c>
      <c r="E717" s="10" t="s">
        <v>123</v>
      </c>
      <c r="F717" s="10" t="s">
        <v>117</v>
      </c>
      <c r="G717" s="10">
        <v>5.0</v>
      </c>
      <c r="H717" s="10">
        <v>7.0</v>
      </c>
      <c r="I717" s="10" t="s">
        <v>2140</v>
      </c>
      <c r="J717" s="10" t="s">
        <v>2136</v>
      </c>
      <c r="K717" s="10"/>
      <c r="L717" s="10">
        <v>0.0</v>
      </c>
      <c r="M717" s="10">
        <v>0.0</v>
      </c>
      <c r="N717" s="10"/>
      <c r="O717" s="10"/>
      <c r="P717" s="12">
        <f>IF($A717="","",IFERROR((IF($O717="",0,$O717)*Settings!$J$4+IF($L717="",0,$L717)*Settings!$J$5+IF($N717="",0,$N717)*Settings!$J$6)/(IF($O717="",0,Settings!$J$4)+IF($L717="",0,Settings!$J$5)+IF($N717="",0,Settings!$J$6)),0))</f>
        <v>0</v>
      </c>
      <c r="Q717" s="12">
        <f t="array" ref="Q717">IF($A717="","",XLOOKUP($E717,Settings!$A$19:$A$22,Settings!$G$19:$G$22,0))</f>
        <v>203</v>
      </c>
      <c r="R717" s="12">
        <f t="shared" si="1"/>
        <v>0</v>
      </c>
      <c r="S717" s="12">
        <f>IF($A717="","",IF($R717&lt;=0,1,1+$R717/SUMIF($R$4:$R$923,"&gt;0",$R$4:$R$923)*(Settings!$B$5*(Settings!$B$6-Settings!$B$7))))</f>
        <v>1</v>
      </c>
      <c r="T717" s="12">
        <f t="array" ref="T717">IF($A717="","",XLOOKUP($F717,Settings!$I$15:$I$20,Settings!$J$15:$J$20,1))</f>
        <v>0.75</v>
      </c>
      <c r="U717" s="12">
        <f>IF($A717="","",1+(($G717-5)/5)*Settings!$J$8)</f>
        <v>1</v>
      </c>
      <c r="V717" s="12">
        <f>IF($A717="","",1+(($H717-5)/5)*Settings!$J$9)</f>
        <v>1.06</v>
      </c>
      <c r="W717" s="12">
        <f t="array" ref="W717">IF($A717="","",XLOOKUP($J717,Lists!$C$3:$C$7,Lists!$D$3:$D$7,1))</f>
        <v>1</v>
      </c>
      <c r="X717" s="12">
        <f>IF($A717="","",IF($I717="Yes",Settings!$J$10,1))</f>
        <v>1</v>
      </c>
      <c r="Y717" s="12">
        <f t="shared" si="2"/>
        <v>1</v>
      </c>
      <c r="Z717" s="12">
        <f>IF($A717="","",IFERROR(ROUND(AVERAGEIFS('Historical Drafts'!$G$4:$G$300,'Historical Drafts'!$D$4:$D$300,$E717,'Historical Drafts'!$J$4:$J$300,"&gt;="&amp;$L717*0.85,'Historical Drafts'!$J$4:$J$300,"&lt;="&amp;$L717*1.15),0),$Y717))</f>
        <v>3</v>
      </c>
      <c r="AA717" s="12" t="str">
        <f>IF($A717="","",IF(COUNTIF('Auction Log'!$B$3:$B$300,$A717)&gt;0,"Sold","Available"))</f>
        <v>Available</v>
      </c>
      <c r="AB717" s="12" t="str">
        <f t="array" ref="AB717">IF($A717="","",IFERROR(XLOOKUP($A717,'Auction Log'!$B$3:$B$300,'Auction Log'!$G$3:$G$300,""),""))</f>
        <v/>
      </c>
      <c r="AC717" s="12" t="str">
        <f t="array" ref="AC717">IF($A717="","",IFERROR(XLOOKUP($A717,'Auction Log'!$B$3:$B$300,'Auction Log'!$F$3:$F$300,""),""))</f>
        <v/>
      </c>
      <c r="AD717" s="12">
        <f t="array" ref="AD717">IF($A717="","",ROUND($Y717*XLOOKUP($F717,Settings!$I$15:$I$20,Settings!$K$15:$K$20,0.4),0))</f>
        <v>0</v>
      </c>
      <c r="AE717" s="12">
        <f t="array" ref="AE717">IF($A717="","",ROUND($Y717*XLOOKUP($F717,Settings!$I$15:$I$20,Settings!$L$15:$L$20,0.8),0))</f>
        <v>1</v>
      </c>
      <c r="AF717" s="12">
        <f t="array" ref="AF717">IF($A717="","",ROUND($Y717*XLOOKUP($F717,Settings!$I$15:$I$20,Settings!$M$15:$M$20,1),0))</f>
        <v>1</v>
      </c>
      <c r="AG717" s="12">
        <f t="array" ref="AG717">IF($A717="","",ROUND($Y717*XLOOKUP($F717,Settings!$I$15:$I$20,Settings!$N$15:$N$20,1.1),0))</f>
        <v>1</v>
      </c>
      <c r="AH717" s="12">
        <f t="array" ref="AH717">IF($A717="","",ROUND($Y717*XLOOKUP($F717,Settings!$I$15:$I$20,Settings!$O$15:$O$20,1.1)*Settings!$J$7,0))</f>
        <v>1</v>
      </c>
      <c r="AI717" s="12">
        <f t="array" ref="AI717">IF($A717="","",IF($AA717="Sold","",MIN($AH717,IFERROR(XLOOKUP(Settings!$B$12,Managers!$B$4:$B$15,Managers!$H$4:$H$15),$AH717))))</f>
        <v>1</v>
      </c>
      <c r="AJ717" s="12" t="str">
        <f t="shared" si="3"/>
        <v>Budget Drainer</v>
      </c>
      <c r="AK717" s="12">
        <f t="shared" si="4"/>
        <v>28</v>
      </c>
      <c r="AL717" s="12" t="str">
        <f t="shared" si="5"/>
        <v/>
      </c>
    </row>
    <row r="718" ht="15.75" customHeight="1">
      <c r="A718" s="10" t="s">
        <v>1716</v>
      </c>
      <c r="B718" s="10" t="s">
        <v>1717</v>
      </c>
      <c r="C718" s="10" t="s">
        <v>177</v>
      </c>
      <c r="D718" s="10" t="s">
        <v>118</v>
      </c>
      <c r="E718" s="10" t="s">
        <v>118</v>
      </c>
      <c r="F718" s="10" t="s">
        <v>117</v>
      </c>
      <c r="G718" s="10">
        <v>5.0</v>
      </c>
      <c r="H718" s="10">
        <v>7.0</v>
      </c>
      <c r="I718" s="10" t="s">
        <v>2140</v>
      </c>
      <c r="J718" s="10" t="s">
        <v>2136</v>
      </c>
      <c r="K718" s="10"/>
      <c r="L718" s="10">
        <v>0.0</v>
      </c>
      <c r="M718" s="10">
        <v>0.0</v>
      </c>
      <c r="N718" s="10"/>
      <c r="O718" s="10"/>
      <c r="P718" s="12">
        <f>IF($A718="","",IFERROR((IF($O718="",0,$O718)*Settings!$J$4+IF($L718="",0,$L718)*Settings!$J$5+IF($N718="",0,$N718)*Settings!$J$6)/(IF($O718="",0,Settings!$J$4)+IF($L718="",0,Settings!$J$5)+IF($N718="",0,Settings!$J$6)),0))</f>
        <v>0</v>
      </c>
      <c r="Q718" s="12">
        <f t="array" ref="Q718">IF($A718="","",XLOOKUP($E718,Settings!$A$19:$A$22,Settings!$G$19:$G$22,0))</f>
        <v>196.25</v>
      </c>
      <c r="R718" s="12">
        <f t="shared" si="1"/>
        <v>0</v>
      </c>
      <c r="S718" s="12">
        <f>IF($A718="","",IF($R718&lt;=0,1,1+$R718/SUMIF($R$4:$R$923,"&gt;0",$R$4:$R$923)*(Settings!$B$5*(Settings!$B$6-Settings!$B$7))))</f>
        <v>1</v>
      </c>
      <c r="T718" s="12">
        <f t="array" ref="T718">IF($A718="","",XLOOKUP($F718,Settings!$I$15:$I$20,Settings!$J$15:$J$20,1))</f>
        <v>0.75</v>
      </c>
      <c r="U718" s="12">
        <f>IF($A718="","",1+(($G718-5)/5)*Settings!$J$8)</f>
        <v>1</v>
      </c>
      <c r="V718" s="12">
        <f>IF($A718="","",1+(($H718-5)/5)*Settings!$J$9)</f>
        <v>1.06</v>
      </c>
      <c r="W718" s="12">
        <f t="array" ref="W718">IF($A718="","",XLOOKUP($J718,Lists!$C$3:$C$7,Lists!$D$3:$D$7,1))</f>
        <v>1</v>
      </c>
      <c r="X718" s="12">
        <f>IF($A718="","",IF($I718="Yes",Settings!$J$10,1))</f>
        <v>1</v>
      </c>
      <c r="Y718" s="12">
        <f t="shared" si="2"/>
        <v>1</v>
      </c>
      <c r="Z718" s="12">
        <f>IF($A718="","",IFERROR(ROUND(AVERAGEIFS('Historical Drafts'!$G$4:$G$300,'Historical Drafts'!$D$4:$D$300,$E718,'Historical Drafts'!$J$4:$J$300,"&gt;="&amp;$L718*0.85,'Historical Drafts'!$J$4:$J$300,"&lt;="&amp;$L718*1.15),0),$Y718))</f>
        <v>1</v>
      </c>
      <c r="AA718" s="12" t="str">
        <f>IF($A718="","",IF(COUNTIF('Auction Log'!$B$3:$B$300,$A718)&gt;0,"Sold","Available"))</f>
        <v>Available</v>
      </c>
      <c r="AB718" s="12" t="str">
        <f t="array" ref="AB718">IF($A718="","",IFERROR(XLOOKUP($A718,'Auction Log'!$B$3:$B$300,'Auction Log'!$G$3:$G$300,""),""))</f>
        <v/>
      </c>
      <c r="AC718" s="12" t="str">
        <f t="array" ref="AC718">IF($A718="","",IFERROR(XLOOKUP($A718,'Auction Log'!$B$3:$B$300,'Auction Log'!$F$3:$F$300,""),""))</f>
        <v/>
      </c>
      <c r="AD718" s="12">
        <f t="array" ref="AD718">IF($A718="","",ROUND($Y718*XLOOKUP($F718,Settings!$I$15:$I$20,Settings!$K$15:$K$20,0.4),0))</f>
        <v>0</v>
      </c>
      <c r="AE718" s="12">
        <f t="array" ref="AE718">IF($A718="","",ROUND($Y718*XLOOKUP($F718,Settings!$I$15:$I$20,Settings!$L$15:$L$20,0.8),0))</f>
        <v>1</v>
      </c>
      <c r="AF718" s="12">
        <f t="array" ref="AF718">IF($A718="","",ROUND($Y718*XLOOKUP($F718,Settings!$I$15:$I$20,Settings!$M$15:$M$20,1),0))</f>
        <v>1</v>
      </c>
      <c r="AG718" s="12">
        <f t="array" ref="AG718">IF($A718="","",ROUND($Y718*XLOOKUP($F718,Settings!$I$15:$I$20,Settings!$N$15:$N$20,1.1),0))</f>
        <v>1</v>
      </c>
      <c r="AH718" s="12">
        <f t="array" ref="AH718">IF($A718="","",ROUND($Y718*XLOOKUP($F718,Settings!$I$15:$I$20,Settings!$O$15:$O$20,1.1)*Settings!$J$7,0))</f>
        <v>1</v>
      </c>
      <c r="AI718" s="12">
        <f t="array" ref="AI718">IF($A718="","",IF($AA718="Sold","",MIN($AH718,IFERROR(XLOOKUP(Settings!$B$12,Managers!$B$4:$B$15,Managers!$H$4:$H$15),$AH718))))</f>
        <v>1</v>
      </c>
      <c r="AJ718" s="12" t="str">
        <f t="shared" si="3"/>
        <v>Recommended</v>
      </c>
      <c r="AK718" s="12">
        <f t="shared" si="4"/>
        <v>26</v>
      </c>
      <c r="AL718" s="12" t="str">
        <f t="shared" si="5"/>
        <v/>
      </c>
    </row>
    <row r="719" ht="15.75" customHeight="1">
      <c r="A719" s="10" t="s">
        <v>1718</v>
      </c>
      <c r="B719" s="10" t="s">
        <v>1719</v>
      </c>
      <c r="C719" s="10" t="s">
        <v>566</v>
      </c>
      <c r="D719" s="10" t="s">
        <v>121</v>
      </c>
      <c r="E719" s="10" t="s">
        <v>121</v>
      </c>
      <c r="F719" s="10" t="s">
        <v>117</v>
      </c>
      <c r="G719" s="10">
        <v>5.0</v>
      </c>
      <c r="H719" s="10">
        <v>7.0</v>
      </c>
      <c r="I719" s="10" t="s">
        <v>2140</v>
      </c>
      <c r="J719" s="10" t="s">
        <v>2136</v>
      </c>
      <c r="K719" s="10"/>
      <c r="L719" s="10">
        <v>0.0</v>
      </c>
      <c r="M719" s="10">
        <v>0.0</v>
      </c>
      <c r="N719" s="10"/>
      <c r="O719" s="10"/>
      <c r="P719" s="12">
        <f>IF($A719="","",IFERROR((IF($O719="",0,$O719)*Settings!$J$4+IF($L719="",0,$L719)*Settings!$J$5+IF($N719="",0,$N719)*Settings!$J$6)/(IF($O719="",0,Settings!$J$4)+IF($L719="",0,Settings!$J$5)+IF($N719="",0,Settings!$J$6)),0))</f>
        <v>0</v>
      </c>
      <c r="Q719" s="12">
        <f t="array" ref="Q719">IF($A719="","",XLOOKUP($E719,Settings!$A$19:$A$22,Settings!$G$19:$G$22,0))</f>
        <v>206</v>
      </c>
      <c r="R719" s="12">
        <f t="shared" si="1"/>
        <v>0</v>
      </c>
      <c r="S719" s="12">
        <f>IF($A719="","",IF($R719&lt;=0,1,1+$R719/SUMIF($R$4:$R$923,"&gt;0",$R$4:$R$923)*(Settings!$B$5*(Settings!$B$6-Settings!$B$7))))</f>
        <v>1</v>
      </c>
      <c r="T719" s="12">
        <f t="array" ref="T719">IF($A719="","",XLOOKUP($F719,Settings!$I$15:$I$20,Settings!$J$15:$J$20,1))</f>
        <v>0.75</v>
      </c>
      <c r="U719" s="12">
        <f>IF($A719="","",1+(($G719-5)/5)*Settings!$J$8)</f>
        <v>1</v>
      </c>
      <c r="V719" s="12">
        <f>IF($A719="","",1+(($H719-5)/5)*Settings!$J$9)</f>
        <v>1.06</v>
      </c>
      <c r="W719" s="12">
        <f t="array" ref="W719">IF($A719="","",XLOOKUP($J719,Lists!$C$3:$C$7,Lists!$D$3:$D$7,1))</f>
        <v>1</v>
      </c>
      <c r="X719" s="12">
        <f>IF($A719="","",IF($I719="Yes",Settings!$J$10,1))</f>
        <v>1</v>
      </c>
      <c r="Y719" s="12">
        <f t="shared" si="2"/>
        <v>1</v>
      </c>
      <c r="Z719" s="12">
        <f>IF($A719="","",IFERROR(ROUND(AVERAGEIFS('Historical Drafts'!$G$4:$G$300,'Historical Drafts'!$D$4:$D$300,$E719,'Historical Drafts'!$J$4:$J$300,"&gt;="&amp;$L719*0.85,'Historical Drafts'!$J$4:$J$300,"&lt;="&amp;$L719*1.15),0),$Y719))</f>
        <v>3</v>
      </c>
      <c r="AA719" s="12" t="str">
        <f>IF($A719="","",IF(COUNTIF('Auction Log'!$B$3:$B$300,$A719)&gt;0,"Sold","Available"))</f>
        <v>Available</v>
      </c>
      <c r="AB719" s="12" t="str">
        <f t="array" ref="AB719">IF($A719="","",IFERROR(XLOOKUP($A719,'Auction Log'!$B$3:$B$300,'Auction Log'!$G$3:$G$300,""),""))</f>
        <v/>
      </c>
      <c r="AC719" s="12" t="str">
        <f t="array" ref="AC719">IF($A719="","",IFERROR(XLOOKUP($A719,'Auction Log'!$B$3:$B$300,'Auction Log'!$F$3:$F$300,""),""))</f>
        <v/>
      </c>
      <c r="AD719" s="12">
        <f t="array" ref="AD719">IF($A719="","",ROUND($Y719*XLOOKUP($F719,Settings!$I$15:$I$20,Settings!$K$15:$K$20,0.4),0))</f>
        <v>0</v>
      </c>
      <c r="AE719" s="12">
        <f t="array" ref="AE719">IF($A719="","",ROUND($Y719*XLOOKUP($F719,Settings!$I$15:$I$20,Settings!$L$15:$L$20,0.8),0))</f>
        <v>1</v>
      </c>
      <c r="AF719" s="12">
        <f t="array" ref="AF719">IF($A719="","",ROUND($Y719*XLOOKUP($F719,Settings!$I$15:$I$20,Settings!$M$15:$M$20,1),0))</f>
        <v>1</v>
      </c>
      <c r="AG719" s="12">
        <f t="array" ref="AG719">IF($A719="","",ROUND($Y719*XLOOKUP($F719,Settings!$I$15:$I$20,Settings!$N$15:$N$20,1.1),0))</f>
        <v>1</v>
      </c>
      <c r="AH719" s="12">
        <f t="array" ref="AH719">IF($A719="","",ROUND($Y719*XLOOKUP($F719,Settings!$I$15:$I$20,Settings!$O$15:$O$20,1.1)*Settings!$J$7,0))</f>
        <v>1</v>
      </c>
      <c r="AI719" s="12">
        <f t="array" ref="AI719">IF($A719="","",IF($AA719="Sold","",MIN($AH719,IFERROR(XLOOKUP(Settings!$B$12,Managers!$B$4:$B$15,Managers!$H$4:$H$15),$AH719))))</f>
        <v>1</v>
      </c>
      <c r="AJ719" s="12" t="str">
        <f t="shared" si="3"/>
        <v>Budget Drainer</v>
      </c>
      <c r="AK719" s="12">
        <f t="shared" si="4"/>
        <v>28</v>
      </c>
      <c r="AL719" s="12" t="str">
        <f t="shared" si="5"/>
        <v/>
      </c>
    </row>
    <row r="720" ht="15.75" customHeight="1">
      <c r="A720" s="10" t="s">
        <v>1720</v>
      </c>
      <c r="B720" s="10" t="s">
        <v>1721</v>
      </c>
      <c r="C720" s="10" t="s">
        <v>185</v>
      </c>
      <c r="D720" s="10" t="s">
        <v>118</v>
      </c>
      <c r="E720" s="10" t="s">
        <v>118</v>
      </c>
      <c r="F720" s="10" t="s">
        <v>117</v>
      </c>
      <c r="G720" s="10">
        <v>5.0</v>
      </c>
      <c r="H720" s="10">
        <v>7.0</v>
      </c>
      <c r="I720" s="10" t="s">
        <v>2140</v>
      </c>
      <c r="J720" s="10" t="s">
        <v>2136</v>
      </c>
      <c r="K720" s="10"/>
      <c r="L720" s="10">
        <v>0.0</v>
      </c>
      <c r="M720" s="10">
        <v>0.0</v>
      </c>
      <c r="N720" s="10"/>
      <c r="O720" s="10"/>
      <c r="P720" s="12">
        <f>IF($A720="","",IFERROR((IF($O720="",0,$O720)*Settings!$J$4+IF($L720="",0,$L720)*Settings!$J$5+IF($N720="",0,$N720)*Settings!$J$6)/(IF($O720="",0,Settings!$J$4)+IF($L720="",0,Settings!$J$5)+IF($N720="",0,Settings!$J$6)),0))</f>
        <v>0</v>
      </c>
      <c r="Q720" s="12">
        <f t="array" ref="Q720">IF($A720="","",XLOOKUP($E720,Settings!$A$19:$A$22,Settings!$G$19:$G$22,0))</f>
        <v>196.25</v>
      </c>
      <c r="R720" s="12">
        <f t="shared" si="1"/>
        <v>0</v>
      </c>
      <c r="S720" s="12">
        <f>IF($A720="","",IF($R720&lt;=0,1,1+$R720/SUMIF($R$4:$R$923,"&gt;0",$R$4:$R$923)*(Settings!$B$5*(Settings!$B$6-Settings!$B$7))))</f>
        <v>1</v>
      </c>
      <c r="T720" s="12">
        <f t="array" ref="T720">IF($A720="","",XLOOKUP($F720,Settings!$I$15:$I$20,Settings!$J$15:$J$20,1))</f>
        <v>0.75</v>
      </c>
      <c r="U720" s="12">
        <f>IF($A720="","",1+(($G720-5)/5)*Settings!$J$8)</f>
        <v>1</v>
      </c>
      <c r="V720" s="12">
        <f>IF($A720="","",1+(($H720-5)/5)*Settings!$J$9)</f>
        <v>1.06</v>
      </c>
      <c r="W720" s="12">
        <f t="array" ref="W720">IF($A720="","",XLOOKUP($J720,Lists!$C$3:$C$7,Lists!$D$3:$D$7,1))</f>
        <v>1</v>
      </c>
      <c r="X720" s="12">
        <f>IF($A720="","",IF($I720="Yes",Settings!$J$10,1))</f>
        <v>1</v>
      </c>
      <c r="Y720" s="12">
        <f t="shared" si="2"/>
        <v>1</v>
      </c>
      <c r="Z720" s="12">
        <f>IF($A720="","",IFERROR(ROUND(AVERAGEIFS('Historical Drafts'!$G$4:$G$300,'Historical Drafts'!$D$4:$D$300,$E720,'Historical Drafts'!$J$4:$J$300,"&gt;="&amp;$L720*0.85,'Historical Drafts'!$J$4:$J$300,"&lt;="&amp;$L720*1.15),0),$Y720))</f>
        <v>1</v>
      </c>
      <c r="AA720" s="12" t="str">
        <f>IF($A720="","",IF(COUNTIF('Auction Log'!$B$3:$B$300,$A720)&gt;0,"Sold","Available"))</f>
        <v>Available</v>
      </c>
      <c r="AB720" s="12" t="str">
        <f t="array" ref="AB720">IF($A720="","",IFERROR(XLOOKUP($A720,'Auction Log'!$B$3:$B$300,'Auction Log'!$G$3:$G$300,""),""))</f>
        <v/>
      </c>
      <c r="AC720" s="12" t="str">
        <f t="array" ref="AC720">IF($A720="","",IFERROR(XLOOKUP($A720,'Auction Log'!$B$3:$B$300,'Auction Log'!$F$3:$F$300,""),""))</f>
        <v/>
      </c>
      <c r="AD720" s="12">
        <f t="array" ref="AD720">IF($A720="","",ROUND($Y720*XLOOKUP($F720,Settings!$I$15:$I$20,Settings!$K$15:$K$20,0.4),0))</f>
        <v>0</v>
      </c>
      <c r="AE720" s="12">
        <f t="array" ref="AE720">IF($A720="","",ROUND($Y720*XLOOKUP($F720,Settings!$I$15:$I$20,Settings!$L$15:$L$20,0.8),0))</f>
        <v>1</v>
      </c>
      <c r="AF720" s="12">
        <f t="array" ref="AF720">IF($A720="","",ROUND($Y720*XLOOKUP($F720,Settings!$I$15:$I$20,Settings!$M$15:$M$20,1),0))</f>
        <v>1</v>
      </c>
      <c r="AG720" s="12">
        <f t="array" ref="AG720">IF($A720="","",ROUND($Y720*XLOOKUP($F720,Settings!$I$15:$I$20,Settings!$N$15:$N$20,1.1),0))</f>
        <v>1</v>
      </c>
      <c r="AH720" s="12">
        <f t="array" ref="AH720">IF($A720="","",ROUND($Y720*XLOOKUP($F720,Settings!$I$15:$I$20,Settings!$O$15:$O$20,1.1)*Settings!$J$7,0))</f>
        <v>1</v>
      </c>
      <c r="AI720" s="12">
        <f t="array" ref="AI720">IF($A720="","",IF($AA720="Sold","",MIN($AH720,IFERROR(XLOOKUP(Settings!$B$12,Managers!$B$4:$B$15,Managers!$H$4:$H$15),$AH720))))</f>
        <v>1</v>
      </c>
      <c r="AJ720" s="12" t="str">
        <f t="shared" si="3"/>
        <v>Recommended</v>
      </c>
      <c r="AK720" s="12">
        <f t="shared" si="4"/>
        <v>26</v>
      </c>
      <c r="AL720" s="12" t="str">
        <f t="shared" si="5"/>
        <v/>
      </c>
    </row>
    <row r="721" ht="15.75" customHeight="1">
      <c r="A721" s="10" t="s">
        <v>1722</v>
      </c>
      <c r="B721" s="10" t="s">
        <v>1723</v>
      </c>
      <c r="C721" s="10" t="s">
        <v>453</v>
      </c>
      <c r="D721" s="10" t="s">
        <v>118</v>
      </c>
      <c r="E721" s="10" t="s">
        <v>118</v>
      </c>
      <c r="F721" s="10" t="s">
        <v>117</v>
      </c>
      <c r="G721" s="10">
        <v>5.0</v>
      </c>
      <c r="H721" s="10">
        <v>7.0</v>
      </c>
      <c r="I721" s="10" t="s">
        <v>2140</v>
      </c>
      <c r="J721" s="10" t="s">
        <v>2136</v>
      </c>
      <c r="K721" s="10"/>
      <c r="L721" s="10">
        <v>0.0</v>
      </c>
      <c r="M721" s="10">
        <v>0.0</v>
      </c>
      <c r="N721" s="10"/>
      <c r="O721" s="10"/>
      <c r="P721" s="12">
        <f>IF($A721="","",IFERROR((IF($O721="",0,$O721)*Settings!$J$4+IF($L721="",0,$L721)*Settings!$J$5+IF($N721="",0,$N721)*Settings!$J$6)/(IF($O721="",0,Settings!$J$4)+IF($L721="",0,Settings!$J$5)+IF($N721="",0,Settings!$J$6)),0))</f>
        <v>0</v>
      </c>
      <c r="Q721" s="12">
        <f t="array" ref="Q721">IF($A721="","",XLOOKUP($E721,Settings!$A$19:$A$22,Settings!$G$19:$G$22,0))</f>
        <v>196.25</v>
      </c>
      <c r="R721" s="12">
        <f t="shared" si="1"/>
        <v>0</v>
      </c>
      <c r="S721" s="12">
        <f>IF($A721="","",IF($R721&lt;=0,1,1+$R721/SUMIF($R$4:$R$923,"&gt;0",$R$4:$R$923)*(Settings!$B$5*(Settings!$B$6-Settings!$B$7))))</f>
        <v>1</v>
      </c>
      <c r="T721" s="12">
        <f t="array" ref="T721">IF($A721="","",XLOOKUP($F721,Settings!$I$15:$I$20,Settings!$J$15:$J$20,1))</f>
        <v>0.75</v>
      </c>
      <c r="U721" s="12">
        <f>IF($A721="","",1+(($G721-5)/5)*Settings!$J$8)</f>
        <v>1</v>
      </c>
      <c r="V721" s="12">
        <f>IF($A721="","",1+(($H721-5)/5)*Settings!$J$9)</f>
        <v>1.06</v>
      </c>
      <c r="W721" s="12">
        <f t="array" ref="W721">IF($A721="","",XLOOKUP($J721,Lists!$C$3:$C$7,Lists!$D$3:$D$7,1))</f>
        <v>1</v>
      </c>
      <c r="X721" s="12">
        <f>IF($A721="","",IF($I721="Yes",Settings!$J$10,1))</f>
        <v>1</v>
      </c>
      <c r="Y721" s="12">
        <f t="shared" si="2"/>
        <v>1</v>
      </c>
      <c r="Z721" s="12">
        <f>IF($A721="","",IFERROR(ROUND(AVERAGEIFS('Historical Drafts'!$G$4:$G$300,'Historical Drafts'!$D$4:$D$300,$E721,'Historical Drafts'!$J$4:$J$300,"&gt;="&amp;$L721*0.85,'Historical Drafts'!$J$4:$J$300,"&lt;="&amp;$L721*1.15),0),$Y721))</f>
        <v>1</v>
      </c>
      <c r="AA721" s="12" t="str">
        <f>IF($A721="","",IF(COUNTIF('Auction Log'!$B$3:$B$300,$A721)&gt;0,"Sold","Available"))</f>
        <v>Available</v>
      </c>
      <c r="AB721" s="12" t="str">
        <f t="array" ref="AB721">IF($A721="","",IFERROR(XLOOKUP($A721,'Auction Log'!$B$3:$B$300,'Auction Log'!$G$3:$G$300,""),""))</f>
        <v/>
      </c>
      <c r="AC721" s="12" t="str">
        <f t="array" ref="AC721">IF($A721="","",IFERROR(XLOOKUP($A721,'Auction Log'!$B$3:$B$300,'Auction Log'!$F$3:$F$300,""),""))</f>
        <v/>
      </c>
      <c r="AD721" s="12">
        <f t="array" ref="AD721">IF($A721="","",ROUND($Y721*XLOOKUP($F721,Settings!$I$15:$I$20,Settings!$K$15:$K$20,0.4),0))</f>
        <v>0</v>
      </c>
      <c r="AE721" s="12">
        <f t="array" ref="AE721">IF($A721="","",ROUND($Y721*XLOOKUP($F721,Settings!$I$15:$I$20,Settings!$L$15:$L$20,0.8),0))</f>
        <v>1</v>
      </c>
      <c r="AF721" s="12">
        <f t="array" ref="AF721">IF($A721="","",ROUND($Y721*XLOOKUP($F721,Settings!$I$15:$I$20,Settings!$M$15:$M$20,1),0))</f>
        <v>1</v>
      </c>
      <c r="AG721" s="12">
        <f t="array" ref="AG721">IF($A721="","",ROUND($Y721*XLOOKUP($F721,Settings!$I$15:$I$20,Settings!$N$15:$N$20,1.1),0))</f>
        <v>1</v>
      </c>
      <c r="AH721" s="12">
        <f t="array" ref="AH721">IF($A721="","",ROUND($Y721*XLOOKUP($F721,Settings!$I$15:$I$20,Settings!$O$15:$O$20,1.1)*Settings!$J$7,0))</f>
        <v>1</v>
      </c>
      <c r="AI721" s="12">
        <f t="array" ref="AI721">IF($A721="","",IF($AA721="Sold","",MIN($AH721,IFERROR(XLOOKUP(Settings!$B$12,Managers!$B$4:$B$15,Managers!$H$4:$H$15),$AH721))))</f>
        <v>1</v>
      </c>
      <c r="AJ721" s="12" t="str">
        <f t="shared" si="3"/>
        <v>Recommended</v>
      </c>
      <c r="AK721" s="12">
        <f t="shared" si="4"/>
        <v>26</v>
      </c>
      <c r="AL721" s="12" t="str">
        <f t="shared" si="5"/>
        <v/>
      </c>
    </row>
    <row r="722" ht="15.75" customHeight="1">
      <c r="A722" s="10" t="s">
        <v>1724</v>
      </c>
      <c r="B722" s="10" t="s">
        <v>1725</v>
      </c>
      <c r="C722" s="10" t="s">
        <v>177</v>
      </c>
      <c r="D722" s="10" t="s">
        <v>118</v>
      </c>
      <c r="E722" s="10" t="s">
        <v>118</v>
      </c>
      <c r="F722" s="10" t="s">
        <v>117</v>
      </c>
      <c r="G722" s="10">
        <v>5.0</v>
      </c>
      <c r="H722" s="10">
        <v>7.0</v>
      </c>
      <c r="I722" s="10" t="s">
        <v>2140</v>
      </c>
      <c r="J722" s="10" t="s">
        <v>2136</v>
      </c>
      <c r="K722" s="10"/>
      <c r="L722" s="10">
        <v>0.0</v>
      </c>
      <c r="M722" s="10">
        <v>0.0</v>
      </c>
      <c r="N722" s="10"/>
      <c r="O722" s="10"/>
      <c r="P722" s="12">
        <f>IF($A722="","",IFERROR((IF($O722="",0,$O722)*Settings!$J$4+IF($L722="",0,$L722)*Settings!$J$5+IF($N722="",0,$N722)*Settings!$J$6)/(IF($O722="",0,Settings!$J$4)+IF($L722="",0,Settings!$J$5)+IF($N722="",0,Settings!$J$6)),0))</f>
        <v>0</v>
      </c>
      <c r="Q722" s="12">
        <f t="array" ref="Q722">IF($A722="","",XLOOKUP($E722,Settings!$A$19:$A$22,Settings!$G$19:$G$22,0))</f>
        <v>196.25</v>
      </c>
      <c r="R722" s="12">
        <f t="shared" si="1"/>
        <v>0</v>
      </c>
      <c r="S722" s="12">
        <f>IF($A722="","",IF($R722&lt;=0,1,1+$R722/SUMIF($R$4:$R$923,"&gt;0",$R$4:$R$923)*(Settings!$B$5*(Settings!$B$6-Settings!$B$7))))</f>
        <v>1</v>
      </c>
      <c r="T722" s="12">
        <f t="array" ref="T722">IF($A722="","",XLOOKUP($F722,Settings!$I$15:$I$20,Settings!$J$15:$J$20,1))</f>
        <v>0.75</v>
      </c>
      <c r="U722" s="12">
        <f>IF($A722="","",1+(($G722-5)/5)*Settings!$J$8)</f>
        <v>1</v>
      </c>
      <c r="V722" s="12">
        <f>IF($A722="","",1+(($H722-5)/5)*Settings!$J$9)</f>
        <v>1.06</v>
      </c>
      <c r="W722" s="12">
        <f t="array" ref="W722">IF($A722="","",XLOOKUP($J722,Lists!$C$3:$C$7,Lists!$D$3:$D$7,1))</f>
        <v>1</v>
      </c>
      <c r="X722" s="12">
        <f>IF($A722="","",IF($I722="Yes",Settings!$J$10,1))</f>
        <v>1</v>
      </c>
      <c r="Y722" s="12">
        <f t="shared" si="2"/>
        <v>1</v>
      </c>
      <c r="Z722" s="12">
        <f>IF($A722="","",IFERROR(ROUND(AVERAGEIFS('Historical Drafts'!$G$4:$G$300,'Historical Drafts'!$D$4:$D$300,$E722,'Historical Drafts'!$J$4:$J$300,"&gt;="&amp;$L722*0.85,'Historical Drafts'!$J$4:$J$300,"&lt;="&amp;$L722*1.15),0),$Y722))</f>
        <v>1</v>
      </c>
      <c r="AA722" s="12" t="str">
        <f>IF($A722="","",IF(COUNTIF('Auction Log'!$B$3:$B$300,$A722)&gt;0,"Sold","Available"))</f>
        <v>Available</v>
      </c>
      <c r="AB722" s="12" t="str">
        <f t="array" ref="AB722">IF($A722="","",IFERROR(XLOOKUP($A722,'Auction Log'!$B$3:$B$300,'Auction Log'!$G$3:$G$300,""),""))</f>
        <v/>
      </c>
      <c r="AC722" s="12" t="str">
        <f t="array" ref="AC722">IF($A722="","",IFERROR(XLOOKUP($A722,'Auction Log'!$B$3:$B$300,'Auction Log'!$F$3:$F$300,""),""))</f>
        <v/>
      </c>
      <c r="AD722" s="12">
        <f t="array" ref="AD722">IF($A722="","",ROUND($Y722*XLOOKUP($F722,Settings!$I$15:$I$20,Settings!$K$15:$K$20,0.4),0))</f>
        <v>0</v>
      </c>
      <c r="AE722" s="12">
        <f t="array" ref="AE722">IF($A722="","",ROUND($Y722*XLOOKUP($F722,Settings!$I$15:$I$20,Settings!$L$15:$L$20,0.8),0))</f>
        <v>1</v>
      </c>
      <c r="AF722" s="12">
        <f t="array" ref="AF722">IF($A722="","",ROUND($Y722*XLOOKUP($F722,Settings!$I$15:$I$20,Settings!$M$15:$M$20,1),0))</f>
        <v>1</v>
      </c>
      <c r="AG722" s="12">
        <f t="array" ref="AG722">IF($A722="","",ROUND($Y722*XLOOKUP($F722,Settings!$I$15:$I$20,Settings!$N$15:$N$20,1.1),0))</f>
        <v>1</v>
      </c>
      <c r="AH722" s="12">
        <f t="array" ref="AH722">IF($A722="","",ROUND($Y722*XLOOKUP($F722,Settings!$I$15:$I$20,Settings!$O$15:$O$20,1.1)*Settings!$J$7,0))</f>
        <v>1</v>
      </c>
      <c r="AI722" s="12">
        <f t="array" ref="AI722">IF($A722="","",IF($AA722="Sold","",MIN($AH722,IFERROR(XLOOKUP(Settings!$B$12,Managers!$B$4:$B$15,Managers!$H$4:$H$15),$AH722))))</f>
        <v>1</v>
      </c>
      <c r="AJ722" s="12" t="str">
        <f t="shared" si="3"/>
        <v>Recommended</v>
      </c>
      <c r="AK722" s="12">
        <f t="shared" si="4"/>
        <v>26</v>
      </c>
      <c r="AL722" s="12" t="str">
        <f t="shared" si="5"/>
        <v/>
      </c>
    </row>
    <row r="723" ht="15.75" customHeight="1">
      <c r="A723" s="10" t="s">
        <v>1726</v>
      </c>
      <c r="B723" s="10" t="s">
        <v>1727</v>
      </c>
      <c r="C723" s="10" t="s">
        <v>199</v>
      </c>
      <c r="D723" s="10" t="s">
        <v>123</v>
      </c>
      <c r="E723" s="10" t="s">
        <v>123</v>
      </c>
      <c r="F723" s="10" t="s">
        <v>117</v>
      </c>
      <c r="G723" s="10">
        <v>5.0</v>
      </c>
      <c r="H723" s="10">
        <v>7.0</v>
      </c>
      <c r="I723" s="10" t="s">
        <v>2140</v>
      </c>
      <c r="J723" s="10" t="s">
        <v>2136</v>
      </c>
      <c r="K723" s="10"/>
      <c r="L723" s="10">
        <v>0.0</v>
      </c>
      <c r="M723" s="10">
        <v>0.0</v>
      </c>
      <c r="N723" s="10"/>
      <c r="O723" s="10"/>
      <c r="P723" s="12">
        <f>IF($A723="","",IFERROR((IF($O723="",0,$O723)*Settings!$J$4+IF($L723="",0,$L723)*Settings!$J$5+IF($N723="",0,$N723)*Settings!$J$6)/(IF($O723="",0,Settings!$J$4)+IF($L723="",0,Settings!$J$5)+IF($N723="",0,Settings!$J$6)),0))</f>
        <v>0</v>
      </c>
      <c r="Q723" s="12">
        <f t="array" ref="Q723">IF($A723="","",XLOOKUP($E723,Settings!$A$19:$A$22,Settings!$G$19:$G$22,0))</f>
        <v>203</v>
      </c>
      <c r="R723" s="12">
        <f t="shared" si="1"/>
        <v>0</v>
      </c>
      <c r="S723" s="12">
        <f>IF($A723="","",IF($R723&lt;=0,1,1+$R723/SUMIF($R$4:$R$923,"&gt;0",$R$4:$R$923)*(Settings!$B$5*(Settings!$B$6-Settings!$B$7))))</f>
        <v>1</v>
      </c>
      <c r="T723" s="12">
        <f t="array" ref="T723">IF($A723="","",XLOOKUP($F723,Settings!$I$15:$I$20,Settings!$J$15:$J$20,1))</f>
        <v>0.75</v>
      </c>
      <c r="U723" s="12">
        <f>IF($A723="","",1+(($G723-5)/5)*Settings!$J$8)</f>
        <v>1</v>
      </c>
      <c r="V723" s="12">
        <f>IF($A723="","",1+(($H723-5)/5)*Settings!$J$9)</f>
        <v>1.06</v>
      </c>
      <c r="W723" s="12">
        <f t="array" ref="W723">IF($A723="","",XLOOKUP($J723,Lists!$C$3:$C$7,Lists!$D$3:$D$7,1))</f>
        <v>1</v>
      </c>
      <c r="X723" s="12">
        <f>IF($A723="","",IF($I723="Yes",Settings!$J$10,1))</f>
        <v>1</v>
      </c>
      <c r="Y723" s="12">
        <f t="shared" si="2"/>
        <v>1</v>
      </c>
      <c r="Z723" s="12">
        <f>IF($A723="","",IFERROR(ROUND(AVERAGEIFS('Historical Drafts'!$G$4:$G$300,'Historical Drafts'!$D$4:$D$300,$E723,'Historical Drafts'!$J$4:$J$300,"&gt;="&amp;$L723*0.85,'Historical Drafts'!$J$4:$J$300,"&lt;="&amp;$L723*1.15),0),$Y723))</f>
        <v>3</v>
      </c>
      <c r="AA723" s="12" t="str">
        <f>IF($A723="","",IF(COUNTIF('Auction Log'!$B$3:$B$300,$A723)&gt;0,"Sold","Available"))</f>
        <v>Available</v>
      </c>
      <c r="AB723" s="12" t="str">
        <f t="array" ref="AB723">IF($A723="","",IFERROR(XLOOKUP($A723,'Auction Log'!$B$3:$B$300,'Auction Log'!$G$3:$G$300,""),""))</f>
        <v/>
      </c>
      <c r="AC723" s="12" t="str">
        <f t="array" ref="AC723">IF($A723="","",IFERROR(XLOOKUP($A723,'Auction Log'!$B$3:$B$300,'Auction Log'!$F$3:$F$300,""),""))</f>
        <v/>
      </c>
      <c r="AD723" s="12">
        <f t="array" ref="AD723">IF($A723="","",ROUND($Y723*XLOOKUP($F723,Settings!$I$15:$I$20,Settings!$K$15:$K$20,0.4),0))</f>
        <v>0</v>
      </c>
      <c r="AE723" s="12">
        <f t="array" ref="AE723">IF($A723="","",ROUND($Y723*XLOOKUP($F723,Settings!$I$15:$I$20,Settings!$L$15:$L$20,0.8),0))</f>
        <v>1</v>
      </c>
      <c r="AF723" s="12">
        <f t="array" ref="AF723">IF($A723="","",ROUND($Y723*XLOOKUP($F723,Settings!$I$15:$I$20,Settings!$M$15:$M$20,1),0))</f>
        <v>1</v>
      </c>
      <c r="AG723" s="12">
        <f t="array" ref="AG723">IF($A723="","",ROUND($Y723*XLOOKUP($F723,Settings!$I$15:$I$20,Settings!$N$15:$N$20,1.1),0))</f>
        <v>1</v>
      </c>
      <c r="AH723" s="12">
        <f t="array" ref="AH723">IF($A723="","",ROUND($Y723*XLOOKUP($F723,Settings!$I$15:$I$20,Settings!$O$15:$O$20,1.1)*Settings!$J$7,0))</f>
        <v>1</v>
      </c>
      <c r="AI723" s="12">
        <f t="array" ref="AI723">IF($A723="","",IF($AA723="Sold","",MIN($AH723,IFERROR(XLOOKUP(Settings!$B$12,Managers!$B$4:$B$15,Managers!$H$4:$H$15),$AH723))))</f>
        <v>1</v>
      </c>
      <c r="AJ723" s="12" t="str">
        <f t="shared" si="3"/>
        <v>Budget Drainer</v>
      </c>
      <c r="AK723" s="12">
        <f t="shared" si="4"/>
        <v>28</v>
      </c>
      <c r="AL723" s="12" t="str">
        <f t="shared" si="5"/>
        <v/>
      </c>
    </row>
    <row r="724" ht="15.75" customHeight="1">
      <c r="A724" s="10" t="s">
        <v>1728</v>
      </c>
      <c r="B724" s="10" t="s">
        <v>1729</v>
      </c>
      <c r="C724" s="10" t="s">
        <v>327</v>
      </c>
      <c r="D724" s="10" t="s">
        <v>121</v>
      </c>
      <c r="E724" s="10" t="s">
        <v>121</v>
      </c>
      <c r="F724" s="10" t="s">
        <v>117</v>
      </c>
      <c r="G724" s="10">
        <v>5.0</v>
      </c>
      <c r="H724" s="10">
        <v>7.0</v>
      </c>
      <c r="I724" s="10" t="s">
        <v>2140</v>
      </c>
      <c r="J724" s="10" t="s">
        <v>2136</v>
      </c>
      <c r="K724" s="10"/>
      <c r="L724" s="10">
        <v>0.0</v>
      </c>
      <c r="M724" s="10">
        <v>0.0</v>
      </c>
      <c r="N724" s="10"/>
      <c r="O724" s="10"/>
      <c r="P724" s="12">
        <f>IF($A724="","",IFERROR((IF($O724="",0,$O724)*Settings!$J$4+IF($L724="",0,$L724)*Settings!$J$5+IF($N724="",0,$N724)*Settings!$J$6)/(IF($O724="",0,Settings!$J$4)+IF($L724="",0,Settings!$J$5)+IF($N724="",0,Settings!$J$6)),0))</f>
        <v>0</v>
      </c>
      <c r="Q724" s="12">
        <f t="array" ref="Q724">IF($A724="","",XLOOKUP($E724,Settings!$A$19:$A$22,Settings!$G$19:$G$22,0))</f>
        <v>206</v>
      </c>
      <c r="R724" s="12">
        <f t="shared" si="1"/>
        <v>0</v>
      </c>
      <c r="S724" s="12">
        <f>IF($A724="","",IF($R724&lt;=0,1,1+$R724/SUMIF($R$4:$R$923,"&gt;0",$R$4:$R$923)*(Settings!$B$5*(Settings!$B$6-Settings!$B$7))))</f>
        <v>1</v>
      </c>
      <c r="T724" s="12">
        <f t="array" ref="T724">IF($A724="","",XLOOKUP($F724,Settings!$I$15:$I$20,Settings!$J$15:$J$20,1))</f>
        <v>0.75</v>
      </c>
      <c r="U724" s="12">
        <f>IF($A724="","",1+(($G724-5)/5)*Settings!$J$8)</f>
        <v>1</v>
      </c>
      <c r="V724" s="12">
        <f>IF($A724="","",1+(($H724-5)/5)*Settings!$J$9)</f>
        <v>1.06</v>
      </c>
      <c r="W724" s="12">
        <f t="array" ref="W724">IF($A724="","",XLOOKUP($J724,Lists!$C$3:$C$7,Lists!$D$3:$D$7,1))</f>
        <v>1</v>
      </c>
      <c r="X724" s="12">
        <f>IF($A724="","",IF($I724="Yes",Settings!$J$10,1))</f>
        <v>1</v>
      </c>
      <c r="Y724" s="12">
        <f t="shared" si="2"/>
        <v>1</v>
      </c>
      <c r="Z724" s="12">
        <f>IF($A724="","",IFERROR(ROUND(AVERAGEIFS('Historical Drafts'!$G$4:$G$300,'Historical Drafts'!$D$4:$D$300,$E724,'Historical Drafts'!$J$4:$J$300,"&gt;="&amp;$L724*0.85,'Historical Drafts'!$J$4:$J$300,"&lt;="&amp;$L724*1.15),0),$Y724))</f>
        <v>3</v>
      </c>
      <c r="AA724" s="12" t="str">
        <f>IF($A724="","",IF(COUNTIF('Auction Log'!$B$3:$B$300,$A724)&gt;0,"Sold","Available"))</f>
        <v>Available</v>
      </c>
      <c r="AB724" s="12" t="str">
        <f t="array" ref="AB724">IF($A724="","",IFERROR(XLOOKUP($A724,'Auction Log'!$B$3:$B$300,'Auction Log'!$G$3:$G$300,""),""))</f>
        <v/>
      </c>
      <c r="AC724" s="12" t="str">
        <f t="array" ref="AC724">IF($A724="","",IFERROR(XLOOKUP($A724,'Auction Log'!$B$3:$B$300,'Auction Log'!$F$3:$F$300,""),""))</f>
        <v/>
      </c>
      <c r="AD724" s="12">
        <f t="array" ref="AD724">IF($A724="","",ROUND($Y724*XLOOKUP($F724,Settings!$I$15:$I$20,Settings!$K$15:$K$20,0.4),0))</f>
        <v>0</v>
      </c>
      <c r="AE724" s="12">
        <f t="array" ref="AE724">IF($A724="","",ROUND($Y724*XLOOKUP($F724,Settings!$I$15:$I$20,Settings!$L$15:$L$20,0.8),0))</f>
        <v>1</v>
      </c>
      <c r="AF724" s="12">
        <f t="array" ref="AF724">IF($A724="","",ROUND($Y724*XLOOKUP($F724,Settings!$I$15:$I$20,Settings!$M$15:$M$20,1),0))</f>
        <v>1</v>
      </c>
      <c r="AG724" s="12">
        <f t="array" ref="AG724">IF($A724="","",ROUND($Y724*XLOOKUP($F724,Settings!$I$15:$I$20,Settings!$N$15:$N$20,1.1),0))</f>
        <v>1</v>
      </c>
      <c r="AH724" s="12">
        <f t="array" ref="AH724">IF($A724="","",ROUND($Y724*XLOOKUP($F724,Settings!$I$15:$I$20,Settings!$O$15:$O$20,1.1)*Settings!$J$7,0))</f>
        <v>1</v>
      </c>
      <c r="AI724" s="12">
        <f t="array" ref="AI724">IF($A724="","",IF($AA724="Sold","",MIN($AH724,IFERROR(XLOOKUP(Settings!$B$12,Managers!$B$4:$B$15,Managers!$H$4:$H$15),$AH724))))</f>
        <v>1</v>
      </c>
      <c r="AJ724" s="12" t="str">
        <f t="shared" si="3"/>
        <v>Budget Drainer</v>
      </c>
      <c r="AK724" s="12">
        <f t="shared" si="4"/>
        <v>28</v>
      </c>
      <c r="AL724" s="12" t="str">
        <f t="shared" si="5"/>
        <v/>
      </c>
    </row>
    <row r="725" ht="15.75" customHeight="1">
      <c r="A725" s="10" t="s">
        <v>1730</v>
      </c>
      <c r="B725" s="10" t="s">
        <v>1731</v>
      </c>
      <c r="C725" s="10" t="s">
        <v>453</v>
      </c>
      <c r="D725" s="10" t="s">
        <v>115</v>
      </c>
      <c r="E725" s="10" t="s">
        <v>115</v>
      </c>
      <c r="F725" s="10" t="s">
        <v>117</v>
      </c>
      <c r="G725" s="10">
        <v>5.0</v>
      </c>
      <c r="H725" s="10">
        <v>7.0</v>
      </c>
      <c r="I725" s="10" t="s">
        <v>2140</v>
      </c>
      <c r="J725" s="10" t="s">
        <v>2136</v>
      </c>
      <c r="K725" s="10"/>
      <c r="L725" s="10">
        <v>0.0</v>
      </c>
      <c r="M725" s="10">
        <v>0.0</v>
      </c>
      <c r="N725" s="10"/>
      <c r="O725" s="10"/>
      <c r="P725" s="12">
        <f>IF($A725="","",IFERROR((IF($O725="",0,$O725)*Settings!$J$4+IF($L725="",0,$L725)*Settings!$J$5+IF($N725="",0,$N725)*Settings!$J$6)/(IF($O725="",0,Settings!$J$4)+IF($L725="",0,Settings!$J$5)+IF($N725="",0,Settings!$J$6)),0))</f>
        <v>0</v>
      </c>
      <c r="Q725" s="12">
        <f t="array" ref="Q725">IF($A725="","",XLOOKUP($E725,Settings!$A$19:$A$22,Settings!$G$19:$G$22,0))</f>
        <v>249.25</v>
      </c>
      <c r="R725" s="12">
        <f t="shared" si="1"/>
        <v>0</v>
      </c>
      <c r="S725" s="12">
        <f>IF($A725="","",IF($R725&lt;=0,1,1+$R725/SUMIF($R$4:$R$923,"&gt;0",$R$4:$R$923)*(Settings!$B$5*(Settings!$B$6-Settings!$B$7))))</f>
        <v>1</v>
      </c>
      <c r="T725" s="12">
        <f t="array" ref="T725">IF($A725="","",XLOOKUP($F725,Settings!$I$15:$I$20,Settings!$J$15:$J$20,1))</f>
        <v>0.75</v>
      </c>
      <c r="U725" s="12">
        <f>IF($A725="","",1+(($G725-5)/5)*Settings!$J$8)</f>
        <v>1</v>
      </c>
      <c r="V725" s="12">
        <f>IF($A725="","",1+(($H725-5)/5)*Settings!$J$9)</f>
        <v>1.06</v>
      </c>
      <c r="W725" s="12">
        <f t="array" ref="W725">IF($A725="","",XLOOKUP($J725,Lists!$C$3:$C$7,Lists!$D$3:$D$7,1))</f>
        <v>1</v>
      </c>
      <c r="X725" s="12">
        <f>IF($A725="","",IF($I725="Yes",Settings!$J$10,1))</f>
        <v>1</v>
      </c>
      <c r="Y725" s="12">
        <f t="shared" si="2"/>
        <v>1</v>
      </c>
      <c r="Z725" s="12">
        <f>IF($A725="","",IFERROR(ROUND(AVERAGEIFS('Historical Drafts'!$G$4:$G$300,'Historical Drafts'!$D$4:$D$300,$E725,'Historical Drafts'!$J$4:$J$300,"&gt;="&amp;$L725*0.85,'Historical Drafts'!$J$4:$J$300,"&lt;="&amp;$L725*1.15),0),$Y725))</f>
        <v>1</v>
      </c>
      <c r="AA725" s="12" t="str">
        <f>IF($A725="","",IF(COUNTIF('Auction Log'!$B$3:$B$300,$A725)&gt;0,"Sold","Available"))</f>
        <v>Available</v>
      </c>
      <c r="AB725" s="12" t="str">
        <f t="array" ref="AB725">IF($A725="","",IFERROR(XLOOKUP($A725,'Auction Log'!$B$3:$B$300,'Auction Log'!$G$3:$G$300,""),""))</f>
        <v/>
      </c>
      <c r="AC725" s="12" t="str">
        <f t="array" ref="AC725">IF($A725="","",IFERROR(XLOOKUP($A725,'Auction Log'!$B$3:$B$300,'Auction Log'!$F$3:$F$300,""),""))</f>
        <v/>
      </c>
      <c r="AD725" s="12">
        <f t="array" ref="AD725">IF($A725="","",ROUND($Y725*XLOOKUP($F725,Settings!$I$15:$I$20,Settings!$K$15:$K$20,0.4),0))</f>
        <v>0</v>
      </c>
      <c r="AE725" s="12">
        <f t="array" ref="AE725">IF($A725="","",ROUND($Y725*XLOOKUP($F725,Settings!$I$15:$I$20,Settings!$L$15:$L$20,0.8),0))</f>
        <v>1</v>
      </c>
      <c r="AF725" s="12">
        <f t="array" ref="AF725">IF($A725="","",ROUND($Y725*XLOOKUP($F725,Settings!$I$15:$I$20,Settings!$M$15:$M$20,1),0))</f>
        <v>1</v>
      </c>
      <c r="AG725" s="12">
        <f t="array" ref="AG725">IF($A725="","",ROUND($Y725*XLOOKUP($F725,Settings!$I$15:$I$20,Settings!$N$15:$N$20,1.1),0))</f>
        <v>1</v>
      </c>
      <c r="AH725" s="12">
        <f t="array" ref="AH725">IF($A725="","",ROUND($Y725*XLOOKUP($F725,Settings!$I$15:$I$20,Settings!$O$15:$O$20,1.1)*Settings!$J$7,0))</f>
        <v>1</v>
      </c>
      <c r="AI725" s="12">
        <f t="array" ref="AI725">IF($A725="","",IF($AA725="Sold","",MIN($AH725,IFERROR(XLOOKUP(Settings!$B$12,Managers!$B$4:$B$15,Managers!$H$4:$H$15),$AH725))))</f>
        <v>1</v>
      </c>
      <c r="AJ725" s="12" t="str">
        <f t="shared" si="3"/>
        <v>Recommended</v>
      </c>
      <c r="AK725" s="12">
        <f t="shared" si="4"/>
        <v>26</v>
      </c>
      <c r="AL725" s="12" t="str">
        <f t="shared" si="5"/>
        <v/>
      </c>
    </row>
    <row r="726" ht="15.75" customHeight="1">
      <c r="A726" s="10" t="s">
        <v>1732</v>
      </c>
      <c r="B726" s="10" t="s">
        <v>1733</v>
      </c>
      <c r="C726" s="10" t="s">
        <v>285</v>
      </c>
      <c r="D726" s="10" t="s">
        <v>115</v>
      </c>
      <c r="E726" s="10" t="s">
        <v>115</v>
      </c>
      <c r="F726" s="10" t="s">
        <v>117</v>
      </c>
      <c r="G726" s="10">
        <v>5.0</v>
      </c>
      <c r="H726" s="10">
        <v>7.0</v>
      </c>
      <c r="I726" s="10" t="s">
        <v>2140</v>
      </c>
      <c r="J726" s="10" t="s">
        <v>2136</v>
      </c>
      <c r="K726" s="10"/>
      <c r="L726" s="10">
        <v>0.0</v>
      </c>
      <c r="M726" s="10">
        <v>0.0</v>
      </c>
      <c r="N726" s="10"/>
      <c r="O726" s="10"/>
      <c r="P726" s="12">
        <f>IF($A726="","",IFERROR((IF($O726="",0,$O726)*Settings!$J$4+IF($L726="",0,$L726)*Settings!$J$5+IF($N726="",0,$N726)*Settings!$J$6)/(IF($O726="",0,Settings!$J$4)+IF($L726="",0,Settings!$J$5)+IF($N726="",0,Settings!$J$6)),0))</f>
        <v>0</v>
      </c>
      <c r="Q726" s="12">
        <f t="array" ref="Q726">IF($A726="","",XLOOKUP($E726,Settings!$A$19:$A$22,Settings!$G$19:$G$22,0))</f>
        <v>249.25</v>
      </c>
      <c r="R726" s="12">
        <f t="shared" si="1"/>
        <v>0</v>
      </c>
      <c r="S726" s="12">
        <f>IF($A726="","",IF($R726&lt;=0,1,1+$R726/SUMIF($R$4:$R$923,"&gt;0",$R$4:$R$923)*(Settings!$B$5*(Settings!$B$6-Settings!$B$7))))</f>
        <v>1</v>
      </c>
      <c r="T726" s="12">
        <f t="array" ref="T726">IF($A726="","",XLOOKUP($F726,Settings!$I$15:$I$20,Settings!$J$15:$J$20,1))</f>
        <v>0.75</v>
      </c>
      <c r="U726" s="12">
        <f>IF($A726="","",1+(($G726-5)/5)*Settings!$J$8)</f>
        <v>1</v>
      </c>
      <c r="V726" s="12">
        <f>IF($A726="","",1+(($H726-5)/5)*Settings!$J$9)</f>
        <v>1.06</v>
      </c>
      <c r="W726" s="12">
        <f t="array" ref="W726">IF($A726="","",XLOOKUP($J726,Lists!$C$3:$C$7,Lists!$D$3:$D$7,1))</f>
        <v>1</v>
      </c>
      <c r="X726" s="12">
        <f>IF($A726="","",IF($I726="Yes",Settings!$J$10,1))</f>
        <v>1</v>
      </c>
      <c r="Y726" s="12">
        <f t="shared" si="2"/>
        <v>1</v>
      </c>
      <c r="Z726" s="12">
        <f>IF($A726="","",IFERROR(ROUND(AVERAGEIFS('Historical Drafts'!$G$4:$G$300,'Historical Drafts'!$D$4:$D$300,$E726,'Historical Drafts'!$J$4:$J$300,"&gt;="&amp;$L726*0.85,'Historical Drafts'!$J$4:$J$300,"&lt;="&amp;$L726*1.15),0),$Y726))</f>
        <v>1</v>
      </c>
      <c r="AA726" s="12" t="str">
        <f>IF($A726="","",IF(COUNTIF('Auction Log'!$B$3:$B$300,$A726)&gt;0,"Sold","Available"))</f>
        <v>Available</v>
      </c>
      <c r="AB726" s="12" t="str">
        <f t="array" ref="AB726">IF($A726="","",IFERROR(XLOOKUP($A726,'Auction Log'!$B$3:$B$300,'Auction Log'!$G$3:$G$300,""),""))</f>
        <v/>
      </c>
      <c r="AC726" s="12" t="str">
        <f t="array" ref="AC726">IF($A726="","",IFERROR(XLOOKUP($A726,'Auction Log'!$B$3:$B$300,'Auction Log'!$F$3:$F$300,""),""))</f>
        <v/>
      </c>
      <c r="AD726" s="12">
        <f t="array" ref="AD726">IF($A726="","",ROUND($Y726*XLOOKUP($F726,Settings!$I$15:$I$20,Settings!$K$15:$K$20,0.4),0))</f>
        <v>0</v>
      </c>
      <c r="AE726" s="12">
        <f t="array" ref="AE726">IF($A726="","",ROUND($Y726*XLOOKUP($F726,Settings!$I$15:$I$20,Settings!$L$15:$L$20,0.8),0))</f>
        <v>1</v>
      </c>
      <c r="AF726" s="12">
        <f t="array" ref="AF726">IF($A726="","",ROUND($Y726*XLOOKUP($F726,Settings!$I$15:$I$20,Settings!$M$15:$M$20,1),0))</f>
        <v>1</v>
      </c>
      <c r="AG726" s="12">
        <f t="array" ref="AG726">IF($A726="","",ROUND($Y726*XLOOKUP($F726,Settings!$I$15:$I$20,Settings!$N$15:$N$20,1.1),0))</f>
        <v>1</v>
      </c>
      <c r="AH726" s="12">
        <f t="array" ref="AH726">IF($A726="","",ROUND($Y726*XLOOKUP($F726,Settings!$I$15:$I$20,Settings!$O$15:$O$20,1.1)*Settings!$J$7,0))</f>
        <v>1</v>
      </c>
      <c r="AI726" s="12">
        <f t="array" ref="AI726">IF($A726="","",IF($AA726="Sold","",MIN($AH726,IFERROR(XLOOKUP(Settings!$B$12,Managers!$B$4:$B$15,Managers!$H$4:$H$15),$AH726))))</f>
        <v>1</v>
      </c>
      <c r="AJ726" s="12" t="str">
        <f t="shared" si="3"/>
        <v>Recommended</v>
      </c>
      <c r="AK726" s="12">
        <f t="shared" si="4"/>
        <v>26</v>
      </c>
      <c r="AL726" s="12" t="str">
        <f t="shared" si="5"/>
        <v/>
      </c>
    </row>
    <row r="727" ht="15.75" customHeight="1">
      <c r="A727" s="10" t="s">
        <v>1734</v>
      </c>
      <c r="B727" s="10" t="s">
        <v>1735</v>
      </c>
      <c r="C727" s="10" t="s">
        <v>566</v>
      </c>
      <c r="D727" s="10" t="s">
        <v>123</v>
      </c>
      <c r="E727" s="10" t="s">
        <v>123</v>
      </c>
      <c r="F727" s="10" t="s">
        <v>117</v>
      </c>
      <c r="G727" s="10">
        <v>5.0</v>
      </c>
      <c r="H727" s="10">
        <v>7.0</v>
      </c>
      <c r="I727" s="10" t="s">
        <v>2140</v>
      </c>
      <c r="J727" s="10" t="s">
        <v>2136</v>
      </c>
      <c r="K727" s="10"/>
      <c r="L727" s="10">
        <v>0.0</v>
      </c>
      <c r="M727" s="10">
        <v>0.0</v>
      </c>
      <c r="N727" s="10"/>
      <c r="O727" s="10"/>
      <c r="P727" s="12">
        <f>IF($A727="","",IFERROR((IF($O727="",0,$O727)*Settings!$J$4+IF($L727="",0,$L727)*Settings!$J$5+IF($N727="",0,$N727)*Settings!$J$6)/(IF($O727="",0,Settings!$J$4)+IF($L727="",0,Settings!$J$5)+IF($N727="",0,Settings!$J$6)),0))</f>
        <v>0</v>
      </c>
      <c r="Q727" s="12">
        <f t="array" ref="Q727">IF($A727="","",XLOOKUP($E727,Settings!$A$19:$A$22,Settings!$G$19:$G$22,0))</f>
        <v>203</v>
      </c>
      <c r="R727" s="12">
        <f t="shared" si="1"/>
        <v>0</v>
      </c>
      <c r="S727" s="12">
        <f>IF($A727="","",IF($R727&lt;=0,1,1+$R727/SUMIF($R$4:$R$923,"&gt;0",$R$4:$R$923)*(Settings!$B$5*(Settings!$B$6-Settings!$B$7))))</f>
        <v>1</v>
      </c>
      <c r="T727" s="12">
        <f t="array" ref="T727">IF($A727="","",XLOOKUP($F727,Settings!$I$15:$I$20,Settings!$J$15:$J$20,1))</f>
        <v>0.75</v>
      </c>
      <c r="U727" s="12">
        <f>IF($A727="","",1+(($G727-5)/5)*Settings!$J$8)</f>
        <v>1</v>
      </c>
      <c r="V727" s="12">
        <f>IF($A727="","",1+(($H727-5)/5)*Settings!$J$9)</f>
        <v>1.06</v>
      </c>
      <c r="W727" s="12">
        <f t="array" ref="W727">IF($A727="","",XLOOKUP($J727,Lists!$C$3:$C$7,Lists!$D$3:$D$7,1))</f>
        <v>1</v>
      </c>
      <c r="X727" s="12">
        <f>IF($A727="","",IF($I727="Yes",Settings!$J$10,1))</f>
        <v>1</v>
      </c>
      <c r="Y727" s="12">
        <f t="shared" si="2"/>
        <v>1</v>
      </c>
      <c r="Z727" s="12">
        <f>IF($A727="","",IFERROR(ROUND(AVERAGEIFS('Historical Drafts'!$G$4:$G$300,'Historical Drafts'!$D$4:$D$300,$E727,'Historical Drafts'!$J$4:$J$300,"&gt;="&amp;$L727*0.85,'Historical Drafts'!$J$4:$J$300,"&lt;="&amp;$L727*1.15),0),$Y727))</f>
        <v>3</v>
      </c>
      <c r="AA727" s="12" t="str">
        <f>IF($A727="","",IF(COUNTIF('Auction Log'!$B$3:$B$300,$A727)&gt;0,"Sold","Available"))</f>
        <v>Available</v>
      </c>
      <c r="AB727" s="12" t="str">
        <f t="array" ref="AB727">IF($A727="","",IFERROR(XLOOKUP($A727,'Auction Log'!$B$3:$B$300,'Auction Log'!$G$3:$G$300,""),""))</f>
        <v/>
      </c>
      <c r="AC727" s="12" t="str">
        <f t="array" ref="AC727">IF($A727="","",IFERROR(XLOOKUP($A727,'Auction Log'!$B$3:$B$300,'Auction Log'!$F$3:$F$300,""),""))</f>
        <v/>
      </c>
      <c r="AD727" s="12">
        <f t="array" ref="AD727">IF($A727="","",ROUND($Y727*XLOOKUP($F727,Settings!$I$15:$I$20,Settings!$K$15:$K$20,0.4),0))</f>
        <v>0</v>
      </c>
      <c r="AE727" s="12">
        <f t="array" ref="AE727">IF($A727="","",ROUND($Y727*XLOOKUP($F727,Settings!$I$15:$I$20,Settings!$L$15:$L$20,0.8),0))</f>
        <v>1</v>
      </c>
      <c r="AF727" s="12">
        <f t="array" ref="AF727">IF($A727="","",ROUND($Y727*XLOOKUP($F727,Settings!$I$15:$I$20,Settings!$M$15:$M$20,1),0))</f>
        <v>1</v>
      </c>
      <c r="AG727" s="12">
        <f t="array" ref="AG727">IF($A727="","",ROUND($Y727*XLOOKUP($F727,Settings!$I$15:$I$20,Settings!$N$15:$N$20,1.1),0))</f>
        <v>1</v>
      </c>
      <c r="AH727" s="12">
        <f t="array" ref="AH727">IF($A727="","",ROUND($Y727*XLOOKUP($F727,Settings!$I$15:$I$20,Settings!$O$15:$O$20,1.1)*Settings!$J$7,0))</f>
        <v>1</v>
      </c>
      <c r="AI727" s="12">
        <f t="array" ref="AI727">IF($A727="","",IF($AA727="Sold","",MIN($AH727,IFERROR(XLOOKUP(Settings!$B$12,Managers!$B$4:$B$15,Managers!$H$4:$H$15),$AH727))))</f>
        <v>1</v>
      </c>
      <c r="AJ727" s="12" t="str">
        <f t="shared" si="3"/>
        <v>Budget Drainer</v>
      </c>
      <c r="AK727" s="12">
        <f t="shared" si="4"/>
        <v>28</v>
      </c>
      <c r="AL727" s="12" t="str">
        <f t="shared" si="5"/>
        <v/>
      </c>
    </row>
    <row r="728" ht="15.75" customHeight="1">
      <c r="A728" s="10" t="s">
        <v>1736</v>
      </c>
      <c r="B728" s="10" t="s">
        <v>1737</v>
      </c>
      <c r="C728" s="10" t="s">
        <v>199</v>
      </c>
      <c r="D728" s="10" t="s">
        <v>115</v>
      </c>
      <c r="E728" s="10" t="s">
        <v>115</v>
      </c>
      <c r="F728" s="10" t="s">
        <v>117</v>
      </c>
      <c r="G728" s="10">
        <v>5.0</v>
      </c>
      <c r="H728" s="10">
        <v>7.0</v>
      </c>
      <c r="I728" s="10" t="s">
        <v>2140</v>
      </c>
      <c r="J728" s="10" t="s">
        <v>2136</v>
      </c>
      <c r="K728" s="10"/>
      <c r="L728" s="10">
        <v>0.0</v>
      </c>
      <c r="M728" s="10">
        <v>0.0</v>
      </c>
      <c r="N728" s="10"/>
      <c r="O728" s="10"/>
      <c r="P728" s="12">
        <f>IF($A728="","",IFERROR((IF($O728="",0,$O728)*Settings!$J$4+IF($L728="",0,$L728)*Settings!$J$5+IF($N728="",0,$N728)*Settings!$J$6)/(IF($O728="",0,Settings!$J$4)+IF($L728="",0,Settings!$J$5)+IF($N728="",0,Settings!$J$6)),0))</f>
        <v>0</v>
      </c>
      <c r="Q728" s="12">
        <f t="array" ref="Q728">IF($A728="","",XLOOKUP($E728,Settings!$A$19:$A$22,Settings!$G$19:$G$22,0))</f>
        <v>249.25</v>
      </c>
      <c r="R728" s="12">
        <f t="shared" si="1"/>
        <v>0</v>
      </c>
      <c r="S728" s="12">
        <f>IF($A728="","",IF($R728&lt;=0,1,1+$R728/SUMIF($R$4:$R$923,"&gt;0",$R$4:$R$923)*(Settings!$B$5*(Settings!$B$6-Settings!$B$7))))</f>
        <v>1</v>
      </c>
      <c r="T728" s="12">
        <f t="array" ref="T728">IF($A728="","",XLOOKUP($F728,Settings!$I$15:$I$20,Settings!$J$15:$J$20,1))</f>
        <v>0.75</v>
      </c>
      <c r="U728" s="12">
        <f>IF($A728="","",1+(($G728-5)/5)*Settings!$J$8)</f>
        <v>1</v>
      </c>
      <c r="V728" s="12">
        <f>IF($A728="","",1+(($H728-5)/5)*Settings!$J$9)</f>
        <v>1.06</v>
      </c>
      <c r="W728" s="12">
        <f t="array" ref="W728">IF($A728="","",XLOOKUP($J728,Lists!$C$3:$C$7,Lists!$D$3:$D$7,1))</f>
        <v>1</v>
      </c>
      <c r="X728" s="12">
        <f>IF($A728="","",IF($I728="Yes",Settings!$J$10,1))</f>
        <v>1</v>
      </c>
      <c r="Y728" s="12">
        <f t="shared" si="2"/>
        <v>1</v>
      </c>
      <c r="Z728" s="12">
        <f>IF($A728="","",IFERROR(ROUND(AVERAGEIFS('Historical Drafts'!$G$4:$G$300,'Historical Drafts'!$D$4:$D$300,$E728,'Historical Drafts'!$J$4:$J$300,"&gt;="&amp;$L728*0.85,'Historical Drafts'!$J$4:$J$300,"&lt;="&amp;$L728*1.15),0),$Y728))</f>
        <v>1</v>
      </c>
      <c r="AA728" s="12" t="str">
        <f>IF($A728="","",IF(COUNTIF('Auction Log'!$B$3:$B$300,$A728)&gt;0,"Sold","Available"))</f>
        <v>Available</v>
      </c>
      <c r="AB728" s="12" t="str">
        <f t="array" ref="AB728">IF($A728="","",IFERROR(XLOOKUP($A728,'Auction Log'!$B$3:$B$300,'Auction Log'!$G$3:$G$300,""),""))</f>
        <v/>
      </c>
      <c r="AC728" s="12" t="str">
        <f t="array" ref="AC728">IF($A728="","",IFERROR(XLOOKUP($A728,'Auction Log'!$B$3:$B$300,'Auction Log'!$F$3:$F$300,""),""))</f>
        <v/>
      </c>
      <c r="AD728" s="12">
        <f t="array" ref="AD728">IF($A728="","",ROUND($Y728*XLOOKUP($F728,Settings!$I$15:$I$20,Settings!$K$15:$K$20,0.4),0))</f>
        <v>0</v>
      </c>
      <c r="AE728" s="12">
        <f t="array" ref="AE728">IF($A728="","",ROUND($Y728*XLOOKUP($F728,Settings!$I$15:$I$20,Settings!$L$15:$L$20,0.8),0))</f>
        <v>1</v>
      </c>
      <c r="AF728" s="12">
        <f t="array" ref="AF728">IF($A728="","",ROUND($Y728*XLOOKUP($F728,Settings!$I$15:$I$20,Settings!$M$15:$M$20,1),0))</f>
        <v>1</v>
      </c>
      <c r="AG728" s="12">
        <f t="array" ref="AG728">IF($A728="","",ROUND($Y728*XLOOKUP($F728,Settings!$I$15:$I$20,Settings!$N$15:$N$20,1.1),0))</f>
        <v>1</v>
      </c>
      <c r="AH728" s="12">
        <f t="array" ref="AH728">IF($A728="","",ROUND($Y728*XLOOKUP($F728,Settings!$I$15:$I$20,Settings!$O$15:$O$20,1.1)*Settings!$J$7,0))</f>
        <v>1</v>
      </c>
      <c r="AI728" s="12">
        <f t="array" ref="AI728">IF($A728="","",IF($AA728="Sold","",MIN($AH728,IFERROR(XLOOKUP(Settings!$B$12,Managers!$B$4:$B$15,Managers!$H$4:$H$15),$AH728))))</f>
        <v>1</v>
      </c>
      <c r="AJ728" s="12" t="str">
        <f t="shared" si="3"/>
        <v>Recommended</v>
      </c>
      <c r="AK728" s="12">
        <f t="shared" si="4"/>
        <v>26</v>
      </c>
      <c r="AL728" s="12" t="str">
        <f t="shared" si="5"/>
        <v/>
      </c>
    </row>
    <row r="729" ht="15.75" customHeight="1">
      <c r="A729" s="10" t="s">
        <v>1738</v>
      </c>
      <c r="B729" s="10" t="s">
        <v>1739</v>
      </c>
      <c r="C729" s="10" t="s">
        <v>221</v>
      </c>
      <c r="D729" s="10" t="s">
        <v>123</v>
      </c>
      <c r="E729" s="10" t="s">
        <v>123</v>
      </c>
      <c r="F729" s="10" t="s">
        <v>117</v>
      </c>
      <c r="G729" s="10">
        <v>5.0</v>
      </c>
      <c r="H729" s="10">
        <v>7.0</v>
      </c>
      <c r="I729" s="10" t="s">
        <v>2140</v>
      </c>
      <c r="J729" s="10" t="s">
        <v>2136</v>
      </c>
      <c r="K729" s="10"/>
      <c r="L729" s="10">
        <v>0.0</v>
      </c>
      <c r="M729" s="10">
        <v>0.0</v>
      </c>
      <c r="N729" s="10"/>
      <c r="O729" s="10"/>
      <c r="P729" s="12">
        <f>IF($A729="","",IFERROR((IF($O729="",0,$O729)*Settings!$J$4+IF($L729="",0,$L729)*Settings!$J$5+IF($N729="",0,$N729)*Settings!$J$6)/(IF($O729="",0,Settings!$J$4)+IF($L729="",0,Settings!$J$5)+IF($N729="",0,Settings!$J$6)),0))</f>
        <v>0</v>
      </c>
      <c r="Q729" s="12">
        <f t="array" ref="Q729">IF($A729="","",XLOOKUP($E729,Settings!$A$19:$A$22,Settings!$G$19:$G$22,0))</f>
        <v>203</v>
      </c>
      <c r="R729" s="12">
        <f t="shared" si="1"/>
        <v>0</v>
      </c>
      <c r="S729" s="12">
        <f>IF($A729="","",IF($R729&lt;=0,1,1+$R729/SUMIF($R$4:$R$923,"&gt;0",$R$4:$R$923)*(Settings!$B$5*(Settings!$B$6-Settings!$B$7))))</f>
        <v>1</v>
      </c>
      <c r="T729" s="12">
        <f t="array" ref="T729">IF($A729="","",XLOOKUP($F729,Settings!$I$15:$I$20,Settings!$J$15:$J$20,1))</f>
        <v>0.75</v>
      </c>
      <c r="U729" s="12">
        <f>IF($A729="","",1+(($G729-5)/5)*Settings!$J$8)</f>
        <v>1</v>
      </c>
      <c r="V729" s="12">
        <f>IF($A729="","",1+(($H729-5)/5)*Settings!$J$9)</f>
        <v>1.06</v>
      </c>
      <c r="W729" s="12">
        <f t="array" ref="W729">IF($A729="","",XLOOKUP($J729,Lists!$C$3:$C$7,Lists!$D$3:$D$7,1))</f>
        <v>1</v>
      </c>
      <c r="X729" s="12">
        <f>IF($A729="","",IF($I729="Yes",Settings!$J$10,1))</f>
        <v>1</v>
      </c>
      <c r="Y729" s="12">
        <f t="shared" si="2"/>
        <v>1</v>
      </c>
      <c r="Z729" s="12">
        <f>IF($A729="","",IFERROR(ROUND(AVERAGEIFS('Historical Drafts'!$G$4:$G$300,'Historical Drafts'!$D$4:$D$300,$E729,'Historical Drafts'!$J$4:$J$300,"&gt;="&amp;$L729*0.85,'Historical Drafts'!$J$4:$J$300,"&lt;="&amp;$L729*1.15),0),$Y729))</f>
        <v>3</v>
      </c>
      <c r="AA729" s="12" t="str">
        <f>IF($A729="","",IF(COUNTIF('Auction Log'!$B$3:$B$300,$A729)&gt;0,"Sold","Available"))</f>
        <v>Available</v>
      </c>
      <c r="AB729" s="12" t="str">
        <f t="array" ref="AB729">IF($A729="","",IFERROR(XLOOKUP($A729,'Auction Log'!$B$3:$B$300,'Auction Log'!$G$3:$G$300,""),""))</f>
        <v/>
      </c>
      <c r="AC729" s="12" t="str">
        <f t="array" ref="AC729">IF($A729="","",IFERROR(XLOOKUP($A729,'Auction Log'!$B$3:$B$300,'Auction Log'!$F$3:$F$300,""),""))</f>
        <v/>
      </c>
      <c r="AD729" s="12">
        <f t="array" ref="AD729">IF($A729="","",ROUND($Y729*XLOOKUP($F729,Settings!$I$15:$I$20,Settings!$K$15:$K$20,0.4),0))</f>
        <v>0</v>
      </c>
      <c r="AE729" s="12">
        <f t="array" ref="AE729">IF($A729="","",ROUND($Y729*XLOOKUP($F729,Settings!$I$15:$I$20,Settings!$L$15:$L$20,0.8),0))</f>
        <v>1</v>
      </c>
      <c r="AF729" s="12">
        <f t="array" ref="AF729">IF($A729="","",ROUND($Y729*XLOOKUP($F729,Settings!$I$15:$I$20,Settings!$M$15:$M$20,1),0))</f>
        <v>1</v>
      </c>
      <c r="AG729" s="12">
        <f t="array" ref="AG729">IF($A729="","",ROUND($Y729*XLOOKUP($F729,Settings!$I$15:$I$20,Settings!$N$15:$N$20,1.1),0))</f>
        <v>1</v>
      </c>
      <c r="AH729" s="12">
        <f t="array" ref="AH729">IF($A729="","",ROUND($Y729*XLOOKUP($F729,Settings!$I$15:$I$20,Settings!$O$15:$O$20,1.1)*Settings!$J$7,0))</f>
        <v>1</v>
      </c>
      <c r="AI729" s="12">
        <f t="array" ref="AI729">IF($A729="","",IF($AA729="Sold","",MIN($AH729,IFERROR(XLOOKUP(Settings!$B$12,Managers!$B$4:$B$15,Managers!$H$4:$H$15),$AH729))))</f>
        <v>1</v>
      </c>
      <c r="AJ729" s="12" t="str">
        <f t="shared" si="3"/>
        <v>Budget Drainer</v>
      </c>
      <c r="AK729" s="12">
        <f t="shared" si="4"/>
        <v>28</v>
      </c>
      <c r="AL729" s="12" t="str">
        <f t="shared" si="5"/>
        <v/>
      </c>
    </row>
    <row r="730" ht="15.75" customHeight="1">
      <c r="A730" s="10" t="s">
        <v>1740</v>
      </c>
      <c r="B730" s="10" t="s">
        <v>1741</v>
      </c>
      <c r="C730" s="10" t="s">
        <v>314</v>
      </c>
      <c r="D730" s="10" t="s">
        <v>121</v>
      </c>
      <c r="E730" s="10" t="s">
        <v>121</v>
      </c>
      <c r="F730" s="10" t="s">
        <v>117</v>
      </c>
      <c r="G730" s="10">
        <v>5.0</v>
      </c>
      <c r="H730" s="10">
        <v>7.0</v>
      </c>
      <c r="I730" s="10" t="s">
        <v>2140</v>
      </c>
      <c r="J730" s="10" t="s">
        <v>2136</v>
      </c>
      <c r="K730" s="10"/>
      <c r="L730" s="10">
        <v>0.0</v>
      </c>
      <c r="M730" s="10">
        <v>0.0</v>
      </c>
      <c r="N730" s="10"/>
      <c r="O730" s="10"/>
      <c r="P730" s="12">
        <f>IF($A730="","",IFERROR((IF($O730="",0,$O730)*Settings!$J$4+IF($L730="",0,$L730)*Settings!$J$5+IF($N730="",0,$N730)*Settings!$J$6)/(IF($O730="",0,Settings!$J$4)+IF($L730="",0,Settings!$J$5)+IF($N730="",0,Settings!$J$6)),0))</f>
        <v>0</v>
      </c>
      <c r="Q730" s="12">
        <f t="array" ref="Q730">IF($A730="","",XLOOKUP($E730,Settings!$A$19:$A$22,Settings!$G$19:$G$22,0))</f>
        <v>206</v>
      </c>
      <c r="R730" s="12">
        <f t="shared" si="1"/>
        <v>0</v>
      </c>
      <c r="S730" s="12">
        <f>IF($A730="","",IF($R730&lt;=0,1,1+$R730/SUMIF($R$4:$R$923,"&gt;0",$R$4:$R$923)*(Settings!$B$5*(Settings!$B$6-Settings!$B$7))))</f>
        <v>1</v>
      </c>
      <c r="T730" s="12">
        <f t="array" ref="T730">IF($A730="","",XLOOKUP($F730,Settings!$I$15:$I$20,Settings!$J$15:$J$20,1))</f>
        <v>0.75</v>
      </c>
      <c r="U730" s="12">
        <f>IF($A730="","",1+(($G730-5)/5)*Settings!$J$8)</f>
        <v>1</v>
      </c>
      <c r="V730" s="12">
        <f>IF($A730="","",1+(($H730-5)/5)*Settings!$J$9)</f>
        <v>1.06</v>
      </c>
      <c r="W730" s="12">
        <f t="array" ref="W730">IF($A730="","",XLOOKUP($J730,Lists!$C$3:$C$7,Lists!$D$3:$D$7,1))</f>
        <v>1</v>
      </c>
      <c r="X730" s="12">
        <f>IF($A730="","",IF($I730="Yes",Settings!$J$10,1))</f>
        <v>1</v>
      </c>
      <c r="Y730" s="12">
        <f t="shared" si="2"/>
        <v>1</v>
      </c>
      <c r="Z730" s="12">
        <f>IF($A730="","",IFERROR(ROUND(AVERAGEIFS('Historical Drafts'!$G$4:$G$300,'Historical Drafts'!$D$4:$D$300,$E730,'Historical Drafts'!$J$4:$J$300,"&gt;="&amp;$L730*0.85,'Historical Drafts'!$J$4:$J$300,"&lt;="&amp;$L730*1.15),0),$Y730))</f>
        <v>3</v>
      </c>
      <c r="AA730" s="12" t="str">
        <f>IF($A730="","",IF(COUNTIF('Auction Log'!$B$3:$B$300,$A730)&gt;0,"Sold","Available"))</f>
        <v>Available</v>
      </c>
      <c r="AB730" s="12" t="str">
        <f t="array" ref="AB730">IF($A730="","",IFERROR(XLOOKUP($A730,'Auction Log'!$B$3:$B$300,'Auction Log'!$G$3:$G$300,""),""))</f>
        <v/>
      </c>
      <c r="AC730" s="12" t="str">
        <f t="array" ref="AC730">IF($A730="","",IFERROR(XLOOKUP($A730,'Auction Log'!$B$3:$B$300,'Auction Log'!$F$3:$F$300,""),""))</f>
        <v/>
      </c>
      <c r="AD730" s="12">
        <f t="array" ref="AD730">IF($A730="","",ROUND($Y730*XLOOKUP($F730,Settings!$I$15:$I$20,Settings!$K$15:$K$20,0.4),0))</f>
        <v>0</v>
      </c>
      <c r="AE730" s="12">
        <f t="array" ref="AE730">IF($A730="","",ROUND($Y730*XLOOKUP($F730,Settings!$I$15:$I$20,Settings!$L$15:$L$20,0.8),0))</f>
        <v>1</v>
      </c>
      <c r="AF730" s="12">
        <f t="array" ref="AF730">IF($A730="","",ROUND($Y730*XLOOKUP($F730,Settings!$I$15:$I$20,Settings!$M$15:$M$20,1),0))</f>
        <v>1</v>
      </c>
      <c r="AG730" s="12">
        <f t="array" ref="AG730">IF($A730="","",ROUND($Y730*XLOOKUP($F730,Settings!$I$15:$I$20,Settings!$N$15:$N$20,1.1),0))</f>
        <v>1</v>
      </c>
      <c r="AH730" s="12">
        <f t="array" ref="AH730">IF($A730="","",ROUND($Y730*XLOOKUP($F730,Settings!$I$15:$I$20,Settings!$O$15:$O$20,1.1)*Settings!$J$7,0))</f>
        <v>1</v>
      </c>
      <c r="AI730" s="12">
        <f t="array" ref="AI730">IF($A730="","",IF($AA730="Sold","",MIN($AH730,IFERROR(XLOOKUP(Settings!$B$12,Managers!$B$4:$B$15,Managers!$H$4:$H$15),$AH730))))</f>
        <v>1</v>
      </c>
      <c r="AJ730" s="12" t="str">
        <f t="shared" si="3"/>
        <v>Budget Drainer</v>
      </c>
      <c r="AK730" s="12">
        <f t="shared" si="4"/>
        <v>28</v>
      </c>
      <c r="AL730" s="12" t="str">
        <f t="shared" si="5"/>
        <v/>
      </c>
    </row>
    <row r="731" ht="15.75" customHeight="1">
      <c r="A731" s="10" t="s">
        <v>1742</v>
      </c>
      <c r="B731" s="10" t="s">
        <v>1743</v>
      </c>
      <c r="C731" s="10" t="s">
        <v>221</v>
      </c>
      <c r="D731" s="10" t="s">
        <v>115</v>
      </c>
      <c r="E731" s="10" t="s">
        <v>115</v>
      </c>
      <c r="F731" s="10" t="s">
        <v>117</v>
      </c>
      <c r="G731" s="10">
        <v>5.0</v>
      </c>
      <c r="H731" s="10">
        <v>7.0</v>
      </c>
      <c r="I731" s="10" t="s">
        <v>2140</v>
      </c>
      <c r="J731" s="10" t="s">
        <v>2136</v>
      </c>
      <c r="K731" s="10"/>
      <c r="L731" s="10">
        <v>0.0</v>
      </c>
      <c r="M731" s="10">
        <v>0.0</v>
      </c>
      <c r="N731" s="10"/>
      <c r="O731" s="10"/>
      <c r="P731" s="12">
        <f>IF($A731="","",IFERROR((IF($O731="",0,$O731)*Settings!$J$4+IF($L731="",0,$L731)*Settings!$J$5+IF($N731="",0,$N731)*Settings!$J$6)/(IF($O731="",0,Settings!$J$4)+IF($L731="",0,Settings!$J$5)+IF($N731="",0,Settings!$J$6)),0))</f>
        <v>0</v>
      </c>
      <c r="Q731" s="12">
        <f t="array" ref="Q731">IF($A731="","",XLOOKUP($E731,Settings!$A$19:$A$22,Settings!$G$19:$G$22,0))</f>
        <v>249.25</v>
      </c>
      <c r="R731" s="12">
        <f t="shared" si="1"/>
        <v>0</v>
      </c>
      <c r="S731" s="12">
        <f>IF($A731="","",IF($R731&lt;=0,1,1+$R731/SUMIF($R$4:$R$923,"&gt;0",$R$4:$R$923)*(Settings!$B$5*(Settings!$B$6-Settings!$B$7))))</f>
        <v>1</v>
      </c>
      <c r="T731" s="12">
        <f t="array" ref="T731">IF($A731="","",XLOOKUP($F731,Settings!$I$15:$I$20,Settings!$J$15:$J$20,1))</f>
        <v>0.75</v>
      </c>
      <c r="U731" s="12">
        <f>IF($A731="","",1+(($G731-5)/5)*Settings!$J$8)</f>
        <v>1</v>
      </c>
      <c r="V731" s="12">
        <f>IF($A731="","",1+(($H731-5)/5)*Settings!$J$9)</f>
        <v>1.06</v>
      </c>
      <c r="W731" s="12">
        <f t="array" ref="W731">IF($A731="","",XLOOKUP($J731,Lists!$C$3:$C$7,Lists!$D$3:$D$7,1))</f>
        <v>1</v>
      </c>
      <c r="X731" s="12">
        <f>IF($A731="","",IF($I731="Yes",Settings!$J$10,1))</f>
        <v>1</v>
      </c>
      <c r="Y731" s="12">
        <f t="shared" si="2"/>
        <v>1</v>
      </c>
      <c r="Z731" s="12">
        <f>IF($A731="","",IFERROR(ROUND(AVERAGEIFS('Historical Drafts'!$G$4:$G$300,'Historical Drafts'!$D$4:$D$300,$E731,'Historical Drafts'!$J$4:$J$300,"&gt;="&amp;$L731*0.85,'Historical Drafts'!$J$4:$J$300,"&lt;="&amp;$L731*1.15),0),$Y731))</f>
        <v>1</v>
      </c>
      <c r="AA731" s="12" t="str">
        <f>IF($A731="","",IF(COUNTIF('Auction Log'!$B$3:$B$300,$A731)&gt;0,"Sold","Available"))</f>
        <v>Available</v>
      </c>
      <c r="AB731" s="12" t="str">
        <f t="array" ref="AB731">IF($A731="","",IFERROR(XLOOKUP($A731,'Auction Log'!$B$3:$B$300,'Auction Log'!$G$3:$G$300,""),""))</f>
        <v/>
      </c>
      <c r="AC731" s="12" t="str">
        <f t="array" ref="AC731">IF($A731="","",IFERROR(XLOOKUP($A731,'Auction Log'!$B$3:$B$300,'Auction Log'!$F$3:$F$300,""),""))</f>
        <v/>
      </c>
      <c r="AD731" s="12">
        <f t="array" ref="AD731">IF($A731="","",ROUND($Y731*XLOOKUP($F731,Settings!$I$15:$I$20,Settings!$K$15:$K$20,0.4),0))</f>
        <v>0</v>
      </c>
      <c r="AE731" s="12">
        <f t="array" ref="AE731">IF($A731="","",ROUND($Y731*XLOOKUP($F731,Settings!$I$15:$I$20,Settings!$L$15:$L$20,0.8),0))</f>
        <v>1</v>
      </c>
      <c r="AF731" s="12">
        <f t="array" ref="AF731">IF($A731="","",ROUND($Y731*XLOOKUP($F731,Settings!$I$15:$I$20,Settings!$M$15:$M$20,1),0))</f>
        <v>1</v>
      </c>
      <c r="AG731" s="12">
        <f t="array" ref="AG731">IF($A731="","",ROUND($Y731*XLOOKUP($F731,Settings!$I$15:$I$20,Settings!$N$15:$N$20,1.1),0))</f>
        <v>1</v>
      </c>
      <c r="AH731" s="12">
        <f t="array" ref="AH731">IF($A731="","",ROUND($Y731*XLOOKUP($F731,Settings!$I$15:$I$20,Settings!$O$15:$O$20,1.1)*Settings!$J$7,0))</f>
        <v>1</v>
      </c>
      <c r="AI731" s="12">
        <f t="array" ref="AI731">IF($A731="","",IF($AA731="Sold","",MIN($AH731,IFERROR(XLOOKUP(Settings!$B$12,Managers!$B$4:$B$15,Managers!$H$4:$H$15),$AH731))))</f>
        <v>1</v>
      </c>
      <c r="AJ731" s="12" t="str">
        <f t="shared" si="3"/>
        <v>Recommended</v>
      </c>
      <c r="AK731" s="12">
        <f t="shared" si="4"/>
        <v>26</v>
      </c>
      <c r="AL731" s="12" t="str">
        <f t="shared" si="5"/>
        <v/>
      </c>
    </row>
    <row r="732" ht="15.75" customHeight="1">
      <c r="A732" s="10" t="s">
        <v>1744</v>
      </c>
      <c r="B732" s="10" t="s">
        <v>1745</v>
      </c>
      <c r="C732" s="10" t="s">
        <v>180</v>
      </c>
      <c r="D732" s="10" t="s">
        <v>123</v>
      </c>
      <c r="E732" s="10" t="s">
        <v>123</v>
      </c>
      <c r="F732" s="10" t="s">
        <v>117</v>
      </c>
      <c r="G732" s="10">
        <v>5.0</v>
      </c>
      <c r="H732" s="10">
        <v>7.0</v>
      </c>
      <c r="I732" s="10" t="s">
        <v>2140</v>
      </c>
      <c r="J732" s="10" t="s">
        <v>2136</v>
      </c>
      <c r="K732" s="10"/>
      <c r="L732" s="10">
        <v>0.0</v>
      </c>
      <c r="M732" s="10">
        <v>0.0</v>
      </c>
      <c r="N732" s="10"/>
      <c r="O732" s="10"/>
      <c r="P732" s="12">
        <f>IF($A732="","",IFERROR((IF($O732="",0,$O732)*Settings!$J$4+IF($L732="",0,$L732)*Settings!$J$5+IF($N732="",0,$N732)*Settings!$J$6)/(IF($O732="",0,Settings!$J$4)+IF($L732="",0,Settings!$J$5)+IF($N732="",0,Settings!$J$6)),0))</f>
        <v>0</v>
      </c>
      <c r="Q732" s="12">
        <f t="array" ref="Q732">IF($A732="","",XLOOKUP($E732,Settings!$A$19:$A$22,Settings!$G$19:$G$22,0))</f>
        <v>203</v>
      </c>
      <c r="R732" s="12">
        <f t="shared" si="1"/>
        <v>0</v>
      </c>
      <c r="S732" s="12">
        <f>IF($A732="","",IF($R732&lt;=0,1,1+$R732/SUMIF($R$4:$R$923,"&gt;0",$R$4:$R$923)*(Settings!$B$5*(Settings!$B$6-Settings!$B$7))))</f>
        <v>1</v>
      </c>
      <c r="T732" s="12">
        <f t="array" ref="T732">IF($A732="","",XLOOKUP($F732,Settings!$I$15:$I$20,Settings!$J$15:$J$20,1))</f>
        <v>0.75</v>
      </c>
      <c r="U732" s="12">
        <f>IF($A732="","",1+(($G732-5)/5)*Settings!$J$8)</f>
        <v>1</v>
      </c>
      <c r="V732" s="12">
        <f>IF($A732="","",1+(($H732-5)/5)*Settings!$J$9)</f>
        <v>1.06</v>
      </c>
      <c r="W732" s="12">
        <f t="array" ref="W732">IF($A732="","",XLOOKUP($J732,Lists!$C$3:$C$7,Lists!$D$3:$D$7,1))</f>
        <v>1</v>
      </c>
      <c r="X732" s="12">
        <f>IF($A732="","",IF($I732="Yes",Settings!$J$10,1))</f>
        <v>1</v>
      </c>
      <c r="Y732" s="12">
        <f t="shared" si="2"/>
        <v>1</v>
      </c>
      <c r="Z732" s="12">
        <f>IF($A732="","",IFERROR(ROUND(AVERAGEIFS('Historical Drafts'!$G$4:$G$300,'Historical Drafts'!$D$4:$D$300,$E732,'Historical Drafts'!$J$4:$J$300,"&gt;="&amp;$L732*0.85,'Historical Drafts'!$J$4:$J$300,"&lt;="&amp;$L732*1.15),0),$Y732))</f>
        <v>3</v>
      </c>
      <c r="AA732" s="12" t="str">
        <f>IF($A732="","",IF(COUNTIF('Auction Log'!$B$3:$B$300,$A732)&gt;0,"Sold","Available"))</f>
        <v>Available</v>
      </c>
      <c r="AB732" s="12" t="str">
        <f t="array" ref="AB732">IF($A732="","",IFERROR(XLOOKUP($A732,'Auction Log'!$B$3:$B$300,'Auction Log'!$G$3:$G$300,""),""))</f>
        <v/>
      </c>
      <c r="AC732" s="12" t="str">
        <f t="array" ref="AC732">IF($A732="","",IFERROR(XLOOKUP($A732,'Auction Log'!$B$3:$B$300,'Auction Log'!$F$3:$F$300,""),""))</f>
        <v/>
      </c>
      <c r="AD732" s="12">
        <f t="array" ref="AD732">IF($A732="","",ROUND($Y732*XLOOKUP($F732,Settings!$I$15:$I$20,Settings!$K$15:$K$20,0.4),0))</f>
        <v>0</v>
      </c>
      <c r="AE732" s="12">
        <f t="array" ref="AE732">IF($A732="","",ROUND($Y732*XLOOKUP($F732,Settings!$I$15:$I$20,Settings!$L$15:$L$20,0.8),0))</f>
        <v>1</v>
      </c>
      <c r="AF732" s="12">
        <f t="array" ref="AF732">IF($A732="","",ROUND($Y732*XLOOKUP($F732,Settings!$I$15:$I$20,Settings!$M$15:$M$20,1),0))</f>
        <v>1</v>
      </c>
      <c r="AG732" s="12">
        <f t="array" ref="AG732">IF($A732="","",ROUND($Y732*XLOOKUP($F732,Settings!$I$15:$I$20,Settings!$N$15:$N$20,1.1),0))</f>
        <v>1</v>
      </c>
      <c r="AH732" s="12">
        <f t="array" ref="AH732">IF($A732="","",ROUND($Y732*XLOOKUP($F732,Settings!$I$15:$I$20,Settings!$O$15:$O$20,1.1)*Settings!$J$7,0))</f>
        <v>1</v>
      </c>
      <c r="AI732" s="12">
        <f t="array" ref="AI732">IF($A732="","",IF($AA732="Sold","",MIN($AH732,IFERROR(XLOOKUP(Settings!$B$12,Managers!$B$4:$B$15,Managers!$H$4:$H$15),$AH732))))</f>
        <v>1</v>
      </c>
      <c r="AJ732" s="12" t="str">
        <f t="shared" si="3"/>
        <v>Budget Drainer</v>
      </c>
      <c r="AK732" s="12">
        <f t="shared" si="4"/>
        <v>28</v>
      </c>
      <c r="AL732" s="12" t="str">
        <f t="shared" si="5"/>
        <v/>
      </c>
    </row>
    <row r="733" ht="15.75" customHeight="1">
      <c r="A733" s="10" t="s">
        <v>1746</v>
      </c>
      <c r="B733" s="10" t="s">
        <v>1747</v>
      </c>
      <c r="C733" s="10" t="s">
        <v>177</v>
      </c>
      <c r="D733" s="10" t="s">
        <v>121</v>
      </c>
      <c r="E733" s="10" t="s">
        <v>121</v>
      </c>
      <c r="F733" s="10" t="s">
        <v>117</v>
      </c>
      <c r="G733" s="10">
        <v>5.0</v>
      </c>
      <c r="H733" s="10">
        <v>7.0</v>
      </c>
      <c r="I733" s="10" t="s">
        <v>2140</v>
      </c>
      <c r="J733" s="10" t="s">
        <v>2136</v>
      </c>
      <c r="K733" s="10"/>
      <c r="L733" s="10">
        <v>0.0</v>
      </c>
      <c r="M733" s="10">
        <v>0.0</v>
      </c>
      <c r="N733" s="10"/>
      <c r="O733" s="10"/>
      <c r="P733" s="12">
        <f>IF($A733="","",IFERROR((IF($O733="",0,$O733)*Settings!$J$4+IF($L733="",0,$L733)*Settings!$J$5+IF($N733="",0,$N733)*Settings!$J$6)/(IF($O733="",0,Settings!$J$4)+IF($L733="",0,Settings!$J$5)+IF($N733="",0,Settings!$J$6)),0))</f>
        <v>0</v>
      </c>
      <c r="Q733" s="12">
        <f t="array" ref="Q733">IF($A733="","",XLOOKUP($E733,Settings!$A$19:$A$22,Settings!$G$19:$G$22,0))</f>
        <v>206</v>
      </c>
      <c r="R733" s="12">
        <f t="shared" si="1"/>
        <v>0</v>
      </c>
      <c r="S733" s="12">
        <f>IF($A733="","",IF($R733&lt;=0,1,1+$R733/SUMIF($R$4:$R$923,"&gt;0",$R$4:$R$923)*(Settings!$B$5*(Settings!$B$6-Settings!$B$7))))</f>
        <v>1</v>
      </c>
      <c r="T733" s="12">
        <f t="array" ref="T733">IF($A733="","",XLOOKUP($F733,Settings!$I$15:$I$20,Settings!$J$15:$J$20,1))</f>
        <v>0.75</v>
      </c>
      <c r="U733" s="12">
        <f>IF($A733="","",1+(($G733-5)/5)*Settings!$J$8)</f>
        <v>1</v>
      </c>
      <c r="V733" s="12">
        <f>IF($A733="","",1+(($H733-5)/5)*Settings!$J$9)</f>
        <v>1.06</v>
      </c>
      <c r="W733" s="12">
        <f t="array" ref="W733">IF($A733="","",XLOOKUP($J733,Lists!$C$3:$C$7,Lists!$D$3:$D$7,1))</f>
        <v>1</v>
      </c>
      <c r="X733" s="12">
        <f>IF($A733="","",IF($I733="Yes",Settings!$J$10,1))</f>
        <v>1</v>
      </c>
      <c r="Y733" s="12">
        <f t="shared" si="2"/>
        <v>1</v>
      </c>
      <c r="Z733" s="12">
        <f>IF($A733="","",IFERROR(ROUND(AVERAGEIFS('Historical Drafts'!$G$4:$G$300,'Historical Drafts'!$D$4:$D$300,$E733,'Historical Drafts'!$J$4:$J$300,"&gt;="&amp;$L733*0.85,'Historical Drafts'!$J$4:$J$300,"&lt;="&amp;$L733*1.15),0),$Y733))</f>
        <v>3</v>
      </c>
      <c r="AA733" s="12" t="str">
        <f>IF($A733="","",IF(COUNTIF('Auction Log'!$B$3:$B$300,$A733)&gt;0,"Sold","Available"))</f>
        <v>Available</v>
      </c>
      <c r="AB733" s="12" t="str">
        <f t="array" ref="AB733">IF($A733="","",IFERROR(XLOOKUP($A733,'Auction Log'!$B$3:$B$300,'Auction Log'!$G$3:$G$300,""),""))</f>
        <v/>
      </c>
      <c r="AC733" s="12" t="str">
        <f t="array" ref="AC733">IF($A733="","",IFERROR(XLOOKUP($A733,'Auction Log'!$B$3:$B$300,'Auction Log'!$F$3:$F$300,""),""))</f>
        <v/>
      </c>
      <c r="AD733" s="12">
        <f t="array" ref="AD733">IF($A733="","",ROUND($Y733*XLOOKUP($F733,Settings!$I$15:$I$20,Settings!$K$15:$K$20,0.4),0))</f>
        <v>0</v>
      </c>
      <c r="AE733" s="12">
        <f t="array" ref="AE733">IF($A733="","",ROUND($Y733*XLOOKUP($F733,Settings!$I$15:$I$20,Settings!$L$15:$L$20,0.8),0))</f>
        <v>1</v>
      </c>
      <c r="AF733" s="12">
        <f t="array" ref="AF733">IF($A733="","",ROUND($Y733*XLOOKUP($F733,Settings!$I$15:$I$20,Settings!$M$15:$M$20,1),0))</f>
        <v>1</v>
      </c>
      <c r="AG733" s="12">
        <f t="array" ref="AG733">IF($A733="","",ROUND($Y733*XLOOKUP($F733,Settings!$I$15:$I$20,Settings!$N$15:$N$20,1.1),0))</f>
        <v>1</v>
      </c>
      <c r="AH733" s="12">
        <f t="array" ref="AH733">IF($A733="","",ROUND($Y733*XLOOKUP($F733,Settings!$I$15:$I$20,Settings!$O$15:$O$20,1.1)*Settings!$J$7,0))</f>
        <v>1</v>
      </c>
      <c r="AI733" s="12">
        <f t="array" ref="AI733">IF($A733="","",IF($AA733="Sold","",MIN($AH733,IFERROR(XLOOKUP(Settings!$B$12,Managers!$B$4:$B$15,Managers!$H$4:$H$15),$AH733))))</f>
        <v>1</v>
      </c>
      <c r="AJ733" s="12" t="str">
        <f t="shared" si="3"/>
        <v>Budget Drainer</v>
      </c>
      <c r="AK733" s="12">
        <f t="shared" si="4"/>
        <v>28</v>
      </c>
      <c r="AL733" s="12" t="str">
        <f t="shared" si="5"/>
        <v/>
      </c>
    </row>
    <row r="734" ht="15.75" customHeight="1">
      <c r="A734" s="10" t="s">
        <v>1748</v>
      </c>
      <c r="B734" s="10" t="s">
        <v>1749</v>
      </c>
      <c r="C734" s="10" t="s">
        <v>231</v>
      </c>
      <c r="D734" s="10" t="s">
        <v>115</v>
      </c>
      <c r="E734" s="10" t="s">
        <v>115</v>
      </c>
      <c r="F734" s="10" t="s">
        <v>117</v>
      </c>
      <c r="G734" s="10">
        <v>5.0</v>
      </c>
      <c r="H734" s="10">
        <v>7.0</v>
      </c>
      <c r="I734" s="10" t="s">
        <v>2140</v>
      </c>
      <c r="J734" s="10" t="s">
        <v>2136</v>
      </c>
      <c r="K734" s="10"/>
      <c r="L734" s="10">
        <v>0.0</v>
      </c>
      <c r="M734" s="10">
        <v>0.0</v>
      </c>
      <c r="N734" s="10"/>
      <c r="O734" s="10"/>
      <c r="P734" s="12">
        <f>IF($A734="","",IFERROR((IF($O734="",0,$O734)*Settings!$J$4+IF($L734="",0,$L734)*Settings!$J$5+IF($N734="",0,$N734)*Settings!$J$6)/(IF($O734="",0,Settings!$J$4)+IF($L734="",0,Settings!$J$5)+IF($N734="",0,Settings!$J$6)),0))</f>
        <v>0</v>
      </c>
      <c r="Q734" s="12">
        <f t="array" ref="Q734">IF($A734="","",XLOOKUP($E734,Settings!$A$19:$A$22,Settings!$G$19:$G$22,0))</f>
        <v>249.25</v>
      </c>
      <c r="R734" s="12">
        <f t="shared" si="1"/>
        <v>0</v>
      </c>
      <c r="S734" s="12">
        <f>IF($A734="","",IF($R734&lt;=0,1,1+$R734/SUMIF($R$4:$R$923,"&gt;0",$R$4:$R$923)*(Settings!$B$5*(Settings!$B$6-Settings!$B$7))))</f>
        <v>1</v>
      </c>
      <c r="T734" s="12">
        <f t="array" ref="T734">IF($A734="","",XLOOKUP($F734,Settings!$I$15:$I$20,Settings!$J$15:$J$20,1))</f>
        <v>0.75</v>
      </c>
      <c r="U734" s="12">
        <f>IF($A734="","",1+(($G734-5)/5)*Settings!$J$8)</f>
        <v>1</v>
      </c>
      <c r="V734" s="12">
        <f>IF($A734="","",1+(($H734-5)/5)*Settings!$J$9)</f>
        <v>1.06</v>
      </c>
      <c r="W734" s="12">
        <f t="array" ref="W734">IF($A734="","",XLOOKUP($J734,Lists!$C$3:$C$7,Lists!$D$3:$D$7,1))</f>
        <v>1</v>
      </c>
      <c r="X734" s="12">
        <f>IF($A734="","",IF($I734="Yes",Settings!$J$10,1))</f>
        <v>1</v>
      </c>
      <c r="Y734" s="12">
        <f t="shared" si="2"/>
        <v>1</v>
      </c>
      <c r="Z734" s="12">
        <f>IF($A734="","",IFERROR(ROUND(AVERAGEIFS('Historical Drafts'!$G$4:$G$300,'Historical Drafts'!$D$4:$D$300,$E734,'Historical Drafts'!$J$4:$J$300,"&gt;="&amp;$L734*0.85,'Historical Drafts'!$J$4:$J$300,"&lt;="&amp;$L734*1.15),0),$Y734))</f>
        <v>1</v>
      </c>
      <c r="AA734" s="12" t="str">
        <f>IF($A734="","",IF(COUNTIF('Auction Log'!$B$3:$B$300,$A734)&gt;0,"Sold","Available"))</f>
        <v>Available</v>
      </c>
      <c r="AB734" s="12" t="str">
        <f t="array" ref="AB734">IF($A734="","",IFERROR(XLOOKUP($A734,'Auction Log'!$B$3:$B$300,'Auction Log'!$G$3:$G$300,""),""))</f>
        <v/>
      </c>
      <c r="AC734" s="12" t="str">
        <f t="array" ref="AC734">IF($A734="","",IFERROR(XLOOKUP($A734,'Auction Log'!$B$3:$B$300,'Auction Log'!$F$3:$F$300,""),""))</f>
        <v/>
      </c>
      <c r="AD734" s="12">
        <f t="array" ref="AD734">IF($A734="","",ROUND($Y734*XLOOKUP($F734,Settings!$I$15:$I$20,Settings!$K$15:$K$20,0.4),0))</f>
        <v>0</v>
      </c>
      <c r="AE734" s="12">
        <f t="array" ref="AE734">IF($A734="","",ROUND($Y734*XLOOKUP($F734,Settings!$I$15:$I$20,Settings!$L$15:$L$20,0.8),0))</f>
        <v>1</v>
      </c>
      <c r="AF734" s="12">
        <f t="array" ref="AF734">IF($A734="","",ROUND($Y734*XLOOKUP($F734,Settings!$I$15:$I$20,Settings!$M$15:$M$20,1),0))</f>
        <v>1</v>
      </c>
      <c r="AG734" s="12">
        <f t="array" ref="AG734">IF($A734="","",ROUND($Y734*XLOOKUP($F734,Settings!$I$15:$I$20,Settings!$N$15:$N$20,1.1),0))</f>
        <v>1</v>
      </c>
      <c r="AH734" s="12">
        <f t="array" ref="AH734">IF($A734="","",ROUND($Y734*XLOOKUP($F734,Settings!$I$15:$I$20,Settings!$O$15:$O$20,1.1)*Settings!$J$7,0))</f>
        <v>1</v>
      </c>
      <c r="AI734" s="12">
        <f t="array" ref="AI734">IF($A734="","",IF($AA734="Sold","",MIN($AH734,IFERROR(XLOOKUP(Settings!$B$12,Managers!$B$4:$B$15,Managers!$H$4:$H$15),$AH734))))</f>
        <v>1</v>
      </c>
      <c r="AJ734" s="12" t="str">
        <f t="shared" si="3"/>
        <v>Recommended</v>
      </c>
      <c r="AK734" s="12">
        <f t="shared" si="4"/>
        <v>26</v>
      </c>
      <c r="AL734" s="12" t="str">
        <f t="shared" si="5"/>
        <v/>
      </c>
    </row>
    <row r="735" ht="15.75" customHeight="1">
      <c r="A735" s="10" t="s">
        <v>1750</v>
      </c>
      <c r="B735" s="10" t="s">
        <v>1751</v>
      </c>
      <c r="C735" s="10" t="s">
        <v>285</v>
      </c>
      <c r="D735" s="10" t="s">
        <v>115</v>
      </c>
      <c r="E735" s="10" t="s">
        <v>115</v>
      </c>
      <c r="F735" s="10" t="s">
        <v>117</v>
      </c>
      <c r="G735" s="10">
        <v>5.0</v>
      </c>
      <c r="H735" s="10">
        <v>7.0</v>
      </c>
      <c r="I735" s="10" t="s">
        <v>2140</v>
      </c>
      <c r="J735" s="10" t="s">
        <v>2136</v>
      </c>
      <c r="K735" s="10"/>
      <c r="L735" s="10">
        <v>0.0</v>
      </c>
      <c r="M735" s="10">
        <v>0.0</v>
      </c>
      <c r="N735" s="10"/>
      <c r="O735" s="10"/>
      <c r="P735" s="12">
        <f>IF($A735="","",IFERROR((IF($O735="",0,$O735)*Settings!$J$4+IF($L735="",0,$L735)*Settings!$J$5+IF($N735="",0,$N735)*Settings!$J$6)/(IF($O735="",0,Settings!$J$4)+IF($L735="",0,Settings!$J$5)+IF($N735="",0,Settings!$J$6)),0))</f>
        <v>0</v>
      </c>
      <c r="Q735" s="12">
        <f t="array" ref="Q735">IF($A735="","",XLOOKUP($E735,Settings!$A$19:$A$22,Settings!$G$19:$G$22,0))</f>
        <v>249.25</v>
      </c>
      <c r="R735" s="12">
        <f t="shared" si="1"/>
        <v>0</v>
      </c>
      <c r="S735" s="12">
        <f>IF($A735="","",IF($R735&lt;=0,1,1+$R735/SUMIF($R$4:$R$923,"&gt;0",$R$4:$R$923)*(Settings!$B$5*(Settings!$B$6-Settings!$B$7))))</f>
        <v>1</v>
      </c>
      <c r="T735" s="12">
        <f t="array" ref="T735">IF($A735="","",XLOOKUP($F735,Settings!$I$15:$I$20,Settings!$J$15:$J$20,1))</f>
        <v>0.75</v>
      </c>
      <c r="U735" s="12">
        <f>IF($A735="","",1+(($G735-5)/5)*Settings!$J$8)</f>
        <v>1</v>
      </c>
      <c r="V735" s="12">
        <f>IF($A735="","",1+(($H735-5)/5)*Settings!$J$9)</f>
        <v>1.06</v>
      </c>
      <c r="W735" s="12">
        <f t="array" ref="W735">IF($A735="","",XLOOKUP($J735,Lists!$C$3:$C$7,Lists!$D$3:$D$7,1))</f>
        <v>1</v>
      </c>
      <c r="X735" s="12">
        <f>IF($A735="","",IF($I735="Yes",Settings!$J$10,1))</f>
        <v>1</v>
      </c>
      <c r="Y735" s="12">
        <f t="shared" si="2"/>
        <v>1</v>
      </c>
      <c r="Z735" s="12">
        <f>IF($A735="","",IFERROR(ROUND(AVERAGEIFS('Historical Drafts'!$G$4:$G$300,'Historical Drafts'!$D$4:$D$300,$E735,'Historical Drafts'!$J$4:$J$300,"&gt;="&amp;$L735*0.85,'Historical Drafts'!$J$4:$J$300,"&lt;="&amp;$L735*1.15),0),$Y735))</f>
        <v>1</v>
      </c>
      <c r="AA735" s="12" t="str">
        <f>IF($A735="","",IF(COUNTIF('Auction Log'!$B$3:$B$300,$A735)&gt;0,"Sold","Available"))</f>
        <v>Available</v>
      </c>
      <c r="AB735" s="12" t="str">
        <f t="array" ref="AB735">IF($A735="","",IFERROR(XLOOKUP($A735,'Auction Log'!$B$3:$B$300,'Auction Log'!$G$3:$G$300,""),""))</f>
        <v/>
      </c>
      <c r="AC735" s="12" t="str">
        <f t="array" ref="AC735">IF($A735="","",IFERROR(XLOOKUP($A735,'Auction Log'!$B$3:$B$300,'Auction Log'!$F$3:$F$300,""),""))</f>
        <v/>
      </c>
      <c r="AD735" s="12">
        <f t="array" ref="AD735">IF($A735="","",ROUND($Y735*XLOOKUP($F735,Settings!$I$15:$I$20,Settings!$K$15:$K$20,0.4),0))</f>
        <v>0</v>
      </c>
      <c r="AE735" s="12">
        <f t="array" ref="AE735">IF($A735="","",ROUND($Y735*XLOOKUP($F735,Settings!$I$15:$I$20,Settings!$L$15:$L$20,0.8),0))</f>
        <v>1</v>
      </c>
      <c r="AF735" s="12">
        <f t="array" ref="AF735">IF($A735="","",ROUND($Y735*XLOOKUP($F735,Settings!$I$15:$I$20,Settings!$M$15:$M$20,1),0))</f>
        <v>1</v>
      </c>
      <c r="AG735" s="12">
        <f t="array" ref="AG735">IF($A735="","",ROUND($Y735*XLOOKUP($F735,Settings!$I$15:$I$20,Settings!$N$15:$N$20,1.1),0))</f>
        <v>1</v>
      </c>
      <c r="AH735" s="12">
        <f t="array" ref="AH735">IF($A735="","",ROUND($Y735*XLOOKUP($F735,Settings!$I$15:$I$20,Settings!$O$15:$O$20,1.1)*Settings!$J$7,0))</f>
        <v>1</v>
      </c>
      <c r="AI735" s="12">
        <f t="array" ref="AI735">IF($A735="","",IF($AA735="Sold","",MIN($AH735,IFERROR(XLOOKUP(Settings!$B$12,Managers!$B$4:$B$15,Managers!$H$4:$H$15),$AH735))))</f>
        <v>1</v>
      </c>
      <c r="AJ735" s="12" t="str">
        <f t="shared" si="3"/>
        <v>Recommended</v>
      </c>
      <c r="AK735" s="12">
        <f t="shared" si="4"/>
        <v>26</v>
      </c>
      <c r="AL735" s="12" t="str">
        <f t="shared" si="5"/>
        <v/>
      </c>
    </row>
    <row r="736" ht="15.75" customHeight="1">
      <c r="A736" s="10" t="s">
        <v>1752</v>
      </c>
      <c r="B736" s="10" t="s">
        <v>1753</v>
      </c>
      <c r="C736" s="10" t="s">
        <v>566</v>
      </c>
      <c r="D736" s="10" t="s">
        <v>123</v>
      </c>
      <c r="E736" s="10" t="s">
        <v>123</v>
      </c>
      <c r="F736" s="10" t="s">
        <v>117</v>
      </c>
      <c r="G736" s="10">
        <v>5.0</v>
      </c>
      <c r="H736" s="10">
        <v>7.0</v>
      </c>
      <c r="I736" s="10" t="s">
        <v>2140</v>
      </c>
      <c r="J736" s="10" t="s">
        <v>2136</v>
      </c>
      <c r="K736" s="10"/>
      <c r="L736" s="10">
        <v>0.0</v>
      </c>
      <c r="M736" s="10">
        <v>0.0</v>
      </c>
      <c r="N736" s="10"/>
      <c r="O736" s="10"/>
      <c r="P736" s="12">
        <f>IF($A736="","",IFERROR((IF($O736="",0,$O736)*Settings!$J$4+IF($L736="",0,$L736)*Settings!$J$5+IF($N736="",0,$N736)*Settings!$J$6)/(IF($O736="",0,Settings!$J$4)+IF($L736="",0,Settings!$J$5)+IF($N736="",0,Settings!$J$6)),0))</f>
        <v>0</v>
      </c>
      <c r="Q736" s="12">
        <f t="array" ref="Q736">IF($A736="","",XLOOKUP($E736,Settings!$A$19:$A$22,Settings!$G$19:$G$22,0))</f>
        <v>203</v>
      </c>
      <c r="R736" s="12">
        <f t="shared" si="1"/>
        <v>0</v>
      </c>
      <c r="S736" s="12">
        <f>IF($A736="","",IF($R736&lt;=0,1,1+$R736/SUMIF($R$4:$R$923,"&gt;0",$R$4:$R$923)*(Settings!$B$5*(Settings!$B$6-Settings!$B$7))))</f>
        <v>1</v>
      </c>
      <c r="T736" s="12">
        <f t="array" ref="T736">IF($A736="","",XLOOKUP($F736,Settings!$I$15:$I$20,Settings!$J$15:$J$20,1))</f>
        <v>0.75</v>
      </c>
      <c r="U736" s="12">
        <f>IF($A736="","",1+(($G736-5)/5)*Settings!$J$8)</f>
        <v>1</v>
      </c>
      <c r="V736" s="12">
        <f>IF($A736="","",1+(($H736-5)/5)*Settings!$J$9)</f>
        <v>1.06</v>
      </c>
      <c r="W736" s="12">
        <f t="array" ref="W736">IF($A736="","",XLOOKUP($J736,Lists!$C$3:$C$7,Lists!$D$3:$D$7,1))</f>
        <v>1</v>
      </c>
      <c r="X736" s="12">
        <f>IF($A736="","",IF($I736="Yes",Settings!$J$10,1))</f>
        <v>1</v>
      </c>
      <c r="Y736" s="12">
        <f t="shared" si="2"/>
        <v>1</v>
      </c>
      <c r="Z736" s="12">
        <f>IF($A736="","",IFERROR(ROUND(AVERAGEIFS('Historical Drafts'!$G$4:$G$300,'Historical Drafts'!$D$4:$D$300,$E736,'Historical Drafts'!$J$4:$J$300,"&gt;="&amp;$L736*0.85,'Historical Drafts'!$J$4:$J$300,"&lt;="&amp;$L736*1.15),0),$Y736))</f>
        <v>3</v>
      </c>
      <c r="AA736" s="12" t="str">
        <f>IF($A736="","",IF(COUNTIF('Auction Log'!$B$3:$B$300,$A736)&gt;0,"Sold","Available"))</f>
        <v>Available</v>
      </c>
      <c r="AB736" s="12" t="str">
        <f t="array" ref="AB736">IF($A736="","",IFERROR(XLOOKUP($A736,'Auction Log'!$B$3:$B$300,'Auction Log'!$G$3:$G$300,""),""))</f>
        <v/>
      </c>
      <c r="AC736" s="12" t="str">
        <f t="array" ref="AC736">IF($A736="","",IFERROR(XLOOKUP($A736,'Auction Log'!$B$3:$B$300,'Auction Log'!$F$3:$F$300,""),""))</f>
        <v/>
      </c>
      <c r="AD736" s="12">
        <f t="array" ref="AD736">IF($A736="","",ROUND($Y736*XLOOKUP($F736,Settings!$I$15:$I$20,Settings!$K$15:$K$20,0.4),0))</f>
        <v>0</v>
      </c>
      <c r="AE736" s="12">
        <f t="array" ref="AE736">IF($A736="","",ROUND($Y736*XLOOKUP($F736,Settings!$I$15:$I$20,Settings!$L$15:$L$20,0.8),0))</f>
        <v>1</v>
      </c>
      <c r="AF736" s="12">
        <f t="array" ref="AF736">IF($A736="","",ROUND($Y736*XLOOKUP($F736,Settings!$I$15:$I$20,Settings!$M$15:$M$20,1),0))</f>
        <v>1</v>
      </c>
      <c r="AG736" s="12">
        <f t="array" ref="AG736">IF($A736="","",ROUND($Y736*XLOOKUP($F736,Settings!$I$15:$I$20,Settings!$N$15:$N$20,1.1),0))</f>
        <v>1</v>
      </c>
      <c r="AH736" s="12">
        <f t="array" ref="AH736">IF($A736="","",ROUND($Y736*XLOOKUP($F736,Settings!$I$15:$I$20,Settings!$O$15:$O$20,1.1)*Settings!$J$7,0))</f>
        <v>1</v>
      </c>
      <c r="AI736" s="12">
        <f t="array" ref="AI736">IF($A736="","",IF($AA736="Sold","",MIN($AH736,IFERROR(XLOOKUP(Settings!$B$12,Managers!$B$4:$B$15,Managers!$H$4:$H$15),$AH736))))</f>
        <v>1</v>
      </c>
      <c r="AJ736" s="12" t="str">
        <f t="shared" si="3"/>
        <v>Budget Drainer</v>
      </c>
      <c r="AK736" s="12">
        <f t="shared" si="4"/>
        <v>28</v>
      </c>
      <c r="AL736" s="12" t="str">
        <f t="shared" si="5"/>
        <v/>
      </c>
    </row>
    <row r="737" ht="15.75" customHeight="1">
      <c r="A737" s="10" t="s">
        <v>1754</v>
      </c>
      <c r="B737" s="10" t="s">
        <v>1755</v>
      </c>
      <c r="C737" s="10" t="s">
        <v>327</v>
      </c>
      <c r="D737" s="10" t="s">
        <v>576</v>
      </c>
      <c r="E737" s="10" t="s">
        <v>576</v>
      </c>
      <c r="F737" s="10" t="s">
        <v>117</v>
      </c>
      <c r="G737" s="10">
        <v>5.0</v>
      </c>
      <c r="H737" s="10">
        <v>7.0</v>
      </c>
      <c r="I737" s="10" t="s">
        <v>2140</v>
      </c>
      <c r="J737" s="10" t="s">
        <v>2136</v>
      </c>
      <c r="K737" s="10"/>
      <c r="L737" s="10">
        <v>0.0</v>
      </c>
      <c r="M737" s="10">
        <v>0.0</v>
      </c>
      <c r="N737" s="10"/>
      <c r="O737" s="10"/>
      <c r="P737" s="12">
        <f>IF($A737="","",IFERROR((IF($O737="",0,$O737)*Settings!$J$4+IF($L737="",0,$L737)*Settings!$J$5+IF($N737="",0,$N737)*Settings!$J$6)/(IF($O737="",0,Settings!$J$4)+IF($L737="",0,Settings!$J$5)+IF($N737="",0,Settings!$J$6)),0))</f>
        <v>0</v>
      </c>
      <c r="Q737" s="12">
        <f t="array" ref="Q737">IF($A737="","",XLOOKUP($E737,Settings!$A$19:$A$22,Settings!$G$19:$G$22,0))</f>
        <v>0</v>
      </c>
      <c r="R737" s="12">
        <f t="shared" si="1"/>
        <v>0</v>
      </c>
      <c r="S737" s="12">
        <f>IF($A737="","",IF($R737&lt;=0,1,1+$R737/SUMIF($R$4:$R$923,"&gt;0",$R$4:$R$923)*(Settings!$B$5*(Settings!$B$6-Settings!$B$7))))</f>
        <v>1</v>
      </c>
      <c r="T737" s="12">
        <f t="array" ref="T737">IF($A737="","",XLOOKUP($F737,Settings!$I$15:$I$20,Settings!$J$15:$J$20,1))</f>
        <v>0.75</v>
      </c>
      <c r="U737" s="12">
        <f>IF($A737="","",1+(($G737-5)/5)*Settings!$J$8)</f>
        <v>1</v>
      </c>
      <c r="V737" s="12">
        <f>IF($A737="","",1+(($H737-5)/5)*Settings!$J$9)</f>
        <v>1.06</v>
      </c>
      <c r="W737" s="12">
        <f t="array" ref="W737">IF($A737="","",XLOOKUP($J737,Lists!$C$3:$C$7,Lists!$D$3:$D$7,1))</f>
        <v>1</v>
      </c>
      <c r="X737" s="12">
        <f>IF($A737="","",IF($I737="Yes",Settings!$J$10,1))</f>
        <v>1</v>
      </c>
      <c r="Y737" s="12">
        <f t="shared" si="2"/>
        <v>1</v>
      </c>
      <c r="Z737" s="12">
        <f>IF($A737="","",IFERROR(ROUND(AVERAGEIFS('Historical Drafts'!$G$4:$G$300,'Historical Drafts'!$D$4:$D$300,$E737,'Historical Drafts'!$J$4:$J$300,"&gt;="&amp;$L737*0.85,'Historical Drafts'!$J$4:$J$300,"&lt;="&amp;$L737*1.15),0),$Y737))</f>
        <v>1</v>
      </c>
      <c r="AA737" s="12" t="str">
        <f>IF($A737="","",IF(COUNTIF('Auction Log'!$B$3:$B$300,$A737)&gt;0,"Sold","Available"))</f>
        <v>Available</v>
      </c>
      <c r="AB737" s="12" t="str">
        <f t="array" ref="AB737">IF($A737="","",IFERROR(XLOOKUP($A737,'Auction Log'!$B$3:$B$300,'Auction Log'!$G$3:$G$300,""),""))</f>
        <v/>
      </c>
      <c r="AC737" s="12" t="str">
        <f t="array" ref="AC737">IF($A737="","",IFERROR(XLOOKUP($A737,'Auction Log'!$B$3:$B$300,'Auction Log'!$F$3:$F$300,""),""))</f>
        <v/>
      </c>
      <c r="AD737" s="12">
        <f t="array" ref="AD737">IF($A737="","",ROUND($Y737*XLOOKUP($F737,Settings!$I$15:$I$20,Settings!$K$15:$K$20,0.4),0))</f>
        <v>0</v>
      </c>
      <c r="AE737" s="12">
        <f t="array" ref="AE737">IF($A737="","",ROUND($Y737*XLOOKUP($F737,Settings!$I$15:$I$20,Settings!$L$15:$L$20,0.8),0))</f>
        <v>1</v>
      </c>
      <c r="AF737" s="12">
        <f t="array" ref="AF737">IF($A737="","",ROUND($Y737*XLOOKUP($F737,Settings!$I$15:$I$20,Settings!$M$15:$M$20,1),0))</f>
        <v>1</v>
      </c>
      <c r="AG737" s="12">
        <f t="array" ref="AG737">IF($A737="","",ROUND($Y737*XLOOKUP($F737,Settings!$I$15:$I$20,Settings!$N$15:$N$20,1.1),0))</f>
        <v>1</v>
      </c>
      <c r="AH737" s="12">
        <f t="array" ref="AH737">IF($A737="","",ROUND($Y737*XLOOKUP($F737,Settings!$I$15:$I$20,Settings!$O$15:$O$20,1.1)*Settings!$J$7,0))</f>
        <v>1</v>
      </c>
      <c r="AI737" s="12">
        <f t="array" ref="AI737">IF($A737="","",IF($AA737="Sold","",MIN($AH737,IFERROR(XLOOKUP(Settings!$B$12,Managers!$B$4:$B$15,Managers!$H$4:$H$15),$AH737))))</f>
        <v>1</v>
      </c>
      <c r="AJ737" s="12" t="str">
        <f t="shared" si="3"/>
        <v>Recommended</v>
      </c>
      <c r="AK737" s="12">
        <f t="shared" si="4"/>
        <v>26</v>
      </c>
      <c r="AL737" s="12" t="str">
        <f t="shared" si="5"/>
        <v/>
      </c>
    </row>
    <row r="738" ht="15.75" customHeight="1">
      <c r="A738" s="10" t="s">
        <v>1756</v>
      </c>
      <c r="B738" s="10" t="s">
        <v>1757</v>
      </c>
      <c r="C738" s="10" t="s">
        <v>305</v>
      </c>
      <c r="D738" s="10" t="s">
        <v>115</v>
      </c>
      <c r="E738" s="10" t="s">
        <v>115</v>
      </c>
      <c r="F738" s="10" t="s">
        <v>117</v>
      </c>
      <c r="G738" s="10">
        <v>5.0</v>
      </c>
      <c r="H738" s="10">
        <v>7.0</v>
      </c>
      <c r="I738" s="10" t="s">
        <v>2140</v>
      </c>
      <c r="J738" s="10" t="s">
        <v>2136</v>
      </c>
      <c r="K738" s="10"/>
      <c r="L738" s="10">
        <v>0.0</v>
      </c>
      <c r="M738" s="10">
        <v>0.0</v>
      </c>
      <c r="N738" s="10"/>
      <c r="O738" s="10"/>
      <c r="P738" s="12">
        <f>IF($A738="","",IFERROR((IF($O738="",0,$O738)*Settings!$J$4+IF($L738="",0,$L738)*Settings!$J$5+IF($N738="",0,$N738)*Settings!$J$6)/(IF($O738="",0,Settings!$J$4)+IF($L738="",0,Settings!$J$5)+IF($N738="",0,Settings!$J$6)),0))</f>
        <v>0</v>
      </c>
      <c r="Q738" s="12">
        <f t="array" ref="Q738">IF($A738="","",XLOOKUP($E738,Settings!$A$19:$A$22,Settings!$G$19:$G$22,0))</f>
        <v>249.25</v>
      </c>
      <c r="R738" s="12">
        <f t="shared" si="1"/>
        <v>0</v>
      </c>
      <c r="S738" s="12">
        <f>IF($A738="","",IF($R738&lt;=0,1,1+$R738/SUMIF($R$4:$R$923,"&gt;0",$R$4:$R$923)*(Settings!$B$5*(Settings!$B$6-Settings!$B$7))))</f>
        <v>1</v>
      </c>
      <c r="T738" s="12">
        <f t="array" ref="T738">IF($A738="","",XLOOKUP($F738,Settings!$I$15:$I$20,Settings!$J$15:$J$20,1))</f>
        <v>0.75</v>
      </c>
      <c r="U738" s="12">
        <f>IF($A738="","",1+(($G738-5)/5)*Settings!$J$8)</f>
        <v>1</v>
      </c>
      <c r="V738" s="12">
        <f>IF($A738="","",1+(($H738-5)/5)*Settings!$J$9)</f>
        <v>1.06</v>
      </c>
      <c r="W738" s="12">
        <f t="array" ref="W738">IF($A738="","",XLOOKUP($J738,Lists!$C$3:$C$7,Lists!$D$3:$D$7,1))</f>
        <v>1</v>
      </c>
      <c r="X738" s="12">
        <f>IF($A738="","",IF($I738="Yes",Settings!$J$10,1))</f>
        <v>1</v>
      </c>
      <c r="Y738" s="12">
        <f t="shared" si="2"/>
        <v>1</v>
      </c>
      <c r="Z738" s="12">
        <f>IF($A738="","",IFERROR(ROUND(AVERAGEIFS('Historical Drafts'!$G$4:$G$300,'Historical Drafts'!$D$4:$D$300,$E738,'Historical Drafts'!$J$4:$J$300,"&gt;="&amp;$L738*0.85,'Historical Drafts'!$J$4:$J$300,"&lt;="&amp;$L738*1.15),0),$Y738))</f>
        <v>1</v>
      </c>
      <c r="AA738" s="12" t="str">
        <f>IF($A738="","",IF(COUNTIF('Auction Log'!$B$3:$B$300,$A738)&gt;0,"Sold","Available"))</f>
        <v>Available</v>
      </c>
      <c r="AB738" s="12" t="str">
        <f t="array" ref="AB738">IF($A738="","",IFERROR(XLOOKUP($A738,'Auction Log'!$B$3:$B$300,'Auction Log'!$G$3:$G$300,""),""))</f>
        <v/>
      </c>
      <c r="AC738" s="12" t="str">
        <f t="array" ref="AC738">IF($A738="","",IFERROR(XLOOKUP($A738,'Auction Log'!$B$3:$B$300,'Auction Log'!$F$3:$F$300,""),""))</f>
        <v/>
      </c>
      <c r="AD738" s="12">
        <f t="array" ref="AD738">IF($A738="","",ROUND($Y738*XLOOKUP($F738,Settings!$I$15:$I$20,Settings!$K$15:$K$20,0.4),0))</f>
        <v>0</v>
      </c>
      <c r="AE738" s="12">
        <f t="array" ref="AE738">IF($A738="","",ROUND($Y738*XLOOKUP($F738,Settings!$I$15:$I$20,Settings!$L$15:$L$20,0.8),0))</f>
        <v>1</v>
      </c>
      <c r="AF738" s="12">
        <f t="array" ref="AF738">IF($A738="","",ROUND($Y738*XLOOKUP($F738,Settings!$I$15:$I$20,Settings!$M$15:$M$20,1),0))</f>
        <v>1</v>
      </c>
      <c r="AG738" s="12">
        <f t="array" ref="AG738">IF($A738="","",ROUND($Y738*XLOOKUP($F738,Settings!$I$15:$I$20,Settings!$N$15:$N$20,1.1),0))</f>
        <v>1</v>
      </c>
      <c r="AH738" s="12">
        <f t="array" ref="AH738">IF($A738="","",ROUND($Y738*XLOOKUP($F738,Settings!$I$15:$I$20,Settings!$O$15:$O$20,1.1)*Settings!$J$7,0))</f>
        <v>1</v>
      </c>
      <c r="AI738" s="12">
        <f t="array" ref="AI738">IF($A738="","",IF($AA738="Sold","",MIN($AH738,IFERROR(XLOOKUP(Settings!$B$12,Managers!$B$4:$B$15,Managers!$H$4:$H$15),$AH738))))</f>
        <v>1</v>
      </c>
      <c r="AJ738" s="12" t="str">
        <f t="shared" si="3"/>
        <v>Recommended</v>
      </c>
      <c r="AK738" s="12">
        <f t="shared" si="4"/>
        <v>26</v>
      </c>
      <c r="AL738" s="12" t="str">
        <f t="shared" si="5"/>
        <v/>
      </c>
    </row>
    <row r="739" ht="15.75" customHeight="1">
      <c r="A739" s="10" t="s">
        <v>1758</v>
      </c>
      <c r="B739" s="10" t="s">
        <v>1759</v>
      </c>
      <c r="C739" s="10" t="s">
        <v>185</v>
      </c>
      <c r="D739" s="10" t="s">
        <v>115</v>
      </c>
      <c r="E739" s="10" t="s">
        <v>115</v>
      </c>
      <c r="F739" s="10" t="s">
        <v>117</v>
      </c>
      <c r="G739" s="10">
        <v>5.0</v>
      </c>
      <c r="H739" s="10">
        <v>7.0</v>
      </c>
      <c r="I739" s="10" t="s">
        <v>2140</v>
      </c>
      <c r="J739" s="10" t="s">
        <v>2136</v>
      </c>
      <c r="K739" s="10"/>
      <c r="L739" s="10">
        <v>0.0</v>
      </c>
      <c r="M739" s="10">
        <v>0.0</v>
      </c>
      <c r="N739" s="10"/>
      <c r="O739" s="10"/>
      <c r="P739" s="12">
        <f>IF($A739="","",IFERROR((IF($O739="",0,$O739)*Settings!$J$4+IF($L739="",0,$L739)*Settings!$J$5+IF($N739="",0,$N739)*Settings!$J$6)/(IF($O739="",0,Settings!$J$4)+IF($L739="",0,Settings!$J$5)+IF($N739="",0,Settings!$J$6)),0))</f>
        <v>0</v>
      </c>
      <c r="Q739" s="12">
        <f t="array" ref="Q739">IF($A739="","",XLOOKUP($E739,Settings!$A$19:$A$22,Settings!$G$19:$G$22,0))</f>
        <v>249.25</v>
      </c>
      <c r="R739" s="12">
        <f t="shared" si="1"/>
        <v>0</v>
      </c>
      <c r="S739" s="12">
        <f>IF($A739="","",IF($R739&lt;=0,1,1+$R739/SUMIF($R$4:$R$923,"&gt;0",$R$4:$R$923)*(Settings!$B$5*(Settings!$B$6-Settings!$B$7))))</f>
        <v>1</v>
      </c>
      <c r="T739" s="12">
        <f t="array" ref="T739">IF($A739="","",XLOOKUP($F739,Settings!$I$15:$I$20,Settings!$J$15:$J$20,1))</f>
        <v>0.75</v>
      </c>
      <c r="U739" s="12">
        <f>IF($A739="","",1+(($G739-5)/5)*Settings!$J$8)</f>
        <v>1</v>
      </c>
      <c r="V739" s="12">
        <f>IF($A739="","",1+(($H739-5)/5)*Settings!$J$9)</f>
        <v>1.06</v>
      </c>
      <c r="W739" s="12">
        <f t="array" ref="W739">IF($A739="","",XLOOKUP($J739,Lists!$C$3:$C$7,Lists!$D$3:$D$7,1))</f>
        <v>1</v>
      </c>
      <c r="X739" s="12">
        <f>IF($A739="","",IF($I739="Yes",Settings!$J$10,1))</f>
        <v>1</v>
      </c>
      <c r="Y739" s="12">
        <f t="shared" si="2"/>
        <v>1</v>
      </c>
      <c r="Z739" s="12">
        <f>IF($A739="","",IFERROR(ROUND(AVERAGEIFS('Historical Drafts'!$G$4:$G$300,'Historical Drafts'!$D$4:$D$300,$E739,'Historical Drafts'!$J$4:$J$300,"&gt;="&amp;$L739*0.85,'Historical Drafts'!$J$4:$J$300,"&lt;="&amp;$L739*1.15),0),$Y739))</f>
        <v>1</v>
      </c>
      <c r="AA739" s="12" t="str">
        <f>IF($A739="","",IF(COUNTIF('Auction Log'!$B$3:$B$300,$A739)&gt;0,"Sold","Available"))</f>
        <v>Available</v>
      </c>
      <c r="AB739" s="12" t="str">
        <f t="array" ref="AB739">IF($A739="","",IFERROR(XLOOKUP($A739,'Auction Log'!$B$3:$B$300,'Auction Log'!$G$3:$G$300,""),""))</f>
        <v/>
      </c>
      <c r="AC739" s="12" t="str">
        <f t="array" ref="AC739">IF($A739="","",IFERROR(XLOOKUP($A739,'Auction Log'!$B$3:$B$300,'Auction Log'!$F$3:$F$300,""),""))</f>
        <v/>
      </c>
      <c r="AD739" s="12">
        <f t="array" ref="AD739">IF($A739="","",ROUND($Y739*XLOOKUP($F739,Settings!$I$15:$I$20,Settings!$K$15:$K$20,0.4),0))</f>
        <v>0</v>
      </c>
      <c r="AE739" s="12">
        <f t="array" ref="AE739">IF($A739="","",ROUND($Y739*XLOOKUP($F739,Settings!$I$15:$I$20,Settings!$L$15:$L$20,0.8),0))</f>
        <v>1</v>
      </c>
      <c r="AF739" s="12">
        <f t="array" ref="AF739">IF($A739="","",ROUND($Y739*XLOOKUP($F739,Settings!$I$15:$I$20,Settings!$M$15:$M$20,1),0))</f>
        <v>1</v>
      </c>
      <c r="AG739" s="12">
        <f t="array" ref="AG739">IF($A739="","",ROUND($Y739*XLOOKUP($F739,Settings!$I$15:$I$20,Settings!$N$15:$N$20,1.1),0))</f>
        <v>1</v>
      </c>
      <c r="AH739" s="12">
        <f t="array" ref="AH739">IF($A739="","",ROUND($Y739*XLOOKUP($F739,Settings!$I$15:$I$20,Settings!$O$15:$O$20,1.1)*Settings!$J$7,0))</f>
        <v>1</v>
      </c>
      <c r="AI739" s="12">
        <f t="array" ref="AI739">IF($A739="","",IF($AA739="Sold","",MIN($AH739,IFERROR(XLOOKUP(Settings!$B$12,Managers!$B$4:$B$15,Managers!$H$4:$H$15),$AH739))))</f>
        <v>1</v>
      </c>
      <c r="AJ739" s="12" t="str">
        <f t="shared" si="3"/>
        <v>Recommended</v>
      </c>
      <c r="AK739" s="12">
        <f t="shared" si="4"/>
        <v>26</v>
      </c>
      <c r="AL739" s="12" t="str">
        <f t="shared" si="5"/>
        <v/>
      </c>
    </row>
    <row r="740" ht="15.75" customHeight="1">
      <c r="A740" s="10" t="s">
        <v>1760</v>
      </c>
      <c r="B740" s="10" t="s">
        <v>1761</v>
      </c>
      <c r="C740" s="10" t="s">
        <v>327</v>
      </c>
      <c r="D740" s="10" t="s">
        <v>118</v>
      </c>
      <c r="E740" s="10" t="s">
        <v>118</v>
      </c>
      <c r="F740" s="10" t="s">
        <v>117</v>
      </c>
      <c r="G740" s="10">
        <v>5.0</v>
      </c>
      <c r="H740" s="10">
        <v>7.0</v>
      </c>
      <c r="I740" s="10" t="s">
        <v>2140</v>
      </c>
      <c r="J740" s="10" t="s">
        <v>2136</v>
      </c>
      <c r="K740" s="10"/>
      <c r="L740" s="10">
        <v>0.0</v>
      </c>
      <c r="M740" s="10">
        <v>0.0</v>
      </c>
      <c r="N740" s="10"/>
      <c r="O740" s="10"/>
      <c r="P740" s="12">
        <f>IF($A740="","",IFERROR((IF($O740="",0,$O740)*Settings!$J$4+IF($L740="",0,$L740)*Settings!$J$5+IF($N740="",0,$N740)*Settings!$J$6)/(IF($O740="",0,Settings!$J$4)+IF($L740="",0,Settings!$J$5)+IF($N740="",0,Settings!$J$6)),0))</f>
        <v>0</v>
      </c>
      <c r="Q740" s="12">
        <f t="array" ref="Q740">IF($A740="","",XLOOKUP($E740,Settings!$A$19:$A$22,Settings!$G$19:$G$22,0))</f>
        <v>196.25</v>
      </c>
      <c r="R740" s="12">
        <f t="shared" si="1"/>
        <v>0</v>
      </c>
      <c r="S740" s="12">
        <f>IF($A740="","",IF($R740&lt;=0,1,1+$R740/SUMIF($R$4:$R$923,"&gt;0",$R$4:$R$923)*(Settings!$B$5*(Settings!$B$6-Settings!$B$7))))</f>
        <v>1</v>
      </c>
      <c r="T740" s="12">
        <f t="array" ref="T740">IF($A740="","",XLOOKUP($F740,Settings!$I$15:$I$20,Settings!$J$15:$J$20,1))</f>
        <v>0.75</v>
      </c>
      <c r="U740" s="12">
        <f>IF($A740="","",1+(($G740-5)/5)*Settings!$J$8)</f>
        <v>1</v>
      </c>
      <c r="V740" s="12">
        <f>IF($A740="","",1+(($H740-5)/5)*Settings!$J$9)</f>
        <v>1.06</v>
      </c>
      <c r="W740" s="12">
        <f t="array" ref="W740">IF($A740="","",XLOOKUP($J740,Lists!$C$3:$C$7,Lists!$D$3:$D$7,1))</f>
        <v>1</v>
      </c>
      <c r="X740" s="12">
        <f>IF($A740="","",IF($I740="Yes",Settings!$J$10,1))</f>
        <v>1</v>
      </c>
      <c r="Y740" s="12">
        <f t="shared" si="2"/>
        <v>1</v>
      </c>
      <c r="Z740" s="12">
        <f>IF($A740="","",IFERROR(ROUND(AVERAGEIFS('Historical Drafts'!$G$4:$G$300,'Historical Drafts'!$D$4:$D$300,$E740,'Historical Drafts'!$J$4:$J$300,"&gt;="&amp;$L740*0.85,'Historical Drafts'!$J$4:$J$300,"&lt;="&amp;$L740*1.15),0),$Y740))</f>
        <v>1</v>
      </c>
      <c r="AA740" s="12" t="str">
        <f>IF($A740="","",IF(COUNTIF('Auction Log'!$B$3:$B$300,$A740)&gt;0,"Sold","Available"))</f>
        <v>Available</v>
      </c>
      <c r="AB740" s="12" t="str">
        <f t="array" ref="AB740">IF($A740="","",IFERROR(XLOOKUP($A740,'Auction Log'!$B$3:$B$300,'Auction Log'!$G$3:$G$300,""),""))</f>
        <v/>
      </c>
      <c r="AC740" s="12" t="str">
        <f t="array" ref="AC740">IF($A740="","",IFERROR(XLOOKUP($A740,'Auction Log'!$B$3:$B$300,'Auction Log'!$F$3:$F$300,""),""))</f>
        <v/>
      </c>
      <c r="AD740" s="12">
        <f t="array" ref="AD740">IF($A740="","",ROUND($Y740*XLOOKUP($F740,Settings!$I$15:$I$20,Settings!$K$15:$K$20,0.4),0))</f>
        <v>0</v>
      </c>
      <c r="AE740" s="12">
        <f t="array" ref="AE740">IF($A740="","",ROUND($Y740*XLOOKUP($F740,Settings!$I$15:$I$20,Settings!$L$15:$L$20,0.8),0))</f>
        <v>1</v>
      </c>
      <c r="AF740" s="12">
        <f t="array" ref="AF740">IF($A740="","",ROUND($Y740*XLOOKUP($F740,Settings!$I$15:$I$20,Settings!$M$15:$M$20,1),0))</f>
        <v>1</v>
      </c>
      <c r="AG740" s="12">
        <f t="array" ref="AG740">IF($A740="","",ROUND($Y740*XLOOKUP($F740,Settings!$I$15:$I$20,Settings!$N$15:$N$20,1.1),0))</f>
        <v>1</v>
      </c>
      <c r="AH740" s="12">
        <f t="array" ref="AH740">IF($A740="","",ROUND($Y740*XLOOKUP($F740,Settings!$I$15:$I$20,Settings!$O$15:$O$20,1.1)*Settings!$J$7,0))</f>
        <v>1</v>
      </c>
      <c r="AI740" s="12">
        <f t="array" ref="AI740">IF($A740="","",IF($AA740="Sold","",MIN($AH740,IFERROR(XLOOKUP(Settings!$B$12,Managers!$B$4:$B$15,Managers!$H$4:$H$15),$AH740))))</f>
        <v>1</v>
      </c>
      <c r="AJ740" s="12" t="str">
        <f t="shared" si="3"/>
        <v>Recommended</v>
      </c>
      <c r="AK740" s="12">
        <f t="shared" si="4"/>
        <v>26</v>
      </c>
      <c r="AL740" s="12" t="str">
        <f t="shared" si="5"/>
        <v/>
      </c>
    </row>
    <row r="741" ht="15.75" customHeight="1">
      <c r="A741" s="10" t="s">
        <v>1762</v>
      </c>
      <c r="B741" s="10" t="s">
        <v>1763</v>
      </c>
      <c r="C741" s="10" t="s">
        <v>285</v>
      </c>
      <c r="D741" s="10" t="s">
        <v>118</v>
      </c>
      <c r="E741" s="10" t="s">
        <v>118</v>
      </c>
      <c r="F741" s="10" t="s">
        <v>117</v>
      </c>
      <c r="G741" s="10">
        <v>5.0</v>
      </c>
      <c r="H741" s="10">
        <v>7.0</v>
      </c>
      <c r="I741" s="10" t="s">
        <v>2140</v>
      </c>
      <c r="J741" s="10" t="s">
        <v>2136</v>
      </c>
      <c r="K741" s="10"/>
      <c r="L741" s="10">
        <v>0.0</v>
      </c>
      <c r="M741" s="10">
        <v>0.0</v>
      </c>
      <c r="N741" s="10"/>
      <c r="O741" s="10"/>
      <c r="P741" s="12">
        <f>IF($A741="","",IFERROR((IF($O741="",0,$O741)*Settings!$J$4+IF($L741="",0,$L741)*Settings!$J$5+IF($N741="",0,$N741)*Settings!$J$6)/(IF($O741="",0,Settings!$J$4)+IF($L741="",0,Settings!$J$5)+IF($N741="",0,Settings!$J$6)),0))</f>
        <v>0</v>
      </c>
      <c r="Q741" s="12">
        <f t="array" ref="Q741">IF($A741="","",XLOOKUP($E741,Settings!$A$19:$A$22,Settings!$G$19:$G$22,0))</f>
        <v>196.25</v>
      </c>
      <c r="R741" s="12">
        <f t="shared" si="1"/>
        <v>0</v>
      </c>
      <c r="S741" s="12">
        <f>IF($A741="","",IF($R741&lt;=0,1,1+$R741/SUMIF($R$4:$R$923,"&gt;0",$R$4:$R$923)*(Settings!$B$5*(Settings!$B$6-Settings!$B$7))))</f>
        <v>1</v>
      </c>
      <c r="T741" s="12">
        <f t="array" ref="T741">IF($A741="","",XLOOKUP($F741,Settings!$I$15:$I$20,Settings!$J$15:$J$20,1))</f>
        <v>0.75</v>
      </c>
      <c r="U741" s="12">
        <f>IF($A741="","",1+(($G741-5)/5)*Settings!$J$8)</f>
        <v>1</v>
      </c>
      <c r="V741" s="12">
        <f>IF($A741="","",1+(($H741-5)/5)*Settings!$J$9)</f>
        <v>1.06</v>
      </c>
      <c r="W741" s="12">
        <f t="array" ref="W741">IF($A741="","",XLOOKUP($J741,Lists!$C$3:$C$7,Lists!$D$3:$D$7,1))</f>
        <v>1</v>
      </c>
      <c r="X741" s="12">
        <f>IF($A741="","",IF($I741="Yes",Settings!$J$10,1))</f>
        <v>1</v>
      </c>
      <c r="Y741" s="12">
        <f t="shared" si="2"/>
        <v>1</v>
      </c>
      <c r="Z741" s="12">
        <f>IF($A741="","",IFERROR(ROUND(AVERAGEIFS('Historical Drafts'!$G$4:$G$300,'Historical Drafts'!$D$4:$D$300,$E741,'Historical Drafts'!$J$4:$J$300,"&gt;="&amp;$L741*0.85,'Historical Drafts'!$J$4:$J$300,"&lt;="&amp;$L741*1.15),0),$Y741))</f>
        <v>1</v>
      </c>
      <c r="AA741" s="12" t="str">
        <f>IF($A741="","",IF(COUNTIF('Auction Log'!$B$3:$B$300,$A741)&gt;0,"Sold","Available"))</f>
        <v>Available</v>
      </c>
      <c r="AB741" s="12" t="str">
        <f t="array" ref="AB741">IF($A741="","",IFERROR(XLOOKUP($A741,'Auction Log'!$B$3:$B$300,'Auction Log'!$G$3:$G$300,""),""))</f>
        <v/>
      </c>
      <c r="AC741" s="12" t="str">
        <f t="array" ref="AC741">IF($A741="","",IFERROR(XLOOKUP($A741,'Auction Log'!$B$3:$B$300,'Auction Log'!$F$3:$F$300,""),""))</f>
        <v/>
      </c>
      <c r="AD741" s="12">
        <f t="array" ref="AD741">IF($A741="","",ROUND($Y741*XLOOKUP($F741,Settings!$I$15:$I$20,Settings!$K$15:$K$20,0.4),0))</f>
        <v>0</v>
      </c>
      <c r="AE741" s="12">
        <f t="array" ref="AE741">IF($A741="","",ROUND($Y741*XLOOKUP($F741,Settings!$I$15:$I$20,Settings!$L$15:$L$20,0.8),0))</f>
        <v>1</v>
      </c>
      <c r="AF741" s="12">
        <f t="array" ref="AF741">IF($A741="","",ROUND($Y741*XLOOKUP($F741,Settings!$I$15:$I$20,Settings!$M$15:$M$20,1),0))</f>
        <v>1</v>
      </c>
      <c r="AG741" s="12">
        <f t="array" ref="AG741">IF($A741="","",ROUND($Y741*XLOOKUP($F741,Settings!$I$15:$I$20,Settings!$N$15:$N$20,1.1),0))</f>
        <v>1</v>
      </c>
      <c r="AH741" s="12">
        <f t="array" ref="AH741">IF($A741="","",ROUND($Y741*XLOOKUP($F741,Settings!$I$15:$I$20,Settings!$O$15:$O$20,1.1)*Settings!$J$7,0))</f>
        <v>1</v>
      </c>
      <c r="AI741" s="12">
        <f t="array" ref="AI741">IF($A741="","",IF($AA741="Sold","",MIN($AH741,IFERROR(XLOOKUP(Settings!$B$12,Managers!$B$4:$B$15,Managers!$H$4:$H$15),$AH741))))</f>
        <v>1</v>
      </c>
      <c r="AJ741" s="12" t="str">
        <f t="shared" si="3"/>
        <v>Recommended</v>
      </c>
      <c r="AK741" s="12">
        <f t="shared" si="4"/>
        <v>26</v>
      </c>
      <c r="AL741" s="12" t="str">
        <f t="shared" si="5"/>
        <v/>
      </c>
    </row>
    <row r="742" ht="15.75" customHeight="1">
      <c r="A742" s="10" t="s">
        <v>1764</v>
      </c>
      <c r="B742" s="10" t="s">
        <v>1765</v>
      </c>
      <c r="C742" s="10" t="s">
        <v>188</v>
      </c>
      <c r="D742" s="10" t="s">
        <v>115</v>
      </c>
      <c r="E742" s="10" t="s">
        <v>115</v>
      </c>
      <c r="F742" s="10" t="s">
        <v>117</v>
      </c>
      <c r="G742" s="10">
        <v>5.0</v>
      </c>
      <c r="H742" s="10">
        <v>7.0</v>
      </c>
      <c r="I742" s="10" t="s">
        <v>2140</v>
      </c>
      <c r="J742" s="10" t="s">
        <v>2136</v>
      </c>
      <c r="K742" s="10"/>
      <c r="L742" s="10">
        <v>0.0</v>
      </c>
      <c r="M742" s="10">
        <v>0.0</v>
      </c>
      <c r="N742" s="10"/>
      <c r="O742" s="10"/>
      <c r="P742" s="12">
        <f>IF($A742="","",IFERROR((IF($O742="",0,$O742)*Settings!$J$4+IF($L742="",0,$L742)*Settings!$J$5+IF($N742="",0,$N742)*Settings!$J$6)/(IF($O742="",0,Settings!$J$4)+IF($L742="",0,Settings!$J$5)+IF($N742="",0,Settings!$J$6)),0))</f>
        <v>0</v>
      </c>
      <c r="Q742" s="12">
        <f t="array" ref="Q742">IF($A742="","",XLOOKUP($E742,Settings!$A$19:$A$22,Settings!$G$19:$G$22,0))</f>
        <v>249.25</v>
      </c>
      <c r="R742" s="12">
        <f t="shared" si="1"/>
        <v>0</v>
      </c>
      <c r="S742" s="12">
        <f>IF($A742="","",IF($R742&lt;=0,1,1+$R742/SUMIF($R$4:$R$923,"&gt;0",$R$4:$R$923)*(Settings!$B$5*(Settings!$B$6-Settings!$B$7))))</f>
        <v>1</v>
      </c>
      <c r="T742" s="12">
        <f t="array" ref="T742">IF($A742="","",XLOOKUP($F742,Settings!$I$15:$I$20,Settings!$J$15:$J$20,1))</f>
        <v>0.75</v>
      </c>
      <c r="U742" s="12">
        <f>IF($A742="","",1+(($G742-5)/5)*Settings!$J$8)</f>
        <v>1</v>
      </c>
      <c r="V742" s="12">
        <f>IF($A742="","",1+(($H742-5)/5)*Settings!$J$9)</f>
        <v>1.06</v>
      </c>
      <c r="W742" s="12">
        <f t="array" ref="W742">IF($A742="","",XLOOKUP($J742,Lists!$C$3:$C$7,Lists!$D$3:$D$7,1))</f>
        <v>1</v>
      </c>
      <c r="X742" s="12">
        <f>IF($A742="","",IF($I742="Yes",Settings!$J$10,1))</f>
        <v>1</v>
      </c>
      <c r="Y742" s="12">
        <f t="shared" si="2"/>
        <v>1</v>
      </c>
      <c r="Z742" s="12">
        <f>IF($A742="","",IFERROR(ROUND(AVERAGEIFS('Historical Drafts'!$G$4:$G$300,'Historical Drafts'!$D$4:$D$300,$E742,'Historical Drafts'!$J$4:$J$300,"&gt;="&amp;$L742*0.85,'Historical Drafts'!$J$4:$J$300,"&lt;="&amp;$L742*1.15),0),$Y742))</f>
        <v>1</v>
      </c>
      <c r="AA742" s="12" t="str">
        <f>IF($A742="","",IF(COUNTIF('Auction Log'!$B$3:$B$300,$A742)&gt;0,"Sold","Available"))</f>
        <v>Available</v>
      </c>
      <c r="AB742" s="12" t="str">
        <f t="array" ref="AB742">IF($A742="","",IFERROR(XLOOKUP($A742,'Auction Log'!$B$3:$B$300,'Auction Log'!$G$3:$G$300,""),""))</f>
        <v/>
      </c>
      <c r="AC742" s="12" t="str">
        <f t="array" ref="AC742">IF($A742="","",IFERROR(XLOOKUP($A742,'Auction Log'!$B$3:$B$300,'Auction Log'!$F$3:$F$300,""),""))</f>
        <v/>
      </c>
      <c r="AD742" s="12">
        <f t="array" ref="AD742">IF($A742="","",ROUND($Y742*XLOOKUP($F742,Settings!$I$15:$I$20,Settings!$K$15:$K$20,0.4),0))</f>
        <v>0</v>
      </c>
      <c r="AE742" s="12">
        <f t="array" ref="AE742">IF($A742="","",ROUND($Y742*XLOOKUP($F742,Settings!$I$15:$I$20,Settings!$L$15:$L$20,0.8),0))</f>
        <v>1</v>
      </c>
      <c r="AF742" s="12">
        <f t="array" ref="AF742">IF($A742="","",ROUND($Y742*XLOOKUP($F742,Settings!$I$15:$I$20,Settings!$M$15:$M$20,1),0))</f>
        <v>1</v>
      </c>
      <c r="AG742" s="12">
        <f t="array" ref="AG742">IF($A742="","",ROUND($Y742*XLOOKUP($F742,Settings!$I$15:$I$20,Settings!$N$15:$N$20,1.1),0))</f>
        <v>1</v>
      </c>
      <c r="AH742" s="12">
        <f t="array" ref="AH742">IF($A742="","",ROUND($Y742*XLOOKUP($F742,Settings!$I$15:$I$20,Settings!$O$15:$O$20,1.1)*Settings!$J$7,0))</f>
        <v>1</v>
      </c>
      <c r="AI742" s="12">
        <f t="array" ref="AI742">IF($A742="","",IF($AA742="Sold","",MIN($AH742,IFERROR(XLOOKUP(Settings!$B$12,Managers!$B$4:$B$15,Managers!$H$4:$H$15),$AH742))))</f>
        <v>1</v>
      </c>
      <c r="AJ742" s="12" t="str">
        <f t="shared" si="3"/>
        <v>Recommended</v>
      </c>
      <c r="AK742" s="12">
        <f t="shared" si="4"/>
        <v>26</v>
      </c>
      <c r="AL742" s="12" t="str">
        <f t="shared" si="5"/>
        <v/>
      </c>
    </row>
    <row r="743" ht="15.75" customHeight="1">
      <c r="A743" s="10" t="s">
        <v>1766</v>
      </c>
      <c r="B743" s="10" t="s">
        <v>1767</v>
      </c>
      <c r="C743" s="10" t="s">
        <v>453</v>
      </c>
      <c r="D743" s="10" t="s">
        <v>115</v>
      </c>
      <c r="E743" s="10" t="s">
        <v>115</v>
      </c>
      <c r="F743" s="10" t="s">
        <v>117</v>
      </c>
      <c r="G743" s="10">
        <v>5.0</v>
      </c>
      <c r="H743" s="10">
        <v>7.0</v>
      </c>
      <c r="I743" s="10" t="s">
        <v>2140</v>
      </c>
      <c r="J743" s="10" t="s">
        <v>2136</v>
      </c>
      <c r="K743" s="10"/>
      <c r="L743" s="10">
        <v>0.0</v>
      </c>
      <c r="M743" s="10">
        <v>0.0</v>
      </c>
      <c r="N743" s="10"/>
      <c r="O743" s="10"/>
      <c r="P743" s="12">
        <f>IF($A743="","",IFERROR((IF($O743="",0,$O743)*Settings!$J$4+IF($L743="",0,$L743)*Settings!$J$5+IF($N743="",0,$N743)*Settings!$J$6)/(IF($O743="",0,Settings!$J$4)+IF($L743="",0,Settings!$J$5)+IF($N743="",0,Settings!$J$6)),0))</f>
        <v>0</v>
      </c>
      <c r="Q743" s="12">
        <f t="array" ref="Q743">IF($A743="","",XLOOKUP($E743,Settings!$A$19:$A$22,Settings!$G$19:$G$22,0))</f>
        <v>249.25</v>
      </c>
      <c r="R743" s="12">
        <f t="shared" si="1"/>
        <v>0</v>
      </c>
      <c r="S743" s="12">
        <f>IF($A743="","",IF($R743&lt;=0,1,1+$R743/SUMIF($R$4:$R$923,"&gt;0",$R$4:$R$923)*(Settings!$B$5*(Settings!$B$6-Settings!$B$7))))</f>
        <v>1</v>
      </c>
      <c r="T743" s="12">
        <f t="array" ref="T743">IF($A743="","",XLOOKUP($F743,Settings!$I$15:$I$20,Settings!$J$15:$J$20,1))</f>
        <v>0.75</v>
      </c>
      <c r="U743" s="12">
        <f>IF($A743="","",1+(($G743-5)/5)*Settings!$J$8)</f>
        <v>1</v>
      </c>
      <c r="V743" s="12">
        <f>IF($A743="","",1+(($H743-5)/5)*Settings!$J$9)</f>
        <v>1.06</v>
      </c>
      <c r="W743" s="12">
        <f t="array" ref="W743">IF($A743="","",XLOOKUP($J743,Lists!$C$3:$C$7,Lists!$D$3:$D$7,1))</f>
        <v>1</v>
      </c>
      <c r="X743" s="12">
        <f>IF($A743="","",IF($I743="Yes",Settings!$J$10,1))</f>
        <v>1</v>
      </c>
      <c r="Y743" s="12">
        <f t="shared" si="2"/>
        <v>1</v>
      </c>
      <c r="Z743" s="12">
        <f>IF($A743="","",IFERROR(ROUND(AVERAGEIFS('Historical Drafts'!$G$4:$G$300,'Historical Drafts'!$D$4:$D$300,$E743,'Historical Drafts'!$J$4:$J$300,"&gt;="&amp;$L743*0.85,'Historical Drafts'!$J$4:$J$300,"&lt;="&amp;$L743*1.15),0),$Y743))</f>
        <v>1</v>
      </c>
      <c r="AA743" s="12" t="str">
        <f>IF($A743="","",IF(COUNTIF('Auction Log'!$B$3:$B$300,$A743)&gt;0,"Sold","Available"))</f>
        <v>Available</v>
      </c>
      <c r="AB743" s="12" t="str">
        <f t="array" ref="AB743">IF($A743="","",IFERROR(XLOOKUP($A743,'Auction Log'!$B$3:$B$300,'Auction Log'!$G$3:$G$300,""),""))</f>
        <v/>
      </c>
      <c r="AC743" s="12" t="str">
        <f t="array" ref="AC743">IF($A743="","",IFERROR(XLOOKUP($A743,'Auction Log'!$B$3:$B$300,'Auction Log'!$F$3:$F$300,""),""))</f>
        <v/>
      </c>
      <c r="AD743" s="12">
        <f t="array" ref="AD743">IF($A743="","",ROUND($Y743*XLOOKUP($F743,Settings!$I$15:$I$20,Settings!$K$15:$K$20,0.4),0))</f>
        <v>0</v>
      </c>
      <c r="AE743" s="12">
        <f t="array" ref="AE743">IF($A743="","",ROUND($Y743*XLOOKUP($F743,Settings!$I$15:$I$20,Settings!$L$15:$L$20,0.8),0))</f>
        <v>1</v>
      </c>
      <c r="AF743" s="12">
        <f t="array" ref="AF743">IF($A743="","",ROUND($Y743*XLOOKUP($F743,Settings!$I$15:$I$20,Settings!$M$15:$M$20,1),0))</f>
        <v>1</v>
      </c>
      <c r="AG743" s="12">
        <f t="array" ref="AG743">IF($A743="","",ROUND($Y743*XLOOKUP($F743,Settings!$I$15:$I$20,Settings!$N$15:$N$20,1.1),0))</f>
        <v>1</v>
      </c>
      <c r="AH743" s="12">
        <f t="array" ref="AH743">IF($A743="","",ROUND($Y743*XLOOKUP($F743,Settings!$I$15:$I$20,Settings!$O$15:$O$20,1.1)*Settings!$J$7,0))</f>
        <v>1</v>
      </c>
      <c r="AI743" s="12">
        <f t="array" ref="AI743">IF($A743="","",IF($AA743="Sold","",MIN($AH743,IFERROR(XLOOKUP(Settings!$B$12,Managers!$B$4:$B$15,Managers!$H$4:$H$15),$AH743))))</f>
        <v>1</v>
      </c>
      <c r="AJ743" s="12" t="str">
        <f t="shared" si="3"/>
        <v>Recommended</v>
      </c>
      <c r="AK743" s="12">
        <f t="shared" si="4"/>
        <v>26</v>
      </c>
      <c r="AL743" s="12" t="str">
        <f t="shared" si="5"/>
        <v/>
      </c>
    </row>
    <row r="744" ht="15.75" customHeight="1">
      <c r="A744" s="10" t="s">
        <v>1768</v>
      </c>
      <c r="B744" s="10" t="s">
        <v>1769</v>
      </c>
      <c r="C744" s="10" t="s">
        <v>180</v>
      </c>
      <c r="D744" s="10" t="s">
        <v>118</v>
      </c>
      <c r="E744" s="10" t="s">
        <v>118</v>
      </c>
      <c r="F744" s="10" t="s">
        <v>117</v>
      </c>
      <c r="G744" s="10">
        <v>5.0</v>
      </c>
      <c r="H744" s="10">
        <v>7.0</v>
      </c>
      <c r="I744" s="10" t="s">
        <v>2140</v>
      </c>
      <c r="J744" s="10" t="s">
        <v>2136</v>
      </c>
      <c r="K744" s="10"/>
      <c r="L744" s="10">
        <v>0.0</v>
      </c>
      <c r="M744" s="10">
        <v>0.0</v>
      </c>
      <c r="N744" s="10"/>
      <c r="O744" s="10"/>
      <c r="P744" s="12">
        <f>IF($A744="","",IFERROR((IF($O744="",0,$O744)*Settings!$J$4+IF($L744="",0,$L744)*Settings!$J$5+IF($N744="",0,$N744)*Settings!$J$6)/(IF($O744="",0,Settings!$J$4)+IF($L744="",0,Settings!$J$5)+IF($N744="",0,Settings!$J$6)),0))</f>
        <v>0</v>
      </c>
      <c r="Q744" s="12">
        <f t="array" ref="Q744">IF($A744="","",XLOOKUP($E744,Settings!$A$19:$A$22,Settings!$G$19:$G$22,0))</f>
        <v>196.25</v>
      </c>
      <c r="R744" s="12">
        <f t="shared" si="1"/>
        <v>0</v>
      </c>
      <c r="S744" s="12">
        <f>IF($A744="","",IF($R744&lt;=0,1,1+$R744/SUMIF($R$4:$R$923,"&gt;0",$R$4:$R$923)*(Settings!$B$5*(Settings!$B$6-Settings!$B$7))))</f>
        <v>1</v>
      </c>
      <c r="T744" s="12">
        <f t="array" ref="T744">IF($A744="","",XLOOKUP($F744,Settings!$I$15:$I$20,Settings!$J$15:$J$20,1))</f>
        <v>0.75</v>
      </c>
      <c r="U744" s="12">
        <f>IF($A744="","",1+(($G744-5)/5)*Settings!$J$8)</f>
        <v>1</v>
      </c>
      <c r="V744" s="12">
        <f>IF($A744="","",1+(($H744-5)/5)*Settings!$J$9)</f>
        <v>1.06</v>
      </c>
      <c r="W744" s="12">
        <f t="array" ref="W744">IF($A744="","",XLOOKUP($J744,Lists!$C$3:$C$7,Lists!$D$3:$D$7,1))</f>
        <v>1</v>
      </c>
      <c r="X744" s="12">
        <f>IF($A744="","",IF($I744="Yes",Settings!$J$10,1))</f>
        <v>1</v>
      </c>
      <c r="Y744" s="12">
        <f t="shared" si="2"/>
        <v>1</v>
      </c>
      <c r="Z744" s="12">
        <f>IF($A744="","",IFERROR(ROUND(AVERAGEIFS('Historical Drafts'!$G$4:$G$300,'Historical Drafts'!$D$4:$D$300,$E744,'Historical Drafts'!$J$4:$J$300,"&gt;="&amp;$L744*0.85,'Historical Drafts'!$J$4:$J$300,"&lt;="&amp;$L744*1.15),0),$Y744))</f>
        <v>1</v>
      </c>
      <c r="AA744" s="12" t="str">
        <f>IF($A744="","",IF(COUNTIF('Auction Log'!$B$3:$B$300,$A744)&gt;0,"Sold","Available"))</f>
        <v>Available</v>
      </c>
      <c r="AB744" s="12" t="str">
        <f t="array" ref="AB744">IF($A744="","",IFERROR(XLOOKUP($A744,'Auction Log'!$B$3:$B$300,'Auction Log'!$G$3:$G$300,""),""))</f>
        <v/>
      </c>
      <c r="AC744" s="12" t="str">
        <f t="array" ref="AC744">IF($A744="","",IFERROR(XLOOKUP($A744,'Auction Log'!$B$3:$B$300,'Auction Log'!$F$3:$F$300,""),""))</f>
        <v/>
      </c>
      <c r="AD744" s="12">
        <f t="array" ref="AD744">IF($A744="","",ROUND($Y744*XLOOKUP($F744,Settings!$I$15:$I$20,Settings!$K$15:$K$20,0.4),0))</f>
        <v>0</v>
      </c>
      <c r="AE744" s="12">
        <f t="array" ref="AE744">IF($A744="","",ROUND($Y744*XLOOKUP($F744,Settings!$I$15:$I$20,Settings!$L$15:$L$20,0.8),0))</f>
        <v>1</v>
      </c>
      <c r="AF744" s="12">
        <f t="array" ref="AF744">IF($A744="","",ROUND($Y744*XLOOKUP($F744,Settings!$I$15:$I$20,Settings!$M$15:$M$20,1),0))</f>
        <v>1</v>
      </c>
      <c r="AG744" s="12">
        <f t="array" ref="AG744">IF($A744="","",ROUND($Y744*XLOOKUP($F744,Settings!$I$15:$I$20,Settings!$N$15:$N$20,1.1),0))</f>
        <v>1</v>
      </c>
      <c r="AH744" s="12">
        <f t="array" ref="AH744">IF($A744="","",ROUND($Y744*XLOOKUP($F744,Settings!$I$15:$I$20,Settings!$O$15:$O$20,1.1)*Settings!$J$7,0))</f>
        <v>1</v>
      </c>
      <c r="AI744" s="12">
        <f t="array" ref="AI744">IF($A744="","",IF($AA744="Sold","",MIN($AH744,IFERROR(XLOOKUP(Settings!$B$12,Managers!$B$4:$B$15,Managers!$H$4:$H$15),$AH744))))</f>
        <v>1</v>
      </c>
      <c r="AJ744" s="12" t="str">
        <f t="shared" si="3"/>
        <v>Recommended</v>
      </c>
      <c r="AK744" s="12">
        <f t="shared" si="4"/>
        <v>26</v>
      </c>
      <c r="AL744" s="12" t="str">
        <f t="shared" si="5"/>
        <v/>
      </c>
    </row>
    <row r="745" ht="15.75" customHeight="1">
      <c r="A745" s="10" t="s">
        <v>1770</v>
      </c>
      <c r="B745" s="10" t="s">
        <v>1771</v>
      </c>
      <c r="C745" s="10" t="s">
        <v>188</v>
      </c>
      <c r="D745" s="10" t="s">
        <v>123</v>
      </c>
      <c r="E745" s="10" t="s">
        <v>123</v>
      </c>
      <c r="F745" s="10" t="s">
        <v>117</v>
      </c>
      <c r="G745" s="10">
        <v>5.0</v>
      </c>
      <c r="H745" s="10">
        <v>7.0</v>
      </c>
      <c r="I745" s="10" t="s">
        <v>2140</v>
      </c>
      <c r="J745" s="10" t="s">
        <v>2136</v>
      </c>
      <c r="K745" s="10"/>
      <c r="L745" s="10">
        <v>0.0</v>
      </c>
      <c r="M745" s="10">
        <v>0.0</v>
      </c>
      <c r="N745" s="10"/>
      <c r="O745" s="10"/>
      <c r="P745" s="12">
        <f>IF($A745="","",IFERROR((IF($O745="",0,$O745)*Settings!$J$4+IF($L745="",0,$L745)*Settings!$J$5+IF($N745="",0,$N745)*Settings!$J$6)/(IF($O745="",0,Settings!$J$4)+IF($L745="",0,Settings!$J$5)+IF($N745="",0,Settings!$J$6)),0))</f>
        <v>0</v>
      </c>
      <c r="Q745" s="12">
        <f t="array" ref="Q745">IF($A745="","",XLOOKUP($E745,Settings!$A$19:$A$22,Settings!$G$19:$G$22,0))</f>
        <v>203</v>
      </c>
      <c r="R745" s="12">
        <f t="shared" si="1"/>
        <v>0</v>
      </c>
      <c r="S745" s="12">
        <f>IF($A745="","",IF($R745&lt;=0,1,1+$R745/SUMIF($R$4:$R$923,"&gt;0",$R$4:$R$923)*(Settings!$B$5*(Settings!$B$6-Settings!$B$7))))</f>
        <v>1</v>
      </c>
      <c r="T745" s="12">
        <f t="array" ref="T745">IF($A745="","",XLOOKUP($F745,Settings!$I$15:$I$20,Settings!$J$15:$J$20,1))</f>
        <v>0.75</v>
      </c>
      <c r="U745" s="12">
        <f>IF($A745="","",1+(($G745-5)/5)*Settings!$J$8)</f>
        <v>1</v>
      </c>
      <c r="V745" s="12">
        <f>IF($A745="","",1+(($H745-5)/5)*Settings!$J$9)</f>
        <v>1.06</v>
      </c>
      <c r="W745" s="12">
        <f t="array" ref="W745">IF($A745="","",XLOOKUP($J745,Lists!$C$3:$C$7,Lists!$D$3:$D$7,1))</f>
        <v>1</v>
      </c>
      <c r="X745" s="12">
        <f>IF($A745="","",IF($I745="Yes",Settings!$J$10,1))</f>
        <v>1</v>
      </c>
      <c r="Y745" s="12">
        <f t="shared" si="2"/>
        <v>1</v>
      </c>
      <c r="Z745" s="12">
        <f>IF($A745="","",IFERROR(ROUND(AVERAGEIFS('Historical Drafts'!$G$4:$G$300,'Historical Drafts'!$D$4:$D$300,$E745,'Historical Drafts'!$J$4:$J$300,"&gt;="&amp;$L745*0.85,'Historical Drafts'!$J$4:$J$300,"&lt;="&amp;$L745*1.15),0),$Y745))</f>
        <v>3</v>
      </c>
      <c r="AA745" s="12" t="str">
        <f>IF($A745="","",IF(COUNTIF('Auction Log'!$B$3:$B$300,$A745)&gt;0,"Sold","Available"))</f>
        <v>Available</v>
      </c>
      <c r="AB745" s="12" t="str">
        <f t="array" ref="AB745">IF($A745="","",IFERROR(XLOOKUP($A745,'Auction Log'!$B$3:$B$300,'Auction Log'!$G$3:$G$300,""),""))</f>
        <v/>
      </c>
      <c r="AC745" s="12" t="str">
        <f t="array" ref="AC745">IF($A745="","",IFERROR(XLOOKUP($A745,'Auction Log'!$B$3:$B$300,'Auction Log'!$F$3:$F$300,""),""))</f>
        <v/>
      </c>
      <c r="AD745" s="12">
        <f t="array" ref="AD745">IF($A745="","",ROUND($Y745*XLOOKUP($F745,Settings!$I$15:$I$20,Settings!$K$15:$K$20,0.4),0))</f>
        <v>0</v>
      </c>
      <c r="AE745" s="12">
        <f t="array" ref="AE745">IF($A745="","",ROUND($Y745*XLOOKUP($F745,Settings!$I$15:$I$20,Settings!$L$15:$L$20,0.8),0))</f>
        <v>1</v>
      </c>
      <c r="AF745" s="12">
        <f t="array" ref="AF745">IF($A745="","",ROUND($Y745*XLOOKUP($F745,Settings!$I$15:$I$20,Settings!$M$15:$M$20,1),0))</f>
        <v>1</v>
      </c>
      <c r="AG745" s="12">
        <f t="array" ref="AG745">IF($A745="","",ROUND($Y745*XLOOKUP($F745,Settings!$I$15:$I$20,Settings!$N$15:$N$20,1.1),0))</f>
        <v>1</v>
      </c>
      <c r="AH745" s="12">
        <f t="array" ref="AH745">IF($A745="","",ROUND($Y745*XLOOKUP($F745,Settings!$I$15:$I$20,Settings!$O$15:$O$20,1.1)*Settings!$J$7,0))</f>
        <v>1</v>
      </c>
      <c r="AI745" s="12">
        <f t="array" ref="AI745">IF($A745="","",IF($AA745="Sold","",MIN($AH745,IFERROR(XLOOKUP(Settings!$B$12,Managers!$B$4:$B$15,Managers!$H$4:$H$15),$AH745))))</f>
        <v>1</v>
      </c>
      <c r="AJ745" s="12" t="str">
        <f t="shared" si="3"/>
        <v>Budget Drainer</v>
      </c>
      <c r="AK745" s="12">
        <f t="shared" si="4"/>
        <v>28</v>
      </c>
      <c r="AL745" s="12" t="str">
        <f t="shared" si="5"/>
        <v/>
      </c>
    </row>
    <row r="746" ht="15.75" customHeight="1">
      <c r="A746" s="10" t="s">
        <v>1772</v>
      </c>
      <c r="B746" s="10" t="s">
        <v>1773</v>
      </c>
      <c r="C746" s="10" t="s">
        <v>314</v>
      </c>
      <c r="D746" s="10" t="s">
        <v>121</v>
      </c>
      <c r="E746" s="10" t="s">
        <v>121</v>
      </c>
      <c r="F746" s="10" t="s">
        <v>117</v>
      </c>
      <c r="G746" s="10">
        <v>5.0</v>
      </c>
      <c r="H746" s="10">
        <v>7.0</v>
      </c>
      <c r="I746" s="10" t="s">
        <v>2140</v>
      </c>
      <c r="J746" s="10" t="s">
        <v>2136</v>
      </c>
      <c r="K746" s="10"/>
      <c r="L746" s="10">
        <v>0.0</v>
      </c>
      <c r="M746" s="10">
        <v>0.0</v>
      </c>
      <c r="N746" s="10"/>
      <c r="O746" s="10"/>
      <c r="P746" s="12">
        <f>IF($A746="","",IFERROR((IF($O746="",0,$O746)*Settings!$J$4+IF($L746="",0,$L746)*Settings!$J$5+IF($N746="",0,$N746)*Settings!$J$6)/(IF($O746="",0,Settings!$J$4)+IF($L746="",0,Settings!$J$5)+IF($N746="",0,Settings!$J$6)),0))</f>
        <v>0</v>
      </c>
      <c r="Q746" s="12">
        <f t="array" ref="Q746">IF($A746="","",XLOOKUP($E746,Settings!$A$19:$A$22,Settings!$G$19:$G$22,0))</f>
        <v>206</v>
      </c>
      <c r="R746" s="12">
        <f t="shared" si="1"/>
        <v>0</v>
      </c>
      <c r="S746" s="12">
        <f>IF($A746="","",IF($R746&lt;=0,1,1+$R746/SUMIF($R$4:$R$923,"&gt;0",$R$4:$R$923)*(Settings!$B$5*(Settings!$B$6-Settings!$B$7))))</f>
        <v>1</v>
      </c>
      <c r="T746" s="12">
        <f t="array" ref="T746">IF($A746="","",XLOOKUP($F746,Settings!$I$15:$I$20,Settings!$J$15:$J$20,1))</f>
        <v>0.75</v>
      </c>
      <c r="U746" s="12">
        <f>IF($A746="","",1+(($G746-5)/5)*Settings!$J$8)</f>
        <v>1</v>
      </c>
      <c r="V746" s="12">
        <f>IF($A746="","",1+(($H746-5)/5)*Settings!$J$9)</f>
        <v>1.06</v>
      </c>
      <c r="W746" s="12">
        <f t="array" ref="W746">IF($A746="","",XLOOKUP($J746,Lists!$C$3:$C$7,Lists!$D$3:$D$7,1))</f>
        <v>1</v>
      </c>
      <c r="X746" s="12">
        <f>IF($A746="","",IF($I746="Yes",Settings!$J$10,1))</f>
        <v>1</v>
      </c>
      <c r="Y746" s="12">
        <f t="shared" si="2"/>
        <v>1</v>
      </c>
      <c r="Z746" s="12">
        <f>IF($A746="","",IFERROR(ROUND(AVERAGEIFS('Historical Drafts'!$G$4:$G$300,'Historical Drafts'!$D$4:$D$300,$E746,'Historical Drafts'!$J$4:$J$300,"&gt;="&amp;$L746*0.85,'Historical Drafts'!$J$4:$J$300,"&lt;="&amp;$L746*1.15),0),$Y746))</f>
        <v>3</v>
      </c>
      <c r="AA746" s="12" t="str">
        <f>IF($A746="","",IF(COUNTIF('Auction Log'!$B$3:$B$300,$A746)&gt;0,"Sold","Available"))</f>
        <v>Available</v>
      </c>
      <c r="AB746" s="12" t="str">
        <f t="array" ref="AB746">IF($A746="","",IFERROR(XLOOKUP($A746,'Auction Log'!$B$3:$B$300,'Auction Log'!$G$3:$G$300,""),""))</f>
        <v/>
      </c>
      <c r="AC746" s="12" t="str">
        <f t="array" ref="AC746">IF($A746="","",IFERROR(XLOOKUP($A746,'Auction Log'!$B$3:$B$300,'Auction Log'!$F$3:$F$300,""),""))</f>
        <v/>
      </c>
      <c r="AD746" s="12">
        <f t="array" ref="AD746">IF($A746="","",ROUND($Y746*XLOOKUP($F746,Settings!$I$15:$I$20,Settings!$K$15:$K$20,0.4),0))</f>
        <v>0</v>
      </c>
      <c r="AE746" s="12">
        <f t="array" ref="AE746">IF($A746="","",ROUND($Y746*XLOOKUP($F746,Settings!$I$15:$I$20,Settings!$L$15:$L$20,0.8),0))</f>
        <v>1</v>
      </c>
      <c r="AF746" s="12">
        <f t="array" ref="AF746">IF($A746="","",ROUND($Y746*XLOOKUP($F746,Settings!$I$15:$I$20,Settings!$M$15:$M$20,1),0))</f>
        <v>1</v>
      </c>
      <c r="AG746" s="12">
        <f t="array" ref="AG746">IF($A746="","",ROUND($Y746*XLOOKUP($F746,Settings!$I$15:$I$20,Settings!$N$15:$N$20,1.1),0))</f>
        <v>1</v>
      </c>
      <c r="AH746" s="12">
        <f t="array" ref="AH746">IF($A746="","",ROUND($Y746*XLOOKUP($F746,Settings!$I$15:$I$20,Settings!$O$15:$O$20,1.1)*Settings!$J$7,0))</f>
        <v>1</v>
      </c>
      <c r="AI746" s="12">
        <f t="array" ref="AI746">IF($A746="","",IF($AA746="Sold","",MIN($AH746,IFERROR(XLOOKUP(Settings!$B$12,Managers!$B$4:$B$15,Managers!$H$4:$H$15),$AH746))))</f>
        <v>1</v>
      </c>
      <c r="AJ746" s="12" t="str">
        <f t="shared" si="3"/>
        <v>Budget Drainer</v>
      </c>
      <c r="AK746" s="12">
        <f t="shared" si="4"/>
        <v>28</v>
      </c>
      <c r="AL746" s="12" t="str">
        <f t="shared" si="5"/>
        <v/>
      </c>
    </row>
    <row r="747" ht="15.75" customHeight="1">
      <c r="A747" s="10" t="s">
        <v>1774</v>
      </c>
      <c r="B747" s="10" t="s">
        <v>1775</v>
      </c>
      <c r="C747" s="10" t="s">
        <v>177</v>
      </c>
      <c r="D747" s="10" t="s">
        <v>115</v>
      </c>
      <c r="E747" s="10" t="s">
        <v>115</v>
      </c>
      <c r="F747" s="10" t="s">
        <v>117</v>
      </c>
      <c r="G747" s="10">
        <v>5.0</v>
      </c>
      <c r="H747" s="10">
        <v>7.0</v>
      </c>
      <c r="I747" s="10" t="s">
        <v>2140</v>
      </c>
      <c r="J747" s="10" t="s">
        <v>2136</v>
      </c>
      <c r="K747" s="10"/>
      <c r="L747" s="10">
        <v>0.0</v>
      </c>
      <c r="M747" s="10">
        <v>0.0</v>
      </c>
      <c r="N747" s="10"/>
      <c r="O747" s="10"/>
      <c r="P747" s="12">
        <f>IF($A747="","",IFERROR((IF($O747="",0,$O747)*Settings!$J$4+IF($L747="",0,$L747)*Settings!$J$5+IF($N747="",0,$N747)*Settings!$J$6)/(IF($O747="",0,Settings!$J$4)+IF($L747="",0,Settings!$J$5)+IF($N747="",0,Settings!$J$6)),0))</f>
        <v>0</v>
      </c>
      <c r="Q747" s="12">
        <f t="array" ref="Q747">IF($A747="","",XLOOKUP($E747,Settings!$A$19:$A$22,Settings!$G$19:$G$22,0))</f>
        <v>249.25</v>
      </c>
      <c r="R747" s="12">
        <f t="shared" si="1"/>
        <v>0</v>
      </c>
      <c r="S747" s="12">
        <f>IF($A747="","",IF($R747&lt;=0,1,1+$R747/SUMIF($R$4:$R$923,"&gt;0",$R$4:$R$923)*(Settings!$B$5*(Settings!$B$6-Settings!$B$7))))</f>
        <v>1</v>
      </c>
      <c r="T747" s="12">
        <f t="array" ref="T747">IF($A747="","",XLOOKUP($F747,Settings!$I$15:$I$20,Settings!$J$15:$J$20,1))</f>
        <v>0.75</v>
      </c>
      <c r="U747" s="12">
        <f>IF($A747="","",1+(($G747-5)/5)*Settings!$J$8)</f>
        <v>1</v>
      </c>
      <c r="V747" s="12">
        <f>IF($A747="","",1+(($H747-5)/5)*Settings!$J$9)</f>
        <v>1.06</v>
      </c>
      <c r="W747" s="12">
        <f t="array" ref="W747">IF($A747="","",XLOOKUP($J747,Lists!$C$3:$C$7,Lists!$D$3:$D$7,1))</f>
        <v>1</v>
      </c>
      <c r="X747" s="12">
        <f>IF($A747="","",IF($I747="Yes",Settings!$J$10,1))</f>
        <v>1</v>
      </c>
      <c r="Y747" s="12">
        <f t="shared" si="2"/>
        <v>1</v>
      </c>
      <c r="Z747" s="12">
        <f>IF($A747="","",IFERROR(ROUND(AVERAGEIFS('Historical Drafts'!$G$4:$G$300,'Historical Drafts'!$D$4:$D$300,$E747,'Historical Drafts'!$J$4:$J$300,"&gt;="&amp;$L747*0.85,'Historical Drafts'!$J$4:$J$300,"&lt;="&amp;$L747*1.15),0),$Y747))</f>
        <v>1</v>
      </c>
      <c r="AA747" s="12" t="str">
        <f>IF($A747="","",IF(COUNTIF('Auction Log'!$B$3:$B$300,$A747)&gt;0,"Sold","Available"))</f>
        <v>Available</v>
      </c>
      <c r="AB747" s="12" t="str">
        <f t="array" ref="AB747">IF($A747="","",IFERROR(XLOOKUP($A747,'Auction Log'!$B$3:$B$300,'Auction Log'!$G$3:$G$300,""),""))</f>
        <v/>
      </c>
      <c r="AC747" s="12" t="str">
        <f t="array" ref="AC747">IF($A747="","",IFERROR(XLOOKUP($A747,'Auction Log'!$B$3:$B$300,'Auction Log'!$F$3:$F$300,""),""))</f>
        <v/>
      </c>
      <c r="AD747" s="12">
        <f t="array" ref="AD747">IF($A747="","",ROUND($Y747*XLOOKUP($F747,Settings!$I$15:$I$20,Settings!$K$15:$K$20,0.4),0))</f>
        <v>0</v>
      </c>
      <c r="AE747" s="12">
        <f t="array" ref="AE747">IF($A747="","",ROUND($Y747*XLOOKUP($F747,Settings!$I$15:$I$20,Settings!$L$15:$L$20,0.8),0))</f>
        <v>1</v>
      </c>
      <c r="AF747" s="12">
        <f t="array" ref="AF747">IF($A747="","",ROUND($Y747*XLOOKUP($F747,Settings!$I$15:$I$20,Settings!$M$15:$M$20,1),0))</f>
        <v>1</v>
      </c>
      <c r="AG747" s="12">
        <f t="array" ref="AG747">IF($A747="","",ROUND($Y747*XLOOKUP($F747,Settings!$I$15:$I$20,Settings!$N$15:$N$20,1.1),0))</f>
        <v>1</v>
      </c>
      <c r="AH747" s="12">
        <f t="array" ref="AH747">IF($A747="","",ROUND($Y747*XLOOKUP($F747,Settings!$I$15:$I$20,Settings!$O$15:$O$20,1.1)*Settings!$J$7,0))</f>
        <v>1</v>
      </c>
      <c r="AI747" s="12">
        <f t="array" ref="AI747">IF($A747="","",IF($AA747="Sold","",MIN($AH747,IFERROR(XLOOKUP(Settings!$B$12,Managers!$B$4:$B$15,Managers!$H$4:$H$15),$AH747))))</f>
        <v>1</v>
      </c>
      <c r="AJ747" s="12" t="str">
        <f t="shared" si="3"/>
        <v>Recommended</v>
      </c>
      <c r="AK747" s="12">
        <f t="shared" si="4"/>
        <v>26</v>
      </c>
      <c r="AL747" s="12" t="str">
        <f t="shared" si="5"/>
        <v/>
      </c>
    </row>
    <row r="748" ht="15.75" customHeight="1">
      <c r="A748" s="10" t="s">
        <v>1776</v>
      </c>
      <c r="B748" s="10" t="s">
        <v>1777</v>
      </c>
      <c r="C748" s="10" t="s">
        <v>243</v>
      </c>
      <c r="D748" s="10" t="s">
        <v>123</v>
      </c>
      <c r="E748" s="10" t="s">
        <v>123</v>
      </c>
      <c r="F748" s="10" t="s">
        <v>117</v>
      </c>
      <c r="G748" s="10">
        <v>5.0</v>
      </c>
      <c r="H748" s="10">
        <v>7.0</v>
      </c>
      <c r="I748" s="10" t="s">
        <v>2140</v>
      </c>
      <c r="J748" s="10" t="s">
        <v>2136</v>
      </c>
      <c r="K748" s="10"/>
      <c r="L748" s="10">
        <v>0.0</v>
      </c>
      <c r="M748" s="10">
        <v>0.0</v>
      </c>
      <c r="N748" s="10"/>
      <c r="O748" s="10"/>
      <c r="P748" s="12">
        <f>IF($A748="","",IFERROR((IF($O748="",0,$O748)*Settings!$J$4+IF($L748="",0,$L748)*Settings!$J$5+IF($N748="",0,$N748)*Settings!$J$6)/(IF($O748="",0,Settings!$J$4)+IF($L748="",0,Settings!$J$5)+IF($N748="",0,Settings!$J$6)),0))</f>
        <v>0</v>
      </c>
      <c r="Q748" s="12">
        <f t="array" ref="Q748">IF($A748="","",XLOOKUP($E748,Settings!$A$19:$A$22,Settings!$G$19:$G$22,0))</f>
        <v>203</v>
      </c>
      <c r="R748" s="12">
        <f t="shared" si="1"/>
        <v>0</v>
      </c>
      <c r="S748" s="12">
        <f>IF($A748="","",IF($R748&lt;=0,1,1+$R748/SUMIF($R$4:$R$923,"&gt;0",$R$4:$R$923)*(Settings!$B$5*(Settings!$B$6-Settings!$B$7))))</f>
        <v>1</v>
      </c>
      <c r="T748" s="12">
        <f t="array" ref="T748">IF($A748="","",XLOOKUP($F748,Settings!$I$15:$I$20,Settings!$J$15:$J$20,1))</f>
        <v>0.75</v>
      </c>
      <c r="U748" s="12">
        <f>IF($A748="","",1+(($G748-5)/5)*Settings!$J$8)</f>
        <v>1</v>
      </c>
      <c r="V748" s="12">
        <f>IF($A748="","",1+(($H748-5)/5)*Settings!$J$9)</f>
        <v>1.06</v>
      </c>
      <c r="W748" s="12">
        <f t="array" ref="W748">IF($A748="","",XLOOKUP($J748,Lists!$C$3:$C$7,Lists!$D$3:$D$7,1))</f>
        <v>1</v>
      </c>
      <c r="X748" s="12">
        <f>IF($A748="","",IF($I748="Yes",Settings!$J$10,1))</f>
        <v>1</v>
      </c>
      <c r="Y748" s="12">
        <f t="shared" si="2"/>
        <v>1</v>
      </c>
      <c r="Z748" s="12">
        <f>IF($A748="","",IFERROR(ROUND(AVERAGEIFS('Historical Drafts'!$G$4:$G$300,'Historical Drafts'!$D$4:$D$300,$E748,'Historical Drafts'!$J$4:$J$300,"&gt;="&amp;$L748*0.85,'Historical Drafts'!$J$4:$J$300,"&lt;="&amp;$L748*1.15),0),$Y748))</f>
        <v>3</v>
      </c>
      <c r="AA748" s="12" t="str">
        <f>IF($A748="","",IF(COUNTIF('Auction Log'!$B$3:$B$300,$A748)&gt;0,"Sold","Available"))</f>
        <v>Available</v>
      </c>
      <c r="AB748" s="12" t="str">
        <f t="array" ref="AB748">IF($A748="","",IFERROR(XLOOKUP($A748,'Auction Log'!$B$3:$B$300,'Auction Log'!$G$3:$G$300,""),""))</f>
        <v/>
      </c>
      <c r="AC748" s="12" t="str">
        <f t="array" ref="AC748">IF($A748="","",IFERROR(XLOOKUP($A748,'Auction Log'!$B$3:$B$300,'Auction Log'!$F$3:$F$300,""),""))</f>
        <v/>
      </c>
      <c r="AD748" s="12">
        <f t="array" ref="AD748">IF($A748="","",ROUND($Y748*XLOOKUP($F748,Settings!$I$15:$I$20,Settings!$K$15:$K$20,0.4),0))</f>
        <v>0</v>
      </c>
      <c r="AE748" s="12">
        <f t="array" ref="AE748">IF($A748="","",ROUND($Y748*XLOOKUP($F748,Settings!$I$15:$I$20,Settings!$L$15:$L$20,0.8),0))</f>
        <v>1</v>
      </c>
      <c r="AF748" s="12">
        <f t="array" ref="AF748">IF($A748="","",ROUND($Y748*XLOOKUP($F748,Settings!$I$15:$I$20,Settings!$M$15:$M$20,1),0))</f>
        <v>1</v>
      </c>
      <c r="AG748" s="12">
        <f t="array" ref="AG748">IF($A748="","",ROUND($Y748*XLOOKUP($F748,Settings!$I$15:$I$20,Settings!$N$15:$N$20,1.1),0))</f>
        <v>1</v>
      </c>
      <c r="AH748" s="12">
        <f t="array" ref="AH748">IF($A748="","",ROUND($Y748*XLOOKUP($F748,Settings!$I$15:$I$20,Settings!$O$15:$O$20,1.1)*Settings!$J$7,0))</f>
        <v>1</v>
      </c>
      <c r="AI748" s="12">
        <f t="array" ref="AI748">IF($A748="","",IF($AA748="Sold","",MIN($AH748,IFERROR(XLOOKUP(Settings!$B$12,Managers!$B$4:$B$15,Managers!$H$4:$H$15),$AH748))))</f>
        <v>1</v>
      </c>
      <c r="AJ748" s="12" t="str">
        <f t="shared" si="3"/>
        <v>Budget Drainer</v>
      </c>
      <c r="AK748" s="12">
        <f t="shared" si="4"/>
        <v>28</v>
      </c>
      <c r="AL748" s="12" t="str">
        <f t="shared" si="5"/>
        <v/>
      </c>
    </row>
    <row r="749" ht="15.75" customHeight="1">
      <c r="A749" s="10" t="s">
        <v>1778</v>
      </c>
      <c r="B749" s="10" t="s">
        <v>1779</v>
      </c>
      <c r="C749" s="10" t="s">
        <v>314</v>
      </c>
      <c r="D749" s="10" t="s">
        <v>115</v>
      </c>
      <c r="E749" s="10" t="s">
        <v>115</v>
      </c>
      <c r="F749" s="10" t="s">
        <v>117</v>
      </c>
      <c r="G749" s="10">
        <v>5.0</v>
      </c>
      <c r="H749" s="10">
        <v>7.0</v>
      </c>
      <c r="I749" s="10" t="s">
        <v>2140</v>
      </c>
      <c r="J749" s="10" t="s">
        <v>2136</v>
      </c>
      <c r="K749" s="10"/>
      <c r="L749" s="10">
        <v>0.0</v>
      </c>
      <c r="M749" s="10">
        <v>0.0</v>
      </c>
      <c r="N749" s="10"/>
      <c r="O749" s="10"/>
      <c r="P749" s="12">
        <f>IF($A749="","",IFERROR((IF($O749="",0,$O749)*Settings!$J$4+IF($L749="",0,$L749)*Settings!$J$5+IF($N749="",0,$N749)*Settings!$J$6)/(IF($O749="",0,Settings!$J$4)+IF($L749="",0,Settings!$J$5)+IF($N749="",0,Settings!$J$6)),0))</f>
        <v>0</v>
      </c>
      <c r="Q749" s="12">
        <f t="array" ref="Q749">IF($A749="","",XLOOKUP($E749,Settings!$A$19:$A$22,Settings!$G$19:$G$22,0))</f>
        <v>249.25</v>
      </c>
      <c r="R749" s="12">
        <f t="shared" si="1"/>
        <v>0</v>
      </c>
      <c r="S749" s="12">
        <f>IF($A749="","",IF($R749&lt;=0,1,1+$R749/SUMIF($R$4:$R$923,"&gt;0",$R$4:$R$923)*(Settings!$B$5*(Settings!$B$6-Settings!$B$7))))</f>
        <v>1</v>
      </c>
      <c r="T749" s="12">
        <f t="array" ref="T749">IF($A749="","",XLOOKUP($F749,Settings!$I$15:$I$20,Settings!$J$15:$J$20,1))</f>
        <v>0.75</v>
      </c>
      <c r="U749" s="12">
        <f>IF($A749="","",1+(($G749-5)/5)*Settings!$J$8)</f>
        <v>1</v>
      </c>
      <c r="V749" s="12">
        <f>IF($A749="","",1+(($H749-5)/5)*Settings!$J$9)</f>
        <v>1.06</v>
      </c>
      <c r="W749" s="12">
        <f t="array" ref="W749">IF($A749="","",XLOOKUP($J749,Lists!$C$3:$C$7,Lists!$D$3:$D$7,1))</f>
        <v>1</v>
      </c>
      <c r="X749" s="12">
        <f>IF($A749="","",IF($I749="Yes",Settings!$J$10,1))</f>
        <v>1</v>
      </c>
      <c r="Y749" s="12">
        <f t="shared" si="2"/>
        <v>1</v>
      </c>
      <c r="Z749" s="12">
        <f>IF($A749="","",IFERROR(ROUND(AVERAGEIFS('Historical Drafts'!$G$4:$G$300,'Historical Drafts'!$D$4:$D$300,$E749,'Historical Drafts'!$J$4:$J$300,"&gt;="&amp;$L749*0.85,'Historical Drafts'!$J$4:$J$300,"&lt;="&amp;$L749*1.15),0),$Y749))</f>
        <v>1</v>
      </c>
      <c r="AA749" s="12" t="str">
        <f>IF($A749="","",IF(COUNTIF('Auction Log'!$B$3:$B$300,$A749)&gt;0,"Sold","Available"))</f>
        <v>Available</v>
      </c>
      <c r="AB749" s="12" t="str">
        <f t="array" ref="AB749">IF($A749="","",IFERROR(XLOOKUP($A749,'Auction Log'!$B$3:$B$300,'Auction Log'!$G$3:$G$300,""),""))</f>
        <v/>
      </c>
      <c r="AC749" s="12" t="str">
        <f t="array" ref="AC749">IF($A749="","",IFERROR(XLOOKUP($A749,'Auction Log'!$B$3:$B$300,'Auction Log'!$F$3:$F$300,""),""))</f>
        <v/>
      </c>
      <c r="AD749" s="12">
        <f t="array" ref="AD749">IF($A749="","",ROUND($Y749*XLOOKUP($F749,Settings!$I$15:$I$20,Settings!$K$15:$K$20,0.4),0))</f>
        <v>0</v>
      </c>
      <c r="AE749" s="12">
        <f t="array" ref="AE749">IF($A749="","",ROUND($Y749*XLOOKUP($F749,Settings!$I$15:$I$20,Settings!$L$15:$L$20,0.8),0))</f>
        <v>1</v>
      </c>
      <c r="AF749" s="12">
        <f t="array" ref="AF749">IF($A749="","",ROUND($Y749*XLOOKUP($F749,Settings!$I$15:$I$20,Settings!$M$15:$M$20,1),0))</f>
        <v>1</v>
      </c>
      <c r="AG749" s="12">
        <f t="array" ref="AG749">IF($A749="","",ROUND($Y749*XLOOKUP($F749,Settings!$I$15:$I$20,Settings!$N$15:$N$20,1.1),0))</f>
        <v>1</v>
      </c>
      <c r="AH749" s="12">
        <f t="array" ref="AH749">IF($A749="","",ROUND($Y749*XLOOKUP($F749,Settings!$I$15:$I$20,Settings!$O$15:$O$20,1.1)*Settings!$J$7,0))</f>
        <v>1</v>
      </c>
      <c r="AI749" s="12">
        <f t="array" ref="AI749">IF($A749="","",IF($AA749="Sold","",MIN($AH749,IFERROR(XLOOKUP(Settings!$B$12,Managers!$B$4:$B$15,Managers!$H$4:$H$15),$AH749))))</f>
        <v>1</v>
      </c>
      <c r="AJ749" s="12" t="str">
        <f t="shared" si="3"/>
        <v>Recommended</v>
      </c>
      <c r="AK749" s="12">
        <f t="shared" si="4"/>
        <v>26</v>
      </c>
      <c r="AL749" s="12" t="str">
        <f t="shared" si="5"/>
        <v/>
      </c>
    </row>
    <row r="750" ht="15.75" customHeight="1">
      <c r="A750" s="10" t="s">
        <v>1780</v>
      </c>
      <c r="B750" s="10" t="s">
        <v>1781</v>
      </c>
      <c r="C750" s="10" t="s">
        <v>185</v>
      </c>
      <c r="D750" s="10" t="s">
        <v>121</v>
      </c>
      <c r="E750" s="10" t="s">
        <v>121</v>
      </c>
      <c r="F750" s="10" t="s">
        <v>117</v>
      </c>
      <c r="G750" s="10">
        <v>5.0</v>
      </c>
      <c r="H750" s="10">
        <v>7.0</v>
      </c>
      <c r="I750" s="10" t="s">
        <v>2140</v>
      </c>
      <c r="J750" s="10" t="s">
        <v>2136</v>
      </c>
      <c r="K750" s="10"/>
      <c r="L750" s="10">
        <v>0.0</v>
      </c>
      <c r="M750" s="10">
        <v>0.0</v>
      </c>
      <c r="N750" s="10"/>
      <c r="O750" s="10"/>
      <c r="P750" s="12">
        <f>IF($A750="","",IFERROR((IF($O750="",0,$O750)*Settings!$J$4+IF($L750="",0,$L750)*Settings!$J$5+IF($N750="",0,$N750)*Settings!$J$6)/(IF($O750="",0,Settings!$J$4)+IF($L750="",0,Settings!$J$5)+IF($N750="",0,Settings!$J$6)),0))</f>
        <v>0</v>
      </c>
      <c r="Q750" s="12">
        <f t="array" ref="Q750">IF($A750="","",XLOOKUP($E750,Settings!$A$19:$A$22,Settings!$G$19:$G$22,0))</f>
        <v>206</v>
      </c>
      <c r="R750" s="12">
        <f t="shared" si="1"/>
        <v>0</v>
      </c>
      <c r="S750" s="12">
        <f>IF($A750="","",IF($R750&lt;=0,1,1+$R750/SUMIF($R$4:$R$923,"&gt;0",$R$4:$R$923)*(Settings!$B$5*(Settings!$B$6-Settings!$B$7))))</f>
        <v>1</v>
      </c>
      <c r="T750" s="12">
        <f t="array" ref="T750">IF($A750="","",XLOOKUP($F750,Settings!$I$15:$I$20,Settings!$J$15:$J$20,1))</f>
        <v>0.75</v>
      </c>
      <c r="U750" s="12">
        <f>IF($A750="","",1+(($G750-5)/5)*Settings!$J$8)</f>
        <v>1</v>
      </c>
      <c r="V750" s="12">
        <f>IF($A750="","",1+(($H750-5)/5)*Settings!$J$9)</f>
        <v>1.06</v>
      </c>
      <c r="W750" s="12">
        <f t="array" ref="W750">IF($A750="","",XLOOKUP($J750,Lists!$C$3:$C$7,Lists!$D$3:$D$7,1))</f>
        <v>1</v>
      </c>
      <c r="X750" s="12">
        <f>IF($A750="","",IF($I750="Yes",Settings!$J$10,1))</f>
        <v>1</v>
      </c>
      <c r="Y750" s="12">
        <f t="shared" si="2"/>
        <v>1</v>
      </c>
      <c r="Z750" s="12">
        <f>IF($A750="","",IFERROR(ROUND(AVERAGEIFS('Historical Drafts'!$G$4:$G$300,'Historical Drafts'!$D$4:$D$300,$E750,'Historical Drafts'!$J$4:$J$300,"&gt;="&amp;$L750*0.85,'Historical Drafts'!$J$4:$J$300,"&lt;="&amp;$L750*1.15),0),$Y750))</f>
        <v>3</v>
      </c>
      <c r="AA750" s="12" t="str">
        <f>IF($A750="","",IF(COUNTIF('Auction Log'!$B$3:$B$300,$A750)&gt;0,"Sold","Available"))</f>
        <v>Available</v>
      </c>
      <c r="AB750" s="12" t="str">
        <f t="array" ref="AB750">IF($A750="","",IFERROR(XLOOKUP($A750,'Auction Log'!$B$3:$B$300,'Auction Log'!$G$3:$G$300,""),""))</f>
        <v/>
      </c>
      <c r="AC750" s="12" t="str">
        <f t="array" ref="AC750">IF($A750="","",IFERROR(XLOOKUP($A750,'Auction Log'!$B$3:$B$300,'Auction Log'!$F$3:$F$300,""),""))</f>
        <v/>
      </c>
      <c r="AD750" s="12">
        <f t="array" ref="AD750">IF($A750="","",ROUND($Y750*XLOOKUP($F750,Settings!$I$15:$I$20,Settings!$K$15:$K$20,0.4),0))</f>
        <v>0</v>
      </c>
      <c r="AE750" s="12">
        <f t="array" ref="AE750">IF($A750="","",ROUND($Y750*XLOOKUP($F750,Settings!$I$15:$I$20,Settings!$L$15:$L$20,0.8),0))</f>
        <v>1</v>
      </c>
      <c r="AF750" s="12">
        <f t="array" ref="AF750">IF($A750="","",ROUND($Y750*XLOOKUP($F750,Settings!$I$15:$I$20,Settings!$M$15:$M$20,1),0))</f>
        <v>1</v>
      </c>
      <c r="AG750" s="12">
        <f t="array" ref="AG750">IF($A750="","",ROUND($Y750*XLOOKUP($F750,Settings!$I$15:$I$20,Settings!$N$15:$N$20,1.1),0))</f>
        <v>1</v>
      </c>
      <c r="AH750" s="12">
        <f t="array" ref="AH750">IF($A750="","",ROUND($Y750*XLOOKUP($F750,Settings!$I$15:$I$20,Settings!$O$15:$O$20,1.1)*Settings!$J$7,0))</f>
        <v>1</v>
      </c>
      <c r="AI750" s="12">
        <f t="array" ref="AI750">IF($A750="","",IF($AA750="Sold","",MIN($AH750,IFERROR(XLOOKUP(Settings!$B$12,Managers!$B$4:$B$15,Managers!$H$4:$H$15),$AH750))))</f>
        <v>1</v>
      </c>
      <c r="AJ750" s="12" t="str">
        <f t="shared" si="3"/>
        <v>Budget Drainer</v>
      </c>
      <c r="AK750" s="12">
        <f t="shared" si="4"/>
        <v>28</v>
      </c>
      <c r="AL750" s="12" t="str">
        <f t="shared" si="5"/>
        <v/>
      </c>
    </row>
    <row r="751" ht="15.75" customHeight="1">
      <c r="A751" s="10" t="s">
        <v>1782</v>
      </c>
      <c r="B751" s="10" t="s">
        <v>1783</v>
      </c>
      <c r="C751" s="10" t="s">
        <v>231</v>
      </c>
      <c r="D751" s="10" t="s">
        <v>121</v>
      </c>
      <c r="E751" s="10" t="s">
        <v>121</v>
      </c>
      <c r="F751" s="10" t="s">
        <v>117</v>
      </c>
      <c r="G751" s="10">
        <v>5.0</v>
      </c>
      <c r="H751" s="10">
        <v>7.0</v>
      </c>
      <c r="I751" s="10" t="s">
        <v>2140</v>
      </c>
      <c r="J751" s="10" t="s">
        <v>2136</v>
      </c>
      <c r="K751" s="10"/>
      <c r="L751" s="10">
        <v>0.0</v>
      </c>
      <c r="M751" s="10">
        <v>0.0</v>
      </c>
      <c r="N751" s="10"/>
      <c r="O751" s="10"/>
      <c r="P751" s="12">
        <f>IF($A751="","",IFERROR((IF($O751="",0,$O751)*Settings!$J$4+IF($L751="",0,$L751)*Settings!$J$5+IF($N751="",0,$N751)*Settings!$J$6)/(IF($O751="",0,Settings!$J$4)+IF($L751="",0,Settings!$J$5)+IF($N751="",0,Settings!$J$6)),0))</f>
        <v>0</v>
      </c>
      <c r="Q751" s="12">
        <f t="array" ref="Q751">IF($A751="","",XLOOKUP($E751,Settings!$A$19:$A$22,Settings!$G$19:$G$22,0))</f>
        <v>206</v>
      </c>
      <c r="R751" s="12">
        <f t="shared" si="1"/>
        <v>0</v>
      </c>
      <c r="S751" s="12">
        <f>IF($A751="","",IF($R751&lt;=0,1,1+$R751/SUMIF($R$4:$R$923,"&gt;0",$R$4:$R$923)*(Settings!$B$5*(Settings!$B$6-Settings!$B$7))))</f>
        <v>1</v>
      </c>
      <c r="T751" s="12">
        <f t="array" ref="T751">IF($A751="","",XLOOKUP($F751,Settings!$I$15:$I$20,Settings!$J$15:$J$20,1))</f>
        <v>0.75</v>
      </c>
      <c r="U751" s="12">
        <f>IF($A751="","",1+(($G751-5)/5)*Settings!$J$8)</f>
        <v>1</v>
      </c>
      <c r="V751" s="12">
        <f>IF($A751="","",1+(($H751-5)/5)*Settings!$J$9)</f>
        <v>1.06</v>
      </c>
      <c r="W751" s="12">
        <f t="array" ref="W751">IF($A751="","",XLOOKUP($J751,Lists!$C$3:$C$7,Lists!$D$3:$D$7,1))</f>
        <v>1</v>
      </c>
      <c r="X751" s="12">
        <f>IF($A751="","",IF($I751="Yes",Settings!$J$10,1))</f>
        <v>1</v>
      </c>
      <c r="Y751" s="12">
        <f t="shared" si="2"/>
        <v>1</v>
      </c>
      <c r="Z751" s="12">
        <f>IF($A751="","",IFERROR(ROUND(AVERAGEIFS('Historical Drafts'!$G$4:$G$300,'Historical Drafts'!$D$4:$D$300,$E751,'Historical Drafts'!$J$4:$J$300,"&gt;="&amp;$L751*0.85,'Historical Drafts'!$J$4:$J$300,"&lt;="&amp;$L751*1.15),0),$Y751))</f>
        <v>3</v>
      </c>
      <c r="AA751" s="12" t="str">
        <f>IF($A751="","",IF(COUNTIF('Auction Log'!$B$3:$B$300,$A751)&gt;0,"Sold","Available"))</f>
        <v>Available</v>
      </c>
      <c r="AB751" s="12" t="str">
        <f t="array" ref="AB751">IF($A751="","",IFERROR(XLOOKUP($A751,'Auction Log'!$B$3:$B$300,'Auction Log'!$G$3:$G$300,""),""))</f>
        <v/>
      </c>
      <c r="AC751" s="12" t="str">
        <f t="array" ref="AC751">IF($A751="","",IFERROR(XLOOKUP($A751,'Auction Log'!$B$3:$B$300,'Auction Log'!$F$3:$F$300,""),""))</f>
        <v/>
      </c>
      <c r="AD751" s="12">
        <f t="array" ref="AD751">IF($A751="","",ROUND($Y751*XLOOKUP($F751,Settings!$I$15:$I$20,Settings!$K$15:$K$20,0.4),0))</f>
        <v>0</v>
      </c>
      <c r="AE751" s="12">
        <f t="array" ref="AE751">IF($A751="","",ROUND($Y751*XLOOKUP($F751,Settings!$I$15:$I$20,Settings!$L$15:$L$20,0.8),0))</f>
        <v>1</v>
      </c>
      <c r="AF751" s="12">
        <f t="array" ref="AF751">IF($A751="","",ROUND($Y751*XLOOKUP($F751,Settings!$I$15:$I$20,Settings!$M$15:$M$20,1),0))</f>
        <v>1</v>
      </c>
      <c r="AG751" s="12">
        <f t="array" ref="AG751">IF($A751="","",ROUND($Y751*XLOOKUP($F751,Settings!$I$15:$I$20,Settings!$N$15:$N$20,1.1),0))</f>
        <v>1</v>
      </c>
      <c r="AH751" s="12">
        <f t="array" ref="AH751">IF($A751="","",ROUND($Y751*XLOOKUP($F751,Settings!$I$15:$I$20,Settings!$O$15:$O$20,1.1)*Settings!$J$7,0))</f>
        <v>1</v>
      </c>
      <c r="AI751" s="12">
        <f t="array" ref="AI751">IF($A751="","",IF($AA751="Sold","",MIN($AH751,IFERROR(XLOOKUP(Settings!$B$12,Managers!$B$4:$B$15,Managers!$H$4:$H$15),$AH751))))</f>
        <v>1</v>
      </c>
      <c r="AJ751" s="12" t="str">
        <f t="shared" si="3"/>
        <v>Budget Drainer</v>
      </c>
      <c r="AK751" s="12">
        <f t="shared" si="4"/>
        <v>28</v>
      </c>
      <c r="AL751" s="12" t="str">
        <f t="shared" si="5"/>
        <v/>
      </c>
    </row>
    <row r="752" ht="15.75" customHeight="1">
      <c r="A752" s="10" t="s">
        <v>1784</v>
      </c>
      <c r="B752" s="10" t="s">
        <v>1785</v>
      </c>
      <c r="C752" s="10" t="s">
        <v>199</v>
      </c>
      <c r="D752" s="10" t="s">
        <v>118</v>
      </c>
      <c r="E752" s="10" t="s">
        <v>118</v>
      </c>
      <c r="F752" s="10" t="s">
        <v>117</v>
      </c>
      <c r="G752" s="10">
        <v>5.0</v>
      </c>
      <c r="H752" s="10">
        <v>7.0</v>
      </c>
      <c r="I752" s="10" t="s">
        <v>2140</v>
      </c>
      <c r="J752" s="10" t="s">
        <v>2136</v>
      </c>
      <c r="K752" s="10"/>
      <c r="L752" s="10">
        <v>0.0</v>
      </c>
      <c r="M752" s="10">
        <v>0.0</v>
      </c>
      <c r="N752" s="10"/>
      <c r="O752" s="10"/>
      <c r="P752" s="12">
        <f>IF($A752="","",IFERROR((IF($O752="",0,$O752)*Settings!$J$4+IF($L752="",0,$L752)*Settings!$J$5+IF($N752="",0,$N752)*Settings!$J$6)/(IF($O752="",0,Settings!$J$4)+IF($L752="",0,Settings!$J$5)+IF($N752="",0,Settings!$J$6)),0))</f>
        <v>0</v>
      </c>
      <c r="Q752" s="12">
        <f t="array" ref="Q752">IF($A752="","",XLOOKUP($E752,Settings!$A$19:$A$22,Settings!$G$19:$G$22,0))</f>
        <v>196.25</v>
      </c>
      <c r="R752" s="12">
        <f t="shared" si="1"/>
        <v>0</v>
      </c>
      <c r="S752" s="12">
        <f>IF($A752="","",IF($R752&lt;=0,1,1+$R752/SUMIF($R$4:$R$923,"&gt;0",$R$4:$R$923)*(Settings!$B$5*(Settings!$B$6-Settings!$B$7))))</f>
        <v>1</v>
      </c>
      <c r="T752" s="12">
        <f t="array" ref="T752">IF($A752="","",XLOOKUP($F752,Settings!$I$15:$I$20,Settings!$J$15:$J$20,1))</f>
        <v>0.75</v>
      </c>
      <c r="U752" s="12">
        <f>IF($A752="","",1+(($G752-5)/5)*Settings!$J$8)</f>
        <v>1</v>
      </c>
      <c r="V752" s="12">
        <f>IF($A752="","",1+(($H752-5)/5)*Settings!$J$9)</f>
        <v>1.06</v>
      </c>
      <c r="W752" s="12">
        <f t="array" ref="W752">IF($A752="","",XLOOKUP($J752,Lists!$C$3:$C$7,Lists!$D$3:$D$7,1))</f>
        <v>1</v>
      </c>
      <c r="X752" s="12">
        <f>IF($A752="","",IF($I752="Yes",Settings!$J$10,1))</f>
        <v>1</v>
      </c>
      <c r="Y752" s="12">
        <f t="shared" si="2"/>
        <v>1</v>
      </c>
      <c r="Z752" s="12">
        <f>IF($A752="","",IFERROR(ROUND(AVERAGEIFS('Historical Drafts'!$G$4:$G$300,'Historical Drafts'!$D$4:$D$300,$E752,'Historical Drafts'!$J$4:$J$300,"&gt;="&amp;$L752*0.85,'Historical Drafts'!$J$4:$J$300,"&lt;="&amp;$L752*1.15),0),$Y752))</f>
        <v>1</v>
      </c>
      <c r="AA752" s="12" t="str">
        <f>IF($A752="","",IF(COUNTIF('Auction Log'!$B$3:$B$300,$A752)&gt;0,"Sold","Available"))</f>
        <v>Available</v>
      </c>
      <c r="AB752" s="12" t="str">
        <f t="array" ref="AB752">IF($A752="","",IFERROR(XLOOKUP($A752,'Auction Log'!$B$3:$B$300,'Auction Log'!$G$3:$G$300,""),""))</f>
        <v/>
      </c>
      <c r="AC752" s="12" t="str">
        <f t="array" ref="AC752">IF($A752="","",IFERROR(XLOOKUP($A752,'Auction Log'!$B$3:$B$300,'Auction Log'!$F$3:$F$300,""),""))</f>
        <v/>
      </c>
      <c r="AD752" s="12">
        <f t="array" ref="AD752">IF($A752="","",ROUND($Y752*XLOOKUP($F752,Settings!$I$15:$I$20,Settings!$K$15:$K$20,0.4),0))</f>
        <v>0</v>
      </c>
      <c r="AE752" s="12">
        <f t="array" ref="AE752">IF($A752="","",ROUND($Y752*XLOOKUP($F752,Settings!$I$15:$I$20,Settings!$L$15:$L$20,0.8),0))</f>
        <v>1</v>
      </c>
      <c r="AF752" s="12">
        <f t="array" ref="AF752">IF($A752="","",ROUND($Y752*XLOOKUP($F752,Settings!$I$15:$I$20,Settings!$M$15:$M$20,1),0))</f>
        <v>1</v>
      </c>
      <c r="AG752" s="12">
        <f t="array" ref="AG752">IF($A752="","",ROUND($Y752*XLOOKUP($F752,Settings!$I$15:$I$20,Settings!$N$15:$N$20,1.1),0))</f>
        <v>1</v>
      </c>
      <c r="AH752" s="12">
        <f t="array" ref="AH752">IF($A752="","",ROUND($Y752*XLOOKUP($F752,Settings!$I$15:$I$20,Settings!$O$15:$O$20,1.1)*Settings!$J$7,0))</f>
        <v>1</v>
      </c>
      <c r="AI752" s="12">
        <f t="array" ref="AI752">IF($A752="","",IF($AA752="Sold","",MIN($AH752,IFERROR(XLOOKUP(Settings!$B$12,Managers!$B$4:$B$15,Managers!$H$4:$H$15),$AH752))))</f>
        <v>1</v>
      </c>
      <c r="AJ752" s="12" t="str">
        <f t="shared" si="3"/>
        <v>Recommended</v>
      </c>
      <c r="AK752" s="12">
        <f t="shared" si="4"/>
        <v>26</v>
      </c>
      <c r="AL752" s="12" t="str">
        <f t="shared" si="5"/>
        <v/>
      </c>
    </row>
    <row r="753" ht="15.75" customHeight="1">
      <c r="A753" s="10" t="s">
        <v>1786</v>
      </c>
      <c r="B753" s="10" t="s">
        <v>1787</v>
      </c>
      <c r="C753" s="10" t="s">
        <v>177</v>
      </c>
      <c r="D753" s="10" t="s">
        <v>121</v>
      </c>
      <c r="E753" s="10" t="s">
        <v>121</v>
      </c>
      <c r="F753" s="10" t="s">
        <v>117</v>
      </c>
      <c r="G753" s="10">
        <v>5.0</v>
      </c>
      <c r="H753" s="10">
        <v>7.0</v>
      </c>
      <c r="I753" s="10" t="s">
        <v>2140</v>
      </c>
      <c r="J753" s="10" t="s">
        <v>2136</v>
      </c>
      <c r="K753" s="10"/>
      <c r="L753" s="10">
        <v>0.0</v>
      </c>
      <c r="M753" s="10">
        <v>0.0</v>
      </c>
      <c r="N753" s="10"/>
      <c r="O753" s="10"/>
      <c r="P753" s="12">
        <f>IF($A753="","",IFERROR((IF($O753="",0,$O753)*Settings!$J$4+IF($L753="",0,$L753)*Settings!$J$5+IF($N753="",0,$N753)*Settings!$J$6)/(IF($O753="",0,Settings!$J$4)+IF($L753="",0,Settings!$J$5)+IF($N753="",0,Settings!$J$6)),0))</f>
        <v>0</v>
      </c>
      <c r="Q753" s="12">
        <f t="array" ref="Q753">IF($A753="","",XLOOKUP($E753,Settings!$A$19:$A$22,Settings!$G$19:$G$22,0))</f>
        <v>206</v>
      </c>
      <c r="R753" s="12">
        <f t="shared" si="1"/>
        <v>0</v>
      </c>
      <c r="S753" s="12">
        <f>IF($A753="","",IF($R753&lt;=0,1,1+$R753/SUMIF($R$4:$R$923,"&gt;0",$R$4:$R$923)*(Settings!$B$5*(Settings!$B$6-Settings!$B$7))))</f>
        <v>1</v>
      </c>
      <c r="T753" s="12">
        <f t="array" ref="T753">IF($A753="","",XLOOKUP($F753,Settings!$I$15:$I$20,Settings!$J$15:$J$20,1))</f>
        <v>0.75</v>
      </c>
      <c r="U753" s="12">
        <f>IF($A753="","",1+(($G753-5)/5)*Settings!$J$8)</f>
        <v>1</v>
      </c>
      <c r="V753" s="12">
        <f>IF($A753="","",1+(($H753-5)/5)*Settings!$J$9)</f>
        <v>1.06</v>
      </c>
      <c r="W753" s="12">
        <f t="array" ref="W753">IF($A753="","",XLOOKUP($J753,Lists!$C$3:$C$7,Lists!$D$3:$D$7,1))</f>
        <v>1</v>
      </c>
      <c r="X753" s="12">
        <f>IF($A753="","",IF($I753="Yes",Settings!$J$10,1))</f>
        <v>1</v>
      </c>
      <c r="Y753" s="12">
        <f t="shared" si="2"/>
        <v>1</v>
      </c>
      <c r="Z753" s="12">
        <f>IF($A753="","",IFERROR(ROUND(AVERAGEIFS('Historical Drafts'!$G$4:$G$300,'Historical Drafts'!$D$4:$D$300,$E753,'Historical Drafts'!$J$4:$J$300,"&gt;="&amp;$L753*0.85,'Historical Drafts'!$J$4:$J$300,"&lt;="&amp;$L753*1.15),0),$Y753))</f>
        <v>3</v>
      </c>
      <c r="AA753" s="12" t="str">
        <f>IF($A753="","",IF(COUNTIF('Auction Log'!$B$3:$B$300,$A753)&gt;0,"Sold","Available"))</f>
        <v>Available</v>
      </c>
      <c r="AB753" s="12" t="str">
        <f t="array" ref="AB753">IF($A753="","",IFERROR(XLOOKUP($A753,'Auction Log'!$B$3:$B$300,'Auction Log'!$G$3:$G$300,""),""))</f>
        <v/>
      </c>
      <c r="AC753" s="12" t="str">
        <f t="array" ref="AC753">IF($A753="","",IFERROR(XLOOKUP($A753,'Auction Log'!$B$3:$B$300,'Auction Log'!$F$3:$F$300,""),""))</f>
        <v/>
      </c>
      <c r="AD753" s="12">
        <f t="array" ref="AD753">IF($A753="","",ROUND($Y753*XLOOKUP($F753,Settings!$I$15:$I$20,Settings!$K$15:$K$20,0.4),0))</f>
        <v>0</v>
      </c>
      <c r="AE753" s="12">
        <f t="array" ref="AE753">IF($A753="","",ROUND($Y753*XLOOKUP($F753,Settings!$I$15:$I$20,Settings!$L$15:$L$20,0.8),0))</f>
        <v>1</v>
      </c>
      <c r="AF753" s="12">
        <f t="array" ref="AF753">IF($A753="","",ROUND($Y753*XLOOKUP($F753,Settings!$I$15:$I$20,Settings!$M$15:$M$20,1),0))</f>
        <v>1</v>
      </c>
      <c r="AG753" s="12">
        <f t="array" ref="AG753">IF($A753="","",ROUND($Y753*XLOOKUP($F753,Settings!$I$15:$I$20,Settings!$N$15:$N$20,1.1),0))</f>
        <v>1</v>
      </c>
      <c r="AH753" s="12">
        <f t="array" ref="AH753">IF($A753="","",ROUND($Y753*XLOOKUP($F753,Settings!$I$15:$I$20,Settings!$O$15:$O$20,1.1)*Settings!$J$7,0))</f>
        <v>1</v>
      </c>
      <c r="AI753" s="12">
        <f t="array" ref="AI753">IF($A753="","",IF($AA753="Sold","",MIN($AH753,IFERROR(XLOOKUP(Settings!$B$12,Managers!$B$4:$B$15,Managers!$H$4:$H$15),$AH753))))</f>
        <v>1</v>
      </c>
      <c r="AJ753" s="12" t="str">
        <f t="shared" si="3"/>
        <v>Budget Drainer</v>
      </c>
      <c r="AK753" s="12">
        <f t="shared" si="4"/>
        <v>28</v>
      </c>
      <c r="AL753" s="12" t="str">
        <f t="shared" si="5"/>
        <v/>
      </c>
    </row>
    <row r="754" ht="15.75" customHeight="1">
      <c r="A754" s="10" t="s">
        <v>1788</v>
      </c>
      <c r="B754" s="10" t="s">
        <v>1789</v>
      </c>
      <c r="C754" s="10" t="s">
        <v>177</v>
      </c>
      <c r="D754" s="10" t="s">
        <v>121</v>
      </c>
      <c r="E754" s="10" t="s">
        <v>121</v>
      </c>
      <c r="F754" s="10" t="s">
        <v>117</v>
      </c>
      <c r="G754" s="10">
        <v>5.0</v>
      </c>
      <c r="H754" s="10">
        <v>7.0</v>
      </c>
      <c r="I754" s="10" t="s">
        <v>2140</v>
      </c>
      <c r="J754" s="10" t="s">
        <v>2136</v>
      </c>
      <c r="K754" s="10"/>
      <c r="L754" s="10">
        <v>0.0</v>
      </c>
      <c r="M754" s="10">
        <v>0.0</v>
      </c>
      <c r="N754" s="10"/>
      <c r="O754" s="10"/>
      <c r="P754" s="12">
        <f>IF($A754="","",IFERROR((IF($O754="",0,$O754)*Settings!$J$4+IF($L754="",0,$L754)*Settings!$J$5+IF($N754="",0,$N754)*Settings!$J$6)/(IF($O754="",0,Settings!$J$4)+IF($L754="",0,Settings!$J$5)+IF($N754="",0,Settings!$J$6)),0))</f>
        <v>0</v>
      </c>
      <c r="Q754" s="12">
        <f t="array" ref="Q754">IF($A754="","",XLOOKUP($E754,Settings!$A$19:$A$22,Settings!$G$19:$G$22,0))</f>
        <v>206</v>
      </c>
      <c r="R754" s="12">
        <f t="shared" si="1"/>
        <v>0</v>
      </c>
      <c r="S754" s="12">
        <f>IF($A754="","",IF($R754&lt;=0,1,1+$R754/SUMIF($R$4:$R$923,"&gt;0",$R$4:$R$923)*(Settings!$B$5*(Settings!$B$6-Settings!$B$7))))</f>
        <v>1</v>
      </c>
      <c r="T754" s="12">
        <f t="array" ref="T754">IF($A754="","",XLOOKUP($F754,Settings!$I$15:$I$20,Settings!$J$15:$J$20,1))</f>
        <v>0.75</v>
      </c>
      <c r="U754" s="12">
        <f>IF($A754="","",1+(($G754-5)/5)*Settings!$J$8)</f>
        <v>1</v>
      </c>
      <c r="V754" s="12">
        <f>IF($A754="","",1+(($H754-5)/5)*Settings!$J$9)</f>
        <v>1.06</v>
      </c>
      <c r="W754" s="12">
        <f t="array" ref="W754">IF($A754="","",XLOOKUP($J754,Lists!$C$3:$C$7,Lists!$D$3:$D$7,1))</f>
        <v>1</v>
      </c>
      <c r="X754" s="12">
        <f>IF($A754="","",IF($I754="Yes",Settings!$J$10,1))</f>
        <v>1</v>
      </c>
      <c r="Y754" s="12">
        <f t="shared" si="2"/>
        <v>1</v>
      </c>
      <c r="Z754" s="12">
        <f>IF($A754="","",IFERROR(ROUND(AVERAGEIFS('Historical Drafts'!$G$4:$G$300,'Historical Drafts'!$D$4:$D$300,$E754,'Historical Drafts'!$J$4:$J$300,"&gt;="&amp;$L754*0.85,'Historical Drafts'!$J$4:$J$300,"&lt;="&amp;$L754*1.15),0),$Y754))</f>
        <v>3</v>
      </c>
      <c r="AA754" s="12" t="str">
        <f>IF($A754="","",IF(COUNTIF('Auction Log'!$B$3:$B$300,$A754)&gt;0,"Sold","Available"))</f>
        <v>Available</v>
      </c>
      <c r="AB754" s="12" t="str">
        <f t="array" ref="AB754">IF($A754="","",IFERROR(XLOOKUP($A754,'Auction Log'!$B$3:$B$300,'Auction Log'!$G$3:$G$300,""),""))</f>
        <v/>
      </c>
      <c r="AC754" s="12" t="str">
        <f t="array" ref="AC754">IF($A754="","",IFERROR(XLOOKUP($A754,'Auction Log'!$B$3:$B$300,'Auction Log'!$F$3:$F$300,""),""))</f>
        <v/>
      </c>
      <c r="AD754" s="12">
        <f t="array" ref="AD754">IF($A754="","",ROUND($Y754*XLOOKUP($F754,Settings!$I$15:$I$20,Settings!$K$15:$K$20,0.4),0))</f>
        <v>0</v>
      </c>
      <c r="AE754" s="12">
        <f t="array" ref="AE754">IF($A754="","",ROUND($Y754*XLOOKUP($F754,Settings!$I$15:$I$20,Settings!$L$15:$L$20,0.8),0))</f>
        <v>1</v>
      </c>
      <c r="AF754" s="12">
        <f t="array" ref="AF754">IF($A754="","",ROUND($Y754*XLOOKUP($F754,Settings!$I$15:$I$20,Settings!$M$15:$M$20,1),0))</f>
        <v>1</v>
      </c>
      <c r="AG754" s="12">
        <f t="array" ref="AG754">IF($A754="","",ROUND($Y754*XLOOKUP($F754,Settings!$I$15:$I$20,Settings!$N$15:$N$20,1.1),0))</f>
        <v>1</v>
      </c>
      <c r="AH754" s="12">
        <f t="array" ref="AH754">IF($A754="","",ROUND($Y754*XLOOKUP($F754,Settings!$I$15:$I$20,Settings!$O$15:$O$20,1.1)*Settings!$J$7,0))</f>
        <v>1</v>
      </c>
      <c r="AI754" s="12">
        <f t="array" ref="AI754">IF($A754="","",IF($AA754="Sold","",MIN($AH754,IFERROR(XLOOKUP(Settings!$B$12,Managers!$B$4:$B$15,Managers!$H$4:$H$15),$AH754))))</f>
        <v>1</v>
      </c>
      <c r="AJ754" s="12" t="str">
        <f t="shared" si="3"/>
        <v>Budget Drainer</v>
      </c>
      <c r="AK754" s="12">
        <f t="shared" si="4"/>
        <v>28</v>
      </c>
      <c r="AL754" s="12" t="str">
        <f t="shared" si="5"/>
        <v/>
      </c>
    </row>
    <row r="755" ht="15.75" customHeight="1">
      <c r="A755" s="10" t="s">
        <v>1790</v>
      </c>
      <c r="B755" s="10" t="s">
        <v>1791</v>
      </c>
      <c r="C755" s="10" t="s">
        <v>236</v>
      </c>
      <c r="D755" s="10" t="s">
        <v>118</v>
      </c>
      <c r="E755" s="10" t="s">
        <v>118</v>
      </c>
      <c r="F755" s="10" t="s">
        <v>117</v>
      </c>
      <c r="G755" s="10">
        <v>5.0</v>
      </c>
      <c r="H755" s="10">
        <v>7.0</v>
      </c>
      <c r="I755" s="10" t="s">
        <v>2140</v>
      </c>
      <c r="J755" s="10" t="s">
        <v>2136</v>
      </c>
      <c r="K755" s="10"/>
      <c r="L755" s="10">
        <v>0.0</v>
      </c>
      <c r="M755" s="10">
        <v>0.0</v>
      </c>
      <c r="N755" s="10"/>
      <c r="O755" s="10"/>
      <c r="P755" s="12">
        <f>IF($A755="","",IFERROR((IF($O755="",0,$O755)*Settings!$J$4+IF($L755="",0,$L755)*Settings!$J$5+IF($N755="",0,$N755)*Settings!$J$6)/(IF($O755="",0,Settings!$J$4)+IF($L755="",0,Settings!$J$5)+IF($N755="",0,Settings!$J$6)),0))</f>
        <v>0</v>
      </c>
      <c r="Q755" s="12">
        <f t="array" ref="Q755">IF($A755="","",XLOOKUP($E755,Settings!$A$19:$A$22,Settings!$G$19:$G$22,0))</f>
        <v>196.25</v>
      </c>
      <c r="R755" s="12">
        <f t="shared" si="1"/>
        <v>0</v>
      </c>
      <c r="S755" s="12">
        <f>IF($A755="","",IF($R755&lt;=0,1,1+$R755/SUMIF($R$4:$R$923,"&gt;0",$R$4:$R$923)*(Settings!$B$5*(Settings!$B$6-Settings!$B$7))))</f>
        <v>1</v>
      </c>
      <c r="T755" s="12">
        <f t="array" ref="T755">IF($A755="","",XLOOKUP($F755,Settings!$I$15:$I$20,Settings!$J$15:$J$20,1))</f>
        <v>0.75</v>
      </c>
      <c r="U755" s="12">
        <f>IF($A755="","",1+(($G755-5)/5)*Settings!$J$8)</f>
        <v>1</v>
      </c>
      <c r="V755" s="12">
        <f>IF($A755="","",1+(($H755-5)/5)*Settings!$J$9)</f>
        <v>1.06</v>
      </c>
      <c r="W755" s="12">
        <f t="array" ref="W755">IF($A755="","",XLOOKUP($J755,Lists!$C$3:$C$7,Lists!$D$3:$D$7,1))</f>
        <v>1</v>
      </c>
      <c r="X755" s="12">
        <f>IF($A755="","",IF($I755="Yes",Settings!$J$10,1))</f>
        <v>1</v>
      </c>
      <c r="Y755" s="12">
        <f t="shared" si="2"/>
        <v>1</v>
      </c>
      <c r="Z755" s="12">
        <f>IF($A755="","",IFERROR(ROUND(AVERAGEIFS('Historical Drafts'!$G$4:$G$300,'Historical Drafts'!$D$4:$D$300,$E755,'Historical Drafts'!$J$4:$J$300,"&gt;="&amp;$L755*0.85,'Historical Drafts'!$J$4:$J$300,"&lt;="&amp;$L755*1.15),0),$Y755))</f>
        <v>1</v>
      </c>
      <c r="AA755" s="12" t="str">
        <f>IF($A755="","",IF(COUNTIF('Auction Log'!$B$3:$B$300,$A755)&gt;0,"Sold","Available"))</f>
        <v>Available</v>
      </c>
      <c r="AB755" s="12" t="str">
        <f t="array" ref="AB755">IF($A755="","",IFERROR(XLOOKUP($A755,'Auction Log'!$B$3:$B$300,'Auction Log'!$G$3:$G$300,""),""))</f>
        <v/>
      </c>
      <c r="AC755" s="12" t="str">
        <f t="array" ref="AC755">IF($A755="","",IFERROR(XLOOKUP($A755,'Auction Log'!$B$3:$B$300,'Auction Log'!$F$3:$F$300,""),""))</f>
        <v/>
      </c>
      <c r="AD755" s="12">
        <f t="array" ref="AD755">IF($A755="","",ROUND($Y755*XLOOKUP($F755,Settings!$I$15:$I$20,Settings!$K$15:$K$20,0.4),0))</f>
        <v>0</v>
      </c>
      <c r="AE755" s="12">
        <f t="array" ref="AE755">IF($A755="","",ROUND($Y755*XLOOKUP($F755,Settings!$I$15:$I$20,Settings!$L$15:$L$20,0.8),0))</f>
        <v>1</v>
      </c>
      <c r="AF755" s="12">
        <f t="array" ref="AF755">IF($A755="","",ROUND($Y755*XLOOKUP($F755,Settings!$I$15:$I$20,Settings!$M$15:$M$20,1),0))</f>
        <v>1</v>
      </c>
      <c r="AG755" s="12">
        <f t="array" ref="AG755">IF($A755="","",ROUND($Y755*XLOOKUP($F755,Settings!$I$15:$I$20,Settings!$N$15:$N$20,1.1),0))</f>
        <v>1</v>
      </c>
      <c r="AH755" s="12">
        <f t="array" ref="AH755">IF($A755="","",ROUND($Y755*XLOOKUP($F755,Settings!$I$15:$I$20,Settings!$O$15:$O$20,1.1)*Settings!$J$7,0))</f>
        <v>1</v>
      </c>
      <c r="AI755" s="12">
        <f t="array" ref="AI755">IF($A755="","",IF($AA755="Sold","",MIN($AH755,IFERROR(XLOOKUP(Settings!$B$12,Managers!$B$4:$B$15,Managers!$H$4:$H$15),$AH755))))</f>
        <v>1</v>
      </c>
      <c r="AJ755" s="12" t="str">
        <f t="shared" si="3"/>
        <v>Recommended</v>
      </c>
      <c r="AK755" s="12">
        <f t="shared" si="4"/>
        <v>26</v>
      </c>
      <c r="AL755" s="12" t="str">
        <f t="shared" si="5"/>
        <v/>
      </c>
    </row>
    <row r="756" ht="15.75" customHeight="1">
      <c r="A756" s="10" t="s">
        <v>1792</v>
      </c>
      <c r="B756" s="10" t="s">
        <v>1793</v>
      </c>
      <c r="C756" s="10" t="s">
        <v>188</v>
      </c>
      <c r="D756" s="10" t="s">
        <v>121</v>
      </c>
      <c r="E756" s="10" t="s">
        <v>121</v>
      </c>
      <c r="F756" s="10" t="s">
        <v>117</v>
      </c>
      <c r="G756" s="10">
        <v>5.0</v>
      </c>
      <c r="H756" s="10">
        <v>7.0</v>
      </c>
      <c r="I756" s="10" t="s">
        <v>2140</v>
      </c>
      <c r="J756" s="10" t="s">
        <v>2136</v>
      </c>
      <c r="K756" s="10"/>
      <c r="L756" s="10">
        <v>0.0</v>
      </c>
      <c r="M756" s="10">
        <v>0.0</v>
      </c>
      <c r="N756" s="10"/>
      <c r="O756" s="10"/>
      <c r="P756" s="12">
        <f>IF($A756="","",IFERROR((IF($O756="",0,$O756)*Settings!$J$4+IF($L756="",0,$L756)*Settings!$J$5+IF($N756="",0,$N756)*Settings!$J$6)/(IF($O756="",0,Settings!$J$4)+IF($L756="",0,Settings!$J$5)+IF($N756="",0,Settings!$J$6)),0))</f>
        <v>0</v>
      </c>
      <c r="Q756" s="12">
        <f t="array" ref="Q756">IF($A756="","",XLOOKUP($E756,Settings!$A$19:$A$22,Settings!$G$19:$G$22,0))</f>
        <v>206</v>
      </c>
      <c r="R756" s="12">
        <f t="shared" si="1"/>
        <v>0</v>
      </c>
      <c r="S756" s="12">
        <f>IF($A756="","",IF($R756&lt;=0,1,1+$R756/SUMIF($R$4:$R$923,"&gt;0",$R$4:$R$923)*(Settings!$B$5*(Settings!$B$6-Settings!$B$7))))</f>
        <v>1</v>
      </c>
      <c r="T756" s="12">
        <f t="array" ref="T756">IF($A756="","",XLOOKUP($F756,Settings!$I$15:$I$20,Settings!$J$15:$J$20,1))</f>
        <v>0.75</v>
      </c>
      <c r="U756" s="12">
        <f>IF($A756="","",1+(($G756-5)/5)*Settings!$J$8)</f>
        <v>1</v>
      </c>
      <c r="V756" s="12">
        <f>IF($A756="","",1+(($H756-5)/5)*Settings!$J$9)</f>
        <v>1.06</v>
      </c>
      <c r="W756" s="12">
        <f t="array" ref="W756">IF($A756="","",XLOOKUP($J756,Lists!$C$3:$C$7,Lists!$D$3:$D$7,1))</f>
        <v>1</v>
      </c>
      <c r="X756" s="12">
        <f>IF($A756="","",IF($I756="Yes",Settings!$J$10,1))</f>
        <v>1</v>
      </c>
      <c r="Y756" s="12">
        <f t="shared" si="2"/>
        <v>1</v>
      </c>
      <c r="Z756" s="12">
        <f>IF($A756="","",IFERROR(ROUND(AVERAGEIFS('Historical Drafts'!$G$4:$G$300,'Historical Drafts'!$D$4:$D$300,$E756,'Historical Drafts'!$J$4:$J$300,"&gt;="&amp;$L756*0.85,'Historical Drafts'!$J$4:$J$300,"&lt;="&amp;$L756*1.15),0),$Y756))</f>
        <v>3</v>
      </c>
      <c r="AA756" s="12" t="str">
        <f>IF($A756="","",IF(COUNTIF('Auction Log'!$B$3:$B$300,$A756)&gt;0,"Sold","Available"))</f>
        <v>Available</v>
      </c>
      <c r="AB756" s="12" t="str">
        <f t="array" ref="AB756">IF($A756="","",IFERROR(XLOOKUP($A756,'Auction Log'!$B$3:$B$300,'Auction Log'!$G$3:$G$300,""),""))</f>
        <v/>
      </c>
      <c r="AC756" s="12" t="str">
        <f t="array" ref="AC756">IF($A756="","",IFERROR(XLOOKUP($A756,'Auction Log'!$B$3:$B$300,'Auction Log'!$F$3:$F$300,""),""))</f>
        <v/>
      </c>
      <c r="AD756" s="12">
        <f t="array" ref="AD756">IF($A756="","",ROUND($Y756*XLOOKUP($F756,Settings!$I$15:$I$20,Settings!$K$15:$K$20,0.4),0))</f>
        <v>0</v>
      </c>
      <c r="AE756" s="12">
        <f t="array" ref="AE756">IF($A756="","",ROUND($Y756*XLOOKUP($F756,Settings!$I$15:$I$20,Settings!$L$15:$L$20,0.8),0))</f>
        <v>1</v>
      </c>
      <c r="AF756" s="12">
        <f t="array" ref="AF756">IF($A756="","",ROUND($Y756*XLOOKUP($F756,Settings!$I$15:$I$20,Settings!$M$15:$M$20,1),0))</f>
        <v>1</v>
      </c>
      <c r="AG756" s="12">
        <f t="array" ref="AG756">IF($A756="","",ROUND($Y756*XLOOKUP($F756,Settings!$I$15:$I$20,Settings!$N$15:$N$20,1.1),0))</f>
        <v>1</v>
      </c>
      <c r="AH756" s="12">
        <f t="array" ref="AH756">IF($A756="","",ROUND($Y756*XLOOKUP($F756,Settings!$I$15:$I$20,Settings!$O$15:$O$20,1.1)*Settings!$J$7,0))</f>
        <v>1</v>
      </c>
      <c r="AI756" s="12">
        <f t="array" ref="AI756">IF($A756="","",IF($AA756="Sold","",MIN($AH756,IFERROR(XLOOKUP(Settings!$B$12,Managers!$B$4:$B$15,Managers!$H$4:$H$15),$AH756))))</f>
        <v>1</v>
      </c>
      <c r="AJ756" s="12" t="str">
        <f t="shared" si="3"/>
        <v>Budget Drainer</v>
      </c>
      <c r="AK756" s="12">
        <f t="shared" si="4"/>
        <v>28</v>
      </c>
      <c r="AL756" s="12" t="str">
        <f t="shared" si="5"/>
        <v/>
      </c>
    </row>
    <row r="757" ht="15.75" customHeight="1">
      <c r="A757" s="10" t="s">
        <v>1794</v>
      </c>
      <c r="B757" s="10" t="s">
        <v>1795</v>
      </c>
      <c r="C757" s="10" t="s">
        <v>226</v>
      </c>
      <c r="D757" s="10" t="s">
        <v>121</v>
      </c>
      <c r="E757" s="10" t="s">
        <v>121</v>
      </c>
      <c r="F757" s="10" t="s">
        <v>117</v>
      </c>
      <c r="G757" s="10">
        <v>5.0</v>
      </c>
      <c r="H757" s="10">
        <v>7.0</v>
      </c>
      <c r="I757" s="10" t="s">
        <v>2140</v>
      </c>
      <c r="J757" s="10" t="s">
        <v>2136</v>
      </c>
      <c r="K757" s="10"/>
      <c r="L757" s="10">
        <v>0.0</v>
      </c>
      <c r="M757" s="10">
        <v>0.0</v>
      </c>
      <c r="N757" s="10"/>
      <c r="O757" s="10"/>
      <c r="P757" s="12">
        <f>IF($A757="","",IFERROR((IF($O757="",0,$O757)*Settings!$J$4+IF($L757="",0,$L757)*Settings!$J$5+IF($N757="",0,$N757)*Settings!$J$6)/(IF($O757="",0,Settings!$J$4)+IF($L757="",0,Settings!$J$5)+IF($N757="",0,Settings!$J$6)),0))</f>
        <v>0</v>
      </c>
      <c r="Q757" s="12">
        <f t="array" ref="Q757">IF($A757="","",XLOOKUP($E757,Settings!$A$19:$A$22,Settings!$G$19:$G$22,0))</f>
        <v>206</v>
      </c>
      <c r="R757" s="12">
        <f t="shared" si="1"/>
        <v>0</v>
      </c>
      <c r="S757" s="12">
        <f>IF($A757="","",IF($R757&lt;=0,1,1+$R757/SUMIF($R$4:$R$923,"&gt;0",$R$4:$R$923)*(Settings!$B$5*(Settings!$B$6-Settings!$B$7))))</f>
        <v>1</v>
      </c>
      <c r="T757" s="12">
        <f t="array" ref="T757">IF($A757="","",XLOOKUP($F757,Settings!$I$15:$I$20,Settings!$J$15:$J$20,1))</f>
        <v>0.75</v>
      </c>
      <c r="U757" s="12">
        <f>IF($A757="","",1+(($G757-5)/5)*Settings!$J$8)</f>
        <v>1</v>
      </c>
      <c r="V757" s="12">
        <f>IF($A757="","",1+(($H757-5)/5)*Settings!$J$9)</f>
        <v>1.06</v>
      </c>
      <c r="W757" s="12">
        <f t="array" ref="W757">IF($A757="","",XLOOKUP($J757,Lists!$C$3:$C$7,Lists!$D$3:$D$7,1))</f>
        <v>1</v>
      </c>
      <c r="X757" s="12">
        <f>IF($A757="","",IF($I757="Yes",Settings!$J$10,1))</f>
        <v>1</v>
      </c>
      <c r="Y757" s="12">
        <f t="shared" si="2"/>
        <v>1</v>
      </c>
      <c r="Z757" s="12">
        <f>IF($A757="","",IFERROR(ROUND(AVERAGEIFS('Historical Drafts'!$G$4:$G$300,'Historical Drafts'!$D$4:$D$300,$E757,'Historical Drafts'!$J$4:$J$300,"&gt;="&amp;$L757*0.85,'Historical Drafts'!$J$4:$J$300,"&lt;="&amp;$L757*1.15),0),$Y757))</f>
        <v>3</v>
      </c>
      <c r="AA757" s="12" t="str">
        <f>IF($A757="","",IF(COUNTIF('Auction Log'!$B$3:$B$300,$A757)&gt;0,"Sold","Available"))</f>
        <v>Available</v>
      </c>
      <c r="AB757" s="12" t="str">
        <f t="array" ref="AB757">IF($A757="","",IFERROR(XLOOKUP($A757,'Auction Log'!$B$3:$B$300,'Auction Log'!$G$3:$G$300,""),""))</f>
        <v/>
      </c>
      <c r="AC757" s="12" t="str">
        <f t="array" ref="AC757">IF($A757="","",IFERROR(XLOOKUP($A757,'Auction Log'!$B$3:$B$300,'Auction Log'!$F$3:$F$300,""),""))</f>
        <v/>
      </c>
      <c r="AD757" s="12">
        <f t="array" ref="AD757">IF($A757="","",ROUND($Y757*XLOOKUP($F757,Settings!$I$15:$I$20,Settings!$K$15:$K$20,0.4),0))</f>
        <v>0</v>
      </c>
      <c r="AE757" s="12">
        <f t="array" ref="AE757">IF($A757="","",ROUND($Y757*XLOOKUP($F757,Settings!$I$15:$I$20,Settings!$L$15:$L$20,0.8),0))</f>
        <v>1</v>
      </c>
      <c r="AF757" s="12">
        <f t="array" ref="AF757">IF($A757="","",ROUND($Y757*XLOOKUP($F757,Settings!$I$15:$I$20,Settings!$M$15:$M$20,1),0))</f>
        <v>1</v>
      </c>
      <c r="AG757" s="12">
        <f t="array" ref="AG757">IF($A757="","",ROUND($Y757*XLOOKUP($F757,Settings!$I$15:$I$20,Settings!$N$15:$N$20,1.1),0))</f>
        <v>1</v>
      </c>
      <c r="AH757" s="12">
        <f t="array" ref="AH757">IF($A757="","",ROUND($Y757*XLOOKUP($F757,Settings!$I$15:$I$20,Settings!$O$15:$O$20,1.1)*Settings!$J$7,0))</f>
        <v>1</v>
      </c>
      <c r="AI757" s="12">
        <f t="array" ref="AI757">IF($A757="","",IF($AA757="Sold","",MIN($AH757,IFERROR(XLOOKUP(Settings!$B$12,Managers!$B$4:$B$15,Managers!$H$4:$H$15),$AH757))))</f>
        <v>1</v>
      </c>
      <c r="AJ757" s="12" t="str">
        <f t="shared" si="3"/>
        <v>Budget Drainer</v>
      </c>
      <c r="AK757" s="12">
        <f t="shared" si="4"/>
        <v>28</v>
      </c>
      <c r="AL757" s="12" t="str">
        <f t="shared" si="5"/>
        <v/>
      </c>
    </row>
    <row r="758" ht="15.75" customHeight="1">
      <c r="A758" s="10" t="s">
        <v>1796</v>
      </c>
      <c r="B758" s="10" t="s">
        <v>1797</v>
      </c>
      <c r="C758" s="10" t="s">
        <v>185</v>
      </c>
      <c r="D758" s="10" t="s">
        <v>118</v>
      </c>
      <c r="E758" s="10" t="s">
        <v>118</v>
      </c>
      <c r="F758" s="10" t="s">
        <v>117</v>
      </c>
      <c r="G758" s="10">
        <v>5.0</v>
      </c>
      <c r="H758" s="10">
        <v>7.0</v>
      </c>
      <c r="I758" s="10" t="s">
        <v>2140</v>
      </c>
      <c r="J758" s="10" t="s">
        <v>2136</v>
      </c>
      <c r="K758" s="10"/>
      <c r="L758" s="10">
        <v>0.0</v>
      </c>
      <c r="M758" s="10">
        <v>0.0</v>
      </c>
      <c r="N758" s="10"/>
      <c r="O758" s="10"/>
      <c r="P758" s="12">
        <f>IF($A758="","",IFERROR((IF($O758="",0,$O758)*Settings!$J$4+IF($L758="",0,$L758)*Settings!$J$5+IF($N758="",0,$N758)*Settings!$J$6)/(IF($O758="",0,Settings!$J$4)+IF($L758="",0,Settings!$J$5)+IF($N758="",0,Settings!$J$6)),0))</f>
        <v>0</v>
      </c>
      <c r="Q758" s="12">
        <f t="array" ref="Q758">IF($A758="","",XLOOKUP($E758,Settings!$A$19:$A$22,Settings!$G$19:$G$22,0))</f>
        <v>196.25</v>
      </c>
      <c r="R758" s="12">
        <f t="shared" si="1"/>
        <v>0</v>
      </c>
      <c r="S758" s="12">
        <f>IF($A758="","",IF($R758&lt;=0,1,1+$R758/SUMIF($R$4:$R$923,"&gt;0",$R$4:$R$923)*(Settings!$B$5*(Settings!$B$6-Settings!$B$7))))</f>
        <v>1</v>
      </c>
      <c r="T758" s="12">
        <f t="array" ref="T758">IF($A758="","",XLOOKUP($F758,Settings!$I$15:$I$20,Settings!$J$15:$J$20,1))</f>
        <v>0.75</v>
      </c>
      <c r="U758" s="12">
        <f>IF($A758="","",1+(($G758-5)/5)*Settings!$J$8)</f>
        <v>1</v>
      </c>
      <c r="V758" s="12">
        <f>IF($A758="","",1+(($H758-5)/5)*Settings!$J$9)</f>
        <v>1.06</v>
      </c>
      <c r="W758" s="12">
        <f t="array" ref="W758">IF($A758="","",XLOOKUP($J758,Lists!$C$3:$C$7,Lists!$D$3:$D$7,1))</f>
        <v>1</v>
      </c>
      <c r="X758" s="12">
        <f>IF($A758="","",IF($I758="Yes",Settings!$J$10,1))</f>
        <v>1</v>
      </c>
      <c r="Y758" s="12">
        <f t="shared" si="2"/>
        <v>1</v>
      </c>
      <c r="Z758" s="12">
        <f>IF($A758="","",IFERROR(ROUND(AVERAGEIFS('Historical Drafts'!$G$4:$G$300,'Historical Drafts'!$D$4:$D$300,$E758,'Historical Drafts'!$J$4:$J$300,"&gt;="&amp;$L758*0.85,'Historical Drafts'!$J$4:$J$300,"&lt;="&amp;$L758*1.15),0),$Y758))</f>
        <v>1</v>
      </c>
      <c r="AA758" s="12" t="str">
        <f>IF($A758="","",IF(COUNTIF('Auction Log'!$B$3:$B$300,$A758)&gt;0,"Sold","Available"))</f>
        <v>Available</v>
      </c>
      <c r="AB758" s="12" t="str">
        <f t="array" ref="AB758">IF($A758="","",IFERROR(XLOOKUP($A758,'Auction Log'!$B$3:$B$300,'Auction Log'!$G$3:$G$300,""),""))</f>
        <v/>
      </c>
      <c r="AC758" s="12" t="str">
        <f t="array" ref="AC758">IF($A758="","",IFERROR(XLOOKUP($A758,'Auction Log'!$B$3:$B$300,'Auction Log'!$F$3:$F$300,""),""))</f>
        <v/>
      </c>
      <c r="AD758" s="12">
        <f t="array" ref="AD758">IF($A758="","",ROUND($Y758*XLOOKUP($F758,Settings!$I$15:$I$20,Settings!$K$15:$K$20,0.4),0))</f>
        <v>0</v>
      </c>
      <c r="AE758" s="12">
        <f t="array" ref="AE758">IF($A758="","",ROUND($Y758*XLOOKUP($F758,Settings!$I$15:$I$20,Settings!$L$15:$L$20,0.8),0))</f>
        <v>1</v>
      </c>
      <c r="AF758" s="12">
        <f t="array" ref="AF758">IF($A758="","",ROUND($Y758*XLOOKUP($F758,Settings!$I$15:$I$20,Settings!$M$15:$M$20,1),0))</f>
        <v>1</v>
      </c>
      <c r="AG758" s="12">
        <f t="array" ref="AG758">IF($A758="","",ROUND($Y758*XLOOKUP($F758,Settings!$I$15:$I$20,Settings!$N$15:$N$20,1.1),0))</f>
        <v>1</v>
      </c>
      <c r="AH758" s="12">
        <f t="array" ref="AH758">IF($A758="","",ROUND($Y758*XLOOKUP($F758,Settings!$I$15:$I$20,Settings!$O$15:$O$20,1.1)*Settings!$J$7,0))</f>
        <v>1</v>
      </c>
      <c r="AI758" s="12">
        <f t="array" ref="AI758">IF($A758="","",IF($AA758="Sold","",MIN($AH758,IFERROR(XLOOKUP(Settings!$B$12,Managers!$B$4:$B$15,Managers!$H$4:$H$15),$AH758))))</f>
        <v>1</v>
      </c>
      <c r="AJ758" s="12" t="str">
        <f t="shared" si="3"/>
        <v>Recommended</v>
      </c>
      <c r="AK758" s="12">
        <f t="shared" si="4"/>
        <v>26</v>
      </c>
      <c r="AL758" s="12" t="str">
        <f t="shared" si="5"/>
        <v/>
      </c>
    </row>
    <row r="759" ht="15.75" customHeight="1">
      <c r="A759" s="10" t="s">
        <v>1798</v>
      </c>
      <c r="B759" s="10" t="s">
        <v>1799</v>
      </c>
      <c r="C759" s="10" t="s">
        <v>285</v>
      </c>
      <c r="D759" s="10" t="s">
        <v>115</v>
      </c>
      <c r="E759" s="10" t="s">
        <v>115</v>
      </c>
      <c r="F759" s="10" t="s">
        <v>117</v>
      </c>
      <c r="G759" s="10">
        <v>5.0</v>
      </c>
      <c r="H759" s="10">
        <v>7.0</v>
      </c>
      <c r="I759" s="10" t="s">
        <v>2140</v>
      </c>
      <c r="J759" s="10" t="s">
        <v>2136</v>
      </c>
      <c r="K759" s="10"/>
      <c r="L759" s="10">
        <v>0.0</v>
      </c>
      <c r="M759" s="10">
        <v>0.0</v>
      </c>
      <c r="N759" s="10"/>
      <c r="O759" s="10"/>
      <c r="P759" s="12">
        <f>IF($A759="","",IFERROR((IF($O759="",0,$O759)*Settings!$J$4+IF($L759="",0,$L759)*Settings!$J$5+IF($N759="",0,$N759)*Settings!$J$6)/(IF($O759="",0,Settings!$J$4)+IF($L759="",0,Settings!$J$5)+IF($N759="",0,Settings!$J$6)),0))</f>
        <v>0</v>
      </c>
      <c r="Q759" s="12">
        <f t="array" ref="Q759">IF($A759="","",XLOOKUP($E759,Settings!$A$19:$A$22,Settings!$G$19:$G$22,0))</f>
        <v>249.25</v>
      </c>
      <c r="R759" s="12">
        <f t="shared" si="1"/>
        <v>0</v>
      </c>
      <c r="S759" s="12">
        <f>IF($A759="","",IF($R759&lt;=0,1,1+$R759/SUMIF($R$4:$R$923,"&gt;0",$R$4:$R$923)*(Settings!$B$5*(Settings!$B$6-Settings!$B$7))))</f>
        <v>1</v>
      </c>
      <c r="T759" s="12">
        <f t="array" ref="T759">IF($A759="","",XLOOKUP($F759,Settings!$I$15:$I$20,Settings!$J$15:$J$20,1))</f>
        <v>0.75</v>
      </c>
      <c r="U759" s="12">
        <f>IF($A759="","",1+(($G759-5)/5)*Settings!$J$8)</f>
        <v>1</v>
      </c>
      <c r="V759" s="12">
        <f>IF($A759="","",1+(($H759-5)/5)*Settings!$J$9)</f>
        <v>1.06</v>
      </c>
      <c r="W759" s="12">
        <f t="array" ref="W759">IF($A759="","",XLOOKUP($J759,Lists!$C$3:$C$7,Lists!$D$3:$D$7,1))</f>
        <v>1</v>
      </c>
      <c r="X759" s="12">
        <f>IF($A759="","",IF($I759="Yes",Settings!$J$10,1))</f>
        <v>1</v>
      </c>
      <c r="Y759" s="12">
        <f t="shared" si="2"/>
        <v>1</v>
      </c>
      <c r="Z759" s="12">
        <f>IF($A759="","",IFERROR(ROUND(AVERAGEIFS('Historical Drafts'!$G$4:$G$300,'Historical Drafts'!$D$4:$D$300,$E759,'Historical Drafts'!$J$4:$J$300,"&gt;="&amp;$L759*0.85,'Historical Drafts'!$J$4:$J$300,"&lt;="&amp;$L759*1.15),0),$Y759))</f>
        <v>1</v>
      </c>
      <c r="AA759" s="12" t="str">
        <f>IF($A759="","",IF(COUNTIF('Auction Log'!$B$3:$B$300,$A759)&gt;0,"Sold","Available"))</f>
        <v>Available</v>
      </c>
      <c r="AB759" s="12" t="str">
        <f t="array" ref="AB759">IF($A759="","",IFERROR(XLOOKUP($A759,'Auction Log'!$B$3:$B$300,'Auction Log'!$G$3:$G$300,""),""))</f>
        <v/>
      </c>
      <c r="AC759" s="12" t="str">
        <f t="array" ref="AC759">IF($A759="","",IFERROR(XLOOKUP($A759,'Auction Log'!$B$3:$B$300,'Auction Log'!$F$3:$F$300,""),""))</f>
        <v/>
      </c>
      <c r="AD759" s="12">
        <f t="array" ref="AD759">IF($A759="","",ROUND($Y759*XLOOKUP($F759,Settings!$I$15:$I$20,Settings!$K$15:$K$20,0.4),0))</f>
        <v>0</v>
      </c>
      <c r="AE759" s="12">
        <f t="array" ref="AE759">IF($A759="","",ROUND($Y759*XLOOKUP($F759,Settings!$I$15:$I$20,Settings!$L$15:$L$20,0.8),0))</f>
        <v>1</v>
      </c>
      <c r="AF759" s="12">
        <f t="array" ref="AF759">IF($A759="","",ROUND($Y759*XLOOKUP($F759,Settings!$I$15:$I$20,Settings!$M$15:$M$20,1),0))</f>
        <v>1</v>
      </c>
      <c r="AG759" s="12">
        <f t="array" ref="AG759">IF($A759="","",ROUND($Y759*XLOOKUP($F759,Settings!$I$15:$I$20,Settings!$N$15:$N$20,1.1),0))</f>
        <v>1</v>
      </c>
      <c r="AH759" s="12">
        <f t="array" ref="AH759">IF($A759="","",ROUND($Y759*XLOOKUP($F759,Settings!$I$15:$I$20,Settings!$O$15:$O$20,1.1)*Settings!$J$7,0))</f>
        <v>1</v>
      </c>
      <c r="AI759" s="12">
        <f t="array" ref="AI759">IF($A759="","",IF($AA759="Sold","",MIN($AH759,IFERROR(XLOOKUP(Settings!$B$12,Managers!$B$4:$B$15,Managers!$H$4:$H$15),$AH759))))</f>
        <v>1</v>
      </c>
      <c r="AJ759" s="12" t="str">
        <f t="shared" si="3"/>
        <v>Recommended</v>
      </c>
      <c r="AK759" s="12">
        <f t="shared" si="4"/>
        <v>26</v>
      </c>
      <c r="AL759" s="12" t="str">
        <f t="shared" si="5"/>
        <v/>
      </c>
    </row>
    <row r="760" ht="15.75" customHeight="1">
      <c r="A760" s="10" t="s">
        <v>1800</v>
      </c>
      <c r="B760" s="10" t="s">
        <v>1801</v>
      </c>
      <c r="C760" s="10" t="s">
        <v>185</v>
      </c>
      <c r="D760" s="10" t="s">
        <v>115</v>
      </c>
      <c r="E760" s="10" t="s">
        <v>115</v>
      </c>
      <c r="F760" s="10" t="s">
        <v>117</v>
      </c>
      <c r="G760" s="10">
        <v>5.0</v>
      </c>
      <c r="H760" s="10">
        <v>7.0</v>
      </c>
      <c r="I760" s="10" t="s">
        <v>2140</v>
      </c>
      <c r="J760" s="10" t="s">
        <v>2136</v>
      </c>
      <c r="K760" s="10"/>
      <c r="L760" s="10">
        <v>0.0</v>
      </c>
      <c r="M760" s="10">
        <v>0.0</v>
      </c>
      <c r="N760" s="10"/>
      <c r="O760" s="10"/>
      <c r="P760" s="12">
        <f>IF($A760="","",IFERROR((IF($O760="",0,$O760)*Settings!$J$4+IF($L760="",0,$L760)*Settings!$J$5+IF($N760="",0,$N760)*Settings!$J$6)/(IF($O760="",0,Settings!$J$4)+IF($L760="",0,Settings!$J$5)+IF($N760="",0,Settings!$J$6)),0))</f>
        <v>0</v>
      </c>
      <c r="Q760" s="12">
        <f t="array" ref="Q760">IF($A760="","",XLOOKUP($E760,Settings!$A$19:$A$22,Settings!$G$19:$G$22,0))</f>
        <v>249.25</v>
      </c>
      <c r="R760" s="12">
        <f t="shared" si="1"/>
        <v>0</v>
      </c>
      <c r="S760" s="12">
        <f>IF($A760="","",IF($R760&lt;=0,1,1+$R760/SUMIF($R$4:$R$923,"&gt;0",$R$4:$R$923)*(Settings!$B$5*(Settings!$B$6-Settings!$B$7))))</f>
        <v>1</v>
      </c>
      <c r="T760" s="12">
        <f t="array" ref="T760">IF($A760="","",XLOOKUP($F760,Settings!$I$15:$I$20,Settings!$J$15:$J$20,1))</f>
        <v>0.75</v>
      </c>
      <c r="U760" s="12">
        <f>IF($A760="","",1+(($G760-5)/5)*Settings!$J$8)</f>
        <v>1</v>
      </c>
      <c r="V760" s="12">
        <f>IF($A760="","",1+(($H760-5)/5)*Settings!$J$9)</f>
        <v>1.06</v>
      </c>
      <c r="W760" s="12">
        <f t="array" ref="W760">IF($A760="","",XLOOKUP($J760,Lists!$C$3:$C$7,Lists!$D$3:$D$7,1))</f>
        <v>1</v>
      </c>
      <c r="X760" s="12">
        <f>IF($A760="","",IF($I760="Yes",Settings!$J$10,1))</f>
        <v>1</v>
      </c>
      <c r="Y760" s="12">
        <f t="shared" si="2"/>
        <v>1</v>
      </c>
      <c r="Z760" s="12">
        <f>IF($A760="","",IFERROR(ROUND(AVERAGEIFS('Historical Drafts'!$G$4:$G$300,'Historical Drafts'!$D$4:$D$300,$E760,'Historical Drafts'!$J$4:$J$300,"&gt;="&amp;$L760*0.85,'Historical Drafts'!$J$4:$J$300,"&lt;="&amp;$L760*1.15),0),$Y760))</f>
        <v>1</v>
      </c>
      <c r="AA760" s="12" t="str">
        <f>IF($A760="","",IF(COUNTIF('Auction Log'!$B$3:$B$300,$A760)&gt;0,"Sold","Available"))</f>
        <v>Available</v>
      </c>
      <c r="AB760" s="12" t="str">
        <f t="array" ref="AB760">IF($A760="","",IFERROR(XLOOKUP($A760,'Auction Log'!$B$3:$B$300,'Auction Log'!$G$3:$G$300,""),""))</f>
        <v/>
      </c>
      <c r="AC760" s="12" t="str">
        <f t="array" ref="AC760">IF($A760="","",IFERROR(XLOOKUP($A760,'Auction Log'!$B$3:$B$300,'Auction Log'!$F$3:$F$300,""),""))</f>
        <v/>
      </c>
      <c r="AD760" s="12">
        <f t="array" ref="AD760">IF($A760="","",ROUND($Y760*XLOOKUP($F760,Settings!$I$15:$I$20,Settings!$K$15:$K$20,0.4),0))</f>
        <v>0</v>
      </c>
      <c r="AE760" s="12">
        <f t="array" ref="AE760">IF($A760="","",ROUND($Y760*XLOOKUP($F760,Settings!$I$15:$I$20,Settings!$L$15:$L$20,0.8),0))</f>
        <v>1</v>
      </c>
      <c r="AF760" s="12">
        <f t="array" ref="AF760">IF($A760="","",ROUND($Y760*XLOOKUP($F760,Settings!$I$15:$I$20,Settings!$M$15:$M$20,1),0))</f>
        <v>1</v>
      </c>
      <c r="AG760" s="12">
        <f t="array" ref="AG760">IF($A760="","",ROUND($Y760*XLOOKUP($F760,Settings!$I$15:$I$20,Settings!$N$15:$N$20,1.1),0))</f>
        <v>1</v>
      </c>
      <c r="AH760" s="12">
        <f t="array" ref="AH760">IF($A760="","",ROUND($Y760*XLOOKUP($F760,Settings!$I$15:$I$20,Settings!$O$15:$O$20,1.1)*Settings!$J$7,0))</f>
        <v>1</v>
      </c>
      <c r="AI760" s="12">
        <f t="array" ref="AI760">IF($A760="","",IF($AA760="Sold","",MIN($AH760,IFERROR(XLOOKUP(Settings!$B$12,Managers!$B$4:$B$15,Managers!$H$4:$H$15),$AH760))))</f>
        <v>1</v>
      </c>
      <c r="AJ760" s="12" t="str">
        <f t="shared" si="3"/>
        <v>Recommended</v>
      </c>
      <c r="AK760" s="12">
        <f t="shared" si="4"/>
        <v>26</v>
      </c>
      <c r="AL760" s="12" t="str">
        <f t="shared" si="5"/>
        <v/>
      </c>
    </row>
    <row r="761" ht="15.75" customHeight="1">
      <c r="A761" s="10" t="s">
        <v>1802</v>
      </c>
      <c r="B761" s="10" t="s">
        <v>1803</v>
      </c>
      <c r="C761" s="10" t="s">
        <v>221</v>
      </c>
      <c r="D761" s="10" t="s">
        <v>121</v>
      </c>
      <c r="E761" s="10" t="s">
        <v>121</v>
      </c>
      <c r="F761" s="10" t="s">
        <v>117</v>
      </c>
      <c r="G761" s="10">
        <v>5.0</v>
      </c>
      <c r="H761" s="10">
        <v>7.0</v>
      </c>
      <c r="I761" s="10" t="s">
        <v>2140</v>
      </c>
      <c r="J761" s="10" t="s">
        <v>2136</v>
      </c>
      <c r="K761" s="10"/>
      <c r="L761" s="10">
        <v>0.0</v>
      </c>
      <c r="M761" s="10">
        <v>0.0</v>
      </c>
      <c r="N761" s="10"/>
      <c r="O761" s="10"/>
      <c r="P761" s="12">
        <f>IF($A761="","",IFERROR((IF($O761="",0,$O761)*Settings!$J$4+IF($L761="",0,$L761)*Settings!$J$5+IF($N761="",0,$N761)*Settings!$J$6)/(IF($O761="",0,Settings!$J$4)+IF($L761="",0,Settings!$J$5)+IF($N761="",0,Settings!$J$6)),0))</f>
        <v>0</v>
      </c>
      <c r="Q761" s="12">
        <f t="array" ref="Q761">IF($A761="","",XLOOKUP($E761,Settings!$A$19:$A$22,Settings!$G$19:$G$22,0))</f>
        <v>206</v>
      </c>
      <c r="R761" s="12">
        <f t="shared" si="1"/>
        <v>0</v>
      </c>
      <c r="S761" s="12">
        <f>IF($A761="","",IF($R761&lt;=0,1,1+$R761/SUMIF($R$4:$R$923,"&gt;0",$R$4:$R$923)*(Settings!$B$5*(Settings!$B$6-Settings!$B$7))))</f>
        <v>1</v>
      </c>
      <c r="T761" s="12">
        <f t="array" ref="T761">IF($A761="","",XLOOKUP($F761,Settings!$I$15:$I$20,Settings!$J$15:$J$20,1))</f>
        <v>0.75</v>
      </c>
      <c r="U761" s="12">
        <f>IF($A761="","",1+(($G761-5)/5)*Settings!$J$8)</f>
        <v>1</v>
      </c>
      <c r="V761" s="12">
        <f>IF($A761="","",1+(($H761-5)/5)*Settings!$J$9)</f>
        <v>1.06</v>
      </c>
      <c r="W761" s="12">
        <f t="array" ref="W761">IF($A761="","",XLOOKUP($J761,Lists!$C$3:$C$7,Lists!$D$3:$D$7,1))</f>
        <v>1</v>
      </c>
      <c r="X761" s="12">
        <f>IF($A761="","",IF($I761="Yes",Settings!$J$10,1))</f>
        <v>1</v>
      </c>
      <c r="Y761" s="12">
        <f t="shared" si="2"/>
        <v>1</v>
      </c>
      <c r="Z761" s="12">
        <f>IF($A761="","",IFERROR(ROUND(AVERAGEIFS('Historical Drafts'!$G$4:$G$300,'Historical Drafts'!$D$4:$D$300,$E761,'Historical Drafts'!$J$4:$J$300,"&gt;="&amp;$L761*0.85,'Historical Drafts'!$J$4:$J$300,"&lt;="&amp;$L761*1.15),0),$Y761))</f>
        <v>3</v>
      </c>
      <c r="AA761" s="12" t="str">
        <f>IF($A761="","",IF(COUNTIF('Auction Log'!$B$3:$B$300,$A761)&gt;0,"Sold","Available"))</f>
        <v>Available</v>
      </c>
      <c r="AB761" s="12" t="str">
        <f t="array" ref="AB761">IF($A761="","",IFERROR(XLOOKUP($A761,'Auction Log'!$B$3:$B$300,'Auction Log'!$G$3:$G$300,""),""))</f>
        <v/>
      </c>
      <c r="AC761" s="12" t="str">
        <f t="array" ref="AC761">IF($A761="","",IFERROR(XLOOKUP($A761,'Auction Log'!$B$3:$B$300,'Auction Log'!$F$3:$F$300,""),""))</f>
        <v/>
      </c>
      <c r="AD761" s="12">
        <f t="array" ref="AD761">IF($A761="","",ROUND($Y761*XLOOKUP($F761,Settings!$I$15:$I$20,Settings!$K$15:$K$20,0.4),0))</f>
        <v>0</v>
      </c>
      <c r="AE761" s="12">
        <f t="array" ref="AE761">IF($A761="","",ROUND($Y761*XLOOKUP($F761,Settings!$I$15:$I$20,Settings!$L$15:$L$20,0.8),0))</f>
        <v>1</v>
      </c>
      <c r="AF761" s="12">
        <f t="array" ref="AF761">IF($A761="","",ROUND($Y761*XLOOKUP($F761,Settings!$I$15:$I$20,Settings!$M$15:$M$20,1),0))</f>
        <v>1</v>
      </c>
      <c r="AG761" s="12">
        <f t="array" ref="AG761">IF($A761="","",ROUND($Y761*XLOOKUP($F761,Settings!$I$15:$I$20,Settings!$N$15:$N$20,1.1),0))</f>
        <v>1</v>
      </c>
      <c r="AH761" s="12">
        <f t="array" ref="AH761">IF($A761="","",ROUND($Y761*XLOOKUP($F761,Settings!$I$15:$I$20,Settings!$O$15:$O$20,1.1)*Settings!$J$7,0))</f>
        <v>1</v>
      </c>
      <c r="AI761" s="12">
        <f t="array" ref="AI761">IF($A761="","",IF($AA761="Sold","",MIN($AH761,IFERROR(XLOOKUP(Settings!$B$12,Managers!$B$4:$B$15,Managers!$H$4:$H$15),$AH761))))</f>
        <v>1</v>
      </c>
      <c r="AJ761" s="12" t="str">
        <f t="shared" si="3"/>
        <v>Budget Drainer</v>
      </c>
      <c r="AK761" s="12">
        <f t="shared" si="4"/>
        <v>28</v>
      </c>
      <c r="AL761" s="12" t="str">
        <f t="shared" si="5"/>
        <v/>
      </c>
    </row>
    <row r="762" ht="15.75" customHeight="1">
      <c r="A762" s="10" t="s">
        <v>1804</v>
      </c>
      <c r="B762" s="10" t="s">
        <v>1805</v>
      </c>
      <c r="C762" s="10" t="s">
        <v>177</v>
      </c>
      <c r="D762" s="10" t="s">
        <v>118</v>
      </c>
      <c r="E762" s="10" t="s">
        <v>118</v>
      </c>
      <c r="F762" s="10" t="s">
        <v>117</v>
      </c>
      <c r="G762" s="10">
        <v>5.0</v>
      </c>
      <c r="H762" s="10">
        <v>7.0</v>
      </c>
      <c r="I762" s="10" t="s">
        <v>2140</v>
      </c>
      <c r="J762" s="10" t="s">
        <v>2136</v>
      </c>
      <c r="K762" s="10"/>
      <c r="L762" s="10">
        <v>0.0</v>
      </c>
      <c r="M762" s="10">
        <v>0.0</v>
      </c>
      <c r="N762" s="10"/>
      <c r="O762" s="10"/>
      <c r="P762" s="12">
        <f>IF($A762="","",IFERROR((IF($O762="",0,$O762)*Settings!$J$4+IF($L762="",0,$L762)*Settings!$J$5+IF($N762="",0,$N762)*Settings!$J$6)/(IF($O762="",0,Settings!$J$4)+IF($L762="",0,Settings!$J$5)+IF($N762="",0,Settings!$J$6)),0))</f>
        <v>0</v>
      </c>
      <c r="Q762" s="12">
        <f t="array" ref="Q762">IF($A762="","",XLOOKUP($E762,Settings!$A$19:$A$22,Settings!$G$19:$G$22,0))</f>
        <v>196.25</v>
      </c>
      <c r="R762" s="12">
        <f t="shared" si="1"/>
        <v>0</v>
      </c>
      <c r="S762" s="12">
        <f>IF($A762="","",IF($R762&lt;=0,1,1+$R762/SUMIF($R$4:$R$923,"&gt;0",$R$4:$R$923)*(Settings!$B$5*(Settings!$B$6-Settings!$B$7))))</f>
        <v>1</v>
      </c>
      <c r="T762" s="12">
        <f t="array" ref="T762">IF($A762="","",XLOOKUP($F762,Settings!$I$15:$I$20,Settings!$J$15:$J$20,1))</f>
        <v>0.75</v>
      </c>
      <c r="U762" s="12">
        <f>IF($A762="","",1+(($G762-5)/5)*Settings!$J$8)</f>
        <v>1</v>
      </c>
      <c r="V762" s="12">
        <f>IF($A762="","",1+(($H762-5)/5)*Settings!$J$9)</f>
        <v>1.06</v>
      </c>
      <c r="W762" s="12">
        <f t="array" ref="W762">IF($A762="","",XLOOKUP($J762,Lists!$C$3:$C$7,Lists!$D$3:$D$7,1))</f>
        <v>1</v>
      </c>
      <c r="X762" s="12">
        <f>IF($A762="","",IF($I762="Yes",Settings!$J$10,1))</f>
        <v>1</v>
      </c>
      <c r="Y762" s="12">
        <f t="shared" si="2"/>
        <v>1</v>
      </c>
      <c r="Z762" s="12">
        <f>IF($A762="","",IFERROR(ROUND(AVERAGEIFS('Historical Drafts'!$G$4:$G$300,'Historical Drafts'!$D$4:$D$300,$E762,'Historical Drafts'!$J$4:$J$300,"&gt;="&amp;$L762*0.85,'Historical Drafts'!$J$4:$J$300,"&lt;="&amp;$L762*1.15),0),$Y762))</f>
        <v>1</v>
      </c>
      <c r="AA762" s="12" t="str">
        <f>IF($A762="","",IF(COUNTIF('Auction Log'!$B$3:$B$300,$A762)&gt;0,"Sold","Available"))</f>
        <v>Available</v>
      </c>
      <c r="AB762" s="12" t="str">
        <f t="array" ref="AB762">IF($A762="","",IFERROR(XLOOKUP($A762,'Auction Log'!$B$3:$B$300,'Auction Log'!$G$3:$G$300,""),""))</f>
        <v/>
      </c>
      <c r="AC762" s="12" t="str">
        <f t="array" ref="AC762">IF($A762="","",IFERROR(XLOOKUP($A762,'Auction Log'!$B$3:$B$300,'Auction Log'!$F$3:$F$300,""),""))</f>
        <v/>
      </c>
      <c r="AD762" s="12">
        <f t="array" ref="AD762">IF($A762="","",ROUND($Y762*XLOOKUP($F762,Settings!$I$15:$I$20,Settings!$K$15:$K$20,0.4),0))</f>
        <v>0</v>
      </c>
      <c r="AE762" s="12">
        <f t="array" ref="AE762">IF($A762="","",ROUND($Y762*XLOOKUP($F762,Settings!$I$15:$I$20,Settings!$L$15:$L$20,0.8),0))</f>
        <v>1</v>
      </c>
      <c r="AF762" s="12">
        <f t="array" ref="AF762">IF($A762="","",ROUND($Y762*XLOOKUP($F762,Settings!$I$15:$I$20,Settings!$M$15:$M$20,1),0))</f>
        <v>1</v>
      </c>
      <c r="AG762" s="12">
        <f t="array" ref="AG762">IF($A762="","",ROUND($Y762*XLOOKUP($F762,Settings!$I$15:$I$20,Settings!$N$15:$N$20,1.1),0))</f>
        <v>1</v>
      </c>
      <c r="AH762" s="12">
        <f t="array" ref="AH762">IF($A762="","",ROUND($Y762*XLOOKUP($F762,Settings!$I$15:$I$20,Settings!$O$15:$O$20,1.1)*Settings!$J$7,0))</f>
        <v>1</v>
      </c>
      <c r="AI762" s="12">
        <f t="array" ref="AI762">IF($A762="","",IF($AA762="Sold","",MIN($AH762,IFERROR(XLOOKUP(Settings!$B$12,Managers!$B$4:$B$15,Managers!$H$4:$H$15),$AH762))))</f>
        <v>1</v>
      </c>
      <c r="AJ762" s="12" t="str">
        <f t="shared" si="3"/>
        <v>Recommended</v>
      </c>
      <c r="AK762" s="12">
        <f t="shared" si="4"/>
        <v>26</v>
      </c>
      <c r="AL762" s="12" t="str">
        <f t="shared" si="5"/>
        <v/>
      </c>
    </row>
    <row r="763" ht="15.75" customHeight="1">
      <c r="A763" s="10" t="s">
        <v>1806</v>
      </c>
      <c r="B763" s="10" t="s">
        <v>1807</v>
      </c>
      <c r="C763" s="10" t="s">
        <v>177</v>
      </c>
      <c r="D763" s="10" t="s">
        <v>118</v>
      </c>
      <c r="E763" s="10" t="s">
        <v>118</v>
      </c>
      <c r="F763" s="10" t="s">
        <v>117</v>
      </c>
      <c r="G763" s="10">
        <v>5.0</v>
      </c>
      <c r="H763" s="10">
        <v>7.0</v>
      </c>
      <c r="I763" s="10" t="s">
        <v>2140</v>
      </c>
      <c r="J763" s="10" t="s">
        <v>2136</v>
      </c>
      <c r="K763" s="10"/>
      <c r="L763" s="10">
        <v>0.0</v>
      </c>
      <c r="M763" s="10">
        <v>0.0</v>
      </c>
      <c r="N763" s="10"/>
      <c r="O763" s="10"/>
      <c r="P763" s="12">
        <f>IF($A763="","",IFERROR((IF($O763="",0,$O763)*Settings!$J$4+IF($L763="",0,$L763)*Settings!$J$5+IF($N763="",0,$N763)*Settings!$J$6)/(IF($O763="",0,Settings!$J$4)+IF($L763="",0,Settings!$J$5)+IF($N763="",0,Settings!$J$6)),0))</f>
        <v>0</v>
      </c>
      <c r="Q763" s="12">
        <f t="array" ref="Q763">IF($A763="","",XLOOKUP($E763,Settings!$A$19:$A$22,Settings!$G$19:$G$22,0))</f>
        <v>196.25</v>
      </c>
      <c r="R763" s="12">
        <f t="shared" si="1"/>
        <v>0</v>
      </c>
      <c r="S763" s="12">
        <f>IF($A763="","",IF($R763&lt;=0,1,1+$R763/SUMIF($R$4:$R$923,"&gt;0",$R$4:$R$923)*(Settings!$B$5*(Settings!$B$6-Settings!$B$7))))</f>
        <v>1</v>
      </c>
      <c r="T763" s="12">
        <f t="array" ref="T763">IF($A763="","",XLOOKUP($F763,Settings!$I$15:$I$20,Settings!$J$15:$J$20,1))</f>
        <v>0.75</v>
      </c>
      <c r="U763" s="12">
        <f>IF($A763="","",1+(($G763-5)/5)*Settings!$J$8)</f>
        <v>1</v>
      </c>
      <c r="V763" s="12">
        <f>IF($A763="","",1+(($H763-5)/5)*Settings!$J$9)</f>
        <v>1.06</v>
      </c>
      <c r="W763" s="12">
        <f t="array" ref="W763">IF($A763="","",XLOOKUP($J763,Lists!$C$3:$C$7,Lists!$D$3:$D$7,1))</f>
        <v>1</v>
      </c>
      <c r="X763" s="12">
        <f>IF($A763="","",IF($I763="Yes",Settings!$J$10,1))</f>
        <v>1</v>
      </c>
      <c r="Y763" s="12">
        <f t="shared" si="2"/>
        <v>1</v>
      </c>
      <c r="Z763" s="12">
        <f>IF($A763="","",IFERROR(ROUND(AVERAGEIFS('Historical Drafts'!$G$4:$G$300,'Historical Drafts'!$D$4:$D$300,$E763,'Historical Drafts'!$J$4:$J$300,"&gt;="&amp;$L763*0.85,'Historical Drafts'!$J$4:$J$300,"&lt;="&amp;$L763*1.15),0),$Y763))</f>
        <v>1</v>
      </c>
      <c r="AA763" s="12" t="str">
        <f>IF($A763="","",IF(COUNTIF('Auction Log'!$B$3:$B$300,$A763)&gt;0,"Sold","Available"))</f>
        <v>Available</v>
      </c>
      <c r="AB763" s="12" t="str">
        <f t="array" ref="AB763">IF($A763="","",IFERROR(XLOOKUP($A763,'Auction Log'!$B$3:$B$300,'Auction Log'!$G$3:$G$300,""),""))</f>
        <v/>
      </c>
      <c r="AC763" s="12" t="str">
        <f t="array" ref="AC763">IF($A763="","",IFERROR(XLOOKUP($A763,'Auction Log'!$B$3:$B$300,'Auction Log'!$F$3:$F$300,""),""))</f>
        <v/>
      </c>
      <c r="AD763" s="12">
        <f t="array" ref="AD763">IF($A763="","",ROUND($Y763*XLOOKUP($F763,Settings!$I$15:$I$20,Settings!$K$15:$K$20,0.4),0))</f>
        <v>0</v>
      </c>
      <c r="AE763" s="12">
        <f t="array" ref="AE763">IF($A763="","",ROUND($Y763*XLOOKUP($F763,Settings!$I$15:$I$20,Settings!$L$15:$L$20,0.8),0))</f>
        <v>1</v>
      </c>
      <c r="AF763" s="12">
        <f t="array" ref="AF763">IF($A763="","",ROUND($Y763*XLOOKUP($F763,Settings!$I$15:$I$20,Settings!$M$15:$M$20,1),0))</f>
        <v>1</v>
      </c>
      <c r="AG763" s="12">
        <f t="array" ref="AG763">IF($A763="","",ROUND($Y763*XLOOKUP($F763,Settings!$I$15:$I$20,Settings!$N$15:$N$20,1.1),0))</f>
        <v>1</v>
      </c>
      <c r="AH763" s="12">
        <f t="array" ref="AH763">IF($A763="","",ROUND($Y763*XLOOKUP($F763,Settings!$I$15:$I$20,Settings!$O$15:$O$20,1.1)*Settings!$J$7,0))</f>
        <v>1</v>
      </c>
      <c r="AI763" s="12">
        <f t="array" ref="AI763">IF($A763="","",IF($AA763="Sold","",MIN($AH763,IFERROR(XLOOKUP(Settings!$B$12,Managers!$B$4:$B$15,Managers!$H$4:$H$15),$AH763))))</f>
        <v>1</v>
      </c>
      <c r="AJ763" s="12" t="str">
        <f t="shared" si="3"/>
        <v>Recommended</v>
      </c>
      <c r="AK763" s="12">
        <f t="shared" si="4"/>
        <v>26</v>
      </c>
      <c r="AL763" s="12" t="str">
        <f t="shared" si="5"/>
        <v/>
      </c>
    </row>
    <row r="764" ht="15.75" customHeight="1">
      <c r="A764" s="10" t="s">
        <v>1808</v>
      </c>
      <c r="B764" s="10" t="s">
        <v>1809</v>
      </c>
      <c r="C764" s="10" t="s">
        <v>191</v>
      </c>
      <c r="D764" s="10" t="s">
        <v>118</v>
      </c>
      <c r="E764" s="10" t="s">
        <v>118</v>
      </c>
      <c r="F764" s="10" t="s">
        <v>117</v>
      </c>
      <c r="G764" s="10">
        <v>5.0</v>
      </c>
      <c r="H764" s="10">
        <v>7.0</v>
      </c>
      <c r="I764" s="10" t="s">
        <v>2140</v>
      </c>
      <c r="J764" s="10" t="s">
        <v>2136</v>
      </c>
      <c r="K764" s="10"/>
      <c r="L764" s="10">
        <v>0.0</v>
      </c>
      <c r="M764" s="10">
        <v>0.0</v>
      </c>
      <c r="N764" s="10"/>
      <c r="O764" s="10"/>
      <c r="P764" s="12">
        <f>IF($A764="","",IFERROR((IF($O764="",0,$O764)*Settings!$J$4+IF($L764="",0,$L764)*Settings!$J$5+IF($N764="",0,$N764)*Settings!$J$6)/(IF($O764="",0,Settings!$J$4)+IF($L764="",0,Settings!$J$5)+IF($N764="",0,Settings!$J$6)),0))</f>
        <v>0</v>
      </c>
      <c r="Q764" s="12">
        <f t="array" ref="Q764">IF($A764="","",XLOOKUP($E764,Settings!$A$19:$A$22,Settings!$G$19:$G$22,0))</f>
        <v>196.25</v>
      </c>
      <c r="R764" s="12">
        <f t="shared" si="1"/>
        <v>0</v>
      </c>
      <c r="S764" s="12">
        <f>IF($A764="","",IF($R764&lt;=0,1,1+$R764/SUMIF($R$4:$R$923,"&gt;0",$R$4:$R$923)*(Settings!$B$5*(Settings!$B$6-Settings!$B$7))))</f>
        <v>1</v>
      </c>
      <c r="T764" s="12">
        <f t="array" ref="T764">IF($A764="","",XLOOKUP($F764,Settings!$I$15:$I$20,Settings!$J$15:$J$20,1))</f>
        <v>0.75</v>
      </c>
      <c r="U764" s="12">
        <f>IF($A764="","",1+(($G764-5)/5)*Settings!$J$8)</f>
        <v>1</v>
      </c>
      <c r="V764" s="12">
        <f>IF($A764="","",1+(($H764-5)/5)*Settings!$J$9)</f>
        <v>1.06</v>
      </c>
      <c r="W764" s="12">
        <f t="array" ref="W764">IF($A764="","",XLOOKUP($J764,Lists!$C$3:$C$7,Lists!$D$3:$D$7,1))</f>
        <v>1</v>
      </c>
      <c r="X764" s="12">
        <f>IF($A764="","",IF($I764="Yes",Settings!$J$10,1))</f>
        <v>1</v>
      </c>
      <c r="Y764" s="12">
        <f t="shared" si="2"/>
        <v>1</v>
      </c>
      <c r="Z764" s="12">
        <f>IF($A764="","",IFERROR(ROUND(AVERAGEIFS('Historical Drafts'!$G$4:$G$300,'Historical Drafts'!$D$4:$D$300,$E764,'Historical Drafts'!$J$4:$J$300,"&gt;="&amp;$L764*0.85,'Historical Drafts'!$J$4:$J$300,"&lt;="&amp;$L764*1.15),0),$Y764))</f>
        <v>1</v>
      </c>
      <c r="AA764" s="12" t="str">
        <f>IF($A764="","",IF(COUNTIF('Auction Log'!$B$3:$B$300,$A764)&gt;0,"Sold","Available"))</f>
        <v>Available</v>
      </c>
      <c r="AB764" s="12" t="str">
        <f t="array" ref="AB764">IF($A764="","",IFERROR(XLOOKUP($A764,'Auction Log'!$B$3:$B$300,'Auction Log'!$G$3:$G$300,""),""))</f>
        <v/>
      </c>
      <c r="AC764" s="12" t="str">
        <f t="array" ref="AC764">IF($A764="","",IFERROR(XLOOKUP($A764,'Auction Log'!$B$3:$B$300,'Auction Log'!$F$3:$F$300,""),""))</f>
        <v/>
      </c>
      <c r="AD764" s="12">
        <f t="array" ref="AD764">IF($A764="","",ROUND($Y764*XLOOKUP($F764,Settings!$I$15:$I$20,Settings!$K$15:$K$20,0.4),0))</f>
        <v>0</v>
      </c>
      <c r="AE764" s="12">
        <f t="array" ref="AE764">IF($A764="","",ROUND($Y764*XLOOKUP($F764,Settings!$I$15:$I$20,Settings!$L$15:$L$20,0.8),0))</f>
        <v>1</v>
      </c>
      <c r="AF764" s="12">
        <f t="array" ref="AF764">IF($A764="","",ROUND($Y764*XLOOKUP($F764,Settings!$I$15:$I$20,Settings!$M$15:$M$20,1),0))</f>
        <v>1</v>
      </c>
      <c r="AG764" s="12">
        <f t="array" ref="AG764">IF($A764="","",ROUND($Y764*XLOOKUP($F764,Settings!$I$15:$I$20,Settings!$N$15:$N$20,1.1),0))</f>
        <v>1</v>
      </c>
      <c r="AH764" s="12">
        <f t="array" ref="AH764">IF($A764="","",ROUND($Y764*XLOOKUP($F764,Settings!$I$15:$I$20,Settings!$O$15:$O$20,1.1)*Settings!$J$7,0))</f>
        <v>1</v>
      </c>
      <c r="AI764" s="12">
        <f t="array" ref="AI764">IF($A764="","",IF($AA764="Sold","",MIN($AH764,IFERROR(XLOOKUP(Settings!$B$12,Managers!$B$4:$B$15,Managers!$H$4:$H$15),$AH764))))</f>
        <v>1</v>
      </c>
      <c r="AJ764" s="12" t="str">
        <f t="shared" si="3"/>
        <v>Recommended</v>
      </c>
      <c r="AK764" s="12">
        <f t="shared" si="4"/>
        <v>26</v>
      </c>
      <c r="AL764" s="12" t="str">
        <f t="shared" si="5"/>
        <v/>
      </c>
    </row>
    <row r="765" ht="15.75" customHeight="1">
      <c r="A765" s="10" t="s">
        <v>1810</v>
      </c>
      <c r="B765" s="10" t="s">
        <v>1811</v>
      </c>
      <c r="C765" s="10" t="s">
        <v>188</v>
      </c>
      <c r="D765" s="10" t="s">
        <v>123</v>
      </c>
      <c r="E765" s="10" t="s">
        <v>123</v>
      </c>
      <c r="F765" s="10" t="s">
        <v>117</v>
      </c>
      <c r="G765" s="10">
        <v>5.0</v>
      </c>
      <c r="H765" s="10">
        <v>7.0</v>
      </c>
      <c r="I765" s="10" t="s">
        <v>2140</v>
      </c>
      <c r="J765" s="10" t="s">
        <v>2136</v>
      </c>
      <c r="K765" s="10"/>
      <c r="L765" s="10">
        <v>0.0</v>
      </c>
      <c r="M765" s="10">
        <v>0.0</v>
      </c>
      <c r="N765" s="10"/>
      <c r="O765" s="10"/>
      <c r="P765" s="12">
        <f>IF($A765="","",IFERROR((IF($O765="",0,$O765)*Settings!$J$4+IF($L765="",0,$L765)*Settings!$J$5+IF($N765="",0,$N765)*Settings!$J$6)/(IF($O765="",0,Settings!$J$4)+IF($L765="",0,Settings!$J$5)+IF($N765="",0,Settings!$J$6)),0))</f>
        <v>0</v>
      </c>
      <c r="Q765" s="12">
        <f t="array" ref="Q765">IF($A765="","",XLOOKUP($E765,Settings!$A$19:$A$22,Settings!$G$19:$G$22,0))</f>
        <v>203</v>
      </c>
      <c r="R765" s="12">
        <f t="shared" si="1"/>
        <v>0</v>
      </c>
      <c r="S765" s="12">
        <f>IF($A765="","",IF($R765&lt;=0,1,1+$R765/SUMIF($R$4:$R$923,"&gt;0",$R$4:$R$923)*(Settings!$B$5*(Settings!$B$6-Settings!$B$7))))</f>
        <v>1</v>
      </c>
      <c r="T765" s="12">
        <f t="array" ref="T765">IF($A765="","",XLOOKUP($F765,Settings!$I$15:$I$20,Settings!$J$15:$J$20,1))</f>
        <v>0.75</v>
      </c>
      <c r="U765" s="12">
        <f>IF($A765="","",1+(($G765-5)/5)*Settings!$J$8)</f>
        <v>1</v>
      </c>
      <c r="V765" s="12">
        <f>IF($A765="","",1+(($H765-5)/5)*Settings!$J$9)</f>
        <v>1.06</v>
      </c>
      <c r="W765" s="12">
        <f t="array" ref="W765">IF($A765="","",XLOOKUP($J765,Lists!$C$3:$C$7,Lists!$D$3:$D$7,1))</f>
        <v>1</v>
      </c>
      <c r="X765" s="12">
        <f>IF($A765="","",IF($I765="Yes",Settings!$J$10,1))</f>
        <v>1</v>
      </c>
      <c r="Y765" s="12">
        <f t="shared" si="2"/>
        <v>1</v>
      </c>
      <c r="Z765" s="12">
        <f>IF($A765="","",IFERROR(ROUND(AVERAGEIFS('Historical Drafts'!$G$4:$G$300,'Historical Drafts'!$D$4:$D$300,$E765,'Historical Drafts'!$J$4:$J$300,"&gt;="&amp;$L765*0.85,'Historical Drafts'!$J$4:$J$300,"&lt;="&amp;$L765*1.15),0),$Y765))</f>
        <v>3</v>
      </c>
      <c r="AA765" s="12" t="str">
        <f>IF($A765="","",IF(COUNTIF('Auction Log'!$B$3:$B$300,$A765)&gt;0,"Sold","Available"))</f>
        <v>Available</v>
      </c>
      <c r="AB765" s="12" t="str">
        <f t="array" ref="AB765">IF($A765="","",IFERROR(XLOOKUP($A765,'Auction Log'!$B$3:$B$300,'Auction Log'!$G$3:$G$300,""),""))</f>
        <v/>
      </c>
      <c r="AC765" s="12" t="str">
        <f t="array" ref="AC765">IF($A765="","",IFERROR(XLOOKUP($A765,'Auction Log'!$B$3:$B$300,'Auction Log'!$F$3:$F$300,""),""))</f>
        <v/>
      </c>
      <c r="AD765" s="12">
        <f t="array" ref="AD765">IF($A765="","",ROUND($Y765*XLOOKUP($F765,Settings!$I$15:$I$20,Settings!$K$15:$K$20,0.4),0))</f>
        <v>0</v>
      </c>
      <c r="AE765" s="12">
        <f t="array" ref="AE765">IF($A765="","",ROUND($Y765*XLOOKUP($F765,Settings!$I$15:$I$20,Settings!$L$15:$L$20,0.8),0))</f>
        <v>1</v>
      </c>
      <c r="AF765" s="12">
        <f t="array" ref="AF765">IF($A765="","",ROUND($Y765*XLOOKUP($F765,Settings!$I$15:$I$20,Settings!$M$15:$M$20,1),0))</f>
        <v>1</v>
      </c>
      <c r="AG765" s="12">
        <f t="array" ref="AG765">IF($A765="","",ROUND($Y765*XLOOKUP($F765,Settings!$I$15:$I$20,Settings!$N$15:$N$20,1.1),0))</f>
        <v>1</v>
      </c>
      <c r="AH765" s="12">
        <f t="array" ref="AH765">IF($A765="","",ROUND($Y765*XLOOKUP($F765,Settings!$I$15:$I$20,Settings!$O$15:$O$20,1.1)*Settings!$J$7,0))</f>
        <v>1</v>
      </c>
      <c r="AI765" s="12">
        <f t="array" ref="AI765">IF($A765="","",IF($AA765="Sold","",MIN($AH765,IFERROR(XLOOKUP(Settings!$B$12,Managers!$B$4:$B$15,Managers!$H$4:$H$15),$AH765))))</f>
        <v>1</v>
      </c>
      <c r="AJ765" s="12" t="str">
        <f t="shared" si="3"/>
        <v>Budget Drainer</v>
      </c>
      <c r="AK765" s="12">
        <f t="shared" si="4"/>
        <v>28</v>
      </c>
      <c r="AL765" s="12" t="str">
        <f t="shared" si="5"/>
        <v/>
      </c>
    </row>
    <row r="766" ht="15.75" customHeight="1">
      <c r="A766" s="10" t="s">
        <v>1812</v>
      </c>
      <c r="B766" s="10" t="s">
        <v>1813</v>
      </c>
      <c r="C766" s="10" t="s">
        <v>314</v>
      </c>
      <c r="D766" s="10" t="s">
        <v>115</v>
      </c>
      <c r="E766" s="10" t="s">
        <v>115</v>
      </c>
      <c r="F766" s="10" t="s">
        <v>117</v>
      </c>
      <c r="G766" s="10">
        <v>5.0</v>
      </c>
      <c r="H766" s="10">
        <v>7.0</v>
      </c>
      <c r="I766" s="10" t="s">
        <v>2140</v>
      </c>
      <c r="J766" s="10" t="s">
        <v>2136</v>
      </c>
      <c r="K766" s="10"/>
      <c r="L766" s="10">
        <v>0.0</v>
      </c>
      <c r="M766" s="10">
        <v>0.0</v>
      </c>
      <c r="N766" s="10"/>
      <c r="O766" s="10"/>
      <c r="P766" s="12">
        <f>IF($A766="","",IFERROR((IF($O766="",0,$O766)*Settings!$J$4+IF($L766="",0,$L766)*Settings!$J$5+IF($N766="",0,$N766)*Settings!$J$6)/(IF($O766="",0,Settings!$J$4)+IF($L766="",0,Settings!$J$5)+IF($N766="",0,Settings!$J$6)),0))</f>
        <v>0</v>
      </c>
      <c r="Q766" s="12">
        <f t="array" ref="Q766">IF($A766="","",XLOOKUP($E766,Settings!$A$19:$A$22,Settings!$G$19:$G$22,0))</f>
        <v>249.25</v>
      </c>
      <c r="R766" s="12">
        <f t="shared" si="1"/>
        <v>0</v>
      </c>
      <c r="S766" s="12">
        <f>IF($A766="","",IF($R766&lt;=0,1,1+$R766/SUMIF($R$4:$R$923,"&gt;0",$R$4:$R$923)*(Settings!$B$5*(Settings!$B$6-Settings!$B$7))))</f>
        <v>1</v>
      </c>
      <c r="T766" s="12">
        <f t="array" ref="T766">IF($A766="","",XLOOKUP($F766,Settings!$I$15:$I$20,Settings!$J$15:$J$20,1))</f>
        <v>0.75</v>
      </c>
      <c r="U766" s="12">
        <f>IF($A766="","",1+(($G766-5)/5)*Settings!$J$8)</f>
        <v>1</v>
      </c>
      <c r="V766" s="12">
        <f>IF($A766="","",1+(($H766-5)/5)*Settings!$J$9)</f>
        <v>1.06</v>
      </c>
      <c r="W766" s="12">
        <f t="array" ref="W766">IF($A766="","",XLOOKUP($J766,Lists!$C$3:$C$7,Lists!$D$3:$D$7,1))</f>
        <v>1</v>
      </c>
      <c r="X766" s="12">
        <f>IF($A766="","",IF($I766="Yes",Settings!$J$10,1))</f>
        <v>1</v>
      </c>
      <c r="Y766" s="12">
        <f t="shared" si="2"/>
        <v>1</v>
      </c>
      <c r="Z766" s="12">
        <f>IF($A766="","",IFERROR(ROUND(AVERAGEIFS('Historical Drafts'!$G$4:$G$300,'Historical Drafts'!$D$4:$D$300,$E766,'Historical Drafts'!$J$4:$J$300,"&gt;="&amp;$L766*0.85,'Historical Drafts'!$J$4:$J$300,"&lt;="&amp;$L766*1.15),0),$Y766))</f>
        <v>1</v>
      </c>
      <c r="AA766" s="12" t="str">
        <f>IF($A766="","",IF(COUNTIF('Auction Log'!$B$3:$B$300,$A766)&gt;0,"Sold","Available"))</f>
        <v>Available</v>
      </c>
      <c r="AB766" s="12" t="str">
        <f t="array" ref="AB766">IF($A766="","",IFERROR(XLOOKUP($A766,'Auction Log'!$B$3:$B$300,'Auction Log'!$G$3:$G$300,""),""))</f>
        <v/>
      </c>
      <c r="AC766" s="12" t="str">
        <f t="array" ref="AC766">IF($A766="","",IFERROR(XLOOKUP($A766,'Auction Log'!$B$3:$B$300,'Auction Log'!$F$3:$F$300,""),""))</f>
        <v/>
      </c>
      <c r="AD766" s="12">
        <f t="array" ref="AD766">IF($A766="","",ROUND($Y766*XLOOKUP($F766,Settings!$I$15:$I$20,Settings!$K$15:$K$20,0.4),0))</f>
        <v>0</v>
      </c>
      <c r="AE766" s="12">
        <f t="array" ref="AE766">IF($A766="","",ROUND($Y766*XLOOKUP($F766,Settings!$I$15:$I$20,Settings!$L$15:$L$20,0.8),0))</f>
        <v>1</v>
      </c>
      <c r="AF766" s="12">
        <f t="array" ref="AF766">IF($A766="","",ROUND($Y766*XLOOKUP($F766,Settings!$I$15:$I$20,Settings!$M$15:$M$20,1),0))</f>
        <v>1</v>
      </c>
      <c r="AG766" s="12">
        <f t="array" ref="AG766">IF($A766="","",ROUND($Y766*XLOOKUP($F766,Settings!$I$15:$I$20,Settings!$N$15:$N$20,1.1),0))</f>
        <v>1</v>
      </c>
      <c r="AH766" s="12">
        <f t="array" ref="AH766">IF($A766="","",ROUND($Y766*XLOOKUP($F766,Settings!$I$15:$I$20,Settings!$O$15:$O$20,1.1)*Settings!$J$7,0))</f>
        <v>1</v>
      </c>
      <c r="AI766" s="12">
        <f t="array" ref="AI766">IF($A766="","",IF($AA766="Sold","",MIN($AH766,IFERROR(XLOOKUP(Settings!$B$12,Managers!$B$4:$B$15,Managers!$H$4:$H$15),$AH766))))</f>
        <v>1</v>
      </c>
      <c r="AJ766" s="12" t="str">
        <f t="shared" si="3"/>
        <v>Recommended</v>
      </c>
      <c r="AK766" s="12">
        <f t="shared" si="4"/>
        <v>26</v>
      </c>
      <c r="AL766" s="12" t="str">
        <f t="shared" si="5"/>
        <v/>
      </c>
    </row>
    <row r="767" ht="15.75" customHeight="1">
      <c r="A767" s="10" t="s">
        <v>1814</v>
      </c>
      <c r="B767" s="10" t="s">
        <v>1815</v>
      </c>
      <c r="C767" s="10" t="s">
        <v>180</v>
      </c>
      <c r="D767" s="10" t="s">
        <v>118</v>
      </c>
      <c r="E767" s="10" t="s">
        <v>118</v>
      </c>
      <c r="F767" s="10" t="s">
        <v>117</v>
      </c>
      <c r="G767" s="10">
        <v>5.0</v>
      </c>
      <c r="H767" s="10">
        <v>7.0</v>
      </c>
      <c r="I767" s="10" t="s">
        <v>2140</v>
      </c>
      <c r="J767" s="10" t="s">
        <v>2136</v>
      </c>
      <c r="K767" s="10"/>
      <c r="L767" s="10">
        <v>0.0</v>
      </c>
      <c r="M767" s="10">
        <v>0.0</v>
      </c>
      <c r="N767" s="10"/>
      <c r="O767" s="10"/>
      <c r="P767" s="12">
        <f>IF($A767="","",IFERROR((IF($O767="",0,$O767)*Settings!$J$4+IF($L767="",0,$L767)*Settings!$J$5+IF($N767="",0,$N767)*Settings!$J$6)/(IF($O767="",0,Settings!$J$4)+IF($L767="",0,Settings!$J$5)+IF($N767="",0,Settings!$J$6)),0))</f>
        <v>0</v>
      </c>
      <c r="Q767" s="12">
        <f t="array" ref="Q767">IF($A767="","",XLOOKUP($E767,Settings!$A$19:$A$22,Settings!$G$19:$G$22,0))</f>
        <v>196.25</v>
      </c>
      <c r="R767" s="12">
        <f t="shared" si="1"/>
        <v>0</v>
      </c>
      <c r="S767" s="12">
        <f>IF($A767="","",IF($R767&lt;=0,1,1+$R767/SUMIF($R$4:$R$923,"&gt;0",$R$4:$R$923)*(Settings!$B$5*(Settings!$B$6-Settings!$B$7))))</f>
        <v>1</v>
      </c>
      <c r="T767" s="12">
        <f t="array" ref="T767">IF($A767="","",XLOOKUP($F767,Settings!$I$15:$I$20,Settings!$J$15:$J$20,1))</f>
        <v>0.75</v>
      </c>
      <c r="U767" s="12">
        <f>IF($A767="","",1+(($G767-5)/5)*Settings!$J$8)</f>
        <v>1</v>
      </c>
      <c r="V767" s="12">
        <f>IF($A767="","",1+(($H767-5)/5)*Settings!$J$9)</f>
        <v>1.06</v>
      </c>
      <c r="W767" s="12">
        <f t="array" ref="W767">IF($A767="","",XLOOKUP($J767,Lists!$C$3:$C$7,Lists!$D$3:$D$7,1))</f>
        <v>1</v>
      </c>
      <c r="X767" s="12">
        <f>IF($A767="","",IF($I767="Yes",Settings!$J$10,1))</f>
        <v>1</v>
      </c>
      <c r="Y767" s="12">
        <f t="shared" si="2"/>
        <v>1</v>
      </c>
      <c r="Z767" s="12">
        <f>IF($A767="","",IFERROR(ROUND(AVERAGEIFS('Historical Drafts'!$G$4:$G$300,'Historical Drafts'!$D$4:$D$300,$E767,'Historical Drafts'!$J$4:$J$300,"&gt;="&amp;$L767*0.85,'Historical Drafts'!$J$4:$J$300,"&lt;="&amp;$L767*1.15),0),$Y767))</f>
        <v>1</v>
      </c>
      <c r="AA767" s="12" t="str">
        <f>IF($A767="","",IF(COUNTIF('Auction Log'!$B$3:$B$300,$A767)&gt;0,"Sold","Available"))</f>
        <v>Available</v>
      </c>
      <c r="AB767" s="12" t="str">
        <f t="array" ref="AB767">IF($A767="","",IFERROR(XLOOKUP($A767,'Auction Log'!$B$3:$B$300,'Auction Log'!$G$3:$G$300,""),""))</f>
        <v/>
      </c>
      <c r="AC767" s="12" t="str">
        <f t="array" ref="AC767">IF($A767="","",IFERROR(XLOOKUP($A767,'Auction Log'!$B$3:$B$300,'Auction Log'!$F$3:$F$300,""),""))</f>
        <v/>
      </c>
      <c r="AD767" s="12">
        <f t="array" ref="AD767">IF($A767="","",ROUND($Y767*XLOOKUP($F767,Settings!$I$15:$I$20,Settings!$K$15:$K$20,0.4),0))</f>
        <v>0</v>
      </c>
      <c r="AE767" s="12">
        <f t="array" ref="AE767">IF($A767="","",ROUND($Y767*XLOOKUP($F767,Settings!$I$15:$I$20,Settings!$L$15:$L$20,0.8),0))</f>
        <v>1</v>
      </c>
      <c r="AF767" s="12">
        <f t="array" ref="AF767">IF($A767="","",ROUND($Y767*XLOOKUP($F767,Settings!$I$15:$I$20,Settings!$M$15:$M$20,1),0))</f>
        <v>1</v>
      </c>
      <c r="AG767" s="12">
        <f t="array" ref="AG767">IF($A767="","",ROUND($Y767*XLOOKUP($F767,Settings!$I$15:$I$20,Settings!$N$15:$N$20,1.1),0))</f>
        <v>1</v>
      </c>
      <c r="AH767" s="12">
        <f t="array" ref="AH767">IF($A767="","",ROUND($Y767*XLOOKUP($F767,Settings!$I$15:$I$20,Settings!$O$15:$O$20,1.1)*Settings!$J$7,0))</f>
        <v>1</v>
      </c>
      <c r="AI767" s="12">
        <f t="array" ref="AI767">IF($A767="","",IF($AA767="Sold","",MIN($AH767,IFERROR(XLOOKUP(Settings!$B$12,Managers!$B$4:$B$15,Managers!$H$4:$H$15),$AH767))))</f>
        <v>1</v>
      </c>
      <c r="AJ767" s="12" t="str">
        <f t="shared" si="3"/>
        <v>Recommended</v>
      </c>
      <c r="AK767" s="12">
        <f t="shared" si="4"/>
        <v>26</v>
      </c>
      <c r="AL767" s="12" t="str">
        <f t="shared" si="5"/>
        <v/>
      </c>
    </row>
    <row r="768" ht="15.75" customHeight="1">
      <c r="A768" s="10" t="s">
        <v>1816</v>
      </c>
      <c r="B768" s="10" t="s">
        <v>1817</v>
      </c>
      <c r="C768" s="10" t="s">
        <v>327</v>
      </c>
      <c r="D768" s="10" t="s">
        <v>123</v>
      </c>
      <c r="E768" s="10" t="s">
        <v>123</v>
      </c>
      <c r="F768" s="10" t="s">
        <v>117</v>
      </c>
      <c r="G768" s="10">
        <v>5.0</v>
      </c>
      <c r="H768" s="10">
        <v>7.0</v>
      </c>
      <c r="I768" s="10" t="s">
        <v>2140</v>
      </c>
      <c r="J768" s="10" t="s">
        <v>2136</v>
      </c>
      <c r="K768" s="10"/>
      <c r="L768" s="10">
        <v>0.0</v>
      </c>
      <c r="M768" s="10">
        <v>0.0</v>
      </c>
      <c r="N768" s="10"/>
      <c r="O768" s="10"/>
      <c r="P768" s="12">
        <f>IF($A768="","",IFERROR((IF($O768="",0,$O768)*Settings!$J$4+IF($L768="",0,$L768)*Settings!$J$5+IF($N768="",0,$N768)*Settings!$J$6)/(IF($O768="",0,Settings!$J$4)+IF($L768="",0,Settings!$J$5)+IF($N768="",0,Settings!$J$6)),0))</f>
        <v>0</v>
      </c>
      <c r="Q768" s="12">
        <f t="array" ref="Q768">IF($A768="","",XLOOKUP($E768,Settings!$A$19:$A$22,Settings!$G$19:$G$22,0))</f>
        <v>203</v>
      </c>
      <c r="R768" s="12">
        <f t="shared" si="1"/>
        <v>0</v>
      </c>
      <c r="S768" s="12">
        <f>IF($A768="","",IF($R768&lt;=0,1,1+$R768/SUMIF($R$4:$R$923,"&gt;0",$R$4:$R$923)*(Settings!$B$5*(Settings!$B$6-Settings!$B$7))))</f>
        <v>1</v>
      </c>
      <c r="T768" s="12">
        <f t="array" ref="T768">IF($A768="","",XLOOKUP($F768,Settings!$I$15:$I$20,Settings!$J$15:$J$20,1))</f>
        <v>0.75</v>
      </c>
      <c r="U768" s="12">
        <f>IF($A768="","",1+(($G768-5)/5)*Settings!$J$8)</f>
        <v>1</v>
      </c>
      <c r="V768" s="12">
        <f>IF($A768="","",1+(($H768-5)/5)*Settings!$J$9)</f>
        <v>1.06</v>
      </c>
      <c r="W768" s="12">
        <f t="array" ref="W768">IF($A768="","",XLOOKUP($J768,Lists!$C$3:$C$7,Lists!$D$3:$D$7,1))</f>
        <v>1</v>
      </c>
      <c r="X768" s="12">
        <f>IF($A768="","",IF($I768="Yes",Settings!$J$10,1))</f>
        <v>1</v>
      </c>
      <c r="Y768" s="12">
        <f t="shared" si="2"/>
        <v>1</v>
      </c>
      <c r="Z768" s="12">
        <f>IF($A768="","",IFERROR(ROUND(AVERAGEIFS('Historical Drafts'!$G$4:$G$300,'Historical Drafts'!$D$4:$D$300,$E768,'Historical Drafts'!$J$4:$J$300,"&gt;="&amp;$L768*0.85,'Historical Drafts'!$J$4:$J$300,"&lt;="&amp;$L768*1.15),0),$Y768))</f>
        <v>3</v>
      </c>
      <c r="AA768" s="12" t="str">
        <f>IF($A768="","",IF(COUNTIF('Auction Log'!$B$3:$B$300,$A768)&gt;0,"Sold","Available"))</f>
        <v>Available</v>
      </c>
      <c r="AB768" s="12" t="str">
        <f t="array" ref="AB768">IF($A768="","",IFERROR(XLOOKUP($A768,'Auction Log'!$B$3:$B$300,'Auction Log'!$G$3:$G$300,""),""))</f>
        <v/>
      </c>
      <c r="AC768" s="12" t="str">
        <f t="array" ref="AC768">IF($A768="","",IFERROR(XLOOKUP($A768,'Auction Log'!$B$3:$B$300,'Auction Log'!$F$3:$F$300,""),""))</f>
        <v/>
      </c>
      <c r="AD768" s="12">
        <f t="array" ref="AD768">IF($A768="","",ROUND($Y768*XLOOKUP($F768,Settings!$I$15:$I$20,Settings!$K$15:$K$20,0.4),0))</f>
        <v>0</v>
      </c>
      <c r="AE768" s="12">
        <f t="array" ref="AE768">IF($A768="","",ROUND($Y768*XLOOKUP($F768,Settings!$I$15:$I$20,Settings!$L$15:$L$20,0.8),0))</f>
        <v>1</v>
      </c>
      <c r="AF768" s="12">
        <f t="array" ref="AF768">IF($A768="","",ROUND($Y768*XLOOKUP($F768,Settings!$I$15:$I$20,Settings!$M$15:$M$20,1),0))</f>
        <v>1</v>
      </c>
      <c r="AG768" s="12">
        <f t="array" ref="AG768">IF($A768="","",ROUND($Y768*XLOOKUP($F768,Settings!$I$15:$I$20,Settings!$N$15:$N$20,1.1),0))</f>
        <v>1</v>
      </c>
      <c r="AH768" s="12">
        <f t="array" ref="AH768">IF($A768="","",ROUND($Y768*XLOOKUP($F768,Settings!$I$15:$I$20,Settings!$O$15:$O$20,1.1)*Settings!$J$7,0))</f>
        <v>1</v>
      </c>
      <c r="AI768" s="12">
        <f t="array" ref="AI768">IF($A768="","",IF($AA768="Sold","",MIN($AH768,IFERROR(XLOOKUP(Settings!$B$12,Managers!$B$4:$B$15,Managers!$H$4:$H$15),$AH768))))</f>
        <v>1</v>
      </c>
      <c r="AJ768" s="12" t="str">
        <f t="shared" si="3"/>
        <v>Budget Drainer</v>
      </c>
      <c r="AK768" s="12">
        <f t="shared" si="4"/>
        <v>28</v>
      </c>
      <c r="AL768" s="12" t="str">
        <f t="shared" si="5"/>
        <v/>
      </c>
    </row>
    <row r="769" ht="15.75" customHeight="1">
      <c r="A769" s="10" t="s">
        <v>1818</v>
      </c>
      <c r="B769" s="10" t="s">
        <v>1819</v>
      </c>
      <c r="C769" s="10" t="s">
        <v>177</v>
      </c>
      <c r="D769" s="10" t="s">
        <v>123</v>
      </c>
      <c r="E769" s="10" t="s">
        <v>123</v>
      </c>
      <c r="F769" s="10" t="s">
        <v>117</v>
      </c>
      <c r="G769" s="10">
        <v>5.0</v>
      </c>
      <c r="H769" s="10">
        <v>7.0</v>
      </c>
      <c r="I769" s="10" t="s">
        <v>2140</v>
      </c>
      <c r="J769" s="10" t="s">
        <v>2136</v>
      </c>
      <c r="K769" s="10"/>
      <c r="L769" s="10">
        <v>0.0</v>
      </c>
      <c r="M769" s="10">
        <v>0.0</v>
      </c>
      <c r="N769" s="10"/>
      <c r="O769" s="10"/>
      <c r="P769" s="12">
        <f>IF($A769="","",IFERROR((IF($O769="",0,$O769)*Settings!$J$4+IF($L769="",0,$L769)*Settings!$J$5+IF($N769="",0,$N769)*Settings!$J$6)/(IF($O769="",0,Settings!$J$4)+IF($L769="",0,Settings!$J$5)+IF($N769="",0,Settings!$J$6)),0))</f>
        <v>0</v>
      </c>
      <c r="Q769" s="12">
        <f t="array" ref="Q769">IF($A769="","",XLOOKUP($E769,Settings!$A$19:$A$22,Settings!$G$19:$G$22,0))</f>
        <v>203</v>
      </c>
      <c r="R769" s="12">
        <f t="shared" si="1"/>
        <v>0</v>
      </c>
      <c r="S769" s="12">
        <f>IF($A769="","",IF($R769&lt;=0,1,1+$R769/SUMIF($R$4:$R$923,"&gt;0",$R$4:$R$923)*(Settings!$B$5*(Settings!$B$6-Settings!$B$7))))</f>
        <v>1</v>
      </c>
      <c r="T769" s="12">
        <f t="array" ref="T769">IF($A769="","",XLOOKUP($F769,Settings!$I$15:$I$20,Settings!$J$15:$J$20,1))</f>
        <v>0.75</v>
      </c>
      <c r="U769" s="12">
        <f>IF($A769="","",1+(($G769-5)/5)*Settings!$J$8)</f>
        <v>1</v>
      </c>
      <c r="V769" s="12">
        <f>IF($A769="","",1+(($H769-5)/5)*Settings!$J$9)</f>
        <v>1.06</v>
      </c>
      <c r="W769" s="12">
        <f t="array" ref="W769">IF($A769="","",XLOOKUP($J769,Lists!$C$3:$C$7,Lists!$D$3:$D$7,1))</f>
        <v>1</v>
      </c>
      <c r="X769" s="12">
        <f>IF($A769="","",IF($I769="Yes",Settings!$J$10,1))</f>
        <v>1</v>
      </c>
      <c r="Y769" s="12">
        <f t="shared" si="2"/>
        <v>1</v>
      </c>
      <c r="Z769" s="12">
        <f>IF($A769="","",IFERROR(ROUND(AVERAGEIFS('Historical Drafts'!$G$4:$G$300,'Historical Drafts'!$D$4:$D$300,$E769,'Historical Drafts'!$J$4:$J$300,"&gt;="&amp;$L769*0.85,'Historical Drafts'!$J$4:$J$300,"&lt;="&amp;$L769*1.15),0),$Y769))</f>
        <v>3</v>
      </c>
      <c r="AA769" s="12" t="str">
        <f>IF($A769="","",IF(COUNTIF('Auction Log'!$B$3:$B$300,$A769)&gt;0,"Sold","Available"))</f>
        <v>Available</v>
      </c>
      <c r="AB769" s="12" t="str">
        <f t="array" ref="AB769">IF($A769="","",IFERROR(XLOOKUP($A769,'Auction Log'!$B$3:$B$300,'Auction Log'!$G$3:$G$300,""),""))</f>
        <v/>
      </c>
      <c r="AC769" s="12" t="str">
        <f t="array" ref="AC769">IF($A769="","",IFERROR(XLOOKUP($A769,'Auction Log'!$B$3:$B$300,'Auction Log'!$F$3:$F$300,""),""))</f>
        <v/>
      </c>
      <c r="AD769" s="12">
        <f t="array" ref="AD769">IF($A769="","",ROUND($Y769*XLOOKUP($F769,Settings!$I$15:$I$20,Settings!$K$15:$K$20,0.4),0))</f>
        <v>0</v>
      </c>
      <c r="AE769" s="12">
        <f t="array" ref="AE769">IF($A769="","",ROUND($Y769*XLOOKUP($F769,Settings!$I$15:$I$20,Settings!$L$15:$L$20,0.8),0))</f>
        <v>1</v>
      </c>
      <c r="AF769" s="12">
        <f t="array" ref="AF769">IF($A769="","",ROUND($Y769*XLOOKUP($F769,Settings!$I$15:$I$20,Settings!$M$15:$M$20,1),0))</f>
        <v>1</v>
      </c>
      <c r="AG769" s="12">
        <f t="array" ref="AG769">IF($A769="","",ROUND($Y769*XLOOKUP($F769,Settings!$I$15:$I$20,Settings!$N$15:$N$20,1.1),0))</f>
        <v>1</v>
      </c>
      <c r="AH769" s="12">
        <f t="array" ref="AH769">IF($A769="","",ROUND($Y769*XLOOKUP($F769,Settings!$I$15:$I$20,Settings!$O$15:$O$20,1.1)*Settings!$J$7,0))</f>
        <v>1</v>
      </c>
      <c r="AI769" s="12">
        <f t="array" ref="AI769">IF($A769="","",IF($AA769="Sold","",MIN($AH769,IFERROR(XLOOKUP(Settings!$B$12,Managers!$B$4:$B$15,Managers!$H$4:$H$15),$AH769))))</f>
        <v>1</v>
      </c>
      <c r="AJ769" s="12" t="str">
        <f t="shared" si="3"/>
        <v>Budget Drainer</v>
      </c>
      <c r="AK769" s="12">
        <f t="shared" si="4"/>
        <v>28</v>
      </c>
      <c r="AL769" s="12" t="str">
        <f t="shared" si="5"/>
        <v/>
      </c>
    </row>
    <row r="770" ht="15.75" customHeight="1">
      <c r="A770" s="10" t="s">
        <v>1820</v>
      </c>
      <c r="B770" s="10" t="s">
        <v>1821</v>
      </c>
      <c r="C770" s="10" t="s">
        <v>180</v>
      </c>
      <c r="D770" s="10" t="s">
        <v>121</v>
      </c>
      <c r="E770" s="10" t="s">
        <v>121</v>
      </c>
      <c r="F770" s="10" t="s">
        <v>117</v>
      </c>
      <c r="G770" s="10">
        <v>5.0</v>
      </c>
      <c r="H770" s="10">
        <v>7.0</v>
      </c>
      <c r="I770" s="10" t="s">
        <v>2140</v>
      </c>
      <c r="J770" s="10" t="s">
        <v>2136</v>
      </c>
      <c r="K770" s="10"/>
      <c r="L770" s="10">
        <v>0.0</v>
      </c>
      <c r="M770" s="10">
        <v>0.0</v>
      </c>
      <c r="N770" s="10"/>
      <c r="O770" s="10"/>
      <c r="P770" s="12">
        <f>IF($A770="","",IFERROR((IF($O770="",0,$O770)*Settings!$J$4+IF($L770="",0,$L770)*Settings!$J$5+IF($N770="",0,$N770)*Settings!$J$6)/(IF($O770="",0,Settings!$J$4)+IF($L770="",0,Settings!$J$5)+IF($N770="",0,Settings!$J$6)),0))</f>
        <v>0</v>
      </c>
      <c r="Q770" s="12">
        <f t="array" ref="Q770">IF($A770="","",XLOOKUP($E770,Settings!$A$19:$A$22,Settings!$G$19:$G$22,0))</f>
        <v>206</v>
      </c>
      <c r="R770" s="12">
        <f t="shared" si="1"/>
        <v>0</v>
      </c>
      <c r="S770" s="12">
        <f>IF($A770="","",IF($R770&lt;=0,1,1+$R770/SUMIF($R$4:$R$923,"&gt;0",$R$4:$R$923)*(Settings!$B$5*(Settings!$B$6-Settings!$B$7))))</f>
        <v>1</v>
      </c>
      <c r="T770" s="12">
        <f t="array" ref="T770">IF($A770="","",XLOOKUP($F770,Settings!$I$15:$I$20,Settings!$J$15:$J$20,1))</f>
        <v>0.75</v>
      </c>
      <c r="U770" s="12">
        <f>IF($A770="","",1+(($G770-5)/5)*Settings!$J$8)</f>
        <v>1</v>
      </c>
      <c r="V770" s="12">
        <f>IF($A770="","",1+(($H770-5)/5)*Settings!$J$9)</f>
        <v>1.06</v>
      </c>
      <c r="W770" s="12">
        <f t="array" ref="W770">IF($A770="","",XLOOKUP($J770,Lists!$C$3:$C$7,Lists!$D$3:$D$7,1))</f>
        <v>1</v>
      </c>
      <c r="X770" s="12">
        <f>IF($A770="","",IF($I770="Yes",Settings!$J$10,1))</f>
        <v>1</v>
      </c>
      <c r="Y770" s="12">
        <f t="shared" si="2"/>
        <v>1</v>
      </c>
      <c r="Z770" s="12">
        <f>IF($A770="","",IFERROR(ROUND(AVERAGEIFS('Historical Drafts'!$G$4:$G$300,'Historical Drafts'!$D$4:$D$300,$E770,'Historical Drafts'!$J$4:$J$300,"&gt;="&amp;$L770*0.85,'Historical Drafts'!$J$4:$J$300,"&lt;="&amp;$L770*1.15),0),$Y770))</f>
        <v>3</v>
      </c>
      <c r="AA770" s="12" t="str">
        <f>IF($A770="","",IF(COUNTIF('Auction Log'!$B$3:$B$300,$A770)&gt;0,"Sold","Available"))</f>
        <v>Available</v>
      </c>
      <c r="AB770" s="12" t="str">
        <f t="array" ref="AB770">IF($A770="","",IFERROR(XLOOKUP($A770,'Auction Log'!$B$3:$B$300,'Auction Log'!$G$3:$G$300,""),""))</f>
        <v/>
      </c>
      <c r="AC770" s="12" t="str">
        <f t="array" ref="AC770">IF($A770="","",IFERROR(XLOOKUP($A770,'Auction Log'!$B$3:$B$300,'Auction Log'!$F$3:$F$300,""),""))</f>
        <v/>
      </c>
      <c r="AD770" s="12">
        <f t="array" ref="AD770">IF($A770="","",ROUND($Y770*XLOOKUP($F770,Settings!$I$15:$I$20,Settings!$K$15:$K$20,0.4),0))</f>
        <v>0</v>
      </c>
      <c r="AE770" s="12">
        <f t="array" ref="AE770">IF($A770="","",ROUND($Y770*XLOOKUP($F770,Settings!$I$15:$I$20,Settings!$L$15:$L$20,0.8),0))</f>
        <v>1</v>
      </c>
      <c r="AF770" s="12">
        <f t="array" ref="AF770">IF($A770="","",ROUND($Y770*XLOOKUP($F770,Settings!$I$15:$I$20,Settings!$M$15:$M$20,1),0))</f>
        <v>1</v>
      </c>
      <c r="AG770" s="12">
        <f t="array" ref="AG770">IF($A770="","",ROUND($Y770*XLOOKUP($F770,Settings!$I$15:$I$20,Settings!$N$15:$N$20,1.1),0))</f>
        <v>1</v>
      </c>
      <c r="AH770" s="12">
        <f t="array" ref="AH770">IF($A770="","",ROUND($Y770*XLOOKUP($F770,Settings!$I$15:$I$20,Settings!$O$15:$O$20,1.1)*Settings!$J$7,0))</f>
        <v>1</v>
      </c>
      <c r="AI770" s="12">
        <f t="array" ref="AI770">IF($A770="","",IF($AA770="Sold","",MIN($AH770,IFERROR(XLOOKUP(Settings!$B$12,Managers!$B$4:$B$15,Managers!$H$4:$H$15),$AH770))))</f>
        <v>1</v>
      </c>
      <c r="AJ770" s="12" t="str">
        <f t="shared" si="3"/>
        <v>Budget Drainer</v>
      </c>
      <c r="AK770" s="12">
        <f t="shared" si="4"/>
        <v>28</v>
      </c>
      <c r="AL770" s="12" t="str">
        <f t="shared" si="5"/>
        <v/>
      </c>
    </row>
    <row r="771" ht="15.75" customHeight="1">
      <c r="A771" s="10" t="s">
        <v>1822</v>
      </c>
      <c r="B771" s="10" t="s">
        <v>1823</v>
      </c>
      <c r="C771" s="10" t="s">
        <v>199</v>
      </c>
      <c r="D771" s="10" t="s">
        <v>115</v>
      </c>
      <c r="E771" s="10" t="s">
        <v>115</v>
      </c>
      <c r="F771" s="10" t="s">
        <v>117</v>
      </c>
      <c r="G771" s="10">
        <v>5.0</v>
      </c>
      <c r="H771" s="10">
        <v>7.0</v>
      </c>
      <c r="I771" s="10" t="s">
        <v>2140</v>
      </c>
      <c r="J771" s="10" t="s">
        <v>2136</v>
      </c>
      <c r="K771" s="10"/>
      <c r="L771" s="10">
        <v>0.0</v>
      </c>
      <c r="M771" s="10">
        <v>0.0</v>
      </c>
      <c r="N771" s="10"/>
      <c r="O771" s="10"/>
      <c r="P771" s="12">
        <f>IF($A771="","",IFERROR((IF($O771="",0,$O771)*Settings!$J$4+IF($L771="",0,$L771)*Settings!$J$5+IF($N771="",0,$N771)*Settings!$J$6)/(IF($O771="",0,Settings!$J$4)+IF($L771="",0,Settings!$J$5)+IF($N771="",0,Settings!$J$6)),0))</f>
        <v>0</v>
      </c>
      <c r="Q771" s="12">
        <f t="array" ref="Q771">IF($A771="","",XLOOKUP($E771,Settings!$A$19:$A$22,Settings!$G$19:$G$22,0))</f>
        <v>249.25</v>
      </c>
      <c r="R771" s="12">
        <f t="shared" si="1"/>
        <v>0</v>
      </c>
      <c r="S771" s="12">
        <f>IF($A771="","",IF($R771&lt;=0,1,1+$R771/SUMIF($R$4:$R$923,"&gt;0",$R$4:$R$923)*(Settings!$B$5*(Settings!$B$6-Settings!$B$7))))</f>
        <v>1</v>
      </c>
      <c r="T771" s="12">
        <f t="array" ref="T771">IF($A771="","",XLOOKUP($F771,Settings!$I$15:$I$20,Settings!$J$15:$J$20,1))</f>
        <v>0.75</v>
      </c>
      <c r="U771" s="12">
        <f>IF($A771="","",1+(($G771-5)/5)*Settings!$J$8)</f>
        <v>1</v>
      </c>
      <c r="V771" s="12">
        <f>IF($A771="","",1+(($H771-5)/5)*Settings!$J$9)</f>
        <v>1.06</v>
      </c>
      <c r="W771" s="12">
        <f t="array" ref="W771">IF($A771="","",XLOOKUP($J771,Lists!$C$3:$C$7,Lists!$D$3:$D$7,1))</f>
        <v>1</v>
      </c>
      <c r="X771" s="12">
        <f>IF($A771="","",IF($I771="Yes",Settings!$J$10,1))</f>
        <v>1</v>
      </c>
      <c r="Y771" s="12">
        <f t="shared" si="2"/>
        <v>1</v>
      </c>
      <c r="Z771" s="12">
        <f>IF($A771="","",IFERROR(ROUND(AVERAGEIFS('Historical Drafts'!$G$4:$G$300,'Historical Drafts'!$D$4:$D$300,$E771,'Historical Drafts'!$J$4:$J$300,"&gt;="&amp;$L771*0.85,'Historical Drafts'!$J$4:$J$300,"&lt;="&amp;$L771*1.15),0),$Y771))</f>
        <v>1</v>
      </c>
      <c r="AA771" s="12" t="str">
        <f>IF($A771="","",IF(COUNTIF('Auction Log'!$B$3:$B$300,$A771)&gt;0,"Sold","Available"))</f>
        <v>Available</v>
      </c>
      <c r="AB771" s="12" t="str">
        <f t="array" ref="AB771">IF($A771="","",IFERROR(XLOOKUP($A771,'Auction Log'!$B$3:$B$300,'Auction Log'!$G$3:$G$300,""),""))</f>
        <v/>
      </c>
      <c r="AC771" s="12" t="str">
        <f t="array" ref="AC771">IF($A771="","",IFERROR(XLOOKUP($A771,'Auction Log'!$B$3:$B$300,'Auction Log'!$F$3:$F$300,""),""))</f>
        <v/>
      </c>
      <c r="AD771" s="12">
        <f t="array" ref="AD771">IF($A771="","",ROUND($Y771*XLOOKUP($F771,Settings!$I$15:$I$20,Settings!$K$15:$K$20,0.4),0))</f>
        <v>0</v>
      </c>
      <c r="AE771" s="12">
        <f t="array" ref="AE771">IF($A771="","",ROUND($Y771*XLOOKUP($F771,Settings!$I$15:$I$20,Settings!$L$15:$L$20,0.8),0))</f>
        <v>1</v>
      </c>
      <c r="AF771" s="12">
        <f t="array" ref="AF771">IF($A771="","",ROUND($Y771*XLOOKUP($F771,Settings!$I$15:$I$20,Settings!$M$15:$M$20,1),0))</f>
        <v>1</v>
      </c>
      <c r="AG771" s="12">
        <f t="array" ref="AG771">IF($A771="","",ROUND($Y771*XLOOKUP($F771,Settings!$I$15:$I$20,Settings!$N$15:$N$20,1.1),0))</f>
        <v>1</v>
      </c>
      <c r="AH771" s="12">
        <f t="array" ref="AH771">IF($A771="","",ROUND($Y771*XLOOKUP($F771,Settings!$I$15:$I$20,Settings!$O$15:$O$20,1.1)*Settings!$J$7,0))</f>
        <v>1</v>
      </c>
      <c r="AI771" s="12">
        <f t="array" ref="AI771">IF($A771="","",IF($AA771="Sold","",MIN($AH771,IFERROR(XLOOKUP(Settings!$B$12,Managers!$B$4:$B$15,Managers!$H$4:$H$15),$AH771))))</f>
        <v>1</v>
      </c>
      <c r="AJ771" s="12" t="str">
        <f t="shared" si="3"/>
        <v>Recommended</v>
      </c>
      <c r="AK771" s="12">
        <f t="shared" si="4"/>
        <v>26</v>
      </c>
      <c r="AL771" s="12" t="str">
        <f t="shared" si="5"/>
        <v/>
      </c>
    </row>
    <row r="772" ht="15.75" customHeight="1">
      <c r="A772" s="10" t="s">
        <v>1824</v>
      </c>
      <c r="B772" s="10" t="s">
        <v>1825</v>
      </c>
      <c r="C772" s="10" t="s">
        <v>566</v>
      </c>
      <c r="D772" s="10" t="s">
        <v>123</v>
      </c>
      <c r="E772" s="10" t="s">
        <v>123</v>
      </c>
      <c r="F772" s="10" t="s">
        <v>117</v>
      </c>
      <c r="G772" s="10">
        <v>5.0</v>
      </c>
      <c r="H772" s="10">
        <v>7.0</v>
      </c>
      <c r="I772" s="10" t="s">
        <v>2140</v>
      </c>
      <c r="J772" s="10" t="s">
        <v>2136</v>
      </c>
      <c r="K772" s="10"/>
      <c r="L772" s="10">
        <v>0.0</v>
      </c>
      <c r="M772" s="10">
        <v>0.0</v>
      </c>
      <c r="N772" s="10"/>
      <c r="O772" s="10"/>
      <c r="P772" s="12">
        <f>IF($A772="","",IFERROR((IF($O772="",0,$O772)*Settings!$J$4+IF($L772="",0,$L772)*Settings!$J$5+IF($N772="",0,$N772)*Settings!$J$6)/(IF($O772="",0,Settings!$J$4)+IF($L772="",0,Settings!$J$5)+IF($N772="",0,Settings!$J$6)),0))</f>
        <v>0</v>
      </c>
      <c r="Q772" s="12">
        <f t="array" ref="Q772">IF($A772="","",XLOOKUP($E772,Settings!$A$19:$A$22,Settings!$G$19:$G$22,0))</f>
        <v>203</v>
      </c>
      <c r="R772" s="12">
        <f t="shared" si="1"/>
        <v>0</v>
      </c>
      <c r="S772" s="12">
        <f>IF($A772="","",IF($R772&lt;=0,1,1+$R772/SUMIF($R$4:$R$923,"&gt;0",$R$4:$R$923)*(Settings!$B$5*(Settings!$B$6-Settings!$B$7))))</f>
        <v>1</v>
      </c>
      <c r="T772" s="12">
        <f t="array" ref="T772">IF($A772="","",XLOOKUP($F772,Settings!$I$15:$I$20,Settings!$J$15:$J$20,1))</f>
        <v>0.75</v>
      </c>
      <c r="U772" s="12">
        <f>IF($A772="","",1+(($G772-5)/5)*Settings!$J$8)</f>
        <v>1</v>
      </c>
      <c r="V772" s="12">
        <f>IF($A772="","",1+(($H772-5)/5)*Settings!$J$9)</f>
        <v>1.06</v>
      </c>
      <c r="W772" s="12">
        <f t="array" ref="W772">IF($A772="","",XLOOKUP($J772,Lists!$C$3:$C$7,Lists!$D$3:$D$7,1))</f>
        <v>1</v>
      </c>
      <c r="X772" s="12">
        <f>IF($A772="","",IF($I772="Yes",Settings!$J$10,1))</f>
        <v>1</v>
      </c>
      <c r="Y772" s="12">
        <f t="shared" si="2"/>
        <v>1</v>
      </c>
      <c r="Z772" s="12">
        <f>IF($A772="","",IFERROR(ROUND(AVERAGEIFS('Historical Drafts'!$G$4:$G$300,'Historical Drafts'!$D$4:$D$300,$E772,'Historical Drafts'!$J$4:$J$300,"&gt;="&amp;$L772*0.85,'Historical Drafts'!$J$4:$J$300,"&lt;="&amp;$L772*1.15),0),$Y772))</f>
        <v>3</v>
      </c>
      <c r="AA772" s="12" t="str">
        <f>IF($A772="","",IF(COUNTIF('Auction Log'!$B$3:$B$300,$A772)&gt;0,"Sold","Available"))</f>
        <v>Available</v>
      </c>
      <c r="AB772" s="12" t="str">
        <f t="array" ref="AB772">IF($A772="","",IFERROR(XLOOKUP($A772,'Auction Log'!$B$3:$B$300,'Auction Log'!$G$3:$G$300,""),""))</f>
        <v/>
      </c>
      <c r="AC772" s="12" t="str">
        <f t="array" ref="AC772">IF($A772="","",IFERROR(XLOOKUP($A772,'Auction Log'!$B$3:$B$300,'Auction Log'!$F$3:$F$300,""),""))</f>
        <v/>
      </c>
      <c r="AD772" s="12">
        <f t="array" ref="AD772">IF($A772="","",ROUND($Y772*XLOOKUP($F772,Settings!$I$15:$I$20,Settings!$K$15:$K$20,0.4),0))</f>
        <v>0</v>
      </c>
      <c r="AE772" s="12">
        <f t="array" ref="AE772">IF($A772="","",ROUND($Y772*XLOOKUP($F772,Settings!$I$15:$I$20,Settings!$L$15:$L$20,0.8),0))</f>
        <v>1</v>
      </c>
      <c r="AF772" s="12">
        <f t="array" ref="AF772">IF($A772="","",ROUND($Y772*XLOOKUP($F772,Settings!$I$15:$I$20,Settings!$M$15:$M$20,1),0))</f>
        <v>1</v>
      </c>
      <c r="AG772" s="12">
        <f t="array" ref="AG772">IF($A772="","",ROUND($Y772*XLOOKUP($F772,Settings!$I$15:$I$20,Settings!$N$15:$N$20,1.1),0))</f>
        <v>1</v>
      </c>
      <c r="AH772" s="12">
        <f t="array" ref="AH772">IF($A772="","",ROUND($Y772*XLOOKUP($F772,Settings!$I$15:$I$20,Settings!$O$15:$O$20,1.1)*Settings!$J$7,0))</f>
        <v>1</v>
      </c>
      <c r="AI772" s="12">
        <f t="array" ref="AI772">IF($A772="","",IF($AA772="Sold","",MIN($AH772,IFERROR(XLOOKUP(Settings!$B$12,Managers!$B$4:$B$15,Managers!$H$4:$H$15),$AH772))))</f>
        <v>1</v>
      </c>
      <c r="AJ772" s="12" t="str">
        <f t="shared" si="3"/>
        <v>Budget Drainer</v>
      </c>
      <c r="AK772" s="12">
        <f t="shared" si="4"/>
        <v>28</v>
      </c>
      <c r="AL772" s="12" t="str">
        <f t="shared" si="5"/>
        <v/>
      </c>
    </row>
    <row r="773" ht="15.75" customHeight="1">
      <c r="A773" s="10" t="s">
        <v>1826</v>
      </c>
      <c r="B773" s="10" t="s">
        <v>1827</v>
      </c>
      <c r="C773" s="10" t="s">
        <v>185</v>
      </c>
      <c r="D773" s="10" t="s">
        <v>123</v>
      </c>
      <c r="E773" s="10" t="s">
        <v>123</v>
      </c>
      <c r="F773" s="10" t="s">
        <v>117</v>
      </c>
      <c r="G773" s="10">
        <v>5.0</v>
      </c>
      <c r="H773" s="10">
        <v>7.0</v>
      </c>
      <c r="I773" s="10" t="s">
        <v>2140</v>
      </c>
      <c r="J773" s="10" t="s">
        <v>2136</v>
      </c>
      <c r="K773" s="10"/>
      <c r="L773" s="10">
        <v>0.0</v>
      </c>
      <c r="M773" s="10">
        <v>0.0</v>
      </c>
      <c r="N773" s="10"/>
      <c r="O773" s="10"/>
      <c r="P773" s="12">
        <f>IF($A773="","",IFERROR((IF($O773="",0,$O773)*Settings!$J$4+IF($L773="",0,$L773)*Settings!$J$5+IF($N773="",0,$N773)*Settings!$J$6)/(IF($O773="",0,Settings!$J$4)+IF($L773="",0,Settings!$J$5)+IF($N773="",0,Settings!$J$6)),0))</f>
        <v>0</v>
      </c>
      <c r="Q773" s="12">
        <f t="array" ref="Q773">IF($A773="","",XLOOKUP($E773,Settings!$A$19:$A$22,Settings!$G$19:$G$22,0))</f>
        <v>203</v>
      </c>
      <c r="R773" s="12">
        <f t="shared" si="1"/>
        <v>0</v>
      </c>
      <c r="S773" s="12">
        <f>IF($A773="","",IF($R773&lt;=0,1,1+$R773/SUMIF($R$4:$R$923,"&gt;0",$R$4:$R$923)*(Settings!$B$5*(Settings!$B$6-Settings!$B$7))))</f>
        <v>1</v>
      </c>
      <c r="T773" s="12">
        <f t="array" ref="T773">IF($A773="","",XLOOKUP($F773,Settings!$I$15:$I$20,Settings!$J$15:$J$20,1))</f>
        <v>0.75</v>
      </c>
      <c r="U773" s="12">
        <f>IF($A773="","",1+(($G773-5)/5)*Settings!$J$8)</f>
        <v>1</v>
      </c>
      <c r="V773" s="12">
        <f>IF($A773="","",1+(($H773-5)/5)*Settings!$J$9)</f>
        <v>1.06</v>
      </c>
      <c r="W773" s="12">
        <f t="array" ref="W773">IF($A773="","",XLOOKUP($J773,Lists!$C$3:$C$7,Lists!$D$3:$D$7,1))</f>
        <v>1</v>
      </c>
      <c r="X773" s="12">
        <f>IF($A773="","",IF($I773="Yes",Settings!$J$10,1))</f>
        <v>1</v>
      </c>
      <c r="Y773" s="12">
        <f t="shared" si="2"/>
        <v>1</v>
      </c>
      <c r="Z773" s="12">
        <f>IF($A773="","",IFERROR(ROUND(AVERAGEIFS('Historical Drafts'!$G$4:$G$300,'Historical Drafts'!$D$4:$D$300,$E773,'Historical Drafts'!$J$4:$J$300,"&gt;="&amp;$L773*0.85,'Historical Drafts'!$J$4:$J$300,"&lt;="&amp;$L773*1.15),0),$Y773))</f>
        <v>3</v>
      </c>
      <c r="AA773" s="12" t="str">
        <f>IF($A773="","",IF(COUNTIF('Auction Log'!$B$3:$B$300,$A773)&gt;0,"Sold","Available"))</f>
        <v>Available</v>
      </c>
      <c r="AB773" s="12" t="str">
        <f t="array" ref="AB773">IF($A773="","",IFERROR(XLOOKUP($A773,'Auction Log'!$B$3:$B$300,'Auction Log'!$G$3:$G$300,""),""))</f>
        <v/>
      </c>
      <c r="AC773" s="12" t="str">
        <f t="array" ref="AC773">IF($A773="","",IFERROR(XLOOKUP($A773,'Auction Log'!$B$3:$B$300,'Auction Log'!$F$3:$F$300,""),""))</f>
        <v/>
      </c>
      <c r="AD773" s="12">
        <f t="array" ref="AD773">IF($A773="","",ROUND($Y773*XLOOKUP($F773,Settings!$I$15:$I$20,Settings!$K$15:$K$20,0.4),0))</f>
        <v>0</v>
      </c>
      <c r="AE773" s="12">
        <f t="array" ref="AE773">IF($A773="","",ROUND($Y773*XLOOKUP($F773,Settings!$I$15:$I$20,Settings!$L$15:$L$20,0.8),0))</f>
        <v>1</v>
      </c>
      <c r="AF773" s="12">
        <f t="array" ref="AF773">IF($A773="","",ROUND($Y773*XLOOKUP($F773,Settings!$I$15:$I$20,Settings!$M$15:$M$20,1),0))</f>
        <v>1</v>
      </c>
      <c r="AG773" s="12">
        <f t="array" ref="AG773">IF($A773="","",ROUND($Y773*XLOOKUP($F773,Settings!$I$15:$I$20,Settings!$N$15:$N$20,1.1),0))</f>
        <v>1</v>
      </c>
      <c r="AH773" s="12">
        <f t="array" ref="AH773">IF($A773="","",ROUND($Y773*XLOOKUP($F773,Settings!$I$15:$I$20,Settings!$O$15:$O$20,1.1)*Settings!$J$7,0))</f>
        <v>1</v>
      </c>
      <c r="AI773" s="12">
        <f t="array" ref="AI773">IF($A773="","",IF($AA773="Sold","",MIN($AH773,IFERROR(XLOOKUP(Settings!$B$12,Managers!$B$4:$B$15,Managers!$H$4:$H$15),$AH773))))</f>
        <v>1</v>
      </c>
      <c r="AJ773" s="12" t="str">
        <f t="shared" si="3"/>
        <v>Budget Drainer</v>
      </c>
      <c r="AK773" s="12">
        <f t="shared" si="4"/>
        <v>28</v>
      </c>
      <c r="AL773" s="12" t="str">
        <f t="shared" si="5"/>
        <v/>
      </c>
    </row>
    <row r="774" ht="15.75" customHeight="1">
      <c r="A774" s="10" t="s">
        <v>1828</v>
      </c>
      <c r="B774" s="10" t="s">
        <v>1829</v>
      </c>
      <c r="C774" s="10" t="s">
        <v>314</v>
      </c>
      <c r="D774" s="10" t="s">
        <v>123</v>
      </c>
      <c r="E774" s="10" t="s">
        <v>123</v>
      </c>
      <c r="F774" s="10" t="s">
        <v>117</v>
      </c>
      <c r="G774" s="10">
        <v>5.0</v>
      </c>
      <c r="H774" s="10">
        <v>7.0</v>
      </c>
      <c r="I774" s="10" t="s">
        <v>2140</v>
      </c>
      <c r="J774" s="10" t="s">
        <v>2136</v>
      </c>
      <c r="K774" s="10"/>
      <c r="L774" s="10">
        <v>0.0</v>
      </c>
      <c r="M774" s="10">
        <v>0.0</v>
      </c>
      <c r="N774" s="10"/>
      <c r="O774" s="10"/>
      <c r="P774" s="12">
        <f>IF($A774="","",IFERROR((IF($O774="",0,$O774)*Settings!$J$4+IF($L774="",0,$L774)*Settings!$J$5+IF($N774="",0,$N774)*Settings!$J$6)/(IF($O774="",0,Settings!$J$4)+IF($L774="",0,Settings!$J$5)+IF($N774="",0,Settings!$J$6)),0))</f>
        <v>0</v>
      </c>
      <c r="Q774" s="12">
        <f t="array" ref="Q774">IF($A774="","",XLOOKUP($E774,Settings!$A$19:$A$22,Settings!$G$19:$G$22,0))</f>
        <v>203</v>
      </c>
      <c r="R774" s="12">
        <f t="shared" si="1"/>
        <v>0</v>
      </c>
      <c r="S774" s="12">
        <f>IF($A774="","",IF($R774&lt;=0,1,1+$R774/SUMIF($R$4:$R$923,"&gt;0",$R$4:$R$923)*(Settings!$B$5*(Settings!$B$6-Settings!$B$7))))</f>
        <v>1</v>
      </c>
      <c r="T774" s="12">
        <f t="array" ref="T774">IF($A774="","",XLOOKUP($F774,Settings!$I$15:$I$20,Settings!$J$15:$J$20,1))</f>
        <v>0.75</v>
      </c>
      <c r="U774" s="12">
        <f>IF($A774="","",1+(($G774-5)/5)*Settings!$J$8)</f>
        <v>1</v>
      </c>
      <c r="V774" s="12">
        <f>IF($A774="","",1+(($H774-5)/5)*Settings!$J$9)</f>
        <v>1.06</v>
      </c>
      <c r="W774" s="12">
        <f t="array" ref="W774">IF($A774="","",XLOOKUP($J774,Lists!$C$3:$C$7,Lists!$D$3:$D$7,1))</f>
        <v>1</v>
      </c>
      <c r="X774" s="12">
        <f>IF($A774="","",IF($I774="Yes",Settings!$J$10,1))</f>
        <v>1</v>
      </c>
      <c r="Y774" s="12">
        <f t="shared" si="2"/>
        <v>1</v>
      </c>
      <c r="Z774" s="12">
        <f>IF($A774="","",IFERROR(ROUND(AVERAGEIFS('Historical Drafts'!$G$4:$G$300,'Historical Drafts'!$D$4:$D$300,$E774,'Historical Drafts'!$J$4:$J$300,"&gt;="&amp;$L774*0.85,'Historical Drafts'!$J$4:$J$300,"&lt;="&amp;$L774*1.15),0),$Y774))</f>
        <v>3</v>
      </c>
      <c r="AA774" s="12" t="str">
        <f>IF($A774="","",IF(COUNTIF('Auction Log'!$B$3:$B$300,$A774)&gt;0,"Sold","Available"))</f>
        <v>Available</v>
      </c>
      <c r="AB774" s="12" t="str">
        <f t="array" ref="AB774">IF($A774="","",IFERROR(XLOOKUP($A774,'Auction Log'!$B$3:$B$300,'Auction Log'!$G$3:$G$300,""),""))</f>
        <v/>
      </c>
      <c r="AC774" s="12" t="str">
        <f t="array" ref="AC774">IF($A774="","",IFERROR(XLOOKUP($A774,'Auction Log'!$B$3:$B$300,'Auction Log'!$F$3:$F$300,""),""))</f>
        <v/>
      </c>
      <c r="AD774" s="12">
        <f t="array" ref="AD774">IF($A774="","",ROUND($Y774*XLOOKUP($F774,Settings!$I$15:$I$20,Settings!$K$15:$K$20,0.4),0))</f>
        <v>0</v>
      </c>
      <c r="AE774" s="12">
        <f t="array" ref="AE774">IF($A774="","",ROUND($Y774*XLOOKUP($F774,Settings!$I$15:$I$20,Settings!$L$15:$L$20,0.8),0))</f>
        <v>1</v>
      </c>
      <c r="AF774" s="12">
        <f t="array" ref="AF774">IF($A774="","",ROUND($Y774*XLOOKUP($F774,Settings!$I$15:$I$20,Settings!$M$15:$M$20,1),0))</f>
        <v>1</v>
      </c>
      <c r="AG774" s="12">
        <f t="array" ref="AG774">IF($A774="","",ROUND($Y774*XLOOKUP($F774,Settings!$I$15:$I$20,Settings!$N$15:$N$20,1.1),0))</f>
        <v>1</v>
      </c>
      <c r="AH774" s="12">
        <f t="array" ref="AH774">IF($A774="","",ROUND($Y774*XLOOKUP($F774,Settings!$I$15:$I$20,Settings!$O$15:$O$20,1.1)*Settings!$J$7,0))</f>
        <v>1</v>
      </c>
      <c r="AI774" s="12">
        <f t="array" ref="AI774">IF($A774="","",IF($AA774="Sold","",MIN($AH774,IFERROR(XLOOKUP(Settings!$B$12,Managers!$B$4:$B$15,Managers!$H$4:$H$15),$AH774))))</f>
        <v>1</v>
      </c>
      <c r="AJ774" s="12" t="str">
        <f t="shared" si="3"/>
        <v>Budget Drainer</v>
      </c>
      <c r="AK774" s="12">
        <f t="shared" si="4"/>
        <v>28</v>
      </c>
      <c r="AL774" s="12" t="str">
        <f t="shared" si="5"/>
        <v/>
      </c>
    </row>
    <row r="775" ht="15.75" customHeight="1">
      <c r="A775" s="10" t="s">
        <v>1830</v>
      </c>
      <c r="B775" s="10" t="s">
        <v>1831</v>
      </c>
      <c r="C775" s="10" t="s">
        <v>387</v>
      </c>
      <c r="D775" s="10" t="s">
        <v>121</v>
      </c>
      <c r="E775" s="10" t="s">
        <v>121</v>
      </c>
      <c r="F775" s="10" t="s">
        <v>117</v>
      </c>
      <c r="G775" s="10">
        <v>5.0</v>
      </c>
      <c r="H775" s="10">
        <v>7.0</v>
      </c>
      <c r="I775" s="10" t="s">
        <v>2140</v>
      </c>
      <c r="J775" s="10" t="s">
        <v>2136</v>
      </c>
      <c r="K775" s="10"/>
      <c r="L775" s="10">
        <v>0.0</v>
      </c>
      <c r="M775" s="10">
        <v>0.0</v>
      </c>
      <c r="N775" s="10"/>
      <c r="O775" s="10"/>
      <c r="P775" s="12">
        <f>IF($A775="","",IFERROR((IF($O775="",0,$O775)*Settings!$J$4+IF($L775="",0,$L775)*Settings!$J$5+IF($N775="",0,$N775)*Settings!$J$6)/(IF($O775="",0,Settings!$J$4)+IF($L775="",0,Settings!$J$5)+IF($N775="",0,Settings!$J$6)),0))</f>
        <v>0</v>
      </c>
      <c r="Q775" s="12">
        <f t="array" ref="Q775">IF($A775="","",XLOOKUP($E775,Settings!$A$19:$A$22,Settings!$G$19:$G$22,0))</f>
        <v>206</v>
      </c>
      <c r="R775" s="12">
        <f t="shared" si="1"/>
        <v>0</v>
      </c>
      <c r="S775" s="12">
        <f>IF($A775="","",IF($R775&lt;=0,1,1+$R775/SUMIF($R$4:$R$923,"&gt;0",$R$4:$R$923)*(Settings!$B$5*(Settings!$B$6-Settings!$B$7))))</f>
        <v>1</v>
      </c>
      <c r="T775" s="12">
        <f t="array" ref="T775">IF($A775="","",XLOOKUP($F775,Settings!$I$15:$I$20,Settings!$J$15:$J$20,1))</f>
        <v>0.75</v>
      </c>
      <c r="U775" s="12">
        <f>IF($A775="","",1+(($G775-5)/5)*Settings!$J$8)</f>
        <v>1</v>
      </c>
      <c r="V775" s="12">
        <f>IF($A775="","",1+(($H775-5)/5)*Settings!$J$9)</f>
        <v>1.06</v>
      </c>
      <c r="W775" s="12">
        <f t="array" ref="W775">IF($A775="","",XLOOKUP($J775,Lists!$C$3:$C$7,Lists!$D$3:$D$7,1))</f>
        <v>1</v>
      </c>
      <c r="X775" s="12">
        <f>IF($A775="","",IF($I775="Yes",Settings!$J$10,1))</f>
        <v>1</v>
      </c>
      <c r="Y775" s="12">
        <f t="shared" si="2"/>
        <v>1</v>
      </c>
      <c r="Z775" s="12">
        <f>IF($A775="","",IFERROR(ROUND(AVERAGEIFS('Historical Drafts'!$G$4:$G$300,'Historical Drafts'!$D$4:$D$300,$E775,'Historical Drafts'!$J$4:$J$300,"&gt;="&amp;$L775*0.85,'Historical Drafts'!$J$4:$J$300,"&lt;="&amp;$L775*1.15),0),$Y775))</f>
        <v>3</v>
      </c>
      <c r="AA775" s="12" t="str">
        <f>IF($A775="","",IF(COUNTIF('Auction Log'!$B$3:$B$300,$A775)&gt;0,"Sold","Available"))</f>
        <v>Available</v>
      </c>
      <c r="AB775" s="12" t="str">
        <f t="array" ref="AB775">IF($A775="","",IFERROR(XLOOKUP($A775,'Auction Log'!$B$3:$B$300,'Auction Log'!$G$3:$G$300,""),""))</f>
        <v/>
      </c>
      <c r="AC775" s="12" t="str">
        <f t="array" ref="AC775">IF($A775="","",IFERROR(XLOOKUP($A775,'Auction Log'!$B$3:$B$300,'Auction Log'!$F$3:$F$300,""),""))</f>
        <v/>
      </c>
      <c r="AD775" s="12">
        <f t="array" ref="AD775">IF($A775="","",ROUND($Y775*XLOOKUP($F775,Settings!$I$15:$I$20,Settings!$K$15:$K$20,0.4),0))</f>
        <v>0</v>
      </c>
      <c r="AE775" s="12">
        <f t="array" ref="AE775">IF($A775="","",ROUND($Y775*XLOOKUP($F775,Settings!$I$15:$I$20,Settings!$L$15:$L$20,0.8),0))</f>
        <v>1</v>
      </c>
      <c r="AF775" s="12">
        <f t="array" ref="AF775">IF($A775="","",ROUND($Y775*XLOOKUP($F775,Settings!$I$15:$I$20,Settings!$M$15:$M$20,1),0))</f>
        <v>1</v>
      </c>
      <c r="AG775" s="12">
        <f t="array" ref="AG775">IF($A775="","",ROUND($Y775*XLOOKUP($F775,Settings!$I$15:$I$20,Settings!$N$15:$N$20,1.1),0))</f>
        <v>1</v>
      </c>
      <c r="AH775" s="12">
        <f t="array" ref="AH775">IF($A775="","",ROUND($Y775*XLOOKUP($F775,Settings!$I$15:$I$20,Settings!$O$15:$O$20,1.1)*Settings!$J$7,0))</f>
        <v>1</v>
      </c>
      <c r="AI775" s="12">
        <f t="array" ref="AI775">IF($A775="","",IF($AA775="Sold","",MIN($AH775,IFERROR(XLOOKUP(Settings!$B$12,Managers!$B$4:$B$15,Managers!$H$4:$H$15),$AH775))))</f>
        <v>1</v>
      </c>
      <c r="AJ775" s="12" t="str">
        <f t="shared" si="3"/>
        <v>Budget Drainer</v>
      </c>
      <c r="AK775" s="12">
        <f t="shared" si="4"/>
        <v>28</v>
      </c>
      <c r="AL775" s="12" t="str">
        <f t="shared" si="5"/>
        <v/>
      </c>
    </row>
    <row r="776" ht="15.75" customHeight="1">
      <c r="A776" s="10" t="s">
        <v>1832</v>
      </c>
      <c r="B776" s="10" t="s">
        <v>1833</v>
      </c>
      <c r="C776" s="10" t="s">
        <v>387</v>
      </c>
      <c r="D776" s="10" t="s">
        <v>118</v>
      </c>
      <c r="E776" s="10" t="s">
        <v>118</v>
      </c>
      <c r="F776" s="10" t="s">
        <v>117</v>
      </c>
      <c r="G776" s="10">
        <v>5.0</v>
      </c>
      <c r="H776" s="10">
        <v>7.0</v>
      </c>
      <c r="I776" s="10" t="s">
        <v>2140</v>
      </c>
      <c r="J776" s="10" t="s">
        <v>2136</v>
      </c>
      <c r="K776" s="10"/>
      <c r="L776" s="10">
        <v>0.0</v>
      </c>
      <c r="M776" s="10">
        <v>0.0</v>
      </c>
      <c r="N776" s="10"/>
      <c r="O776" s="10"/>
      <c r="P776" s="12">
        <f>IF($A776="","",IFERROR((IF($O776="",0,$O776)*Settings!$J$4+IF($L776="",0,$L776)*Settings!$J$5+IF($N776="",0,$N776)*Settings!$J$6)/(IF($O776="",0,Settings!$J$4)+IF($L776="",0,Settings!$J$5)+IF($N776="",0,Settings!$J$6)),0))</f>
        <v>0</v>
      </c>
      <c r="Q776" s="12">
        <f t="array" ref="Q776">IF($A776="","",XLOOKUP($E776,Settings!$A$19:$A$22,Settings!$G$19:$G$22,0))</f>
        <v>196.25</v>
      </c>
      <c r="R776" s="12">
        <f t="shared" si="1"/>
        <v>0</v>
      </c>
      <c r="S776" s="12">
        <f>IF($A776="","",IF($R776&lt;=0,1,1+$R776/SUMIF($R$4:$R$923,"&gt;0",$R$4:$R$923)*(Settings!$B$5*(Settings!$B$6-Settings!$B$7))))</f>
        <v>1</v>
      </c>
      <c r="T776" s="12">
        <f t="array" ref="T776">IF($A776="","",XLOOKUP($F776,Settings!$I$15:$I$20,Settings!$J$15:$J$20,1))</f>
        <v>0.75</v>
      </c>
      <c r="U776" s="12">
        <f>IF($A776="","",1+(($G776-5)/5)*Settings!$J$8)</f>
        <v>1</v>
      </c>
      <c r="V776" s="12">
        <f>IF($A776="","",1+(($H776-5)/5)*Settings!$J$9)</f>
        <v>1.06</v>
      </c>
      <c r="W776" s="12">
        <f t="array" ref="W776">IF($A776="","",XLOOKUP($J776,Lists!$C$3:$C$7,Lists!$D$3:$D$7,1))</f>
        <v>1</v>
      </c>
      <c r="X776" s="12">
        <f>IF($A776="","",IF($I776="Yes",Settings!$J$10,1))</f>
        <v>1</v>
      </c>
      <c r="Y776" s="12">
        <f t="shared" si="2"/>
        <v>1</v>
      </c>
      <c r="Z776" s="12">
        <f>IF($A776="","",IFERROR(ROUND(AVERAGEIFS('Historical Drafts'!$G$4:$G$300,'Historical Drafts'!$D$4:$D$300,$E776,'Historical Drafts'!$J$4:$J$300,"&gt;="&amp;$L776*0.85,'Historical Drafts'!$J$4:$J$300,"&lt;="&amp;$L776*1.15),0),$Y776))</f>
        <v>1</v>
      </c>
      <c r="AA776" s="12" t="str">
        <f>IF($A776="","",IF(COUNTIF('Auction Log'!$B$3:$B$300,$A776)&gt;0,"Sold","Available"))</f>
        <v>Available</v>
      </c>
      <c r="AB776" s="12" t="str">
        <f t="array" ref="AB776">IF($A776="","",IFERROR(XLOOKUP($A776,'Auction Log'!$B$3:$B$300,'Auction Log'!$G$3:$G$300,""),""))</f>
        <v/>
      </c>
      <c r="AC776" s="12" t="str">
        <f t="array" ref="AC776">IF($A776="","",IFERROR(XLOOKUP($A776,'Auction Log'!$B$3:$B$300,'Auction Log'!$F$3:$F$300,""),""))</f>
        <v/>
      </c>
      <c r="AD776" s="12">
        <f t="array" ref="AD776">IF($A776="","",ROUND($Y776*XLOOKUP($F776,Settings!$I$15:$I$20,Settings!$K$15:$K$20,0.4),0))</f>
        <v>0</v>
      </c>
      <c r="AE776" s="12">
        <f t="array" ref="AE776">IF($A776="","",ROUND($Y776*XLOOKUP($F776,Settings!$I$15:$I$20,Settings!$L$15:$L$20,0.8),0))</f>
        <v>1</v>
      </c>
      <c r="AF776" s="12">
        <f t="array" ref="AF776">IF($A776="","",ROUND($Y776*XLOOKUP($F776,Settings!$I$15:$I$20,Settings!$M$15:$M$20,1),0))</f>
        <v>1</v>
      </c>
      <c r="AG776" s="12">
        <f t="array" ref="AG776">IF($A776="","",ROUND($Y776*XLOOKUP($F776,Settings!$I$15:$I$20,Settings!$N$15:$N$20,1.1),0))</f>
        <v>1</v>
      </c>
      <c r="AH776" s="12">
        <f t="array" ref="AH776">IF($A776="","",ROUND($Y776*XLOOKUP($F776,Settings!$I$15:$I$20,Settings!$O$15:$O$20,1.1)*Settings!$J$7,0))</f>
        <v>1</v>
      </c>
      <c r="AI776" s="12">
        <f t="array" ref="AI776">IF($A776="","",IF($AA776="Sold","",MIN($AH776,IFERROR(XLOOKUP(Settings!$B$12,Managers!$B$4:$B$15,Managers!$H$4:$H$15),$AH776))))</f>
        <v>1</v>
      </c>
      <c r="AJ776" s="12" t="str">
        <f t="shared" si="3"/>
        <v>Recommended</v>
      </c>
      <c r="AK776" s="12">
        <f t="shared" si="4"/>
        <v>26</v>
      </c>
      <c r="AL776" s="12" t="str">
        <f t="shared" si="5"/>
        <v/>
      </c>
    </row>
    <row r="777" ht="15.75" customHeight="1">
      <c r="A777" s="10" t="s">
        <v>1834</v>
      </c>
      <c r="B777" s="10" t="s">
        <v>1835</v>
      </c>
      <c r="C777" s="10" t="s">
        <v>257</v>
      </c>
      <c r="D777" s="10" t="s">
        <v>121</v>
      </c>
      <c r="E777" s="10" t="s">
        <v>121</v>
      </c>
      <c r="F777" s="10" t="s">
        <v>117</v>
      </c>
      <c r="G777" s="10">
        <v>5.0</v>
      </c>
      <c r="H777" s="10">
        <v>7.0</v>
      </c>
      <c r="I777" s="10" t="s">
        <v>2140</v>
      </c>
      <c r="J777" s="10" t="s">
        <v>2136</v>
      </c>
      <c r="K777" s="10"/>
      <c r="L777" s="10">
        <v>0.0</v>
      </c>
      <c r="M777" s="10">
        <v>0.0</v>
      </c>
      <c r="N777" s="10"/>
      <c r="O777" s="10"/>
      <c r="P777" s="12">
        <f>IF($A777="","",IFERROR((IF($O777="",0,$O777)*Settings!$J$4+IF($L777="",0,$L777)*Settings!$J$5+IF($N777="",0,$N777)*Settings!$J$6)/(IF($O777="",0,Settings!$J$4)+IF($L777="",0,Settings!$J$5)+IF($N777="",0,Settings!$J$6)),0))</f>
        <v>0</v>
      </c>
      <c r="Q777" s="12">
        <f t="array" ref="Q777">IF($A777="","",XLOOKUP($E777,Settings!$A$19:$A$22,Settings!$G$19:$G$22,0))</f>
        <v>206</v>
      </c>
      <c r="R777" s="12">
        <f t="shared" si="1"/>
        <v>0</v>
      </c>
      <c r="S777" s="12">
        <f>IF($A777="","",IF($R777&lt;=0,1,1+$R777/SUMIF($R$4:$R$923,"&gt;0",$R$4:$R$923)*(Settings!$B$5*(Settings!$B$6-Settings!$B$7))))</f>
        <v>1</v>
      </c>
      <c r="T777" s="12">
        <f t="array" ref="T777">IF($A777="","",XLOOKUP($F777,Settings!$I$15:$I$20,Settings!$J$15:$J$20,1))</f>
        <v>0.75</v>
      </c>
      <c r="U777" s="12">
        <f>IF($A777="","",1+(($G777-5)/5)*Settings!$J$8)</f>
        <v>1</v>
      </c>
      <c r="V777" s="12">
        <f>IF($A777="","",1+(($H777-5)/5)*Settings!$J$9)</f>
        <v>1.06</v>
      </c>
      <c r="W777" s="12">
        <f t="array" ref="W777">IF($A777="","",XLOOKUP($J777,Lists!$C$3:$C$7,Lists!$D$3:$D$7,1))</f>
        <v>1</v>
      </c>
      <c r="X777" s="12">
        <f>IF($A777="","",IF($I777="Yes",Settings!$J$10,1))</f>
        <v>1</v>
      </c>
      <c r="Y777" s="12">
        <f t="shared" si="2"/>
        <v>1</v>
      </c>
      <c r="Z777" s="12">
        <f>IF($A777="","",IFERROR(ROUND(AVERAGEIFS('Historical Drafts'!$G$4:$G$300,'Historical Drafts'!$D$4:$D$300,$E777,'Historical Drafts'!$J$4:$J$300,"&gt;="&amp;$L777*0.85,'Historical Drafts'!$J$4:$J$300,"&lt;="&amp;$L777*1.15),0),$Y777))</f>
        <v>3</v>
      </c>
      <c r="AA777" s="12" t="str">
        <f>IF($A777="","",IF(COUNTIF('Auction Log'!$B$3:$B$300,$A777)&gt;0,"Sold","Available"))</f>
        <v>Available</v>
      </c>
      <c r="AB777" s="12" t="str">
        <f t="array" ref="AB777">IF($A777="","",IFERROR(XLOOKUP($A777,'Auction Log'!$B$3:$B$300,'Auction Log'!$G$3:$G$300,""),""))</f>
        <v/>
      </c>
      <c r="AC777" s="12" t="str">
        <f t="array" ref="AC777">IF($A777="","",IFERROR(XLOOKUP($A777,'Auction Log'!$B$3:$B$300,'Auction Log'!$F$3:$F$300,""),""))</f>
        <v/>
      </c>
      <c r="AD777" s="12">
        <f t="array" ref="AD777">IF($A777="","",ROUND($Y777*XLOOKUP($F777,Settings!$I$15:$I$20,Settings!$K$15:$K$20,0.4),0))</f>
        <v>0</v>
      </c>
      <c r="AE777" s="12">
        <f t="array" ref="AE777">IF($A777="","",ROUND($Y777*XLOOKUP($F777,Settings!$I$15:$I$20,Settings!$L$15:$L$20,0.8),0))</f>
        <v>1</v>
      </c>
      <c r="AF777" s="12">
        <f t="array" ref="AF777">IF($A777="","",ROUND($Y777*XLOOKUP($F777,Settings!$I$15:$I$20,Settings!$M$15:$M$20,1),0))</f>
        <v>1</v>
      </c>
      <c r="AG777" s="12">
        <f t="array" ref="AG777">IF($A777="","",ROUND($Y777*XLOOKUP($F777,Settings!$I$15:$I$20,Settings!$N$15:$N$20,1.1),0))</f>
        <v>1</v>
      </c>
      <c r="AH777" s="12">
        <f t="array" ref="AH777">IF($A777="","",ROUND($Y777*XLOOKUP($F777,Settings!$I$15:$I$20,Settings!$O$15:$O$20,1.1)*Settings!$J$7,0))</f>
        <v>1</v>
      </c>
      <c r="AI777" s="12">
        <f t="array" ref="AI777">IF($A777="","",IF($AA777="Sold","",MIN($AH777,IFERROR(XLOOKUP(Settings!$B$12,Managers!$B$4:$B$15,Managers!$H$4:$H$15),$AH777))))</f>
        <v>1</v>
      </c>
      <c r="AJ777" s="12" t="str">
        <f t="shared" si="3"/>
        <v>Budget Drainer</v>
      </c>
      <c r="AK777" s="12">
        <f t="shared" si="4"/>
        <v>28</v>
      </c>
      <c r="AL777" s="12" t="str">
        <f t="shared" si="5"/>
        <v/>
      </c>
    </row>
    <row r="778" ht="15.75" customHeight="1">
      <c r="A778" s="10" t="s">
        <v>1836</v>
      </c>
      <c r="B778" s="10" t="s">
        <v>1837</v>
      </c>
      <c r="C778" s="10" t="s">
        <v>243</v>
      </c>
      <c r="D778" s="10" t="s">
        <v>121</v>
      </c>
      <c r="E778" s="10" t="s">
        <v>121</v>
      </c>
      <c r="F778" s="10" t="s">
        <v>117</v>
      </c>
      <c r="G778" s="10">
        <v>5.0</v>
      </c>
      <c r="H778" s="10">
        <v>7.0</v>
      </c>
      <c r="I778" s="10" t="s">
        <v>2140</v>
      </c>
      <c r="J778" s="10" t="s">
        <v>2136</v>
      </c>
      <c r="K778" s="10"/>
      <c r="L778" s="10">
        <v>0.0</v>
      </c>
      <c r="M778" s="10">
        <v>0.0</v>
      </c>
      <c r="N778" s="10"/>
      <c r="O778" s="10"/>
      <c r="P778" s="12">
        <f>IF($A778="","",IFERROR((IF($O778="",0,$O778)*Settings!$J$4+IF($L778="",0,$L778)*Settings!$J$5+IF($N778="",0,$N778)*Settings!$J$6)/(IF($O778="",0,Settings!$J$4)+IF($L778="",0,Settings!$J$5)+IF($N778="",0,Settings!$J$6)),0))</f>
        <v>0</v>
      </c>
      <c r="Q778" s="12">
        <f t="array" ref="Q778">IF($A778="","",XLOOKUP($E778,Settings!$A$19:$A$22,Settings!$G$19:$G$22,0))</f>
        <v>206</v>
      </c>
      <c r="R778" s="12">
        <f t="shared" si="1"/>
        <v>0</v>
      </c>
      <c r="S778" s="12">
        <f>IF($A778="","",IF($R778&lt;=0,1,1+$R778/SUMIF($R$4:$R$923,"&gt;0",$R$4:$R$923)*(Settings!$B$5*(Settings!$B$6-Settings!$B$7))))</f>
        <v>1</v>
      </c>
      <c r="T778" s="12">
        <f t="array" ref="T778">IF($A778="","",XLOOKUP($F778,Settings!$I$15:$I$20,Settings!$J$15:$J$20,1))</f>
        <v>0.75</v>
      </c>
      <c r="U778" s="12">
        <f>IF($A778="","",1+(($G778-5)/5)*Settings!$J$8)</f>
        <v>1</v>
      </c>
      <c r="V778" s="12">
        <f>IF($A778="","",1+(($H778-5)/5)*Settings!$J$9)</f>
        <v>1.06</v>
      </c>
      <c r="W778" s="12">
        <f t="array" ref="W778">IF($A778="","",XLOOKUP($J778,Lists!$C$3:$C$7,Lists!$D$3:$D$7,1))</f>
        <v>1</v>
      </c>
      <c r="X778" s="12">
        <f>IF($A778="","",IF($I778="Yes",Settings!$J$10,1))</f>
        <v>1</v>
      </c>
      <c r="Y778" s="12">
        <f t="shared" si="2"/>
        <v>1</v>
      </c>
      <c r="Z778" s="12">
        <f>IF($A778="","",IFERROR(ROUND(AVERAGEIFS('Historical Drafts'!$G$4:$G$300,'Historical Drafts'!$D$4:$D$300,$E778,'Historical Drafts'!$J$4:$J$300,"&gt;="&amp;$L778*0.85,'Historical Drafts'!$J$4:$J$300,"&lt;="&amp;$L778*1.15),0),$Y778))</f>
        <v>3</v>
      </c>
      <c r="AA778" s="12" t="str">
        <f>IF($A778="","",IF(COUNTIF('Auction Log'!$B$3:$B$300,$A778)&gt;0,"Sold","Available"))</f>
        <v>Available</v>
      </c>
      <c r="AB778" s="12" t="str">
        <f t="array" ref="AB778">IF($A778="","",IFERROR(XLOOKUP($A778,'Auction Log'!$B$3:$B$300,'Auction Log'!$G$3:$G$300,""),""))</f>
        <v/>
      </c>
      <c r="AC778" s="12" t="str">
        <f t="array" ref="AC778">IF($A778="","",IFERROR(XLOOKUP($A778,'Auction Log'!$B$3:$B$300,'Auction Log'!$F$3:$F$300,""),""))</f>
        <v/>
      </c>
      <c r="AD778" s="12">
        <f t="array" ref="AD778">IF($A778="","",ROUND($Y778*XLOOKUP($F778,Settings!$I$15:$I$20,Settings!$K$15:$K$20,0.4),0))</f>
        <v>0</v>
      </c>
      <c r="AE778" s="12">
        <f t="array" ref="AE778">IF($A778="","",ROUND($Y778*XLOOKUP($F778,Settings!$I$15:$I$20,Settings!$L$15:$L$20,0.8),0))</f>
        <v>1</v>
      </c>
      <c r="AF778" s="12">
        <f t="array" ref="AF778">IF($A778="","",ROUND($Y778*XLOOKUP($F778,Settings!$I$15:$I$20,Settings!$M$15:$M$20,1),0))</f>
        <v>1</v>
      </c>
      <c r="AG778" s="12">
        <f t="array" ref="AG778">IF($A778="","",ROUND($Y778*XLOOKUP($F778,Settings!$I$15:$I$20,Settings!$N$15:$N$20,1.1),0))</f>
        <v>1</v>
      </c>
      <c r="AH778" s="12">
        <f t="array" ref="AH778">IF($A778="","",ROUND($Y778*XLOOKUP($F778,Settings!$I$15:$I$20,Settings!$O$15:$O$20,1.1)*Settings!$J$7,0))</f>
        <v>1</v>
      </c>
      <c r="AI778" s="12">
        <f t="array" ref="AI778">IF($A778="","",IF($AA778="Sold","",MIN($AH778,IFERROR(XLOOKUP(Settings!$B$12,Managers!$B$4:$B$15,Managers!$H$4:$H$15),$AH778))))</f>
        <v>1</v>
      </c>
      <c r="AJ778" s="12" t="str">
        <f t="shared" si="3"/>
        <v>Budget Drainer</v>
      </c>
      <c r="AK778" s="12">
        <f t="shared" si="4"/>
        <v>28</v>
      </c>
      <c r="AL778" s="12" t="str">
        <f t="shared" si="5"/>
        <v/>
      </c>
    </row>
    <row r="779" ht="15.75" customHeight="1">
      <c r="A779" s="10" t="s">
        <v>1838</v>
      </c>
      <c r="B779" s="10" t="s">
        <v>1839</v>
      </c>
      <c r="C779" s="10" t="s">
        <v>185</v>
      </c>
      <c r="D779" s="10" t="s">
        <v>115</v>
      </c>
      <c r="E779" s="10" t="s">
        <v>115</v>
      </c>
      <c r="F779" s="10" t="s">
        <v>117</v>
      </c>
      <c r="G779" s="10">
        <v>5.0</v>
      </c>
      <c r="H779" s="10">
        <v>7.0</v>
      </c>
      <c r="I779" s="10" t="s">
        <v>2140</v>
      </c>
      <c r="J779" s="10" t="s">
        <v>2136</v>
      </c>
      <c r="K779" s="10"/>
      <c r="L779" s="10">
        <v>0.0</v>
      </c>
      <c r="M779" s="10">
        <v>0.0</v>
      </c>
      <c r="N779" s="10"/>
      <c r="O779" s="10"/>
      <c r="P779" s="12">
        <f>IF($A779="","",IFERROR((IF($O779="",0,$O779)*Settings!$J$4+IF($L779="",0,$L779)*Settings!$J$5+IF($N779="",0,$N779)*Settings!$J$6)/(IF($O779="",0,Settings!$J$4)+IF($L779="",0,Settings!$J$5)+IF($N779="",0,Settings!$J$6)),0))</f>
        <v>0</v>
      </c>
      <c r="Q779" s="12">
        <f t="array" ref="Q779">IF($A779="","",XLOOKUP($E779,Settings!$A$19:$A$22,Settings!$G$19:$G$22,0))</f>
        <v>249.25</v>
      </c>
      <c r="R779" s="12">
        <f t="shared" si="1"/>
        <v>0</v>
      </c>
      <c r="S779" s="12">
        <f>IF($A779="","",IF($R779&lt;=0,1,1+$R779/SUMIF($R$4:$R$923,"&gt;0",$R$4:$R$923)*(Settings!$B$5*(Settings!$B$6-Settings!$B$7))))</f>
        <v>1</v>
      </c>
      <c r="T779" s="12">
        <f t="array" ref="T779">IF($A779="","",XLOOKUP($F779,Settings!$I$15:$I$20,Settings!$J$15:$J$20,1))</f>
        <v>0.75</v>
      </c>
      <c r="U779" s="12">
        <f>IF($A779="","",1+(($G779-5)/5)*Settings!$J$8)</f>
        <v>1</v>
      </c>
      <c r="V779" s="12">
        <f>IF($A779="","",1+(($H779-5)/5)*Settings!$J$9)</f>
        <v>1.06</v>
      </c>
      <c r="W779" s="12">
        <f t="array" ref="W779">IF($A779="","",XLOOKUP($J779,Lists!$C$3:$C$7,Lists!$D$3:$D$7,1))</f>
        <v>1</v>
      </c>
      <c r="X779" s="12">
        <f>IF($A779="","",IF($I779="Yes",Settings!$J$10,1))</f>
        <v>1</v>
      </c>
      <c r="Y779" s="12">
        <f t="shared" si="2"/>
        <v>1</v>
      </c>
      <c r="Z779" s="12">
        <f>IF($A779="","",IFERROR(ROUND(AVERAGEIFS('Historical Drafts'!$G$4:$G$300,'Historical Drafts'!$D$4:$D$300,$E779,'Historical Drafts'!$J$4:$J$300,"&gt;="&amp;$L779*0.85,'Historical Drafts'!$J$4:$J$300,"&lt;="&amp;$L779*1.15),0),$Y779))</f>
        <v>1</v>
      </c>
      <c r="AA779" s="12" t="str">
        <f>IF($A779="","",IF(COUNTIF('Auction Log'!$B$3:$B$300,$A779)&gt;0,"Sold","Available"))</f>
        <v>Available</v>
      </c>
      <c r="AB779" s="12" t="str">
        <f t="array" ref="AB779">IF($A779="","",IFERROR(XLOOKUP($A779,'Auction Log'!$B$3:$B$300,'Auction Log'!$G$3:$G$300,""),""))</f>
        <v/>
      </c>
      <c r="AC779" s="12" t="str">
        <f t="array" ref="AC779">IF($A779="","",IFERROR(XLOOKUP($A779,'Auction Log'!$B$3:$B$300,'Auction Log'!$F$3:$F$300,""),""))</f>
        <v/>
      </c>
      <c r="AD779" s="12">
        <f t="array" ref="AD779">IF($A779="","",ROUND($Y779*XLOOKUP($F779,Settings!$I$15:$I$20,Settings!$K$15:$K$20,0.4),0))</f>
        <v>0</v>
      </c>
      <c r="AE779" s="12">
        <f t="array" ref="AE779">IF($A779="","",ROUND($Y779*XLOOKUP($F779,Settings!$I$15:$I$20,Settings!$L$15:$L$20,0.8),0))</f>
        <v>1</v>
      </c>
      <c r="AF779" s="12">
        <f t="array" ref="AF779">IF($A779="","",ROUND($Y779*XLOOKUP($F779,Settings!$I$15:$I$20,Settings!$M$15:$M$20,1),0))</f>
        <v>1</v>
      </c>
      <c r="AG779" s="12">
        <f t="array" ref="AG779">IF($A779="","",ROUND($Y779*XLOOKUP($F779,Settings!$I$15:$I$20,Settings!$N$15:$N$20,1.1),0))</f>
        <v>1</v>
      </c>
      <c r="AH779" s="12">
        <f t="array" ref="AH779">IF($A779="","",ROUND($Y779*XLOOKUP($F779,Settings!$I$15:$I$20,Settings!$O$15:$O$20,1.1)*Settings!$J$7,0))</f>
        <v>1</v>
      </c>
      <c r="AI779" s="12">
        <f t="array" ref="AI779">IF($A779="","",IF($AA779="Sold","",MIN($AH779,IFERROR(XLOOKUP(Settings!$B$12,Managers!$B$4:$B$15,Managers!$H$4:$H$15),$AH779))))</f>
        <v>1</v>
      </c>
      <c r="AJ779" s="12" t="str">
        <f t="shared" si="3"/>
        <v>Recommended</v>
      </c>
      <c r="AK779" s="12">
        <f t="shared" si="4"/>
        <v>26</v>
      </c>
      <c r="AL779" s="12" t="str">
        <f t="shared" si="5"/>
        <v/>
      </c>
    </row>
    <row r="780" ht="15.75" customHeight="1">
      <c r="A780" s="10" t="s">
        <v>1840</v>
      </c>
      <c r="B780" s="10" t="s">
        <v>1841</v>
      </c>
      <c r="C780" s="10" t="s">
        <v>257</v>
      </c>
      <c r="D780" s="10" t="s">
        <v>121</v>
      </c>
      <c r="E780" s="10" t="s">
        <v>121</v>
      </c>
      <c r="F780" s="10" t="s">
        <v>117</v>
      </c>
      <c r="G780" s="10">
        <v>5.0</v>
      </c>
      <c r="H780" s="10">
        <v>7.0</v>
      </c>
      <c r="I780" s="10" t="s">
        <v>2140</v>
      </c>
      <c r="J780" s="10" t="s">
        <v>2136</v>
      </c>
      <c r="K780" s="10"/>
      <c r="L780" s="10">
        <v>0.0</v>
      </c>
      <c r="M780" s="10">
        <v>0.0</v>
      </c>
      <c r="N780" s="10"/>
      <c r="O780" s="10"/>
      <c r="P780" s="12">
        <f>IF($A780="","",IFERROR((IF($O780="",0,$O780)*Settings!$J$4+IF($L780="",0,$L780)*Settings!$J$5+IF($N780="",0,$N780)*Settings!$J$6)/(IF($O780="",0,Settings!$J$4)+IF($L780="",0,Settings!$J$5)+IF($N780="",0,Settings!$J$6)),0))</f>
        <v>0</v>
      </c>
      <c r="Q780" s="12">
        <f t="array" ref="Q780">IF($A780="","",XLOOKUP($E780,Settings!$A$19:$A$22,Settings!$G$19:$G$22,0))</f>
        <v>206</v>
      </c>
      <c r="R780" s="12">
        <f t="shared" si="1"/>
        <v>0</v>
      </c>
      <c r="S780" s="12">
        <f>IF($A780="","",IF($R780&lt;=0,1,1+$R780/SUMIF($R$4:$R$923,"&gt;0",$R$4:$R$923)*(Settings!$B$5*(Settings!$B$6-Settings!$B$7))))</f>
        <v>1</v>
      </c>
      <c r="T780" s="12">
        <f t="array" ref="T780">IF($A780="","",XLOOKUP($F780,Settings!$I$15:$I$20,Settings!$J$15:$J$20,1))</f>
        <v>0.75</v>
      </c>
      <c r="U780" s="12">
        <f>IF($A780="","",1+(($G780-5)/5)*Settings!$J$8)</f>
        <v>1</v>
      </c>
      <c r="V780" s="12">
        <f>IF($A780="","",1+(($H780-5)/5)*Settings!$J$9)</f>
        <v>1.06</v>
      </c>
      <c r="W780" s="12">
        <f t="array" ref="W780">IF($A780="","",XLOOKUP($J780,Lists!$C$3:$C$7,Lists!$D$3:$D$7,1))</f>
        <v>1</v>
      </c>
      <c r="X780" s="12">
        <f>IF($A780="","",IF($I780="Yes",Settings!$J$10,1))</f>
        <v>1</v>
      </c>
      <c r="Y780" s="12">
        <f t="shared" si="2"/>
        <v>1</v>
      </c>
      <c r="Z780" s="12">
        <f>IF($A780="","",IFERROR(ROUND(AVERAGEIFS('Historical Drafts'!$G$4:$G$300,'Historical Drafts'!$D$4:$D$300,$E780,'Historical Drafts'!$J$4:$J$300,"&gt;="&amp;$L780*0.85,'Historical Drafts'!$J$4:$J$300,"&lt;="&amp;$L780*1.15),0),$Y780))</f>
        <v>3</v>
      </c>
      <c r="AA780" s="12" t="str">
        <f>IF($A780="","",IF(COUNTIF('Auction Log'!$B$3:$B$300,$A780)&gt;0,"Sold","Available"))</f>
        <v>Available</v>
      </c>
      <c r="AB780" s="12" t="str">
        <f t="array" ref="AB780">IF($A780="","",IFERROR(XLOOKUP($A780,'Auction Log'!$B$3:$B$300,'Auction Log'!$G$3:$G$300,""),""))</f>
        <v/>
      </c>
      <c r="AC780" s="12" t="str">
        <f t="array" ref="AC780">IF($A780="","",IFERROR(XLOOKUP($A780,'Auction Log'!$B$3:$B$300,'Auction Log'!$F$3:$F$300,""),""))</f>
        <v/>
      </c>
      <c r="AD780" s="12">
        <f t="array" ref="AD780">IF($A780="","",ROUND($Y780*XLOOKUP($F780,Settings!$I$15:$I$20,Settings!$K$15:$K$20,0.4),0))</f>
        <v>0</v>
      </c>
      <c r="AE780" s="12">
        <f t="array" ref="AE780">IF($A780="","",ROUND($Y780*XLOOKUP($F780,Settings!$I$15:$I$20,Settings!$L$15:$L$20,0.8),0))</f>
        <v>1</v>
      </c>
      <c r="AF780" s="12">
        <f t="array" ref="AF780">IF($A780="","",ROUND($Y780*XLOOKUP($F780,Settings!$I$15:$I$20,Settings!$M$15:$M$20,1),0))</f>
        <v>1</v>
      </c>
      <c r="AG780" s="12">
        <f t="array" ref="AG780">IF($A780="","",ROUND($Y780*XLOOKUP($F780,Settings!$I$15:$I$20,Settings!$N$15:$N$20,1.1),0))</f>
        <v>1</v>
      </c>
      <c r="AH780" s="12">
        <f t="array" ref="AH780">IF($A780="","",ROUND($Y780*XLOOKUP($F780,Settings!$I$15:$I$20,Settings!$O$15:$O$20,1.1)*Settings!$J$7,0))</f>
        <v>1</v>
      </c>
      <c r="AI780" s="12">
        <f t="array" ref="AI780">IF($A780="","",IF($AA780="Sold","",MIN($AH780,IFERROR(XLOOKUP(Settings!$B$12,Managers!$B$4:$B$15,Managers!$H$4:$H$15),$AH780))))</f>
        <v>1</v>
      </c>
      <c r="AJ780" s="12" t="str">
        <f t="shared" si="3"/>
        <v>Budget Drainer</v>
      </c>
      <c r="AK780" s="12">
        <f t="shared" si="4"/>
        <v>28</v>
      </c>
      <c r="AL780" s="12" t="str">
        <f t="shared" si="5"/>
        <v/>
      </c>
    </row>
    <row r="781" ht="15.75" customHeight="1">
      <c r="A781" s="10" t="s">
        <v>1842</v>
      </c>
      <c r="B781" s="10" t="s">
        <v>1843</v>
      </c>
      <c r="C781" s="10" t="s">
        <v>215</v>
      </c>
      <c r="D781" s="10" t="s">
        <v>121</v>
      </c>
      <c r="E781" s="10" t="s">
        <v>121</v>
      </c>
      <c r="F781" s="10" t="s">
        <v>117</v>
      </c>
      <c r="G781" s="10">
        <v>5.0</v>
      </c>
      <c r="H781" s="10">
        <v>7.0</v>
      </c>
      <c r="I781" s="10" t="s">
        <v>2140</v>
      </c>
      <c r="J781" s="10" t="s">
        <v>2136</v>
      </c>
      <c r="K781" s="10"/>
      <c r="L781" s="10">
        <v>0.0</v>
      </c>
      <c r="M781" s="10">
        <v>0.0</v>
      </c>
      <c r="N781" s="10"/>
      <c r="O781" s="10"/>
      <c r="P781" s="12">
        <f>IF($A781="","",IFERROR((IF($O781="",0,$O781)*Settings!$J$4+IF($L781="",0,$L781)*Settings!$J$5+IF($N781="",0,$N781)*Settings!$J$6)/(IF($O781="",0,Settings!$J$4)+IF($L781="",0,Settings!$J$5)+IF($N781="",0,Settings!$J$6)),0))</f>
        <v>0</v>
      </c>
      <c r="Q781" s="12">
        <f t="array" ref="Q781">IF($A781="","",XLOOKUP($E781,Settings!$A$19:$A$22,Settings!$G$19:$G$22,0))</f>
        <v>206</v>
      </c>
      <c r="R781" s="12">
        <f t="shared" si="1"/>
        <v>0</v>
      </c>
      <c r="S781" s="12">
        <f>IF($A781="","",IF($R781&lt;=0,1,1+$R781/SUMIF($R$4:$R$923,"&gt;0",$R$4:$R$923)*(Settings!$B$5*(Settings!$B$6-Settings!$B$7))))</f>
        <v>1</v>
      </c>
      <c r="T781" s="12">
        <f t="array" ref="T781">IF($A781="","",XLOOKUP($F781,Settings!$I$15:$I$20,Settings!$J$15:$J$20,1))</f>
        <v>0.75</v>
      </c>
      <c r="U781" s="12">
        <f>IF($A781="","",1+(($G781-5)/5)*Settings!$J$8)</f>
        <v>1</v>
      </c>
      <c r="V781" s="12">
        <f>IF($A781="","",1+(($H781-5)/5)*Settings!$J$9)</f>
        <v>1.06</v>
      </c>
      <c r="W781" s="12">
        <f t="array" ref="W781">IF($A781="","",XLOOKUP($J781,Lists!$C$3:$C$7,Lists!$D$3:$D$7,1))</f>
        <v>1</v>
      </c>
      <c r="X781" s="12">
        <f>IF($A781="","",IF($I781="Yes",Settings!$J$10,1))</f>
        <v>1</v>
      </c>
      <c r="Y781" s="12">
        <f t="shared" si="2"/>
        <v>1</v>
      </c>
      <c r="Z781" s="12">
        <f>IF($A781="","",IFERROR(ROUND(AVERAGEIFS('Historical Drafts'!$G$4:$G$300,'Historical Drafts'!$D$4:$D$300,$E781,'Historical Drafts'!$J$4:$J$300,"&gt;="&amp;$L781*0.85,'Historical Drafts'!$J$4:$J$300,"&lt;="&amp;$L781*1.15),0),$Y781))</f>
        <v>3</v>
      </c>
      <c r="AA781" s="12" t="str">
        <f>IF($A781="","",IF(COUNTIF('Auction Log'!$B$3:$B$300,$A781)&gt;0,"Sold","Available"))</f>
        <v>Available</v>
      </c>
      <c r="AB781" s="12" t="str">
        <f t="array" ref="AB781">IF($A781="","",IFERROR(XLOOKUP($A781,'Auction Log'!$B$3:$B$300,'Auction Log'!$G$3:$G$300,""),""))</f>
        <v/>
      </c>
      <c r="AC781" s="12" t="str">
        <f t="array" ref="AC781">IF($A781="","",IFERROR(XLOOKUP($A781,'Auction Log'!$B$3:$B$300,'Auction Log'!$F$3:$F$300,""),""))</f>
        <v/>
      </c>
      <c r="AD781" s="12">
        <f t="array" ref="AD781">IF($A781="","",ROUND($Y781*XLOOKUP($F781,Settings!$I$15:$I$20,Settings!$K$15:$K$20,0.4),0))</f>
        <v>0</v>
      </c>
      <c r="AE781" s="12">
        <f t="array" ref="AE781">IF($A781="","",ROUND($Y781*XLOOKUP($F781,Settings!$I$15:$I$20,Settings!$L$15:$L$20,0.8),0))</f>
        <v>1</v>
      </c>
      <c r="AF781" s="12">
        <f t="array" ref="AF781">IF($A781="","",ROUND($Y781*XLOOKUP($F781,Settings!$I$15:$I$20,Settings!$M$15:$M$20,1),0))</f>
        <v>1</v>
      </c>
      <c r="AG781" s="12">
        <f t="array" ref="AG781">IF($A781="","",ROUND($Y781*XLOOKUP($F781,Settings!$I$15:$I$20,Settings!$N$15:$N$20,1.1),0))</f>
        <v>1</v>
      </c>
      <c r="AH781" s="12">
        <f t="array" ref="AH781">IF($A781="","",ROUND($Y781*XLOOKUP($F781,Settings!$I$15:$I$20,Settings!$O$15:$O$20,1.1)*Settings!$J$7,0))</f>
        <v>1</v>
      </c>
      <c r="AI781" s="12">
        <f t="array" ref="AI781">IF($A781="","",IF($AA781="Sold","",MIN($AH781,IFERROR(XLOOKUP(Settings!$B$12,Managers!$B$4:$B$15,Managers!$H$4:$H$15),$AH781))))</f>
        <v>1</v>
      </c>
      <c r="AJ781" s="12" t="str">
        <f t="shared" si="3"/>
        <v>Budget Drainer</v>
      </c>
      <c r="AK781" s="12">
        <f t="shared" si="4"/>
        <v>28</v>
      </c>
      <c r="AL781" s="12" t="str">
        <f t="shared" si="5"/>
        <v/>
      </c>
    </row>
    <row r="782" ht="15.75" customHeight="1">
      <c r="A782" s="10" t="s">
        <v>1844</v>
      </c>
      <c r="B782" s="10" t="s">
        <v>1845</v>
      </c>
      <c r="C782" s="10" t="s">
        <v>231</v>
      </c>
      <c r="D782" s="10" t="s">
        <v>123</v>
      </c>
      <c r="E782" s="10" t="s">
        <v>123</v>
      </c>
      <c r="F782" s="10" t="s">
        <v>117</v>
      </c>
      <c r="G782" s="10">
        <v>5.0</v>
      </c>
      <c r="H782" s="10">
        <v>7.0</v>
      </c>
      <c r="I782" s="10" t="s">
        <v>2140</v>
      </c>
      <c r="J782" s="10" t="s">
        <v>2136</v>
      </c>
      <c r="K782" s="10"/>
      <c r="L782" s="10">
        <v>0.0</v>
      </c>
      <c r="M782" s="10">
        <v>0.0</v>
      </c>
      <c r="N782" s="10"/>
      <c r="O782" s="10"/>
      <c r="P782" s="12">
        <f>IF($A782="","",IFERROR((IF($O782="",0,$O782)*Settings!$J$4+IF($L782="",0,$L782)*Settings!$J$5+IF($N782="",0,$N782)*Settings!$J$6)/(IF($O782="",0,Settings!$J$4)+IF($L782="",0,Settings!$J$5)+IF($N782="",0,Settings!$J$6)),0))</f>
        <v>0</v>
      </c>
      <c r="Q782" s="12">
        <f t="array" ref="Q782">IF($A782="","",XLOOKUP($E782,Settings!$A$19:$A$22,Settings!$G$19:$G$22,0))</f>
        <v>203</v>
      </c>
      <c r="R782" s="12">
        <f t="shared" si="1"/>
        <v>0</v>
      </c>
      <c r="S782" s="12">
        <f>IF($A782="","",IF($R782&lt;=0,1,1+$R782/SUMIF($R$4:$R$923,"&gt;0",$R$4:$R$923)*(Settings!$B$5*(Settings!$B$6-Settings!$B$7))))</f>
        <v>1</v>
      </c>
      <c r="T782" s="12">
        <f t="array" ref="T782">IF($A782="","",XLOOKUP($F782,Settings!$I$15:$I$20,Settings!$J$15:$J$20,1))</f>
        <v>0.75</v>
      </c>
      <c r="U782" s="12">
        <f>IF($A782="","",1+(($G782-5)/5)*Settings!$J$8)</f>
        <v>1</v>
      </c>
      <c r="V782" s="12">
        <f>IF($A782="","",1+(($H782-5)/5)*Settings!$J$9)</f>
        <v>1.06</v>
      </c>
      <c r="W782" s="12">
        <f t="array" ref="W782">IF($A782="","",XLOOKUP($J782,Lists!$C$3:$C$7,Lists!$D$3:$D$7,1))</f>
        <v>1</v>
      </c>
      <c r="X782" s="12">
        <f>IF($A782="","",IF($I782="Yes",Settings!$J$10,1))</f>
        <v>1</v>
      </c>
      <c r="Y782" s="12">
        <f t="shared" si="2"/>
        <v>1</v>
      </c>
      <c r="Z782" s="12">
        <f>IF($A782="","",IFERROR(ROUND(AVERAGEIFS('Historical Drafts'!$G$4:$G$300,'Historical Drafts'!$D$4:$D$300,$E782,'Historical Drafts'!$J$4:$J$300,"&gt;="&amp;$L782*0.85,'Historical Drafts'!$J$4:$J$300,"&lt;="&amp;$L782*1.15),0),$Y782))</f>
        <v>3</v>
      </c>
      <c r="AA782" s="12" t="str">
        <f>IF($A782="","",IF(COUNTIF('Auction Log'!$B$3:$B$300,$A782)&gt;0,"Sold","Available"))</f>
        <v>Available</v>
      </c>
      <c r="AB782" s="12" t="str">
        <f t="array" ref="AB782">IF($A782="","",IFERROR(XLOOKUP($A782,'Auction Log'!$B$3:$B$300,'Auction Log'!$G$3:$G$300,""),""))</f>
        <v/>
      </c>
      <c r="AC782" s="12" t="str">
        <f t="array" ref="AC782">IF($A782="","",IFERROR(XLOOKUP($A782,'Auction Log'!$B$3:$B$300,'Auction Log'!$F$3:$F$300,""),""))</f>
        <v/>
      </c>
      <c r="AD782" s="12">
        <f t="array" ref="AD782">IF($A782="","",ROUND($Y782*XLOOKUP($F782,Settings!$I$15:$I$20,Settings!$K$15:$K$20,0.4),0))</f>
        <v>0</v>
      </c>
      <c r="AE782" s="12">
        <f t="array" ref="AE782">IF($A782="","",ROUND($Y782*XLOOKUP($F782,Settings!$I$15:$I$20,Settings!$L$15:$L$20,0.8),0))</f>
        <v>1</v>
      </c>
      <c r="AF782" s="12">
        <f t="array" ref="AF782">IF($A782="","",ROUND($Y782*XLOOKUP($F782,Settings!$I$15:$I$20,Settings!$M$15:$M$20,1),0))</f>
        <v>1</v>
      </c>
      <c r="AG782" s="12">
        <f t="array" ref="AG782">IF($A782="","",ROUND($Y782*XLOOKUP($F782,Settings!$I$15:$I$20,Settings!$N$15:$N$20,1.1),0))</f>
        <v>1</v>
      </c>
      <c r="AH782" s="12">
        <f t="array" ref="AH782">IF($A782="","",ROUND($Y782*XLOOKUP($F782,Settings!$I$15:$I$20,Settings!$O$15:$O$20,1.1)*Settings!$J$7,0))</f>
        <v>1</v>
      </c>
      <c r="AI782" s="12">
        <f t="array" ref="AI782">IF($A782="","",IF($AA782="Sold","",MIN($AH782,IFERROR(XLOOKUP(Settings!$B$12,Managers!$B$4:$B$15,Managers!$H$4:$H$15),$AH782))))</f>
        <v>1</v>
      </c>
      <c r="AJ782" s="12" t="str">
        <f t="shared" si="3"/>
        <v>Budget Drainer</v>
      </c>
      <c r="AK782" s="12">
        <f t="shared" si="4"/>
        <v>28</v>
      </c>
      <c r="AL782" s="12" t="str">
        <f t="shared" si="5"/>
        <v/>
      </c>
    </row>
    <row r="783" ht="15.75" customHeight="1">
      <c r="A783" s="10" t="s">
        <v>1846</v>
      </c>
      <c r="B783" s="10" t="s">
        <v>1847</v>
      </c>
      <c r="C783" s="10" t="s">
        <v>327</v>
      </c>
      <c r="D783" s="10" t="s">
        <v>121</v>
      </c>
      <c r="E783" s="10" t="s">
        <v>121</v>
      </c>
      <c r="F783" s="10" t="s">
        <v>117</v>
      </c>
      <c r="G783" s="10">
        <v>5.0</v>
      </c>
      <c r="H783" s="10">
        <v>7.0</v>
      </c>
      <c r="I783" s="10" t="s">
        <v>2140</v>
      </c>
      <c r="J783" s="10" t="s">
        <v>2136</v>
      </c>
      <c r="K783" s="10"/>
      <c r="L783" s="10">
        <v>0.0</v>
      </c>
      <c r="M783" s="10">
        <v>0.0</v>
      </c>
      <c r="N783" s="10"/>
      <c r="O783" s="10"/>
      <c r="P783" s="12">
        <f>IF($A783="","",IFERROR((IF($O783="",0,$O783)*Settings!$J$4+IF($L783="",0,$L783)*Settings!$J$5+IF($N783="",0,$N783)*Settings!$J$6)/(IF($O783="",0,Settings!$J$4)+IF($L783="",0,Settings!$J$5)+IF($N783="",0,Settings!$J$6)),0))</f>
        <v>0</v>
      </c>
      <c r="Q783" s="12">
        <f t="array" ref="Q783">IF($A783="","",XLOOKUP($E783,Settings!$A$19:$A$22,Settings!$G$19:$G$22,0))</f>
        <v>206</v>
      </c>
      <c r="R783" s="12">
        <f t="shared" si="1"/>
        <v>0</v>
      </c>
      <c r="S783" s="12">
        <f>IF($A783="","",IF($R783&lt;=0,1,1+$R783/SUMIF($R$4:$R$923,"&gt;0",$R$4:$R$923)*(Settings!$B$5*(Settings!$B$6-Settings!$B$7))))</f>
        <v>1</v>
      </c>
      <c r="T783" s="12">
        <f t="array" ref="T783">IF($A783="","",XLOOKUP($F783,Settings!$I$15:$I$20,Settings!$J$15:$J$20,1))</f>
        <v>0.75</v>
      </c>
      <c r="U783" s="12">
        <f>IF($A783="","",1+(($G783-5)/5)*Settings!$J$8)</f>
        <v>1</v>
      </c>
      <c r="V783" s="12">
        <f>IF($A783="","",1+(($H783-5)/5)*Settings!$J$9)</f>
        <v>1.06</v>
      </c>
      <c r="W783" s="12">
        <f t="array" ref="W783">IF($A783="","",XLOOKUP($J783,Lists!$C$3:$C$7,Lists!$D$3:$D$7,1))</f>
        <v>1</v>
      </c>
      <c r="X783" s="12">
        <f>IF($A783="","",IF($I783="Yes",Settings!$J$10,1))</f>
        <v>1</v>
      </c>
      <c r="Y783" s="12">
        <f t="shared" si="2"/>
        <v>1</v>
      </c>
      <c r="Z783" s="12">
        <f>IF($A783="","",IFERROR(ROUND(AVERAGEIFS('Historical Drafts'!$G$4:$G$300,'Historical Drafts'!$D$4:$D$300,$E783,'Historical Drafts'!$J$4:$J$300,"&gt;="&amp;$L783*0.85,'Historical Drafts'!$J$4:$J$300,"&lt;="&amp;$L783*1.15),0),$Y783))</f>
        <v>3</v>
      </c>
      <c r="AA783" s="12" t="str">
        <f>IF($A783="","",IF(COUNTIF('Auction Log'!$B$3:$B$300,$A783)&gt;0,"Sold","Available"))</f>
        <v>Available</v>
      </c>
      <c r="AB783" s="12" t="str">
        <f t="array" ref="AB783">IF($A783="","",IFERROR(XLOOKUP($A783,'Auction Log'!$B$3:$B$300,'Auction Log'!$G$3:$G$300,""),""))</f>
        <v/>
      </c>
      <c r="AC783" s="12" t="str">
        <f t="array" ref="AC783">IF($A783="","",IFERROR(XLOOKUP($A783,'Auction Log'!$B$3:$B$300,'Auction Log'!$F$3:$F$300,""),""))</f>
        <v/>
      </c>
      <c r="AD783" s="12">
        <f t="array" ref="AD783">IF($A783="","",ROUND($Y783*XLOOKUP($F783,Settings!$I$15:$I$20,Settings!$K$15:$K$20,0.4),0))</f>
        <v>0</v>
      </c>
      <c r="AE783" s="12">
        <f t="array" ref="AE783">IF($A783="","",ROUND($Y783*XLOOKUP($F783,Settings!$I$15:$I$20,Settings!$L$15:$L$20,0.8),0))</f>
        <v>1</v>
      </c>
      <c r="AF783" s="12">
        <f t="array" ref="AF783">IF($A783="","",ROUND($Y783*XLOOKUP($F783,Settings!$I$15:$I$20,Settings!$M$15:$M$20,1),0))</f>
        <v>1</v>
      </c>
      <c r="AG783" s="12">
        <f t="array" ref="AG783">IF($A783="","",ROUND($Y783*XLOOKUP($F783,Settings!$I$15:$I$20,Settings!$N$15:$N$20,1.1),0))</f>
        <v>1</v>
      </c>
      <c r="AH783" s="12">
        <f t="array" ref="AH783">IF($A783="","",ROUND($Y783*XLOOKUP($F783,Settings!$I$15:$I$20,Settings!$O$15:$O$20,1.1)*Settings!$J$7,0))</f>
        <v>1</v>
      </c>
      <c r="AI783" s="12">
        <f t="array" ref="AI783">IF($A783="","",IF($AA783="Sold","",MIN($AH783,IFERROR(XLOOKUP(Settings!$B$12,Managers!$B$4:$B$15,Managers!$H$4:$H$15),$AH783))))</f>
        <v>1</v>
      </c>
      <c r="AJ783" s="12" t="str">
        <f t="shared" si="3"/>
        <v>Budget Drainer</v>
      </c>
      <c r="AK783" s="12">
        <f t="shared" si="4"/>
        <v>28</v>
      </c>
      <c r="AL783" s="12" t="str">
        <f t="shared" si="5"/>
        <v/>
      </c>
    </row>
    <row r="784" ht="15.75" customHeight="1">
      <c r="A784" s="10" t="s">
        <v>1848</v>
      </c>
      <c r="B784" s="10" t="s">
        <v>1849</v>
      </c>
      <c r="C784" s="10" t="s">
        <v>221</v>
      </c>
      <c r="D784" s="10" t="s">
        <v>121</v>
      </c>
      <c r="E784" s="10" t="s">
        <v>121</v>
      </c>
      <c r="F784" s="10" t="s">
        <v>117</v>
      </c>
      <c r="G784" s="10">
        <v>5.0</v>
      </c>
      <c r="H784" s="10">
        <v>7.0</v>
      </c>
      <c r="I784" s="10" t="s">
        <v>2140</v>
      </c>
      <c r="J784" s="10" t="s">
        <v>2136</v>
      </c>
      <c r="K784" s="10"/>
      <c r="L784" s="10">
        <v>0.0</v>
      </c>
      <c r="M784" s="10">
        <v>0.0</v>
      </c>
      <c r="N784" s="10"/>
      <c r="O784" s="10"/>
      <c r="P784" s="12">
        <f>IF($A784="","",IFERROR((IF($O784="",0,$O784)*Settings!$J$4+IF($L784="",0,$L784)*Settings!$J$5+IF($N784="",0,$N784)*Settings!$J$6)/(IF($O784="",0,Settings!$J$4)+IF($L784="",0,Settings!$J$5)+IF($N784="",0,Settings!$J$6)),0))</f>
        <v>0</v>
      </c>
      <c r="Q784" s="12">
        <f t="array" ref="Q784">IF($A784="","",XLOOKUP($E784,Settings!$A$19:$A$22,Settings!$G$19:$G$22,0))</f>
        <v>206</v>
      </c>
      <c r="R784" s="12">
        <f t="shared" si="1"/>
        <v>0</v>
      </c>
      <c r="S784" s="12">
        <f>IF($A784="","",IF($R784&lt;=0,1,1+$R784/SUMIF($R$4:$R$923,"&gt;0",$R$4:$R$923)*(Settings!$B$5*(Settings!$B$6-Settings!$B$7))))</f>
        <v>1</v>
      </c>
      <c r="T784" s="12">
        <f t="array" ref="T784">IF($A784="","",XLOOKUP($F784,Settings!$I$15:$I$20,Settings!$J$15:$J$20,1))</f>
        <v>0.75</v>
      </c>
      <c r="U784" s="12">
        <f>IF($A784="","",1+(($G784-5)/5)*Settings!$J$8)</f>
        <v>1</v>
      </c>
      <c r="V784" s="12">
        <f>IF($A784="","",1+(($H784-5)/5)*Settings!$J$9)</f>
        <v>1.06</v>
      </c>
      <c r="W784" s="12">
        <f t="array" ref="W784">IF($A784="","",XLOOKUP($J784,Lists!$C$3:$C$7,Lists!$D$3:$D$7,1))</f>
        <v>1</v>
      </c>
      <c r="X784" s="12">
        <f>IF($A784="","",IF($I784="Yes",Settings!$J$10,1))</f>
        <v>1</v>
      </c>
      <c r="Y784" s="12">
        <f t="shared" si="2"/>
        <v>1</v>
      </c>
      <c r="Z784" s="12">
        <f>IF($A784="","",IFERROR(ROUND(AVERAGEIFS('Historical Drafts'!$G$4:$G$300,'Historical Drafts'!$D$4:$D$300,$E784,'Historical Drafts'!$J$4:$J$300,"&gt;="&amp;$L784*0.85,'Historical Drafts'!$J$4:$J$300,"&lt;="&amp;$L784*1.15),0),$Y784))</f>
        <v>3</v>
      </c>
      <c r="AA784" s="12" t="str">
        <f>IF($A784="","",IF(COUNTIF('Auction Log'!$B$3:$B$300,$A784)&gt;0,"Sold","Available"))</f>
        <v>Available</v>
      </c>
      <c r="AB784" s="12" t="str">
        <f t="array" ref="AB784">IF($A784="","",IFERROR(XLOOKUP($A784,'Auction Log'!$B$3:$B$300,'Auction Log'!$G$3:$G$300,""),""))</f>
        <v/>
      </c>
      <c r="AC784" s="12" t="str">
        <f t="array" ref="AC784">IF($A784="","",IFERROR(XLOOKUP($A784,'Auction Log'!$B$3:$B$300,'Auction Log'!$F$3:$F$300,""),""))</f>
        <v/>
      </c>
      <c r="AD784" s="12">
        <f t="array" ref="AD784">IF($A784="","",ROUND($Y784*XLOOKUP($F784,Settings!$I$15:$I$20,Settings!$K$15:$K$20,0.4),0))</f>
        <v>0</v>
      </c>
      <c r="AE784" s="12">
        <f t="array" ref="AE784">IF($A784="","",ROUND($Y784*XLOOKUP($F784,Settings!$I$15:$I$20,Settings!$L$15:$L$20,0.8),0))</f>
        <v>1</v>
      </c>
      <c r="AF784" s="12">
        <f t="array" ref="AF784">IF($A784="","",ROUND($Y784*XLOOKUP($F784,Settings!$I$15:$I$20,Settings!$M$15:$M$20,1),0))</f>
        <v>1</v>
      </c>
      <c r="AG784" s="12">
        <f t="array" ref="AG784">IF($A784="","",ROUND($Y784*XLOOKUP($F784,Settings!$I$15:$I$20,Settings!$N$15:$N$20,1.1),0))</f>
        <v>1</v>
      </c>
      <c r="AH784" s="12">
        <f t="array" ref="AH784">IF($A784="","",ROUND($Y784*XLOOKUP($F784,Settings!$I$15:$I$20,Settings!$O$15:$O$20,1.1)*Settings!$J$7,0))</f>
        <v>1</v>
      </c>
      <c r="AI784" s="12">
        <f t="array" ref="AI784">IF($A784="","",IF($AA784="Sold","",MIN($AH784,IFERROR(XLOOKUP(Settings!$B$12,Managers!$B$4:$B$15,Managers!$H$4:$H$15),$AH784))))</f>
        <v>1</v>
      </c>
      <c r="AJ784" s="12" t="str">
        <f t="shared" si="3"/>
        <v>Budget Drainer</v>
      </c>
      <c r="AK784" s="12">
        <f t="shared" si="4"/>
        <v>28</v>
      </c>
      <c r="AL784" s="12" t="str">
        <f t="shared" si="5"/>
        <v/>
      </c>
    </row>
    <row r="785" ht="15.75" customHeight="1">
      <c r="A785" s="10" t="s">
        <v>1850</v>
      </c>
      <c r="B785" s="10" t="s">
        <v>1851</v>
      </c>
      <c r="C785" s="10" t="s">
        <v>191</v>
      </c>
      <c r="D785" s="10" t="s">
        <v>123</v>
      </c>
      <c r="E785" s="10" t="s">
        <v>123</v>
      </c>
      <c r="F785" s="10" t="s">
        <v>117</v>
      </c>
      <c r="G785" s="10">
        <v>5.0</v>
      </c>
      <c r="H785" s="10">
        <v>7.0</v>
      </c>
      <c r="I785" s="10" t="s">
        <v>2140</v>
      </c>
      <c r="J785" s="10" t="s">
        <v>2136</v>
      </c>
      <c r="K785" s="10"/>
      <c r="L785" s="10">
        <v>0.0</v>
      </c>
      <c r="M785" s="10">
        <v>0.0</v>
      </c>
      <c r="N785" s="10"/>
      <c r="O785" s="10"/>
      <c r="P785" s="12">
        <f>IF($A785="","",IFERROR((IF($O785="",0,$O785)*Settings!$J$4+IF($L785="",0,$L785)*Settings!$J$5+IF($N785="",0,$N785)*Settings!$J$6)/(IF($O785="",0,Settings!$J$4)+IF($L785="",0,Settings!$J$5)+IF($N785="",0,Settings!$J$6)),0))</f>
        <v>0</v>
      </c>
      <c r="Q785" s="12">
        <f t="array" ref="Q785">IF($A785="","",XLOOKUP($E785,Settings!$A$19:$A$22,Settings!$G$19:$G$22,0))</f>
        <v>203</v>
      </c>
      <c r="R785" s="12">
        <f t="shared" si="1"/>
        <v>0</v>
      </c>
      <c r="S785" s="12">
        <f>IF($A785="","",IF($R785&lt;=0,1,1+$R785/SUMIF($R$4:$R$923,"&gt;0",$R$4:$R$923)*(Settings!$B$5*(Settings!$B$6-Settings!$B$7))))</f>
        <v>1</v>
      </c>
      <c r="T785" s="12">
        <f t="array" ref="T785">IF($A785="","",XLOOKUP($F785,Settings!$I$15:$I$20,Settings!$J$15:$J$20,1))</f>
        <v>0.75</v>
      </c>
      <c r="U785" s="12">
        <f>IF($A785="","",1+(($G785-5)/5)*Settings!$J$8)</f>
        <v>1</v>
      </c>
      <c r="V785" s="12">
        <f>IF($A785="","",1+(($H785-5)/5)*Settings!$J$9)</f>
        <v>1.06</v>
      </c>
      <c r="W785" s="12">
        <f t="array" ref="W785">IF($A785="","",XLOOKUP($J785,Lists!$C$3:$C$7,Lists!$D$3:$D$7,1))</f>
        <v>1</v>
      </c>
      <c r="X785" s="12">
        <f>IF($A785="","",IF($I785="Yes",Settings!$J$10,1))</f>
        <v>1</v>
      </c>
      <c r="Y785" s="12">
        <f t="shared" si="2"/>
        <v>1</v>
      </c>
      <c r="Z785" s="12">
        <f>IF($A785="","",IFERROR(ROUND(AVERAGEIFS('Historical Drafts'!$G$4:$G$300,'Historical Drafts'!$D$4:$D$300,$E785,'Historical Drafts'!$J$4:$J$300,"&gt;="&amp;$L785*0.85,'Historical Drafts'!$J$4:$J$300,"&lt;="&amp;$L785*1.15),0),$Y785))</f>
        <v>3</v>
      </c>
      <c r="AA785" s="12" t="str">
        <f>IF($A785="","",IF(COUNTIF('Auction Log'!$B$3:$B$300,$A785)&gt;0,"Sold","Available"))</f>
        <v>Available</v>
      </c>
      <c r="AB785" s="12" t="str">
        <f t="array" ref="AB785">IF($A785="","",IFERROR(XLOOKUP($A785,'Auction Log'!$B$3:$B$300,'Auction Log'!$G$3:$G$300,""),""))</f>
        <v/>
      </c>
      <c r="AC785" s="12" t="str">
        <f t="array" ref="AC785">IF($A785="","",IFERROR(XLOOKUP($A785,'Auction Log'!$B$3:$B$300,'Auction Log'!$F$3:$F$300,""),""))</f>
        <v/>
      </c>
      <c r="AD785" s="12">
        <f t="array" ref="AD785">IF($A785="","",ROUND($Y785*XLOOKUP($F785,Settings!$I$15:$I$20,Settings!$K$15:$K$20,0.4),0))</f>
        <v>0</v>
      </c>
      <c r="AE785" s="12">
        <f t="array" ref="AE785">IF($A785="","",ROUND($Y785*XLOOKUP($F785,Settings!$I$15:$I$20,Settings!$L$15:$L$20,0.8),0))</f>
        <v>1</v>
      </c>
      <c r="AF785" s="12">
        <f t="array" ref="AF785">IF($A785="","",ROUND($Y785*XLOOKUP($F785,Settings!$I$15:$I$20,Settings!$M$15:$M$20,1),0))</f>
        <v>1</v>
      </c>
      <c r="AG785" s="12">
        <f t="array" ref="AG785">IF($A785="","",ROUND($Y785*XLOOKUP($F785,Settings!$I$15:$I$20,Settings!$N$15:$N$20,1.1),0))</f>
        <v>1</v>
      </c>
      <c r="AH785" s="12">
        <f t="array" ref="AH785">IF($A785="","",ROUND($Y785*XLOOKUP($F785,Settings!$I$15:$I$20,Settings!$O$15:$O$20,1.1)*Settings!$J$7,0))</f>
        <v>1</v>
      </c>
      <c r="AI785" s="12">
        <f t="array" ref="AI785">IF($A785="","",IF($AA785="Sold","",MIN($AH785,IFERROR(XLOOKUP(Settings!$B$12,Managers!$B$4:$B$15,Managers!$H$4:$H$15),$AH785))))</f>
        <v>1</v>
      </c>
      <c r="AJ785" s="12" t="str">
        <f t="shared" si="3"/>
        <v>Budget Drainer</v>
      </c>
      <c r="AK785" s="12">
        <f t="shared" si="4"/>
        <v>28</v>
      </c>
      <c r="AL785" s="12" t="str">
        <f t="shared" si="5"/>
        <v/>
      </c>
    </row>
    <row r="786" ht="15.75" customHeight="1">
      <c r="A786" s="10" t="s">
        <v>1852</v>
      </c>
      <c r="B786" s="10" t="s">
        <v>1853</v>
      </c>
      <c r="C786" s="10" t="s">
        <v>215</v>
      </c>
      <c r="D786" s="10" t="s">
        <v>118</v>
      </c>
      <c r="E786" s="10" t="s">
        <v>118</v>
      </c>
      <c r="F786" s="10" t="s">
        <v>117</v>
      </c>
      <c r="G786" s="10">
        <v>5.0</v>
      </c>
      <c r="H786" s="10">
        <v>7.0</v>
      </c>
      <c r="I786" s="10" t="s">
        <v>2140</v>
      </c>
      <c r="J786" s="10" t="s">
        <v>2136</v>
      </c>
      <c r="K786" s="10"/>
      <c r="L786" s="10">
        <v>0.0</v>
      </c>
      <c r="M786" s="10">
        <v>0.0</v>
      </c>
      <c r="N786" s="10"/>
      <c r="O786" s="10"/>
      <c r="P786" s="12">
        <f>IF($A786="","",IFERROR((IF($O786="",0,$O786)*Settings!$J$4+IF($L786="",0,$L786)*Settings!$J$5+IF($N786="",0,$N786)*Settings!$J$6)/(IF($O786="",0,Settings!$J$4)+IF($L786="",0,Settings!$J$5)+IF($N786="",0,Settings!$J$6)),0))</f>
        <v>0</v>
      </c>
      <c r="Q786" s="12">
        <f t="array" ref="Q786">IF($A786="","",XLOOKUP($E786,Settings!$A$19:$A$22,Settings!$G$19:$G$22,0))</f>
        <v>196.25</v>
      </c>
      <c r="R786" s="12">
        <f t="shared" si="1"/>
        <v>0</v>
      </c>
      <c r="S786" s="12">
        <f>IF($A786="","",IF($R786&lt;=0,1,1+$R786/SUMIF($R$4:$R$923,"&gt;0",$R$4:$R$923)*(Settings!$B$5*(Settings!$B$6-Settings!$B$7))))</f>
        <v>1</v>
      </c>
      <c r="T786" s="12">
        <f t="array" ref="T786">IF($A786="","",XLOOKUP($F786,Settings!$I$15:$I$20,Settings!$J$15:$J$20,1))</f>
        <v>0.75</v>
      </c>
      <c r="U786" s="12">
        <f>IF($A786="","",1+(($G786-5)/5)*Settings!$J$8)</f>
        <v>1</v>
      </c>
      <c r="V786" s="12">
        <f>IF($A786="","",1+(($H786-5)/5)*Settings!$J$9)</f>
        <v>1.06</v>
      </c>
      <c r="W786" s="12">
        <f t="array" ref="W786">IF($A786="","",XLOOKUP($J786,Lists!$C$3:$C$7,Lists!$D$3:$D$7,1))</f>
        <v>1</v>
      </c>
      <c r="X786" s="12">
        <f>IF($A786="","",IF($I786="Yes",Settings!$J$10,1))</f>
        <v>1</v>
      </c>
      <c r="Y786" s="12">
        <f t="shared" si="2"/>
        <v>1</v>
      </c>
      <c r="Z786" s="12">
        <f>IF($A786="","",IFERROR(ROUND(AVERAGEIFS('Historical Drafts'!$G$4:$G$300,'Historical Drafts'!$D$4:$D$300,$E786,'Historical Drafts'!$J$4:$J$300,"&gt;="&amp;$L786*0.85,'Historical Drafts'!$J$4:$J$300,"&lt;="&amp;$L786*1.15),0),$Y786))</f>
        <v>1</v>
      </c>
      <c r="AA786" s="12" t="str">
        <f>IF($A786="","",IF(COUNTIF('Auction Log'!$B$3:$B$300,$A786)&gt;0,"Sold","Available"))</f>
        <v>Available</v>
      </c>
      <c r="AB786" s="12" t="str">
        <f t="array" ref="AB786">IF($A786="","",IFERROR(XLOOKUP($A786,'Auction Log'!$B$3:$B$300,'Auction Log'!$G$3:$G$300,""),""))</f>
        <v/>
      </c>
      <c r="AC786" s="12" t="str">
        <f t="array" ref="AC786">IF($A786="","",IFERROR(XLOOKUP($A786,'Auction Log'!$B$3:$B$300,'Auction Log'!$F$3:$F$300,""),""))</f>
        <v/>
      </c>
      <c r="AD786" s="12">
        <f t="array" ref="AD786">IF($A786="","",ROUND($Y786*XLOOKUP($F786,Settings!$I$15:$I$20,Settings!$K$15:$K$20,0.4),0))</f>
        <v>0</v>
      </c>
      <c r="AE786" s="12">
        <f t="array" ref="AE786">IF($A786="","",ROUND($Y786*XLOOKUP($F786,Settings!$I$15:$I$20,Settings!$L$15:$L$20,0.8),0))</f>
        <v>1</v>
      </c>
      <c r="AF786" s="12">
        <f t="array" ref="AF786">IF($A786="","",ROUND($Y786*XLOOKUP($F786,Settings!$I$15:$I$20,Settings!$M$15:$M$20,1),0))</f>
        <v>1</v>
      </c>
      <c r="AG786" s="12">
        <f t="array" ref="AG786">IF($A786="","",ROUND($Y786*XLOOKUP($F786,Settings!$I$15:$I$20,Settings!$N$15:$N$20,1.1),0))</f>
        <v>1</v>
      </c>
      <c r="AH786" s="12">
        <f t="array" ref="AH786">IF($A786="","",ROUND($Y786*XLOOKUP($F786,Settings!$I$15:$I$20,Settings!$O$15:$O$20,1.1)*Settings!$J$7,0))</f>
        <v>1</v>
      </c>
      <c r="AI786" s="12">
        <f t="array" ref="AI786">IF($A786="","",IF($AA786="Sold","",MIN($AH786,IFERROR(XLOOKUP(Settings!$B$12,Managers!$B$4:$B$15,Managers!$H$4:$H$15),$AH786))))</f>
        <v>1</v>
      </c>
      <c r="AJ786" s="12" t="str">
        <f t="shared" si="3"/>
        <v>Recommended</v>
      </c>
      <c r="AK786" s="12">
        <f t="shared" si="4"/>
        <v>26</v>
      </c>
      <c r="AL786" s="12" t="str">
        <f t="shared" si="5"/>
        <v/>
      </c>
    </row>
    <row r="787" ht="15.75" customHeight="1">
      <c r="A787" s="10" t="s">
        <v>1854</v>
      </c>
      <c r="B787" s="10" t="s">
        <v>1855</v>
      </c>
      <c r="C787" s="10" t="s">
        <v>226</v>
      </c>
      <c r="D787" s="10" t="s">
        <v>123</v>
      </c>
      <c r="E787" s="10" t="s">
        <v>123</v>
      </c>
      <c r="F787" s="10" t="s">
        <v>117</v>
      </c>
      <c r="G787" s="10">
        <v>5.0</v>
      </c>
      <c r="H787" s="10">
        <v>7.0</v>
      </c>
      <c r="I787" s="10" t="s">
        <v>2140</v>
      </c>
      <c r="J787" s="10" t="s">
        <v>2136</v>
      </c>
      <c r="K787" s="10"/>
      <c r="L787" s="10">
        <v>0.0</v>
      </c>
      <c r="M787" s="10">
        <v>0.0</v>
      </c>
      <c r="N787" s="10"/>
      <c r="O787" s="10"/>
      <c r="P787" s="12">
        <f>IF($A787="","",IFERROR((IF($O787="",0,$O787)*Settings!$J$4+IF($L787="",0,$L787)*Settings!$J$5+IF($N787="",0,$N787)*Settings!$J$6)/(IF($O787="",0,Settings!$J$4)+IF($L787="",0,Settings!$J$5)+IF($N787="",0,Settings!$J$6)),0))</f>
        <v>0</v>
      </c>
      <c r="Q787" s="12">
        <f t="array" ref="Q787">IF($A787="","",XLOOKUP($E787,Settings!$A$19:$A$22,Settings!$G$19:$G$22,0))</f>
        <v>203</v>
      </c>
      <c r="R787" s="12">
        <f t="shared" si="1"/>
        <v>0</v>
      </c>
      <c r="S787" s="12">
        <f>IF($A787="","",IF($R787&lt;=0,1,1+$R787/SUMIF($R$4:$R$923,"&gt;0",$R$4:$R$923)*(Settings!$B$5*(Settings!$B$6-Settings!$B$7))))</f>
        <v>1</v>
      </c>
      <c r="T787" s="12">
        <f t="array" ref="T787">IF($A787="","",XLOOKUP($F787,Settings!$I$15:$I$20,Settings!$J$15:$J$20,1))</f>
        <v>0.75</v>
      </c>
      <c r="U787" s="12">
        <f>IF($A787="","",1+(($G787-5)/5)*Settings!$J$8)</f>
        <v>1</v>
      </c>
      <c r="V787" s="12">
        <f>IF($A787="","",1+(($H787-5)/5)*Settings!$J$9)</f>
        <v>1.06</v>
      </c>
      <c r="W787" s="12">
        <f t="array" ref="W787">IF($A787="","",XLOOKUP($J787,Lists!$C$3:$C$7,Lists!$D$3:$D$7,1))</f>
        <v>1</v>
      </c>
      <c r="X787" s="12">
        <f>IF($A787="","",IF($I787="Yes",Settings!$J$10,1))</f>
        <v>1</v>
      </c>
      <c r="Y787" s="12">
        <f t="shared" si="2"/>
        <v>1</v>
      </c>
      <c r="Z787" s="12">
        <f>IF($A787="","",IFERROR(ROUND(AVERAGEIFS('Historical Drafts'!$G$4:$G$300,'Historical Drafts'!$D$4:$D$300,$E787,'Historical Drafts'!$J$4:$J$300,"&gt;="&amp;$L787*0.85,'Historical Drafts'!$J$4:$J$300,"&lt;="&amp;$L787*1.15),0),$Y787))</f>
        <v>3</v>
      </c>
      <c r="AA787" s="12" t="str">
        <f>IF($A787="","",IF(COUNTIF('Auction Log'!$B$3:$B$300,$A787)&gt;0,"Sold","Available"))</f>
        <v>Available</v>
      </c>
      <c r="AB787" s="12" t="str">
        <f t="array" ref="AB787">IF($A787="","",IFERROR(XLOOKUP($A787,'Auction Log'!$B$3:$B$300,'Auction Log'!$G$3:$G$300,""),""))</f>
        <v/>
      </c>
      <c r="AC787" s="12" t="str">
        <f t="array" ref="AC787">IF($A787="","",IFERROR(XLOOKUP($A787,'Auction Log'!$B$3:$B$300,'Auction Log'!$F$3:$F$300,""),""))</f>
        <v/>
      </c>
      <c r="AD787" s="12">
        <f t="array" ref="AD787">IF($A787="","",ROUND($Y787*XLOOKUP($F787,Settings!$I$15:$I$20,Settings!$K$15:$K$20,0.4),0))</f>
        <v>0</v>
      </c>
      <c r="AE787" s="12">
        <f t="array" ref="AE787">IF($A787="","",ROUND($Y787*XLOOKUP($F787,Settings!$I$15:$I$20,Settings!$L$15:$L$20,0.8),0))</f>
        <v>1</v>
      </c>
      <c r="AF787" s="12">
        <f t="array" ref="AF787">IF($A787="","",ROUND($Y787*XLOOKUP($F787,Settings!$I$15:$I$20,Settings!$M$15:$M$20,1),0))</f>
        <v>1</v>
      </c>
      <c r="AG787" s="12">
        <f t="array" ref="AG787">IF($A787="","",ROUND($Y787*XLOOKUP($F787,Settings!$I$15:$I$20,Settings!$N$15:$N$20,1.1),0))</f>
        <v>1</v>
      </c>
      <c r="AH787" s="12">
        <f t="array" ref="AH787">IF($A787="","",ROUND($Y787*XLOOKUP($F787,Settings!$I$15:$I$20,Settings!$O$15:$O$20,1.1)*Settings!$J$7,0))</f>
        <v>1</v>
      </c>
      <c r="AI787" s="12">
        <f t="array" ref="AI787">IF($A787="","",IF($AA787="Sold","",MIN($AH787,IFERROR(XLOOKUP(Settings!$B$12,Managers!$B$4:$B$15,Managers!$H$4:$H$15),$AH787))))</f>
        <v>1</v>
      </c>
      <c r="AJ787" s="12" t="str">
        <f t="shared" si="3"/>
        <v>Budget Drainer</v>
      </c>
      <c r="AK787" s="12">
        <f t="shared" si="4"/>
        <v>28</v>
      </c>
      <c r="AL787" s="12" t="str">
        <f t="shared" si="5"/>
        <v/>
      </c>
    </row>
    <row r="788" ht="15.75" customHeight="1">
      <c r="A788" s="10" t="s">
        <v>1856</v>
      </c>
      <c r="B788" s="10" t="s">
        <v>1857</v>
      </c>
      <c r="C788" s="10" t="s">
        <v>314</v>
      </c>
      <c r="D788" s="10" t="s">
        <v>115</v>
      </c>
      <c r="E788" s="10" t="s">
        <v>115</v>
      </c>
      <c r="F788" s="10" t="s">
        <v>117</v>
      </c>
      <c r="G788" s="10">
        <v>5.0</v>
      </c>
      <c r="H788" s="10">
        <v>7.0</v>
      </c>
      <c r="I788" s="10" t="s">
        <v>2140</v>
      </c>
      <c r="J788" s="10" t="s">
        <v>2136</v>
      </c>
      <c r="K788" s="10"/>
      <c r="L788" s="10">
        <v>0.0</v>
      </c>
      <c r="M788" s="10">
        <v>0.0</v>
      </c>
      <c r="N788" s="10"/>
      <c r="O788" s="10"/>
      <c r="P788" s="12">
        <f>IF($A788="","",IFERROR((IF($O788="",0,$O788)*Settings!$J$4+IF($L788="",0,$L788)*Settings!$J$5+IF($N788="",0,$N788)*Settings!$J$6)/(IF($O788="",0,Settings!$J$4)+IF($L788="",0,Settings!$J$5)+IF($N788="",0,Settings!$J$6)),0))</f>
        <v>0</v>
      </c>
      <c r="Q788" s="12">
        <f t="array" ref="Q788">IF($A788="","",XLOOKUP($E788,Settings!$A$19:$A$22,Settings!$G$19:$G$22,0))</f>
        <v>249.25</v>
      </c>
      <c r="R788" s="12">
        <f t="shared" si="1"/>
        <v>0</v>
      </c>
      <c r="S788" s="12">
        <f>IF($A788="","",IF($R788&lt;=0,1,1+$R788/SUMIF($R$4:$R$923,"&gt;0",$R$4:$R$923)*(Settings!$B$5*(Settings!$B$6-Settings!$B$7))))</f>
        <v>1</v>
      </c>
      <c r="T788" s="12">
        <f t="array" ref="T788">IF($A788="","",XLOOKUP($F788,Settings!$I$15:$I$20,Settings!$J$15:$J$20,1))</f>
        <v>0.75</v>
      </c>
      <c r="U788" s="12">
        <f>IF($A788="","",1+(($G788-5)/5)*Settings!$J$8)</f>
        <v>1</v>
      </c>
      <c r="V788" s="12">
        <f>IF($A788="","",1+(($H788-5)/5)*Settings!$J$9)</f>
        <v>1.06</v>
      </c>
      <c r="W788" s="12">
        <f t="array" ref="W788">IF($A788="","",XLOOKUP($J788,Lists!$C$3:$C$7,Lists!$D$3:$D$7,1))</f>
        <v>1</v>
      </c>
      <c r="X788" s="12">
        <f>IF($A788="","",IF($I788="Yes",Settings!$J$10,1))</f>
        <v>1</v>
      </c>
      <c r="Y788" s="12">
        <f t="shared" si="2"/>
        <v>1</v>
      </c>
      <c r="Z788" s="12">
        <f>IF($A788="","",IFERROR(ROUND(AVERAGEIFS('Historical Drafts'!$G$4:$G$300,'Historical Drafts'!$D$4:$D$300,$E788,'Historical Drafts'!$J$4:$J$300,"&gt;="&amp;$L788*0.85,'Historical Drafts'!$J$4:$J$300,"&lt;="&amp;$L788*1.15),0),$Y788))</f>
        <v>1</v>
      </c>
      <c r="AA788" s="12" t="str">
        <f>IF($A788="","",IF(COUNTIF('Auction Log'!$B$3:$B$300,$A788)&gt;0,"Sold","Available"))</f>
        <v>Available</v>
      </c>
      <c r="AB788" s="12" t="str">
        <f t="array" ref="AB788">IF($A788="","",IFERROR(XLOOKUP($A788,'Auction Log'!$B$3:$B$300,'Auction Log'!$G$3:$G$300,""),""))</f>
        <v/>
      </c>
      <c r="AC788" s="12" t="str">
        <f t="array" ref="AC788">IF($A788="","",IFERROR(XLOOKUP($A788,'Auction Log'!$B$3:$B$300,'Auction Log'!$F$3:$F$300,""),""))</f>
        <v/>
      </c>
      <c r="AD788" s="12">
        <f t="array" ref="AD788">IF($A788="","",ROUND($Y788*XLOOKUP($F788,Settings!$I$15:$I$20,Settings!$K$15:$K$20,0.4),0))</f>
        <v>0</v>
      </c>
      <c r="AE788" s="12">
        <f t="array" ref="AE788">IF($A788="","",ROUND($Y788*XLOOKUP($F788,Settings!$I$15:$I$20,Settings!$L$15:$L$20,0.8),0))</f>
        <v>1</v>
      </c>
      <c r="AF788" s="12">
        <f t="array" ref="AF788">IF($A788="","",ROUND($Y788*XLOOKUP($F788,Settings!$I$15:$I$20,Settings!$M$15:$M$20,1),0))</f>
        <v>1</v>
      </c>
      <c r="AG788" s="12">
        <f t="array" ref="AG788">IF($A788="","",ROUND($Y788*XLOOKUP($F788,Settings!$I$15:$I$20,Settings!$N$15:$N$20,1.1),0))</f>
        <v>1</v>
      </c>
      <c r="AH788" s="12">
        <f t="array" ref="AH788">IF($A788="","",ROUND($Y788*XLOOKUP($F788,Settings!$I$15:$I$20,Settings!$O$15:$O$20,1.1)*Settings!$J$7,0))</f>
        <v>1</v>
      </c>
      <c r="AI788" s="12">
        <f t="array" ref="AI788">IF($A788="","",IF($AA788="Sold","",MIN($AH788,IFERROR(XLOOKUP(Settings!$B$12,Managers!$B$4:$B$15,Managers!$H$4:$H$15),$AH788))))</f>
        <v>1</v>
      </c>
      <c r="AJ788" s="12" t="str">
        <f t="shared" si="3"/>
        <v>Recommended</v>
      </c>
      <c r="AK788" s="12">
        <f t="shared" si="4"/>
        <v>26</v>
      </c>
      <c r="AL788" s="12" t="str">
        <f t="shared" si="5"/>
        <v/>
      </c>
    </row>
    <row r="789" ht="15.75" customHeight="1">
      <c r="A789" s="10" t="s">
        <v>1858</v>
      </c>
      <c r="B789" s="10" t="s">
        <v>1859</v>
      </c>
      <c r="C789" s="10" t="s">
        <v>199</v>
      </c>
      <c r="D789" s="10" t="s">
        <v>118</v>
      </c>
      <c r="E789" s="10" t="s">
        <v>118</v>
      </c>
      <c r="F789" s="10" t="s">
        <v>117</v>
      </c>
      <c r="G789" s="10">
        <v>5.0</v>
      </c>
      <c r="H789" s="10">
        <v>7.0</v>
      </c>
      <c r="I789" s="10" t="s">
        <v>2140</v>
      </c>
      <c r="J789" s="10" t="s">
        <v>2136</v>
      </c>
      <c r="K789" s="10"/>
      <c r="L789" s="10">
        <v>0.0</v>
      </c>
      <c r="M789" s="10">
        <v>0.0</v>
      </c>
      <c r="N789" s="10"/>
      <c r="O789" s="10"/>
      <c r="P789" s="12">
        <f>IF($A789="","",IFERROR((IF($O789="",0,$O789)*Settings!$J$4+IF($L789="",0,$L789)*Settings!$J$5+IF($N789="",0,$N789)*Settings!$J$6)/(IF($O789="",0,Settings!$J$4)+IF($L789="",0,Settings!$J$5)+IF($N789="",0,Settings!$J$6)),0))</f>
        <v>0</v>
      </c>
      <c r="Q789" s="12">
        <f t="array" ref="Q789">IF($A789="","",XLOOKUP($E789,Settings!$A$19:$A$22,Settings!$G$19:$G$22,0))</f>
        <v>196.25</v>
      </c>
      <c r="R789" s="12">
        <f t="shared" si="1"/>
        <v>0</v>
      </c>
      <c r="S789" s="12">
        <f>IF($A789="","",IF($R789&lt;=0,1,1+$R789/SUMIF($R$4:$R$923,"&gt;0",$R$4:$R$923)*(Settings!$B$5*(Settings!$B$6-Settings!$B$7))))</f>
        <v>1</v>
      </c>
      <c r="T789" s="12">
        <f t="array" ref="T789">IF($A789="","",XLOOKUP($F789,Settings!$I$15:$I$20,Settings!$J$15:$J$20,1))</f>
        <v>0.75</v>
      </c>
      <c r="U789" s="12">
        <f>IF($A789="","",1+(($G789-5)/5)*Settings!$J$8)</f>
        <v>1</v>
      </c>
      <c r="V789" s="12">
        <f>IF($A789="","",1+(($H789-5)/5)*Settings!$J$9)</f>
        <v>1.06</v>
      </c>
      <c r="W789" s="12">
        <f t="array" ref="W789">IF($A789="","",XLOOKUP($J789,Lists!$C$3:$C$7,Lists!$D$3:$D$7,1))</f>
        <v>1</v>
      </c>
      <c r="X789" s="12">
        <f>IF($A789="","",IF($I789="Yes",Settings!$J$10,1))</f>
        <v>1</v>
      </c>
      <c r="Y789" s="12">
        <f t="shared" si="2"/>
        <v>1</v>
      </c>
      <c r="Z789" s="12">
        <f>IF($A789="","",IFERROR(ROUND(AVERAGEIFS('Historical Drafts'!$G$4:$G$300,'Historical Drafts'!$D$4:$D$300,$E789,'Historical Drafts'!$J$4:$J$300,"&gt;="&amp;$L789*0.85,'Historical Drafts'!$J$4:$J$300,"&lt;="&amp;$L789*1.15),0),$Y789))</f>
        <v>1</v>
      </c>
      <c r="AA789" s="12" t="str">
        <f>IF($A789="","",IF(COUNTIF('Auction Log'!$B$3:$B$300,$A789)&gt;0,"Sold","Available"))</f>
        <v>Available</v>
      </c>
      <c r="AB789" s="12" t="str">
        <f t="array" ref="AB789">IF($A789="","",IFERROR(XLOOKUP($A789,'Auction Log'!$B$3:$B$300,'Auction Log'!$G$3:$G$300,""),""))</f>
        <v/>
      </c>
      <c r="AC789" s="12" t="str">
        <f t="array" ref="AC789">IF($A789="","",IFERROR(XLOOKUP($A789,'Auction Log'!$B$3:$B$300,'Auction Log'!$F$3:$F$300,""),""))</f>
        <v/>
      </c>
      <c r="AD789" s="12">
        <f t="array" ref="AD789">IF($A789="","",ROUND($Y789*XLOOKUP($F789,Settings!$I$15:$I$20,Settings!$K$15:$K$20,0.4),0))</f>
        <v>0</v>
      </c>
      <c r="AE789" s="12">
        <f t="array" ref="AE789">IF($A789="","",ROUND($Y789*XLOOKUP($F789,Settings!$I$15:$I$20,Settings!$L$15:$L$20,0.8),0))</f>
        <v>1</v>
      </c>
      <c r="AF789" s="12">
        <f t="array" ref="AF789">IF($A789="","",ROUND($Y789*XLOOKUP($F789,Settings!$I$15:$I$20,Settings!$M$15:$M$20,1),0))</f>
        <v>1</v>
      </c>
      <c r="AG789" s="12">
        <f t="array" ref="AG789">IF($A789="","",ROUND($Y789*XLOOKUP($F789,Settings!$I$15:$I$20,Settings!$N$15:$N$20,1.1),0))</f>
        <v>1</v>
      </c>
      <c r="AH789" s="12">
        <f t="array" ref="AH789">IF($A789="","",ROUND($Y789*XLOOKUP($F789,Settings!$I$15:$I$20,Settings!$O$15:$O$20,1.1)*Settings!$J$7,0))</f>
        <v>1</v>
      </c>
      <c r="AI789" s="12">
        <f t="array" ref="AI789">IF($A789="","",IF($AA789="Sold","",MIN($AH789,IFERROR(XLOOKUP(Settings!$B$12,Managers!$B$4:$B$15,Managers!$H$4:$H$15),$AH789))))</f>
        <v>1</v>
      </c>
      <c r="AJ789" s="12" t="str">
        <f t="shared" si="3"/>
        <v>Recommended</v>
      </c>
      <c r="AK789" s="12">
        <f t="shared" si="4"/>
        <v>26</v>
      </c>
      <c r="AL789" s="12" t="str">
        <f t="shared" si="5"/>
        <v/>
      </c>
    </row>
    <row r="790" ht="15.75" customHeight="1">
      <c r="A790" s="10" t="s">
        <v>1860</v>
      </c>
      <c r="B790" s="10" t="s">
        <v>1861</v>
      </c>
      <c r="C790" s="10" t="s">
        <v>285</v>
      </c>
      <c r="D790" s="10" t="s">
        <v>115</v>
      </c>
      <c r="E790" s="10" t="s">
        <v>115</v>
      </c>
      <c r="F790" s="10" t="s">
        <v>117</v>
      </c>
      <c r="G790" s="10">
        <v>5.0</v>
      </c>
      <c r="H790" s="10">
        <v>7.0</v>
      </c>
      <c r="I790" s="10" t="s">
        <v>2140</v>
      </c>
      <c r="J790" s="10" t="s">
        <v>2136</v>
      </c>
      <c r="K790" s="10"/>
      <c r="L790" s="10">
        <v>0.0</v>
      </c>
      <c r="M790" s="10">
        <v>0.0</v>
      </c>
      <c r="N790" s="10"/>
      <c r="O790" s="10"/>
      <c r="P790" s="12">
        <f>IF($A790="","",IFERROR((IF($O790="",0,$O790)*Settings!$J$4+IF($L790="",0,$L790)*Settings!$J$5+IF($N790="",0,$N790)*Settings!$J$6)/(IF($O790="",0,Settings!$J$4)+IF($L790="",0,Settings!$J$5)+IF($N790="",0,Settings!$J$6)),0))</f>
        <v>0</v>
      </c>
      <c r="Q790" s="12">
        <f t="array" ref="Q790">IF($A790="","",XLOOKUP($E790,Settings!$A$19:$A$22,Settings!$G$19:$G$22,0))</f>
        <v>249.25</v>
      </c>
      <c r="R790" s="12">
        <f t="shared" si="1"/>
        <v>0</v>
      </c>
      <c r="S790" s="12">
        <f>IF($A790="","",IF($R790&lt;=0,1,1+$R790/SUMIF($R$4:$R$923,"&gt;0",$R$4:$R$923)*(Settings!$B$5*(Settings!$B$6-Settings!$B$7))))</f>
        <v>1</v>
      </c>
      <c r="T790" s="12">
        <f t="array" ref="T790">IF($A790="","",XLOOKUP($F790,Settings!$I$15:$I$20,Settings!$J$15:$J$20,1))</f>
        <v>0.75</v>
      </c>
      <c r="U790" s="12">
        <f>IF($A790="","",1+(($G790-5)/5)*Settings!$J$8)</f>
        <v>1</v>
      </c>
      <c r="V790" s="12">
        <f>IF($A790="","",1+(($H790-5)/5)*Settings!$J$9)</f>
        <v>1.06</v>
      </c>
      <c r="W790" s="12">
        <f t="array" ref="W790">IF($A790="","",XLOOKUP($J790,Lists!$C$3:$C$7,Lists!$D$3:$D$7,1))</f>
        <v>1</v>
      </c>
      <c r="X790" s="12">
        <f>IF($A790="","",IF($I790="Yes",Settings!$J$10,1))</f>
        <v>1</v>
      </c>
      <c r="Y790" s="12">
        <f t="shared" si="2"/>
        <v>1</v>
      </c>
      <c r="Z790" s="12">
        <f>IF($A790="","",IFERROR(ROUND(AVERAGEIFS('Historical Drafts'!$G$4:$G$300,'Historical Drafts'!$D$4:$D$300,$E790,'Historical Drafts'!$J$4:$J$300,"&gt;="&amp;$L790*0.85,'Historical Drafts'!$J$4:$J$300,"&lt;="&amp;$L790*1.15),0),$Y790))</f>
        <v>1</v>
      </c>
      <c r="AA790" s="12" t="str">
        <f>IF($A790="","",IF(COUNTIF('Auction Log'!$B$3:$B$300,$A790)&gt;0,"Sold","Available"))</f>
        <v>Available</v>
      </c>
      <c r="AB790" s="12" t="str">
        <f t="array" ref="AB790">IF($A790="","",IFERROR(XLOOKUP($A790,'Auction Log'!$B$3:$B$300,'Auction Log'!$G$3:$G$300,""),""))</f>
        <v/>
      </c>
      <c r="AC790" s="12" t="str">
        <f t="array" ref="AC790">IF($A790="","",IFERROR(XLOOKUP($A790,'Auction Log'!$B$3:$B$300,'Auction Log'!$F$3:$F$300,""),""))</f>
        <v/>
      </c>
      <c r="AD790" s="12">
        <f t="array" ref="AD790">IF($A790="","",ROUND($Y790*XLOOKUP($F790,Settings!$I$15:$I$20,Settings!$K$15:$K$20,0.4),0))</f>
        <v>0</v>
      </c>
      <c r="AE790" s="12">
        <f t="array" ref="AE790">IF($A790="","",ROUND($Y790*XLOOKUP($F790,Settings!$I$15:$I$20,Settings!$L$15:$L$20,0.8),0))</f>
        <v>1</v>
      </c>
      <c r="AF790" s="12">
        <f t="array" ref="AF790">IF($A790="","",ROUND($Y790*XLOOKUP($F790,Settings!$I$15:$I$20,Settings!$M$15:$M$20,1),0))</f>
        <v>1</v>
      </c>
      <c r="AG790" s="12">
        <f t="array" ref="AG790">IF($A790="","",ROUND($Y790*XLOOKUP($F790,Settings!$I$15:$I$20,Settings!$N$15:$N$20,1.1),0))</f>
        <v>1</v>
      </c>
      <c r="AH790" s="12">
        <f t="array" ref="AH790">IF($A790="","",ROUND($Y790*XLOOKUP($F790,Settings!$I$15:$I$20,Settings!$O$15:$O$20,1.1)*Settings!$J$7,0))</f>
        <v>1</v>
      </c>
      <c r="AI790" s="12">
        <f t="array" ref="AI790">IF($A790="","",IF($AA790="Sold","",MIN($AH790,IFERROR(XLOOKUP(Settings!$B$12,Managers!$B$4:$B$15,Managers!$H$4:$H$15),$AH790))))</f>
        <v>1</v>
      </c>
      <c r="AJ790" s="12" t="str">
        <f t="shared" si="3"/>
        <v>Recommended</v>
      </c>
      <c r="AK790" s="12">
        <f t="shared" si="4"/>
        <v>26</v>
      </c>
      <c r="AL790" s="12" t="str">
        <f t="shared" si="5"/>
        <v/>
      </c>
    </row>
    <row r="791" ht="15.75" customHeight="1">
      <c r="A791" s="10" t="s">
        <v>1862</v>
      </c>
      <c r="B791" s="10" t="s">
        <v>1863</v>
      </c>
      <c r="C791" s="10" t="s">
        <v>327</v>
      </c>
      <c r="D791" s="10" t="s">
        <v>121</v>
      </c>
      <c r="E791" s="10" t="s">
        <v>121</v>
      </c>
      <c r="F791" s="10" t="s">
        <v>117</v>
      </c>
      <c r="G791" s="10">
        <v>5.0</v>
      </c>
      <c r="H791" s="10">
        <v>7.0</v>
      </c>
      <c r="I791" s="10" t="s">
        <v>2140</v>
      </c>
      <c r="J791" s="10" t="s">
        <v>2136</v>
      </c>
      <c r="K791" s="10"/>
      <c r="L791" s="10">
        <v>0.0</v>
      </c>
      <c r="M791" s="10">
        <v>0.0</v>
      </c>
      <c r="N791" s="10"/>
      <c r="O791" s="10"/>
      <c r="P791" s="12">
        <f>IF($A791="","",IFERROR((IF($O791="",0,$O791)*Settings!$J$4+IF($L791="",0,$L791)*Settings!$J$5+IF($N791="",0,$N791)*Settings!$J$6)/(IF($O791="",0,Settings!$J$4)+IF($L791="",0,Settings!$J$5)+IF($N791="",0,Settings!$J$6)),0))</f>
        <v>0</v>
      </c>
      <c r="Q791" s="12">
        <f t="array" ref="Q791">IF($A791="","",XLOOKUP($E791,Settings!$A$19:$A$22,Settings!$G$19:$G$22,0))</f>
        <v>206</v>
      </c>
      <c r="R791" s="12">
        <f t="shared" si="1"/>
        <v>0</v>
      </c>
      <c r="S791" s="12">
        <f>IF($A791="","",IF($R791&lt;=0,1,1+$R791/SUMIF($R$4:$R$923,"&gt;0",$R$4:$R$923)*(Settings!$B$5*(Settings!$B$6-Settings!$B$7))))</f>
        <v>1</v>
      </c>
      <c r="T791" s="12">
        <f t="array" ref="T791">IF($A791="","",XLOOKUP($F791,Settings!$I$15:$I$20,Settings!$J$15:$J$20,1))</f>
        <v>0.75</v>
      </c>
      <c r="U791" s="12">
        <f>IF($A791="","",1+(($G791-5)/5)*Settings!$J$8)</f>
        <v>1</v>
      </c>
      <c r="V791" s="12">
        <f>IF($A791="","",1+(($H791-5)/5)*Settings!$J$9)</f>
        <v>1.06</v>
      </c>
      <c r="W791" s="12">
        <f t="array" ref="W791">IF($A791="","",XLOOKUP($J791,Lists!$C$3:$C$7,Lists!$D$3:$D$7,1))</f>
        <v>1</v>
      </c>
      <c r="X791" s="12">
        <f>IF($A791="","",IF($I791="Yes",Settings!$J$10,1))</f>
        <v>1</v>
      </c>
      <c r="Y791" s="12">
        <f t="shared" si="2"/>
        <v>1</v>
      </c>
      <c r="Z791" s="12">
        <f>IF($A791="","",IFERROR(ROUND(AVERAGEIFS('Historical Drafts'!$G$4:$G$300,'Historical Drafts'!$D$4:$D$300,$E791,'Historical Drafts'!$J$4:$J$300,"&gt;="&amp;$L791*0.85,'Historical Drafts'!$J$4:$J$300,"&lt;="&amp;$L791*1.15),0),$Y791))</f>
        <v>3</v>
      </c>
      <c r="AA791" s="12" t="str">
        <f>IF($A791="","",IF(COUNTIF('Auction Log'!$B$3:$B$300,$A791)&gt;0,"Sold","Available"))</f>
        <v>Available</v>
      </c>
      <c r="AB791" s="12" t="str">
        <f t="array" ref="AB791">IF($A791="","",IFERROR(XLOOKUP($A791,'Auction Log'!$B$3:$B$300,'Auction Log'!$G$3:$G$300,""),""))</f>
        <v/>
      </c>
      <c r="AC791" s="12" t="str">
        <f t="array" ref="AC791">IF($A791="","",IFERROR(XLOOKUP($A791,'Auction Log'!$B$3:$B$300,'Auction Log'!$F$3:$F$300,""),""))</f>
        <v/>
      </c>
      <c r="AD791" s="12">
        <f t="array" ref="AD791">IF($A791="","",ROUND($Y791*XLOOKUP($F791,Settings!$I$15:$I$20,Settings!$K$15:$K$20,0.4),0))</f>
        <v>0</v>
      </c>
      <c r="AE791" s="12">
        <f t="array" ref="AE791">IF($A791="","",ROUND($Y791*XLOOKUP($F791,Settings!$I$15:$I$20,Settings!$L$15:$L$20,0.8),0))</f>
        <v>1</v>
      </c>
      <c r="AF791" s="12">
        <f t="array" ref="AF791">IF($A791="","",ROUND($Y791*XLOOKUP($F791,Settings!$I$15:$I$20,Settings!$M$15:$M$20,1),0))</f>
        <v>1</v>
      </c>
      <c r="AG791" s="12">
        <f t="array" ref="AG791">IF($A791="","",ROUND($Y791*XLOOKUP($F791,Settings!$I$15:$I$20,Settings!$N$15:$N$20,1.1),0))</f>
        <v>1</v>
      </c>
      <c r="AH791" s="12">
        <f t="array" ref="AH791">IF($A791="","",ROUND($Y791*XLOOKUP($F791,Settings!$I$15:$I$20,Settings!$O$15:$O$20,1.1)*Settings!$J$7,0))</f>
        <v>1</v>
      </c>
      <c r="AI791" s="12">
        <f t="array" ref="AI791">IF($A791="","",IF($AA791="Sold","",MIN($AH791,IFERROR(XLOOKUP(Settings!$B$12,Managers!$B$4:$B$15,Managers!$H$4:$H$15),$AH791))))</f>
        <v>1</v>
      </c>
      <c r="AJ791" s="12" t="str">
        <f t="shared" si="3"/>
        <v>Budget Drainer</v>
      </c>
      <c r="AK791" s="12">
        <f t="shared" si="4"/>
        <v>28</v>
      </c>
      <c r="AL791" s="12" t="str">
        <f t="shared" si="5"/>
        <v/>
      </c>
    </row>
    <row r="792" ht="15.75" customHeight="1">
      <c r="A792" s="10" t="s">
        <v>1864</v>
      </c>
      <c r="B792" s="10" t="s">
        <v>1865</v>
      </c>
      <c r="C792" s="10" t="s">
        <v>314</v>
      </c>
      <c r="D792" s="10" t="s">
        <v>118</v>
      </c>
      <c r="E792" s="10" t="s">
        <v>118</v>
      </c>
      <c r="F792" s="10" t="s">
        <v>117</v>
      </c>
      <c r="G792" s="10">
        <v>5.0</v>
      </c>
      <c r="H792" s="10">
        <v>7.0</v>
      </c>
      <c r="I792" s="10" t="s">
        <v>2140</v>
      </c>
      <c r="J792" s="10" t="s">
        <v>2136</v>
      </c>
      <c r="K792" s="10"/>
      <c r="L792" s="10">
        <v>0.0</v>
      </c>
      <c r="M792" s="10">
        <v>0.0</v>
      </c>
      <c r="N792" s="10"/>
      <c r="O792" s="10"/>
      <c r="P792" s="12">
        <f>IF($A792="","",IFERROR((IF($O792="",0,$O792)*Settings!$J$4+IF($L792="",0,$L792)*Settings!$J$5+IF($N792="",0,$N792)*Settings!$J$6)/(IF($O792="",0,Settings!$J$4)+IF($L792="",0,Settings!$J$5)+IF($N792="",0,Settings!$J$6)),0))</f>
        <v>0</v>
      </c>
      <c r="Q792" s="12">
        <f t="array" ref="Q792">IF($A792="","",XLOOKUP($E792,Settings!$A$19:$A$22,Settings!$G$19:$G$22,0))</f>
        <v>196.25</v>
      </c>
      <c r="R792" s="12">
        <f t="shared" si="1"/>
        <v>0</v>
      </c>
      <c r="S792" s="12">
        <f>IF($A792="","",IF($R792&lt;=0,1,1+$R792/SUMIF($R$4:$R$923,"&gt;0",$R$4:$R$923)*(Settings!$B$5*(Settings!$B$6-Settings!$B$7))))</f>
        <v>1</v>
      </c>
      <c r="T792" s="12">
        <f t="array" ref="T792">IF($A792="","",XLOOKUP($F792,Settings!$I$15:$I$20,Settings!$J$15:$J$20,1))</f>
        <v>0.75</v>
      </c>
      <c r="U792" s="12">
        <f>IF($A792="","",1+(($G792-5)/5)*Settings!$J$8)</f>
        <v>1</v>
      </c>
      <c r="V792" s="12">
        <f>IF($A792="","",1+(($H792-5)/5)*Settings!$J$9)</f>
        <v>1.06</v>
      </c>
      <c r="W792" s="12">
        <f t="array" ref="W792">IF($A792="","",XLOOKUP($J792,Lists!$C$3:$C$7,Lists!$D$3:$D$7,1))</f>
        <v>1</v>
      </c>
      <c r="X792" s="12">
        <f>IF($A792="","",IF($I792="Yes",Settings!$J$10,1))</f>
        <v>1</v>
      </c>
      <c r="Y792" s="12">
        <f t="shared" si="2"/>
        <v>1</v>
      </c>
      <c r="Z792" s="12">
        <f>IF($A792="","",IFERROR(ROUND(AVERAGEIFS('Historical Drafts'!$G$4:$G$300,'Historical Drafts'!$D$4:$D$300,$E792,'Historical Drafts'!$J$4:$J$300,"&gt;="&amp;$L792*0.85,'Historical Drafts'!$J$4:$J$300,"&lt;="&amp;$L792*1.15),0),$Y792))</f>
        <v>1</v>
      </c>
      <c r="AA792" s="12" t="str">
        <f>IF($A792="","",IF(COUNTIF('Auction Log'!$B$3:$B$300,$A792)&gt;0,"Sold","Available"))</f>
        <v>Available</v>
      </c>
      <c r="AB792" s="12" t="str">
        <f t="array" ref="AB792">IF($A792="","",IFERROR(XLOOKUP($A792,'Auction Log'!$B$3:$B$300,'Auction Log'!$G$3:$G$300,""),""))</f>
        <v/>
      </c>
      <c r="AC792" s="12" t="str">
        <f t="array" ref="AC792">IF($A792="","",IFERROR(XLOOKUP($A792,'Auction Log'!$B$3:$B$300,'Auction Log'!$F$3:$F$300,""),""))</f>
        <v/>
      </c>
      <c r="AD792" s="12">
        <f t="array" ref="AD792">IF($A792="","",ROUND($Y792*XLOOKUP($F792,Settings!$I$15:$I$20,Settings!$K$15:$K$20,0.4),0))</f>
        <v>0</v>
      </c>
      <c r="AE792" s="12">
        <f t="array" ref="AE792">IF($A792="","",ROUND($Y792*XLOOKUP($F792,Settings!$I$15:$I$20,Settings!$L$15:$L$20,0.8),0))</f>
        <v>1</v>
      </c>
      <c r="AF792" s="12">
        <f t="array" ref="AF792">IF($A792="","",ROUND($Y792*XLOOKUP($F792,Settings!$I$15:$I$20,Settings!$M$15:$M$20,1),0))</f>
        <v>1</v>
      </c>
      <c r="AG792" s="12">
        <f t="array" ref="AG792">IF($A792="","",ROUND($Y792*XLOOKUP($F792,Settings!$I$15:$I$20,Settings!$N$15:$N$20,1.1),0))</f>
        <v>1</v>
      </c>
      <c r="AH792" s="12">
        <f t="array" ref="AH792">IF($A792="","",ROUND($Y792*XLOOKUP($F792,Settings!$I$15:$I$20,Settings!$O$15:$O$20,1.1)*Settings!$J$7,0))</f>
        <v>1</v>
      </c>
      <c r="AI792" s="12">
        <f t="array" ref="AI792">IF($A792="","",IF($AA792="Sold","",MIN($AH792,IFERROR(XLOOKUP(Settings!$B$12,Managers!$B$4:$B$15,Managers!$H$4:$H$15),$AH792))))</f>
        <v>1</v>
      </c>
      <c r="AJ792" s="12" t="str">
        <f t="shared" si="3"/>
        <v>Recommended</v>
      </c>
      <c r="AK792" s="12">
        <f t="shared" si="4"/>
        <v>26</v>
      </c>
      <c r="AL792" s="12" t="str">
        <f t="shared" si="5"/>
        <v/>
      </c>
    </row>
    <row r="793" ht="15.75" customHeight="1">
      <c r="A793" s="10" t="s">
        <v>1866</v>
      </c>
      <c r="B793" s="10" t="s">
        <v>1867</v>
      </c>
      <c r="C793" s="10" t="s">
        <v>188</v>
      </c>
      <c r="D793" s="10" t="s">
        <v>115</v>
      </c>
      <c r="E793" s="10" t="s">
        <v>115</v>
      </c>
      <c r="F793" s="10" t="s">
        <v>117</v>
      </c>
      <c r="G793" s="10">
        <v>5.0</v>
      </c>
      <c r="H793" s="10">
        <v>7.0</v>
      </c>
      <c r="I793" s="10" t="s">
        <v>2140</v>
      </c>
      <c r="J793" s="10" t="s">
        <v>2136</v>
      </c>
      <c r="K793" s="10"/>
      <c r="L793" s="10">
        <v>0.0</v>
      </c>
      <c r="M793" s="10">
        <v>0.0</v>
      </c>
      <c r="N793" s="10"/>
      <c r="O793" s="10"/>
      <c r="P793" s="12">
        <f>IF($A793="","",IFERROR((IF($O793="",0,$O793)*Settings!$J$4+IF($L793="",0,$L793)*Settings!$J$5+IF($N793="",0,$N793)*Settings!$J$6)/(IF($O793="",0,Settings!$J$4)+IF($L793="",0,Settings!$J$5)+IF($N793="",0,Settings!$J$6)),0))</f>
        <v>0</v>
      </c>
      <c r="Q793" s="12">
        <f t="array" ref="Q793">IF($A793="","",XLOOKUP($E793,Settings!$A$19:$A$22,Settings!$G$19:$G$22,0))</f>
        <v>249.25</v>
      </c>
      <c r="R793" s="12">
        <f t="shared" si="1"/>
        <v>0</v>
      </c>
      <c r="S793" s="12">
        <f>IF($A793="","",IF($R793&lt;=0,1,1+$R793/SUMIF($R$4:$R$923,"&gt;0",$R$4:$R$923)*(Settings!$B$5*(Settings!$B$6-Settings!$B$7))))</f>
        <v>1</v>
      </c>
      <c r="T793" s="12">
        <f t="array" ref="T793">IF($A793="","",XLOOKUP($F793,Settings!$I$15:$I$20,Settings!$J$15:$J$20,1))</f>
        <v>0.75</v>
      </c>
      <c r="U793" s="12">
        <f>IF($A793="","",1+(($G793-5)/5)*Settings!$J$8)</f>
        <v>1</v>
      </c>
      <c r="V793" s="12">
        <f>IF($A793="","",1+(($H793-5)/5)*Settings!$J$9)</f>
        <v>1.06</v>
      </c>
      <c r="W793" s="12">
        <f t="array" ref="W793">IF($A793="","",XLOOKUP($J793,Lists!$C$3:$C$7,Lists!$D$3:$D$7,1))</f>
        <v>1</v>
      </c>
      <c r="X793" s="12">
        <f>IF($A793="","",IF($I793="Yes",Settings!$J$10,1))</f>
        <v>1</v>
      </c>
      <c r="Y793" s="12">
        <f t="shared" si="2"/>
        <v>1</v>
      </c>
      <c r="Z793" s="12">
        <f>IF($A793="","",IFERROR(ROUND(AVERAGEIFS('Historical Drafts'!$G$4:$G$300,'Historical Drafts'!$D$4:$D$300,$E793,'Historical Drafts'!$J$4:$J$300,"&gt;="&amp;$L793*0.85,'Historical Drafts'!$J$4:$J$300,"&lt;="&amp;$L793*1.15),0),$Y793))</f>
        <v>1</v>
      </c>
      <c r="AA793" s="12" t="str">
        <f>IF($A793="","",IF(COUNTIF('Auction Log'!$B$3:$B$300,$A793)&gt;0,"Sold","Available"))</f>
        <v>Available</v>
      </c>
      <c r="AB793" s="12" t="str">
        <f t="array" ref="AB793">IF($A793="","",IFERROR(XLOOKUP($A793,'Auction Log'!$B$3:$B$300,'Auction Log'!$G$3:$G$300,""),""))</f>
        <v/>
      </c>
      <c r="AC793" s="12" t="str">
        <f t="array" ref="AC793">IF($A793="","",IFERROR(XLOOKUP($A793,'Auction Log'!$B$3:$B$300,'Auction Log'!$F$3:$F$300,""),""))</f>
        <v/>
      </c>
      <c r="AD793" s="12">
        <f t="array" ref="AD793">IF($A793="","",ROUND($Y793*XLOOKUP($F793,Settings!$I$15:$I$20,Settings!$K$15:$K$20,0.4),0))</f>
        <v>0</v>
      </c>
      <c r="AE793" s="12">
        <f t="array" ref="AE793">IF($A793="","",ROUND($Y793*XLOOKUP($F793,Settings!$I$15:$I$20,Settings!$L$15:$L$20,0.8),0))</f>
        <v>1</v>
      </c>
      <c r="AF793" s="12">
        <f t="array" ref="AF793">IF($A793="","",ROUND($Y793*XLOOKUP($F793,Settings!$I$15:$I$20,Settings!$M$15:$M$20,1),0))</f>
        <v>1</v>
      </c>
      <c r="AG793" s="12">
        <f t="array" ref="AG793">IF($A793="","",ROUND($Y793*XLOOKUP($F793,Settings!$I$15:$I$20,Settings!$N$15:$N$20,1.1),0))</f>
        <v>1</v>
      </c>
      <c r="AH793" s="12">
        <f t="array" ref="AH793">IF($A793="","",ROUND($Y793*XLOOKUP($F793,Settings!$I$15:$I$20,Settings!$O$15:$O$20,1.1)*Settings!$J$7,0))</f>
        <v>1</v>
      </c>
      <c r="AI793" s="12">
        <f t="array" ref="AI793">IF($A793="","",IF($AA793="Sold","",MIN($AH793,IFERROR(XLOOKUP(Settings!$B$12,Managers!$B$4:$B$15,Managers!$H$4:$H$15),$AH793))))</f>
        <v>1</v>
      </c>
      <c r="AJ793" s="12" t="str">
        <f t="shared" si="3"/>
        <v>Recommended</v>
      </c>
      <c r="AK793" s="12">
        <f t="shared" si="4"/>
        <v>26</v>
      </c>
      <c r="AL793" s="12" t="str">
        <f t="shared" si="5"/>
        <v/>
      </c>
    </row>
    <row r="794" ht="15.75" customHeight="1">
      <c r="A794" s="10" t="s">
        <v>1868</v>
      </c>
      <c r="B794" s="10" t="s">
        <v>1869</v>
      </c>
      <c r="C794" s="10" t="s">
        <v>180</v>
      </c>
      <c r="D794" s="10" t="s">
        <v>121</v>
      </c>
      <c r="E794" s="10" t="s">
        <v>121</v>
      </c>
      <c r="F794" s="10" t="s">
        <v>117</v>
      </c>
      <c r="G794" s="10">
        <v>5.0</v>
      </c>
      <c r="H794" s="10">
        <v>7.0</v>
      </c>
      <c r="I794" s="10" t="s">
        <v>2140</v>
      </c>
      <c r="J794" s="10" t="s">
        <v>2136</v>
      </c>
      <c r="K794" s="10"/>
      <c r="L794" s="10">
        <v>0.0</v>
      </c>
      <c r="M794" s="10">
        <v>0.0</v>
      </c>
      <c r="N794" s="10"/>
      <c r="O794" s="10"/>
      <c r="P794" s="12">
        <f>IF($A794="","",IFERROR((IF($O794="",0,$O794)*Settings!$J$4+IF($L794="",0,$L794)*Settings!$J$5+IF($N794="",0,$N794)*Settings!$J$6)/(IF($O794="",0,Settings!$J$4)+IF($L794="",0,Settings!$J$5)+IF($N794="",0,Settings!$J$6)),0))</f>
        <v>0</v>
      </c>
      <c r="Q794" s="12">
        <f t="array" ref="Q794">IF($A794="","",XLOOKUP($E794,Settings!$A$19:$A$22,Settings!$G$19:$G$22,0))</f>
        <v>206</v>
      </c>
      <c r="R794" s="12">
        <f t="shared" si="1"/>
        <v>0</v>
      </c>
      <c r="S794" s="12">
        <f>IF($A794="","",IF($R794&lt;=0,1,1+$R794/SUMIF($R$4:$R$923,"&gt;0",$R$4:$R$923)*(Settings!$B$5*(Settings!$B$6-Settings!$B$7))))</f>
        <v>1</v>
      </c>
      <c r="T794" s="12">
        <f t="array" ref="T794">IF($A794="","",XLOOKUP($F794,Settings!$I$15:$I$20,Settings!$J$15:$J$20,1))</f>
        <v>0.75</v>
      </c>
      <c r="U794" s="12">
        <f>IF($A794="","",1+(($G794-5)/5)*Settings!$J$8)</f>
        <v>1</v>
      </c>
      <c r="V794" s="12">
        <f>IF($A794="","",1+(($H794-5)/5)*Settings!$J$9)</f>
        <v>1.06</v>
      </c>
      <c r="W794" s="12">
        <f t="array" ref="W794">IF($A794="","",XLOOKUP($J794,Lists!$C$3:$C$7,Lists!$D$3:$D$7,1))</f>
        <v>1</v>
      </c>
      <c r="X794" s="12">
        <f>IF($A794="","",IF($I794="Yes",Settings!$J$10,1))</f>
        <v>1</v>
      </c>
      <c r="Y794" s="12">
        <f t="shared" si="2"/>
        <v>1</v>
      </c>
      <c r="Z794" s="12">
        <f>IF($A794="","",IFERROR(ROUND(AVERAGEIFS('Historical Drafts'!$G$4:$G$300,'Historical Drafts'!$D$4:$D$300,$E794,'Historical Drafts'!$J$4:$J$300,"&gt;="&amp;$L794*0.85,'Historical Drafts'!$J$4:$J$300,"&lt;="&amp;$L794*1.15),0),$Y794))</f>
        <v>3</v>
      </c>
      <c r="AA794" s="12" t="str">
        <f>IF($A794="","",IF(COUNTIF('Auction Log'!$B$3:$B$300,$A794)&gt;0,"Sold","Available"))</f>
        <v>Available</v>
      </c>
      <c r="AB794" s="12" t="str">
        <f t="array" ref="AB794">IF($A794="","",IFERROR(XLOOKUP($A794,'Auction Log'!$B$3:$B$300,'Auction Log'!$G$3:$G$300,""),""))</f>
        <v/>
      </c>
      <c r="AC794" s="12" t="str">
        <f t="array" ref="AC794">IF($A794="","",IFERROR(XLOOKUP($A794,'Auction Log'!$B$3:$B$300,'Auction Log'!$F$3:$F$300,""),""))</f>
        <v/>
      </c>
      <c r="AD794" s="12">
        <f t="array" ref="AD794">IF($A794="","",ROUND($Y794*XLOOKUP($F794,Settings!$I$15:$I$20,Settings!$K$15:$K$20,0.4),0))</f>
        <v>0</v>
      </c>
      <c r="AE794" s="12">
        <f t="array" ref="AE794">IF($A794="","",ROUND($Y794*XLOOKUP($F794,Settings!$I$15:$I$20,Settings!$L$15:$L$20,0.8),0))</f>
        <v>1</v>
      </c>
      <c r="AF794" s="12">
        <f t="array" ref="AF794">IF($A794="","",ROUND($Y794*XLOOKUP($F794,Settings!$I$15:$I$20,Settings!$M$15:$M$20,1),0))</f>
        <v>1</v>
      </c>
      <c r="AG794" s="12">
        <f t="array" ref="AG794">IF($A794="","",ROUND($Y794*XLOOKUP($F794,Settings!$I$15:$I$20,Settings!$N$15:$N$20,1.1),0))</f>
        <v>1</v>
      </c>
      <c r="AH794" s="12">
        <f t="array" ref="AH794">IF($A794="","",ROUND($Y794*XLOOKUP($F794,Settings!$I$15:$I$20,Settings!$O$15:$O$20,1.1)*Settings!$J$7,0))</f>
        <v>1</v>
      </c>
      <c r="AI794" s="12">
        <f t="array" ref="AI794">IF($A794="","",IF($AA794="Sold","",MIN($AH794,IFERROR(XLOOKUP(Settings!$B$12,Managers!$B$4:$B$15,Managers!$H$4:$H$15),$AH794))))</f>
        <v>1</v>
      </c>
      <c r="AJ794" s="12" t="str">
        <f t="shared" si="3"/>
        <v>Budget Drainer</v>
      </c>
      <c r="AK794" s="12">
        <f t="shared" si="4"/>
        <v>28</v>
      </c>
      <c r="AL794" s="12" t="str">
        <f t="shared" si="5"/>
        <v/>
      </c>
    </row>
    <row r="795" ht="15.75" customHeight="1">
      <c r="A795" s="10" t="s">
        <v>1870</v>
      </c>
      <c r="B795" s="10" t="s">
        <v>1871</v>
      </c>
      <c r="C795" s="10" t="s">
        <v>177</v>
      </c>
      <c r="D795" s="10" t="s">
        <v>121</v>
      </c>
      <c r="E795" s="10" t="s">
        <v>121</v>
      </c>
      <c r="F795" s="10" t="s">
        <v>117</v>
      </c>
      <c r="G795" s="10">
        <v>5.0</v>
      </c>
      <c r="H795" s="10">
        <v>7.0</v>
      </c>
      <c r="I795" s="10" t="s">
        <v>2140</v>
      </c>
      <c r="J795" s="10" t="s">
        <v>2136</v>
      </c>
      <c r="K795" s="10"/>
      <c r="L795" s="10">
        <v>0.0</v>
      </c>
      <c r="M795" s="10">
        <v>0.0</v>
      </c>
      <c r="N795" s="10"/>
      <c r="O795" s="10"/>
      <c r="P795" s="12">
        <f>IF($A795="","",IFERROR((IF($O795="",0,$O795)*Settings!$J$4+IF($L795="",0,$L795)*Settings!$J$5+IF($N795="",0,$N795)*Settings!$J$6)/(IF($O795="",0,Settings!$J$4)+IF($L795="",0,Settings!$J$5)+IF($N795="",0,Settings!$J$6)),0))</f>
        <v>0</v>
      </c>
      <c r="Q795" s="12">
        <f t="array" ref="Q795">IF($A795="","",XLOOKUP($E795,Settings!$A$19:$A$22,Settings!$G$19:$G$22,0))</f>
        <v>206</v>
      </c>
      <c r="R795" s="12">
        <f t="shared" si="1"/>
        <v>0</v>
      </c>
      <c r="S795" s="12">
        <f>IF($A795="","",IF($R795&lt;=0,1,1+$R795/SUMIF($R$4:$R$923,"&gt;0",$R$4:$R$923)*(Settings!$B$5*(Settings!$B$6-Settings!$B$7))))</f>
        <v>1</v>
      </c>
      <c r="T795" s="12">
        <f t="array" ref="T795">IF($A795="","",XLOOKUP($F795,Settings!$I$15:$I$20,Settings!$J$15:$J$20,1))</f>
        <v>0.75</v>
      </c>
      <c r="U795" s="12">
        <f>IF($A795="","",1+(($G795-5)/5)*Settings!$J$8)</f>
        <v>1</v>
      </c>
      <c r="V795" s="12">
        <f>IF($A795="","",1+(($H795-5)/5)*Settings!$J$9)</f>
        <v>1.06</v>
      </c>
      <c r="W795" s="12">
        <f t="array" ref="W795">IF($A795="","",XLOOKUP($J795,Lists!$C$3:$C$7,Lists!$D$3:$D$7,1))</f>
        <v>1</v>
      </c>
      <c r="X795" s="12">
        <f>IF($A795="","",IF($I795="Yes",Settings!$J$10,1))</f>
        <v>1</v>
      </c>
      <c r="Y795" s="12">
        <f t="shared" si="2"/>
        <v>1</v>
      </c>
      <c r="Z795" s="12">
        <f>IF($A795="","",IFERROR(ROUND(AVERAGEIFS('Historical Drafts'!$G$4:$G$300,'Historical Drafts'!$D$4:$D$300,$E795,'Historical Drafts'!$J$4:$J$300,"&gt;="&amp;$L795*0.85,'Historical Drafts'!$J$4:$J$300,"&lt;="&amp;$L795*1.15),0),$Y795))</f>
        <v>3</v>
      </c>
      <c r="AA795" s="12" t="str">
        <f>IF($A795="","",IF(COUNTIF('Auction Log'!$B$3:$B$300,$A795)&gt;0,"Sold","Available"))</f>
        <v>Available</v>
      </c>
      <c r="AB795" s="12" t="str">
        <f t="array" ref="AB795">IF($A795="","",IFERROR(XLOOKUP($A795,'Auction Log'!$B$3:$B$300,'Auction Log'!$G$3:$G$300,""),""))</f>
        <v/>
      </c>
      <c r="AC795" s="12" t="str">
        <f t="array" ref="AC795">IF($A795="","",IFERROR(XLOOKUP($A795,'Auction Log'!$B$3:$B$300,'Auction Log'!$F$3:$F$300,""),""))</f>
        <v/>
      </c>
      <c r="AD795" s="12">
        <f t="array" ref="AD795">IF($A795="","",ROUND($Y795*XLOOKUP($F795,Settings!$I$15:$I$20,Settings!$K$15:$K$20,0.4),0))</f>
        <v>0</v>
      </c>
      <c r="AE795" s="12">
        <f t="array" ref="AE795">IF($A795="","",ROUND($Y795*XLOOKUP($F795,Settings!$I$15:$I$20,Settings!$L$15:$L$20,0.8),0))</f>
        <v>1</v>
      </c>
      <c r="AF795" s="12">
        <f t="array" ref="AF795">IF($A795="","",ROUND($Y795*XLOOKUP($F795,Settings!$I$15:$I$20,Settings!$M$15:$M$20,1),0))</f>
        <v>1</v>
      </c>
      <c r="AG795" s="12">
        <f t="array" ref="AG795">IF($A795="","",ROUND($Y795*XLOOKUP($F795,Settings!$I$15:$I$20,Settings!$N$15:$N$20,1.1),0))</f>
        <v>1</v>
      </c>
      <c r="AH795" s="12">
        <f t="array" ref="AH795">IF($A795="","",ROUND($Y795*XLOOKUP($F795,Settings!$I$15:$I$20,Settings!$O$15:$O$20,1.1)*Settings!$J$7,0))</f>
        <v>1</v>
      </c>
      <c r="AI795" s="12">
        <f t="array" ref="AI795">IF($A795="","",IF($AA795="Sold","",MIN($AH795,IFERROR(XLOOKUP(Settings!$B$12,Managers!$B$4:$B$15,Managers!$H$4:$H$15),$AH795))))</f>
        <v>1</v>
      </c>
      <c r="AJ795" s="12" t="str">
        <f t="shared" si="3"/>
        <v>Budget Drainer</v>
      </c>
      <c r="AK795" s="12">
        <f t="shared" si="4"/>
        <v>28</v>
      </c>
      <c r="AL795" s="12" t="str">
        <f t="shared" si="5"/>
        <v/>
      </c>
    </row>
    <row r="796" ht="15.75" customHeight="1">
      <c r="A796" s="10" t="s">
        <v>1872</v>
      </c>
      <c r="B796" s="10" t="s">
        <v>1873</v>
      </c>
      <c r="C796" s="10" t="s">
        <v>566</v>
      </c>
      <c r="D796" s="10" t="s">
        <v>658</v>
      </c>
      <c r="E796" s="10" t="s">
        <v>658</v>
      </c>
      <c r="F796" s="10" t="s">
        <v>117</v>
      </c>
      <c r="G796" s="10">
        <v>5.0</v>
      </c>
      <c r="H796" s="10">
        <v>7.0</v>
      </c>
      <c r="I796" s="10" t="s">
        <v>2140</v>
      </c>
      <c r="J796" s="10" t="s">
        <v>2136</v>
      </c>
      <c r="K796" s="10"/>
      <c r="L796" s="10">
        <v>0.0</v>
      </c>
      <c r="M796" s="10">
        <v>0.0</v>
      </c>
      <c r="N796" s="10"/>
      <c r="O796" s="10"/>
      <c r="P796" s="12">
        <f>IF($A796="","",IFERROR((IF($O796="",0,$O796)*Settings!$J$4+IF($L796="",0,$L796)*Settings!$J$5+IF($N796="",0,$N796)*Settings!$J$6)/(IF($O796="",0,Settings!$J$4)+IF($L796="",0,Settings!$J$5)+IF($N796="",0,Settings!$J$6)),0))</f>
        <v>0</v>
      </c>
      <c r="Q796" s="12">
        <f t="array" ref="Q796">IF($A796="","",XLOOKUP($E796,Settings!$A$19:$A$22,Settings!$G$19:$G$22,0))</f>
        <v>0</v>
      </c>
      <c r="R796" s="12">
        <f t="shared" si="1"/>
        <v>0</v>
      </c>
      <c r="S796" s="12">
        <f>IF($A796="","",IF($R796&lt;=0,1,1+$R796/SUMIF($R$4:$R$923,"&gt;0",$R$4:$R$923)*(Settings!$B$5*(Settings!$B$6-Settings!$B$7))))</f>
        <v>1</v>
      </c>
      <c r="T796" s="12">
        <f t="array" ref="T796">IF($A796="","",XLOOKUP($F796,Settings!$I$15:$I$20,Settings!$J$15:$J$20,1))</f>
        <v>0.75</v>
      </c>
      <c r="U796" s="12">
        <f>IF($A796="","",1+(($G796-5)/5)*Settings!$J$8)</f>
        <v>1</v>
      </c>
      <c r="V796" s="12">
        <f>IF($A796="","",1+(($H796-5)/5)*Settings!$J$9)</f>
        <v>1.06</v>
      </c>
      <c r="W796" s="12">
        <f t="array" ref="W796">IF($A796="","",XLOOKUP($J796,Lists!$C$3:$C$7,Lists!$D$3:$D$7,1))</f>
        <v>1</v>
      </c>
      <c r="X796" s="12">
        <f>IF($A796="","",IF($I796="Yes",Settings!$J$10,1))</f>
        <v>1</v>
      </c>
      <c r="Y796" s="12">
        <f t="shared" si="2"/>
        <v>1</v>
      </c>
      <c r="Z796" s="12">
        <f>IF($A796="","",IFERROR(ROUND(AVERAGEIFS('Historical Drafts'!$G$4:$G$300,'Historical Drafts'!$D$4:$D$300,$E796,'Historical Drafts'!$J$4:$J$300,"&gt;="&amp;$L796*0.85,'Historical Drafts'!$J$4:$J$300,"&lt;="&amp;$L796*1.15),0),$Y796))</f>
        <v>1</v>
      </c>
      <c r="AA796" s="12" t="str">
        <f>IF($A796="","",IF(COUNTIF('Auction Log'!$B$3:$B$300,$A796)&gt;0,"Sold","Available"))</f>
        <v>Available</v>
      </c>
      <c r="AB796" s="12" t="str">
        <f t="array" ref="AB796">IF($A796="","",IFERROR(XLOOKUP($A796,'Auction Log'!$B$3:$B$300,'Auction Log'!$G$3:$G$300,""),""))</f>
        <v/>
      </c>
      <c r="AC796" s="12" t="str">
        <f t="array" ref="AC796">IF($A796="","",IFERROR(XLOOKUP($A796,'Auction Log'!$B$3:$B$300,'Auction Log'!$F$3:$F$300,""),""))</f>
        <v/>
      </c>
      <c r="AD796" s="12">
        <f t="array" ref="AD796">IF($A796="","",ROUND($Y796*XLOOKUP($F796,Settings!$I$15:$I$20,Settings!$K$15:$K$20,0.4),0))</f>
        <v>0</v>
      </c>
      <c r="AE796" s="12">
        <f t="array" ref="AE796">IF($A796="","",ROUND($Y796*XLOOKUP($F796,Settings!$I$15:$I$20,Settings!$L$15:$L$20,0.8),0))</f>
        <v>1</v>
      </c>
      <c r="AF796" s="12">
        <f t="array" ref="AF796">IF($A796="","",ROUND($Y796*XLOOKUP($F796,Settings!$I$15:$I$20,Settings!$M$15:$M$20,1),0))</f>
        <v>1</v>
      </c>
      <c r="AG796" s="12">
        <f t="array" ref="AG796">IF($A796="","",ROUND($Y796*XLOOKUP($F796,Settings!$I$15:$I$20,Settings!$N$15:$N$20,1.1),0))</f>
        <v>1</v>
      </c>
      <c r="AH796" s="12">
        <f t="array" ref="AH796">IF($A796="","",ROUND($Y796*XLOOKUP($F796,Settings!$I$15:$I$20,Settings!$O$15:$O$20,1.1)*Settings!$J$7,0))</f>
        <v>1</v>
      </c>
      <c r="AI796" s="12">
        <f t="array" ref="AI796">IF($A796="","",IF($AA796="Sold","",MIN($AH796,IFERROR(XLOOKUP(Settings!$B$12,Managers!$B$4:$B$15,Managers!$H$4:$H$15),$AH796))))</f>
        <v>1</v>
      </c>
      <c r="AJ796" s="12" t="str">
        <f t="shared" si="3"/>
        <v>Recommended</v>
      </c>
      <c r="AK796" s="12">
        <f t="shared" si="4"/>
        <v>26</v>
      </c>
      <c r="AL796" s="12" t="str">
        <f t="shared" si="5"/>
        <v/>
      </c>
    </row>
    <row r="797" ht="15.75" customHeight="1">
      <c r="A797" s="10" t="s">
        <v>1874</v>
      </c>
      <c r="B797" s="10" t="s">
        <v>1875</v>
      </c>
      <c r="C797" s="10" t="s">
        <v>177</v>
      </c>
      <c r="D797" s="10" t="s">
        <v>118</v>
      </c>
      <c r="E797" s="10" t="s">
        <v>118</v>
      </c>
      <c r="F797" s="10" t="s">
        <v>117</v>
      </c>
      <c r="G797" s="10">
        <v>5.0</v>
      </c>
      <c r="H797" s="10">
        <v>7.0</v>
      </c>
      <c r="I797" s="10" t="s">
        <v>2140</v>
      </c>
      <c r="J797" s="10" t="s">
        <v>2136</v>
      </c>
      <c r="K797" s="10"/>
      <c r="L797" s="10">
        <v>0.0</v>
      </c>
      <c r="M797" s="10">
        <v>0.0</v>
      </c>
      <c r="N797" s="10"/>
      <c r="O797" s="10"/>
      <c r="P797" s="12">
        <f>IF($A797="","",IFERROR((IF($O797="",0,$O797)*Settings!$J$4+IF($L797="",0,$L797)*Settings!$J$5+IF($N797="",0,$N797)*Settings!$J$6)/(IF($O797="",0,Settings!$J$4)+IF($L797="",0,Settings!$J$5)+IF($N797="",0,Settings!$J$6)),0))</f>
        <v>0</v>
      </c>
      <c r="Q797" s="12">
        <f t="array" ref="Q797">IF($A797="","",XLOOKUP($E797,Settings!$A$19:$A$22,Settings!$G$19:$G$22,0))</f>
        <v>196.25</v>
      </c>
      <c r="R797" s="12">
        <f t="shared" si="1"/>
        <v>0</v>
      </c>
      <c r="S797" s="12">
        <f>IF($A797="","",IF($R797&lt;=0,1,1+$R797/SUMIF($R$4:$R$923,"&gt;0",$R$4:$R$923)*(Settings!$B$5*(Settings!$B$6-Settings!$B$7))))</f>
        <v>1</v>
      </c>
      <c r="T797" s="12">
        <f t="array" ref="T797">IF($A797="","",XLOOKUP($F797,Settings!$I$15:$I$20,Settings!$J$15:$J$20,1))</f>
        <v>0.75</v>
      </c>
      <c r="U797" s="12">
        <f>IF($A797="","",1+(($G797-5)/5)*Settings!$J$8)</f>
        <v>1</v>
      </c>
      <c r="V797" s="12">
        <f>IF($A797="","",1+(($H797-5)/5)*Settings!$J$9)</f>
        <v>1.06</v>
      </c>
      <c r="W797" s="12">
        <f t="array" ref="W797">IF($A797="","",XLOOKUP($J797,Lists!$C$3:$C$7,Lists!$D$3:$D$7,1))</f>
        <v>1</v>
      </c>
      <c r="X797" s="12">
        <f>IF($A797="","",IF($I797="Yes",Settings!$J$10,1))</f>
        <v>1</v>
      </c>
      <c r="Y797" s="12">
        <f t="shared" si="2"/>
        <v>1</v>
      </c>
      <c r="Z797" s="12">
        <f>IF($A797="","",IFERROR(ROUND(AVERAGEIFS('Historical Drafts'!$G$4:$G$300,'Historical Drafts'!$D$4:$D$300,$E797,'Historical Drafts'!$J$4:$J$300,"&gt;="&amp;$L797*0.85,'Historical Drafts'!$J$4:$J$300,"&lt;="&amp;$L797*1.15),0),$Y797))</f>
        <v>1</v>
      </c>
      <c r="AA797" s="12" t="str">
        <f>IF($A797="","",IF(COUNTIF('Auction Log'!$B$3:$B$300,$A797)&gt;0,"Sold","Available"))</f>
        <v>Available</v>
      </c>
      <c r="AB797" s="12" t="str">
        <f t="array" ref="AB797">IF($A797="","",IFERROR(XLOOKUP($A797,'Auction Log'!$B$3:$B$300,'Auction Log'!$G$3:$G$300,""),""))</f>
        <v/>
      </c>
      <c r="AC797" s="12" t="str">
        <f t="array" ref="AC797">IF($A797="","",IFERROR(XLOOKUP($A797,'Auction Log'!$B$3:$B$300,'Auction Log'!$F$3:$F$300,""),""))</f>
        <v/>
      </c>
      <c r="AD797" s="12">
        <f t="array" ref="AD797">IF($A797="","",ROUND($Y797*XLOOKUP($F797,Settings!$I$15:$I$20,Settings!$K$15:$K$20,0.4),0))</f>
        <v>0</v>
      </c>
      <c r="AE797" s="12">
        <f t="array" ref="AE797">IF($A797="","",ROUND($Y797*XLOOKUP($F797,Settings!$I$15:$I$20,Settings!$L$15:$L$20,0.8),0))</f>
        <v>1</v>
      </c>
      <c r="AF797" s="12">
        <f t="array" ref="AF797">IF($A797="","",ROUND($Y797*XLOOKUP($F797,Settings!$I$15:$I$20,Settings!$M$15:$M$20,1),0))</f>
        <v>1</v>
      </c>
      <c r="AG797" s="12">
        <f t="array" ref="AG797">IF($A797="","",ROUND($Y797*XLOOKUP($F797,Settings!$I$15:$I$20,Settings!$N$15:$N$20,1.1),0))</f>
        <v>1</v>
      </c>
      <c r="AH797" s="12">
        <f t="array" ref="AH797">IF($A797="","",ROUND($Y797*XLOOKUP($F797,Settings!$I$15:$I$20,Settings!$O$15:$O$20,1.1)*Settings!$J$7,0))</f>
        <v>1</v>
      </c>
      <c r="AI797" s="12">
        <f t="array" ref="AI797">IF($A797="","",IF($AA797="Sold","",MIN($AH797,IFERROR(XLOOKUP(Settings!$B$12,Managers!$B$4:$B$15,Managers!$H$4:$H$15),$AH797))))</f>
        <v>1</v>
      </c>
      <c r="AJ797" s="12" t="str">
        <f t="shared" si="3"/>
        <v>Recommended</v>
      </c>
      <c r="AK797" s="12">
        <f t="shared" si="4"/>
        <v>26</v>
      </c>
      <c r="AL797" s="12" t="str">
        <f t="shared" si="5"/>
        <v/>
      </c>
    </row>
    <row r="798" ht="15.75" customHeight="1">
      <c r="A798" s="10" t="s">
        <v>1876</v>
      </c>
      <c r="B798" s="10" t="s">
        <v>1877</v>
      </c>
      <c r="C798" s="10" t="s">
        <v>387</v>
      </c>
      <c r="D798" s="10" t="s">
        <v>118</v>
      </c>
      <c r="E798" s="10" t="s">
        <v>118</v>
      </c>
      <c r="F798" s="10" t="s">
        <v>117</v>
      </c>
      <c r="G798" s="10">
        <v>5.0</v>
      </c>
      <c r="H798" s="10">
        <v>7.0</v>
      </c>
      <c r="I798" s="10" t="s">
        <v>2140</v>
      </c>
      <c r="J798" s="10" t="s">
        <v>2136</v>
      </c>
      <c r="K798" s="10"/>
      <c r="L798" s="10">
        <v>0.0</v>
      </c>
      <c r="M798" s="10">
        <v>0.0</v>
      </c>
      <c r="N798" s="10"/>
      <c r="O798" s="10"/>
      <c r="P798" s="12">
        <f>IF($A798="","",IFERROR((IF($O798="",0,$O798)*Settings!$J$4+IF($L798="",0,$L798)*Settings!$J$5+IF($N798="",0,$N798)*Settings!$J$6)/(IF($O798="",0,Settings!$J$4)+IF($L798="",0,Settings!$J$5)+IF($N798="",0,Settings!$J$6)),0))</f>
        <v>0</v>
      </c>
      <c r="Q798" s="12">
        <f t="array" ref="Q798">IF($A798="","",XLOOKUP($E798,Settings!$A$19:$A$22,Settings!$G$19:$G$22,0))</f>
        <v>196.25</v>
      </c>
      <c r="R798" s="12">
        <f t="shared" si="1"/>
        <v>0</v>
      </c>
      <c r="S798" s="12">
        <f>IF($A798="","",IF($R798&lt;=0,1,1+$R798/SUMIF($R$4:$R$923,"&gt;0",$R$4:$R$923)*(Settings!$B$5*(Settings!$B$6-Settings!$B$7))))</f>
        <v>1</v>
      </c>
      <c r="T798" s="12">
        <f t="array" ref="T798">IF($A798="","",XLOOKUP($F798,Settings!$I$15:$I$20,Settings!$J$15:$J$20,1))</f>
        <v>0.75</v>
      </c>
      <c r="U798" s="12">
        <f>IF($A798="","",1+(($G798-5)/5)*Settings!$J$8)</f>
        <v>1</v>
      </c>
      <c r="V798" s="12">
        <f>IF($A798="","",1+(($H798-5)/5)*Settings!$J$9)</f>
        <v>1.06</v>
      </c>
      <c r="W798" s="12">
        <f t="array" ref="W798">IF($A798="","",XLOOKUP($J798,Lists!$C$3:$C$7,Lists!$D$3:$D$7,1))</f>
        <v>1</v>
      </c>
      <c r="X798" s="12">
        <f>IF($A798="","",IF($I798="Yes",Settings!$J$10,1))</f>
        <v>1</v>
      </c>
      <c r="Y798" s="12">
        <f t="shared" si="2"/>
        <v>1</v>
      </c>
      <c r="Z798" s="12">
        <f>IF($A798="","",IFERROR(ROUND(AVERAGEIFS('Historical Drafts'!$G$4:$G$300,'Historical Drafts'!$D$4:$D$300,$E798,'Historical Drafts'!$J$4:$J$300,"&gt;="&amp;$L798*0.85,'Historical Drafts'!$J$4:$J$300,"&lt;="&amp;$L798*1.15),0),$Y798))</f>
        <v>1</v>
      </c>
      <c r="AA798" s="12" t="str">
        <f>IF($A798="","",IF(COUNTIF('Auction Log'!$B$3:$B$300,$A798)&gt;0,"Sold","Available"))</f>
        <v>Available</v>
      </c>
      <c r="AB798" s="12" t="str">
        <f t="array" ref="AB798">IF($A798="","",IFERROR(XLOOKUP($A798,'Auction Log'!$B$3:$B$300,'Auction Log'!$G$3:$G$300,""),""))</f>
        <v/>
      </c>
      <c r="AC798" s="12" t="str">
        <f t="array" ref="AC798">IF($A798="","",IFERROR(XLOOKUP($A798,'Auction Log'!$B$3:$B$300,'Auction Log'!$F$3:$F$300,""),""))</f>
        <v/>
      </c>
      <c r="AD798" s="12">
        <f t="array" ref="AD798">IF($A798="","",ROUND($Y798*XLOOKUP($F798,Settings!$I$15:$I$20,Settings!$K$15:$K$20,0.4),0))</f>
        <v>0</v>
      </c>
      <c r="AE798" s="12">
        <f t="array" ref="AE798">IF($A798="","",ROUND($Y798*XLOOKUP($F798,Settings!$I$15:$I$20,Settings!$L$15:$L$20,0.8),0))</f>
        <v>1</v>
      </c>
      <c r="AF798" s="12">
        <f t="array" ref="AF798">IF($A798="","",ROUND($Y798*XLOOKUP($F798,Settings!$I$15:$I$20,Settings!$M$15:$M$20,1),0))</f>
        <v>1</v>
      </c>
      <c r="AG798" s="12">
        <f t="array" ref="AG798">IF($A798="","",ROUND($Y798*XLOOKUP($F798,Settings!$I$15:$I$20,Settings!$N$15:$N$20,1.1),0))</f>
        <v>1</v>
      </c>
      <c r="AH798" s="12">
        <f t="array" ref="AH798">IF($A798="","",ROUND($Y798*XLOOKUP($F798,Settings!$I$15:$I$20,Settings!$O$15:$O$20,1.1)*Settings!$J$7,0))</f>
        <v>1</v>
      </c>
      <c r="AI798" s="12">
        <f t="array" ref="AI798">IF($A798="","",IF($AA798="Sold","",MIN($AH798,IFERROR(XLOOKUP(Settings!$B$12,Managers!$B$4:$B$15,Managers!$H$4:$H$15),$AH798))))</f>
        <v>1</v>
      </c>
      <c r="AJ798" s="12" t="str">
        <f t="shared" si="3"/>
        <v>Recommended</v>
      </c>
      <c r="AK798" s="12">
        <f t="shared" si="4"/>
        <v>26</v>
      </c>
      <c r="AL798" s="12" t="str">
        <f t="shared" si="5"/>
        <v/>
      </c>
    </row>
    <row r="799" ht="15.75" customHeight="1">
      <c r="A799" s="10" t="s">
        <v>1878</v>
      </c>
      <c r="B799" s="10" t="s">
        <v>1879</v>
      </c>
      <c r="C799" s="10" t="s">
        <v>191</v>
      </c>
      <c r="D799" s="10" t="s">
        <v>115</v>
      </c>
      <c r="E799" s="10" t="s">
        <v>115</v>
      </c>
      <c r="F799" s="10" t="s">
        <v>117</v>
      </c>
      <c r="G799" s="10">
        <v>5.0</v>
      </c>
      <c r="H799" s="10">
        <v>7.0</v>
      </c>
      <c r="I799" s="10" t="s">
        <v>2140</v>
      </c>
      <c r="J799" s="10" t="s">
        <v>2136</v>
      </c>
      <c r="K799" s="10"/>
      <c r="L799" s="10">
        <v>0.0</v>
      </c>
      <c r="M799" s="10">
        <v>0.0</v>
      </c>
      <c r="N799" s="10"/>
      <c r="O799" s="10"/>
      <c r="P799" s="12">
        <f>IF($A799="","",IFERROR((IF($O799="",0,$O799)*Settings!$J$4+IF($L799="",0,$L799)*Settings!$J$5+IF($N799="",0,$N799)*Settings!$J$6)/(IF($O799="",0,Settings!$J$4)+IF($L799="",0,Settings!$J$5)+IF($N799="",0,Settings!$J$6)),0))</f>
        <v>0</v>
      </c>
      <c r="Q799" s="12">
        <f t="array" ref="Q799">IF($A799="","",XLOOKUP($E799,Settings!$A$19:$A$22,Settings!$G$19:$G$22,0))</f>
        <v>249.25</v>
      </c>
      <c r="R799" s="12">
        <f t="shared" si="1"/>
        <v>0</v>
      </c>
      <c r="S799" s="12">
        <f>IF($A799="","",IF($R799&lt;=0,1,1+$R799/SUMIF($R$4:$R$923,"&gt;0",$R$4:$R$923)*(Settings!$B$5*(Settings!$B$6-Settings!$B$7))))</f>
        <v>1</v>
      </c>
      <c r="T799" s="12">
        <f t="array" ref="T799">IF($A799="","",XLOOKUP($F799,Settings!$I$15:$I$20,Settings!$J$15:$J$20,1))</f>
        <v>0.75</v>
      </c>
      <c r="U799" s="12">
        <f>IF($A799="","",1+(($G799-5)/5)*Settings!$J$8)</f>
        <v>1</v>
      </c>
      <c r="V799" s="12">
        <f>IF($A799="","",1+(($H799-5)/5)*Settings!$J$9)</f>
        <v>1.06</v>
      </c>
      <c r="W799" s="12">
        <f t="array" ref="W799">IF($A799="","",XLOOKUP($J799,Lists!$C$3:$C$7,Lists!$D$3:$D$7,1))</f>
        <v>1</v>
      </c>
      <c r="X799" s="12">
        <f>IF($A799="","",IF($I799="Yes",Settings!$J$10,1))</f>
        <v>1</v>
      </c>
      <c r="Y799" s="12">
        <f t="shared" si="2"/>
        <v>1</v>
      </c>
      <c r="Z799" s="12">
        <f>IF($A799="","",IFERROR(ROUND(AVERAGEIFS('Historical Drafts'!$G$4:$G$300,'Historical Drafts'!$D$4:$D$300,$E799,'Historical Drafts'!$J$4:$J$300,"&gt;="&amp;$L799*0.85,'Historical Drafts'!$J$4:$J$300,"&lt;="&amp;$L799*1.15),0),$Y799))</f>
        <v>1</v>
      </c>
      <c r="AA799" s="12" t="str">
        <f>IF($A799="","",IF(COUNTIF('Auction Log'!$B$3:$B$300,$A799)&gt;0,"Sold","Available"))</f>
        <v>Available</v>
      </c>
      <c r="AB799" s="12" t="str">
        <f t="array" ref="AB799">IF($A799="","",IFERROR(XLOOKUP($A799,'Auction Log'!$B$3:$B$300,'Auction Log'!$G$3:$G$300,""),""))</f>
        <v/>
      </c>
      <c r="AC799" s="12" t="str">
        <f t="array" ref="AC799">IF($A799="","",IFERROR(XLOOKUP($A799,'Auction Log'!$B$3:$B$300,'Auction Log'!$F$3:$F$300,""),""))</f>
        <v/>
      </c>
      <c r="AD799" s="12">
        <f t="array" ref="AD799">IF($A799="","",ROUND($Y799*XLOOKUP($F799,Settings!$I$15:$I$20,Settings!$K$15:$K$20,0.4),0))</f>
        <v>0</v>
      </c>
      <c r="AE799" s="12">
        <f t="array" ref="AE799">IF($A799="","",ROUND($Y799*XLOOKUP($F799,Settings!$I$15:$I$20,Settings!$L$15:$L$20,0.8),0))</f>
        <v>1</v>
      </c>
      <c r="AF799" s="12">
        <f t="array" ref="AF799">IF($A799="","",ROUND($Y799*XLOOKUP($F799,Settings!$I$15:$I$20,Settings!$M$15:$M$20,1),0))</f>
        <v>1</v>
      </c>
      <c r="AG799" s="12">
        <f t="array" ref="AG799">IF($A799="","",ROUND($Y799*XLOOKUP($F799,Settings!$I$15:$I$20,Settings!$N$15:$N$20,1.1),0))</f>
        <v>1</v>
      </c>
      <c r="AH799" s="12">
        <f t="array" ref="AH799">IF($A799="","",ROUND($Y799*XLOOKUP($F799,Settings!$I$15:$I$20,Settings!$O$15:$O$20,1.1)*Settings!$J$7,0))</f>
        <v>1</v>
      </c>
      <c r="AI799" s="12">
        <f t="array" ref="AI799">IF($A799="","",IF($AA799="Sold","",MIN($AH799,IFERROR(XLOOKUP(Settings!$B$12,Managers!$B$4:$B$15,Managers!$H$4:$H$15),$AH799))))</f>
        <v>1</v>
      </c>
      <c r="AJ799" s="12" t="str">
        <f t="shared" si="3"/>
        <v>Recommended</v>
      </c>
      <c r="AK799" s="12">
        <f t="shared" si="4"/>
        <v>26</v>
      </c>
      <c r="AL799" s="12" t="str">
        <f t="shared" si="5"/>
        <v/>
      </c>
    </row>
    <row r="800" ht="15.75" customHeight="1">
      <c r="A800" s="10" t="s">
        <v>1880</v>
      </c>
      <c r="B800" s="10" t="s">
        <v>1881</v>
      </c>
      <c r="C800" s="10" t="s">
        <v>566</v>
      </c>
      <c r="D800" s="10" t="s">
        <v>123</v>
      </c>
      <c r="E800" s="10" t="s">
        <v>123</v>
      </c>
      <c r="F800" s="10" t="s">
        <v>117</v>
      </c>
      <c r="G800" s="10">
        <v>5.0</v>
      </c>
      <c r="H800" s="10">
        <v>7.0</v>
      </c>
      <c r="I800" s="10" t="s">
        <v>2140</v>
      </c>
      <c r="J800" s="10" t="s">
        <v>2136</v>
      </c>
      <c r="K800" s="10"/>
      <c r="L800" s="10">
        <v>0.0</v>
      </c>
      <c r="M800" s="10">
        <v>0.0</v>
      </c>
      <c r="N800" s="10"/>
      <c r="O800" s="10"/>
      <c r="P800" s="12">
        <f>IF($A800="","",IFERROR((IF($O800="",0,$O800)*Settings!$J$4+IF($L800="",0,$L800)*Settings!$J$5+IF($N800="",0,$N800)*Settings!$J$6)/(IF($O800="",0,Settings!$J$4)+IF($L800="",0,Settings!$J$5)+IF($N800="",0,Settings!$J$6)),0))</f>
        <v>0</v>
      </c>
      <c r="Q800" s="12">
        <f t="array" ref="Q800">IF($A800="","",XLOOKUP($E800,Settings!$A$19:$A$22,Settings!$G$19:$G$22,0))</f>
        <v>203</v>
      </c>
      <c r="R800" s="12">
        <f t="shared" si="1"/>
        <v>0</v>
      </c>
      <c r="S800" s="12">
        <f>IF($A800="","",IF($R800&lt;=0,1,1+$R800/SUMIF($R$4:$R$923,"&gt;0",$R$4:$R$923)*(Settings!$B$5*(Settings!$B$6-Settings!$B$7))))</f>
        <v>1</v>
      </c>
      <c r="T800" s="12">
        <f t="array" ref="T800">IF($A800="","",XLOOKUP($F800,Settings!$I$15:$I$20,Settings!$J$15:$J$20,1))</f>
        <v>0.75</v>
      </c>
      <c r="U800" s="12">
        <f>IF($A800="","",1+(($G800-5)/5)*Settings!$J$8)</f>
        <v>1</v>
      </c>
      <c r="V800" s="12">
        <f>IF($A800="","",1+(($H800-5)/5)*Settings!$J$9)</f>
        <v>1.06</v>
      </c>
      <c r="W800" s="12">
        <f t="array" ref="W800">IF($A800="","",XLOOKUP($J800,Lists!$C$3:$C$7,Lists!$D$3:$D$7,1))</f>
        <v>1</v>
      </c>
      <c r="X800" s="12">
        <f>IF($A800="","",IF($I800="Yes",Settings!$J$10,1))</f>
        <v>1</v>
      </c>
      <c r="Y800" s="12">
        <f t="shared" si="2"/>
        <v>1</v>
      </c>
      <c r="Z800" s="12">
        <f>IF($A800="","",IFERROR(ROUND(AVERAGEIFS('Historical Drafts'!$G$4:$G$300,'Historical Drafts'!$D$4:$D$300,$E800,'Historical Drafts'!$J$4:$J$300,"&gt;="&amp;$L800*0.85,'Historical Drafts'!$J$4:$J$300,"&lt;="&amp;$L800*1.15),0),$Y800))</f>
        <v>3</v>
      </c>
      <c r="AA800" s="12" t="str">
        <f>IF($A800="","",IF(COUNTIF('Auction Log'!$B$3:$B$300,$A800)&gt;0,"Sold","Available"))</f>
        <v>Available</v>
      </c>
      <c r="AB800" s="12" t="str">
        <f t="array" ref="AB800">IF($A800="","",IFERROR(XLOOKUP($A800,'Auction Log'!$B$3:$B$300,'Auction Log'!$G$3:$G$300,""),""))</f>
        <v/>
      </c>
      <c r="AC800" s="12" t="str">
        <f t="array" ref="AC800">IF($A800="","",IFERROR(XLOOKUP($A800,'Auction Log'!$B$3:$B$300,'Auction Log'!$F$3:$F$300,""),""))</f>
        <v/>
      </c>
      <c r="AD800" s="12">
        <f t="array" ref="AD800">IF($A800="","",ROUND($Y800*XLOOKUP($F800,Settings!$I$15:$I$20,Settings!$K$15:$K$20,0.4),0))</f>
        <v>0</v>
      </c>
      <c r="AE800" s="12">
        <f t="array" ref="AE800">IF($A800="","",ROUND($Y800*XLOOKUP($F800,Settings!$I$15:$I$20,Settings!$L$15:$L$20,0.8),0))</f>
        <v>1</v>
      </c>
      <c r="AF800" s="12">
        <f t="array" ref="AF800">IF($A800="","",ROUND($Y800*XLOOKUP($F800,Settings!$I$15:$I$20,Settings!$M$15:$M$20,1),0))</f>
        <v>1</v>
      </c>
      <c r="AG800" s="12">
        <f t="array" ref="AG800">IF($A800="","",ROUND($Y800*XLOOKUP($F800,Settings!$I$15:$I$20,Settings!$N$15:$N$20,1.1),0))</f>
        <v>1</v>
      </c>
      <c r="AH800" s="12">
        <f t="array" ref="AH800">IF($A800="","",ROUND($Y800*XLOOKUP($F800,Settings!$I$15:$I$20,Settings!$O$15:$O$20,1.1)*Settings!$J$7,0))</f>
        <v>1</v>
      </c>
      <c r="AI800" s="12">
        <f t="array" ref="AI800">IF($A800="","",IF($AA800="Sold","",MIN($AH800,IFERROR(XLOOKUP(Settings!$B$12,Managers!$B$4:$B$15,Managers!$H$4:$H$15),$AH800))))</f>
        <v>1</v>
      </c>
      <c r="AJ800" s="12" t="str">
        <f t="shared" si="3"/>
        <v>Budget Drainer</v>
      </c>
      <c r="AK800" s="12">
        <f t="shared" si="4"/>
        <v>28</v>
      </c>
      <c r="AL800" s="12" t="str">
        <f t="shared" si="5"/>
        <v/>
      </c>
    </row>
    <row r="801" ht="15.75" customHeight="1">
      <c r="A801" s="10" t="s">
        <v>1882</v>
      </c>
      <c r="B801" s="10" t="s">
        <v>1883</v>
      </c>
      <c r="C801" s="10" t="s">
        <v>314</v>
      </c>
      <c r="D801" s="10" t="s">
        <v>123</v>
      </c>
      <c r="E801" s="10" t="s">
        <v>123</v>
      </c>
      <c r="F801" s="10" t="s">
        <v>117</v>
      </c>
      <c r="G801" s="10">
        <v>5.0</v>
      </c>
      <c r="H801" s="10">
        <v>7.0</v>
      </c>
      <c r="I801" s="10" t="s">
        <v>2140</v>
      </c>
      <c r="J801" s="10" t="s">
        <v>2136</v>
      </c>
      <c r="K801" s="10"/>
      <c r="L801" s="10">
        <v>0.0</v>
      </c>
      <c r="M801" s="10">
        <v>0.0</v>
      </c>
      <c r="N801" s="10"/>
      <c r="O801" s="10"/>
      <c r="P801" s="12">
        <f>IF($A801="","",IFERROR((IF($O801="",0,$O801)*Settings!$J$4+IF($L801="",0,$L801)*Settings!$J$5+IF($N801="",0,$N801)*Settings!$J$6)/(IF($O801="",0,Settings!$J$4)+IF($L801="",0,Settings!$J$5)+IF($N801="",0,Settings!$J$6)),0))</f>
        <v>0</v>
      </c>
      <c r="Q801" s="12">
        <f t="array" ref="Q801">IF($A801="","",XLOOKUP($E801,Settings!$A$19:$A$22,Settings!$G$19:$G$22,0))</f>
        <v>203</v>
      </c>
      <c r="R801" s="12">
        <f t="shared" si="1"/>
        <v>0</v>
      </c>
      <c r="S801" s="12">
        <f>IF($A801="","",IF($R801&lt;=0,1,1+$R801/SUMIF($R$4:$R$923,"&gt;0",$R$4:$R$923)*(Settings!$B$5*(Settings!$B$6-Settings!$B$7))))</f>
        <v>1</v>
      </c>
      <c r="T801" s="12">
        <f t="array" ref="T801">IF($A801="","",XLOOKUP($F801,Settings!$I$15:$I$20,Settings!$J$15:$J$20,1))</f>
        <v>0.75</v>
      </c>
      <c r="U801" s="12">
        <f>IF($A801="","",1+(($G801-5)/5)*Settings!$J$8)</f>
        <v>1</v>
      </c>
      <c r="V801" s="12">
        <f>IF($A801="","",1+(($H801-5)/5)*Settings!$J$9)</f>
        <v>1.06</v>
      </c>
      <c r="W801" s="12">
        <f t="array" ref="W801">IF($A801="","",XLOOKUP($J801,Lists!$C$3:$C$7,Lists!$D$3:$D$7,1))</f>
        <v>1</v>
      </c>
      <c r="X801" s="12">
        <f>IF($A801="","",IF($I801="Yes",Settings!$J$10,1))</f>
        <v>1</v>
      </c>
      <c r="Y801" s="12">
        <f t="shared" si="2"/>
        <v>1</v>
      </c>
      <c r="Z801" s="12">
        <f>IF($A801="","",IFERROR(ROUND(AVERAGEIFS('Historical Drafts'!$G$4:$G$300,'Historical Drafts'!$D$4:$D$300,$E801,'Historical Drafts'!$J$4:$J$300,"&gt;="&amp;$L801*0.85,'Historical Drafts'!$J$4:$J$300,"&lt;="&amp;$L801*1.15),0),$Y801))</f>
        <v>3</v>
      </c>
      <c r="AA801" s="12" t="str">
        <f>IF($A801="","",IF(COUNTIF('Auction Log'!$B$3:$B$300,$A801)&gt;0,"Sold","Available"))</f>
        <v>Available</v>
      </c>
      <c r="AB801" s="12" t="str">
        <f t="array" ref="AB801">IF($A801="","",IFERROR(XLOOKUP($A801,'Auction Log'!$B$3:$B$300,'Auction Log'!$G$3:$G$300,""),""))</f>
        <v/>
      </c>
      <c r="AC801" s="12" t="str">
        <f t="array" ref="AC801">IF($A801="","",IFERROR(XLOOKUP($A801,'Auction Log'!$B$3:$B$300,'Auction Log'!$F$3:$F$300,""),""))</f>
        <v/>
      </c>
      <c r="AD801" s="12">
        <f t="array" ref="AD801">IF($A801="","",ROUND($Y801*XLOOKUP($F801,Settings!$I$15:$I$20,Settings!$K$15:$K$20,0.4),0))</f>
        <v>0</v>
      </c>
      <c r="AE801" s="12">
        <f t="array" ref="AE801">IF($A801="","",ROUND($Y801*XLOOKUP($F801,Settings!$I$15:$I$20,Settings!$L$15:$L$20,0.8),0))</f>
        <v>1</v>
      </c>
      <c r="AF801" s="12">
        <f t="array" ref="AF801">IF($A801="","",ROUND($Y801*XLOOKUP($F801,Settings!$I$15:$I$20,Settings!$M$15:$M$20,1),0))</f>
        <v>1</v>
      </c>
      <c r="AG801" s="12">
        <f t="array" ref="AG801">IF($A801="","",ROUND($Y801*XLOOKUP($F801,Settings!$I$15:$I$20,Settings!$N$15:$N$20,1.1),0))</f>
        <v>1</v>
      </c>
      <c r="AH801" s="12">
        <f t="array" ref="AH801">IF($A801="","",ROUND($Y801*XLOOKUP($F801,Settings!$I$15:$I$20,Settings!$O$15:$O$20,1.1)*Settings!$J$7,0))</f>
        <v>1</v>
      </c>
      <c r="AI801" s="12">
        <f t="array" ref="AI801">IF($A801="","",IF($AA801="Sold","",MIN($AH801,IFERROR(XLOOKUP(Settings!$B$12,Managers!$B$4:$B$15,Managers!$H$4:$H$15),$AH801))))</f>
        <v>1</v>
      </c>
      <c r="AJ801" s="12" t="str">
        <f t="shared" si="3"/>
        <v>Budget Drainer</v>
      </c>
      <c r="AK801" s="12">
        <f t="shared" si="4"/>
        <v>28</v>
      </c>
      <c r="AL801" s="12" t="str">
        <f t="shared" si="5"/>
        <v/>
      </c>
    </row>
    <row r="802" ht="15.75" customHeight="1">
      <c r="A802" s="10" t="s">
        <v>1884</v>
      </c>
      <c r="B802" s="10" t="s">
        <v>1885</v>
      </c>
      <c r="C802" s="10" t="s">
        <v>199</v>
      </c>
      <c r="D802" s="10" t="s">
        <v>115</v>
      </c>
      <c r="E802" s="10" t="s">
        <v>115</v>
      </c>
      <c r="F802" s="10" t="s">
        <v>117</v>
      </c>
      <c r="G802" s="10">
        <v>5.0</v>
      </c>
      <c r="H802" s="10">
        <v>7.0</v>
      </c>
      <c r="I802" s="10" t="s">
        <v>2140</v>
      </c>
      <c r="J802" s="10" t="s">
        <v>2136</v>
      </c>
      <c r="K802" s="10"/>
      <c r="L802" s="10">
        <v>0.0</v>
      </c>
      <c r="M802" s="10">
        <v>0.0</v>
      </c>
      <c r="N802" s="10"/>
      <c r="O802" s="10"/>
      <c r="P802" s="12">
        <f>IF($A802="","",IFERROR((IF($O802="",0,$O802)*Settings!$J$4+IF($L802="",0,$L802)*Settings!$J$5+IF($N802="",0,$N802)*Settings!$J$6)/(IF($O802="",0,Settings!$J$4)+IF($L802="",0,Settings!$J$5)+IF($N802="",0,Settings!$J$6)),0))</f>
        <v>0</v>
      </c>
      <c r="Q802" s="12">
        <f t="array" ref="Q802">IF($A802="","",XLOOKUP($E802,Settings!$A$19:$A$22,Settings!$G$19:$G$22,0))</f>
        <v>249.25</v>
      </c>
      <c r="R802" s="12">
        <f t="shared" si="1"/>
        <v>0</v>
      </c>
      <c r="S802" s="12">
        <f>IF($A802="","",IF($R802&lt;=0,1,1+$R802/SUMIF($R$4:$R$923,"&gt;0",$R$4:$R$923)*(Settings!$B$5*(Settings!$B$6-Settings!$B$7))))</f>
        <v>1</v>
      </c>
      <c r="T802" s="12">
        <f t="array" ref="T802">IF($A802="","",XLOOKUP($F802,Settings!$I$15:$I$20,Settings!$J$15:$J$20,1))</f>
        <v>0.75</v>
      </c>
      <c r="U802" s="12">
        <f>IF($A802="","",1+(($G802-5)/5)*Settings!$J$8)</f>
        <v>1</v>
      </c>
      <c r="V802" s="12">
        <f>IF($A802="","",1+(($H802-5)/5)*Settings!$J$9)</f>
        <v>1.06</v>
      </c>
      <c r="W802" s="12">
        <f t="array" ref="W802">IF($A802="","",XLOOKUP($J802,Lists!$C$3:$C$7,Lists!$D$3:$D$7,1))</f>
        <v>1</v>
      </c>
      <c r="X802" s="12">
        <f>IF($A802="","",IF($I802="Yes",Settings!$J$10,1))</f>
        <v>1</v>
      </c>
      <c r="Y802" s="12">
        <f t="shared" si="2"/>
        <v>1</v>
      </c>
      <c r="Z802" s="12">
        <f>IF($A802="","",IFERROR(ROUND(AVERAGEIFS('Historical Drafts'!$G$4:$G$300,'Historical Drafts'!$D$4:$D$300,$E802,'Historical Drafts'!$J$4:$J$300,"&gt;="&amp;$L802*0.85,'Historical Drafts'!$J$4:$J$300,"&lt;="&amp;$L802*1.15),0),$Y802))</f>
        <v>1</v>
      </c>
      <c r="AA802" s="12" t="str">
        <f>IF($A802="","",IF(COUNTIF('Auction Log'!$B$3:$B$300,$A802)&gt;0,"Sold","Available"))</f>
        <v>Available</v>
      </c>
      <c r="AB802" s="12" t="str">
        <f t="array" ref="AB802">IF($A802="","",IFERROR(XLOOKUP($A802,'Auction Log'!$B$3:$B$300,'Auction Log'!$G$3:$G$300,""),""))</f>
        <v/>
      </c>
      <c r="AC802" s="12" t="str">
        <f t="array" ref="AC802">IF($A802="","",IFERROR(XLOOKUP($A802,'Auction Log'!$B$3:$B$300,'Auction Log'!$F$3:$F$300,""),""))</f>
        <v/>
      </c>
      <c r="AD802" s="12">
        <f t="array" ref="AD802">IF($A802="","",ROUND($Y802*XLOOKUP($F802,Settings!$I$15:$I$20,Settings!$K$15:$K$20,0.4),0))</f>
        <v>0</v>
      </c>
      <c r="AE802" s="12">
        <f t="array" ref="AE802">IF($A802="","",ROUND($Y802*XLOOKUP($F802,Settings!$I$15:$I$20,Settings!$L$15:$L$20,0.8),0))</f>
        <v>1</v>
      </c>
      <c r="AF802" s="12">
        <f t="array" ref="AF802">IF($A802="","",ROUND($Y802*XLOOKUP($F802,Settings!$I$15:$I$20,Settings!$M$15:$M$20,1),0))</f>
        <v>1</v>
      </c>
      <c r="AG802" s="12">
        <f t="array" ref="AG802">IF($A802="","",ROUND($Y802*XLOOKUP($F802,Settings!$I$15:$I$20,Settings!$N$15:$N$20,1.1),0))</f>
        <v>1</v>
      </c>
      <c r="AH802" s="12">
        <f t="array" ref="AH802">IF($A802="","",ROUND($Y802*XLOOKUP($F802,Settings!$I$15:$I$20,Settings!$O$15:$O$20,1.1)*Settings!$J$7,0))</f>
        <v>1</v>
      </c>
      <c r="AI802" s="12">
        <f t="array" ref="AI802">IF($A802="","",IF($AA802="Sold","",MIN($AH802,IFERROR(XLOOKUP(Settings!$B$12,Managers!$B$4:$B$15,Managers!$H$4:$H$15),$AH802))))</f>
        <v>1</v>
      </c>
      <c r="AJ802" s="12" t="str">
        <f t="shared" si="3"/>
        <v>Recommended</v>
      </c>
      <c r="AK802" s="12">
        <f t="shared" si="4"/>
        <v>26</v>
      </c>
      <c r="AL802" s="12" t="str">
        <f t="shared" si="5"/>
        <v/>
      </c>
    </row>
    <row r="803" ht="15.75" customHeight="1">
      <c r="A803" s="10" t="s">
        <v>1886</v>
      </c>
      <c r="B803" s="10" t="s">
        <v>1887</v>
      </c>
      <c r="C803" s="10" t="s">
        <v>177</v>
      </c>
      <c r="D803" s="10" t="s">
        <v>115</v>
      </c>
      <c r="E803" s="10" t="s">
        <v>115</v>
      </c>
      <c r="F803" s="10" t="s">
        <v>117</v>
      </c>
      <c r="G803" s="10">
        <v>5.0</v>
      </c>
      <c r="H803" s="10">
        <v>7.0</v>
      </c>
      <c r="I803" s="10" t="s">
        <v>2140</v>
      </c>
      <c r="J803" s="10" t="s">
        <v>2136</v>
      </c>
      <c r="K803" s="10"/>
      <c r="L803" s="10">
        <v>0.0</v>
      </c>
      <c r="M803" s="10">
        <v>0.0</v>
      </c>
      <c r="N803" s="10"/>
      <c r="O803" s="10"/>
      <c r="P803" s="12">
        <f>IF($A803="","",IFERROR((IF($O803="",0,$O803)*Settings!$J$4+IF($L803="",0,$L803)*Settings!$J$5+IF($N803="",0,$N803)*Settings!$J$6)/(IF($O803="",0,Settings!$J$4)+IF($L803="",0,Settings!$J$5)+IF($N803="",0,Settings!$J$6)),0))</f>
        <v>0</v>
      </c>
      <c r="Q803" s="12">
        <f t="array" ref="Q803">IF($A803="","",XLOOKUP($E803,Settings!$A$19:$A$22,Settings!$G$19:$G$22,0))</f>
        <v>249.25</v>
      </c>
      <c r="R803" s="12">
        <f t="shared" si="1"/>
        <v>0</v>
      </c>
      <c r="S803" s="12">
        <f>IF($A803="","",IF($R803&lt;=0,1,1+$R803/SUMIF($R$4:$R$923,"&gt;0",$R$4:$R$923)*(Settings!$B$5*(Settings!$B$6-Settings!$B$7))))</f>
        <v>1</v>
      </c>
      <c r="T803" s="12">
        <f t="array" ref="T803">IF($A803="","",XLOOKUP($F803,Settings!$I$15:$I$20,Settings!$J$15:$J$20,1))</f>
        <v>0.75</v>
      </c>
      <c r="U803" s="12">
        <f>IF($A803="","",1+(($G803-5)/5)*Settings!$J$8)</f>
        <v>1</v>
      </c>
      <c r="V803" s="12">
        <f>IF($A803="","",1+(($H803-5)/5)*Settings!$J$9)</f>
        <v>1.06</v>
      </c>
      <c r="W803" s="12">
        <f t="array" ref="W803">IF($A803="","",XLOOKUP($J803,Lists!$C$3:$C$7,Lists!$D$3:$D$7,1))</f>
        <v>1</v>
      </c>
      <c r="X803" s="12">
        <f>IF($A803="","",IF($I803="Yes",Settings!$J$10,1))</f>
        <v>1</v>
      </c>
      <c r="Y803" s="12">
        <f t="shared" si="2"/>
        <v>1</v>
      </c>
      <c r="Z803" s="12">
        <f>IF($A803="","",IFERROR(ROUND(AVERAGEIFS('Historical Drafts'!$G$4:$G$300,'Historical Drafts'!$D$4:$D$300,$E803,'Historical Drafts'!$J$4:$J$300,"&gt;="&amp;$L803*0.85,'Historical Drafts'!$J$4:$J$300,"&lt;="&amp;$L803*1.15),0),$Y803))</f>
        <v>1</v>
      </c>
      <c r="AA803" s="12" t="str">
        <f>IF($A803="","",IF(COUNTIF('Auction Log'!$B$3:$B$300,$A803)&gt;0,"Sold","Available"))</f>
        <v>Available</v>
      </c>
      <c r="AB803" s="12" t="str">
        <f t="array" ref="AB803">IF($A803="","",IFERROR(XLOOKUP($A803,'Auction Log'!$B$3:$B$300,'Auction Log'!$G$3:$G$300,""),""))</f>
        <v/>
      </c>
      <c r="AC803" s="12" t="str">
        <f t="array" ref="AC803">IF($A803="","",IFERROR(XLOOKUP($A803,'Auction Log'!$B$3:$B$300,'Auction Log'!$F$3:$F$300,""),""))</f>
        <v/>
      </c>
      <c r="AD803" s="12">
        <f t="array" ref="AD803">IF($A803="","",ROUND($Y803*XLOOKUP($F803,Settings!$I$15:$I$20,Settings!$K$15:$K$20,0.4),0))</f>
        <v>0</v>
      </c>
      <c r="AE803" s="12">
        <f t="array" ref="AE803">IF($A803="","",ROUND($Y803*XLOOKUP($F803,Settings!$I$15:$I$20,Settings!$L$15:$L$20,0.8),0))</f>
        <v>1</v>
      </c>
      <c r="AF803" s="12">
        <f t="array" ref="AF803">IF($A803="","",ROUND($Y803*XLOOKUP($F803,Settings!$I$15:$I$20,Settings!$M$15:$M$20,1),0))</f>
        <v>1</v>
      </c>
      <c r="AG803" s="12">
        <f t="array" ref="AG803">IF($A803="","",ROUND($Y803*XLOOKUP($F803,Settings!$I$15:$I$20,Settings!$N$15:$N$20,1.1),0))</f>
        <v>1</v>
      </c>
      <c r="AH803" s="12">
        <f t="array" ref="AH803">IF($A803="","",ROUND($Y803*XLOOKUP($F803,Settings!$I$15:$I$20,Settings!$O$15:$O$20,1.1)*Settings!$J$7,0))</f>
        <v>1</v>
      </c>
      <c r="AI803" s="12">
        <f t="array" ref="AI803">IF($A803="","",IF($AA803="Sold","",MIN($AH803,IFERROR(XLOOKUP(Settings!$B$12,Managers!$B$4:$B$15,Managers!$H$4:$H$15),$AH803))))</f>
        <v>1</v>
      </c>
      <c r="AJ803" s="12" t="str">
        <f t="shared" si="3"/>
        <v>Recommended</v>
      </c>
      <c r="AK803" s="12">
        <f t="shared" si="4"/>
        <v>26</v>
      </c>
      <c r="AL803" s="12" t="str">
        <f t="shared" si="5"/>
        <v/>
      </c>
    </row>
    <row r="804" ht="15.75" customHeight="1">
      <c r="A804" s="10" t="s">
        <v>1888</v>
      </c>
      <c r="B804" s="10" t="s">
        <v>1889</v>
      </c>
      <c r="C804" s="10" t="s">
        <v>221</v>
      </c>
      <c r="D804" s="10" t="s">
        <v>658</v>
      </c>
      <c r="E804" s="10" t="s">
        <v>658</v>
      </c>
      <c r="F804" s="10" t="s">
        <v>117</v>
      </c>
      <c r="G804" s="10">
        <v>5.0</v>
      </c>
      <c r="H804" s="10">
        <v>7.0</v>
      </c>
      <c r="I804" s="10" t="s">
        <v>2140</v>
      </c>
      <c r="J804" s="10" t="s">
        <v>2136</v>
      </c>
      <c r="K804" s="10"/>
      <c r="L804" s="10">
        <v>0.0</v>
      </c>
      <c r="M804" s="10">
        <v>0.0</v>
      </c>
      <c r="N804" s="10"/>
      <c r="O804" s="10"/>
      <c r="P804" s="12">
        <f>IF($A804="","",IFERROR((IF($O804="",0,$O804)*Settings!$J$4+IF($L804="",0,$L804)*Settings!$J$5+IF($N804="",0,$N804)*Settings!$J$6)/(IF($O804="",0,Settings!$J$4)+IF($L804="",0,Settings!$J$5)+IF($N804="",0,Settings!$J$6)),0))</f>
        <v>0</v>
      </c>
      <c r="Q804" s="12">
        <f t="array" ref="Q804">IF($A804="","",XLOOKUP($E804,Settings!$A$19:$A$22,Settings!$G$19:$G$22,0))</f>
        <v>0</v>
      </c>
      <c r="R804" s="12">
        <f t="shared" si="1"/>
        <v>0</v>
      </c>
      <c r="S804" s="12">
        <f>IF($A804="","",IF($R804&lt;=0,1,1+$R804/SUMIF($R$4:$R$923,"&gt;0",$R$4:$R$923)*(Settings!$B$5*(Settings!$B$6-Settings!$B$7))))</f>
        <v>1</v>
      </c>
      <c r="T804" s="12">
        <f t="array" ref="T804">IF($A804="","",XLOOKUP($F804,Settings!$I$15:$I$20,Settings!$J$15:$J$20,1))</f>
        <v>0.75</v>
      </c>
      <c r="U804" s="12">
        <f>IF($A804="","",1+(($G804-5)/5)*Settings!$J$8)</f>
        <v>1</v>
      </c>
      <c r="V804" s="12">
        <f>IF($A804="","",1+(($H804-5)/5)*Settings!$J$9)</f>
        <v>1.06</v>
      </c>
      <c r="W804" s="12">
        <f t="array" ref="W804">IF($A804="","",XLOOKUP($J804,Lists!$C$3:$C$7,Lists!$D$3:$D$7,1))</f>
        <v>1</v>
      </c>
      <c r="X804" s="12">
        <f>IF($A804="","",IF($I804="Yes",Settings!$J$10,1))</f>
        <v>1</v>
      </c>
      <c r="Y804" s="12">
        <f t="shared" si="2"/>
        <v>1</v>
      </c>
      <c r="Z804" s="12">
        <f>IF($A804="","",IFERROR(ROUND(AVERAGEIFS('Historical Drafts'!$G$4:$G$300,'Historical Drafts'!$D$4:$D$300,$E804,'Historical Drafts'!$J$4:$J$300,"&gt;="&amp;$L804*0.85,'Historical Drafts'!$J$4:$J$300,"&lt;="&amp;$L804*1.15),0),$Y804))</f>
        <v>1</v>
      </c>
      <c r="AA804" s="12" t="str">
        <f>IF($A804="","",IF(COUNTIF('Auction Log'!$B$3:$B$300,$A804)&gt;0,"Sold","Available"))</f>
        <v>Available</v>
      </c>
      <c r="AB804" s="12" t="str">
        <f t="array" ref="AB804">IF($A804="","",IFERROR(XLOOKUP($A804,'Auction Log'!$B$3:$B$300,'Auction Log'!$G$3:$G$300,""),""))</f>
        <v/>
      </c>
      <c r="AC804" s="12" t="str">
        <f t="array" ref="AC804">IF($A804="","",IFERROR(XLOOKUP($A804,'Auction Log'!$B$3:$B$300,'Auction Log'!$F$3:$F$300,""),""))</f>
        <v/>
      </c>
      <c r="AD804" s="12">
        <f t="array" ref="AD804">IF($A804="","",ROUND($Y804*XLOOKUP($F804,Settings!$I$15:$I$20,Settings!$K$15:$K$20,0.4),0))</f>
        <v>0</v>
      </c>
      <c r="AE804" s="12">
        <f t="array" ref="AE804">IF($A804="","",ROUND($Y804*XLOOKUP($F804,Settings!$I$15:$I$20,Settings!$L$15:$L$20,0.8),0))</f>
        <v>1</v>
      </c>
      <c r="AF804" s="12">
        <f t="array" ref="AF804">IF($A804="","",ROUND($Y804*XLOOKUP($F804,Settings!$I$15:$I$20,Settings!$M$15:$M$20,1),0))</f>
        <v>1</v>
      </c>
      <c r="AG804" s="12">
        <f t="array" ref="AG804">IF($A804="","",ROUND($Y804*XLOOKUP($F804,Settings!$I$15:$I$20,Settings!$N$15:$N$20,1.1),0))</f>
        <v>1</v>
      </c>
      <c r="AH804" s="12">
        <f t="array" ref="AH804">IF($A804="","",ROUND($Y804*XLOOKUP($F804,Settings!$I$15:$I$20,Settings!$O$15:$O$20,1.1)*Settings!$J$7,0))</f>
        <v>1</v>
      </c>
      <c r="AI804" s="12">
        <f t="array" ref="AI804">IF($A804="","",IF($AA804="Sold","",MIN($AH804,IFERROR(XLOOKUP(Settings!$B$12,Managers!$B$4:$B$15,Managers!$H$4:$H$15),$AH804))))</f>
        <v>1</v>
      </c>
      <c r="AJ804" s="12" t="str">
        <f t="shared" si="3"/>
        <v>Recommended</v>
      </c>
      <c r="AK804" s="12">
        <f t="shared" si="4"/>
        <v>26</v>
      </c>
      <c r="AL804" s="12" t="str">
        <f t="shared" si="5"/>
        <v/>
      </c>
    </row>
    <row r="805" ht="15.75" customHeight="1">
      <c r="A805" s="10" t="s">
        <v>1890</v>
      </c>
      <c r="B805" s="10" t="s">
        <v>1891</v>
      </c>
      <c r="C805" s="10" t="s">
        <v>257</v>
      </c>
      <c r="D805" s="10" t="s">
        <v>123</v>
      </c>
      <c r="E805" s="10" t="s">
        <v>123</v>
      </c>
      <c r="F805" s="10" t="s">
        <v>117</v>
      </c>
      <c r="G805" s="10">
        <v>5.0</v>
      </c>
      <c r="H805" s="10">
        <v>7.0</v>
      </c>
      <c r="I805" s="10" t="s">
        <v>2140</v>
      </c>
      <c r="J805" s="10" t="s">
        <v>2136</v>
      </c>
      <c r="K805" s="10"/>
      <c r="L805" s="10">
        <v>0.0</v>
      </c>
      <c r="M805" s="10">
        <v>0.0</v>
      </c>
      <c r="N805" s="10"/>
      <c r="O805" s="10"/>
      <c r="P805" s="12">
        <f>IF($A805="","",IFERROR((IF($O805="",0,$O805)*Settings!$J$4+IF($L805="",0,$L805)*Settings!$J$5+IF($N805="",0,$N805)*Settings!$J$6)/(IF($O805="",0,Settings!$J$4)+IF($L805="",0,Settings!$J$5)+IF($N805="",0,Settings!$J$6)),0))</f>
        <v>0</v>
      </c>
      <c r="Q805" s="12">
        <f t="array" ref="Q805">IF($A805="","",XLOOKUP($E805,Settings!$A$19:$A$22,Settings!$G$19:$G$22,0))</f>
        <v>203</v>
      </c>
      <c r="R805" s="12">
        <f t="shared" si="1"/>
        <v>0</v>
      </c>
      <c r="S805" s="12">
        <f>IF($A805="","",IF($R805&lt;=0,1,1+$R805/SUMIF($R$4:$R$923,"&gt;0",$R$4:$R$923)*(Settings!$B$5*(Settings!$B$6-Settings!$B$7))))</f>
        <v>1</v>
      </c>
      <c r="T805" s="12">
        <f t="array" ref="T805">IF($A805="","",XLOOKUP($F805,Settings!$I$15:$I$20,Settings!$J$15:$J$20,1))</f>
        <v>0.75</v>
      </c>
      <c r="U805" s="12">
        <f>IF($A805="","",1+(($G805-5)/5)*Settings!$J$8)</f>
        <v>1</v>
      </c>
      <c r="V805" s="12">
        <f>IF($A805="","",1+(($H805-5)/5)*Settings!$J$9)</f>
        <v>1.06</v>
      </c>
      <c r="W805" s="12">
        <f t="array" ref="W805">IF($A805="","",XLOOKUP($J805,Lists!$C$3:$C$7,Lists!$D$3:$D$7,1))</f>
        <v>1</v>
      </c>
      <c r="X805" s="12">
        <f>IF($A805="","",IF($I805="Yes",Settings!$J$10,1))</f>
        <v>1</v>
      </c>
      <c r="Y805" s="12">
        <f t="shared" si="2"/>
        <v>1</v>
      </c>
      <c r="Z805" s="12">
        <f>IF($A805="","",IFERROR(ROUND(AVERAGEIFS('Historical Drafts'!$G$4:$G$300,'Historical Drafts'!$D$4:$D$300,$E805,'Historical Drafts'!$J$4:$J$300,"&gt;="&amp;$L805*0.85,'Historical Drafts'!$J$4:$J$300,"&lt;="&amp;$L805*1.15),0),$Y805))</f>
        <v>3</v>
      </c>
      <c r="AA805" s="12" t="str">
        <f>IF($A805="","",IF(COUNTIF('Auction Log'!$B$3:$B$300,$A805)&gt;0,"Sold","Available"))</f>
        <v>Available</v>
      </c>
      <c r="AB805" s="12" t="str">
        <f t="array" ref="AB805">IF($A805="","",IFERROR(XLOOKUP($A805,'Auction Log'!$B$3:$B$300,'Auction Log'!$G$3:$G$300,""),""))</f>
        <v/>
      </c>
      <c r="AC805" s="12" t="str">
        <f t="array" ref="AC805">IF($A805="","",IFERROR(XLOOKUP($A805,'Auction Log'!$B$3:$B$300,'Auction Log'!$F$3:$F$300,""),""))</f>
        <v/>
      </c>
      <c r="AD805" s="12">
        <f t="array" ref="AD805">IF($A805="","",ROUND($Y805*XLOOKUP($F805,Settings!$I$15:$I$20,Settings!$K$15:$K$20,0.4),0))</f>
        <v>0</v>
      </c>
      <c r="AE805" s="12">
        <f t="array" ref="AE805">IF($A805="","",ROUND($Y805*XLOOKUP($F805,Settings!$I$15:$I$20,Settings!$L$15:$L$20,0.8),0))</f>
        <v>1</v>
      </c>
      <c r="AF805" s="12">
        <f t="array" ref="AF805">IF($A805="","",ROUND($Y805*XLOOKUP($F805,Settings!$I$15:$I$20,Settings!$M$15:$M$20,1),0))</f>
        <v>1</v>
      </c>
      <c r="AG805" s="12">
        <f t="array" ref="AG805">IF($A805="","",ROUND($Y805*XLOOKUP($F805,Settings!$I$15:$I$20,Settings!$N$15:$N$20,1.1),0))</f>
        <v>1</v>
      </c>
      <c r="AH805" s="12">
        <f t="array" ref="AH805">IF($A805="","",ROUND($Y805*XLOOKUP($F805,Settings!$I$15:$I$20,Settings!$O$15:$O$20,1.1)*Settings!$J$7,0))</f>
        <v>1</v>
      </c>
      <c r="AI805" s="12">
        <f t="array" ref="AI805">IF($A805="","",IF($AA805="Sold","",MIN($AH805,IFERROR(XLOOKUP(Settings!$B$12,Managers!$B$4:$B$15,Managers!$H$4:$H$15),$AH805))))</f>
        <v>1</v>
      </c>
      <c r="AJ805" s="12" t="str">
        <f t="shared" si="3"/>
        <v>Budget Drainer</v>
      </c>
      <c r="AK805" s="12">
        <f t="shared" si="4"/>
        <v>28</v>
      </c>
      <c r="AL805" s="12" t="str">
        <f t="shared" si="5"/>
        <v/>
      </c>
    </row>
    <row r="806" ht="15.75" customHeight="1">
      <c r="A806" s="10" t="s">
        <v>1892</v>
      </c>
      <c r="B806" s="10" t="s">
        <v>1893</v>
      </c>
      <c r="C806" s="10" t="s">
        <v>453</v>
      </c>
      <c r="D806" s="10" t="s">
        <v>123</v>
      </c>
      <c r="E806" s="10" t="s">
        <v>123</v>
      </c>
      <c r="F806" s="10" t="s">
        <v>117</v>
      </c>
      <c r="G806" s="10">
        <v>5.0</v>
      </c>
      <c r="H806" s="10">
        <v>7.0</v>
      </c>
      <c r="I806" s="10" t="s">
        <v>2140</v>
      </c>
      <c r="J806" s="10" t="s">
        <v>2136</v>
      </c>
      <c r="K806" s="10"/>
      <c r="L806" s="10">
        <v>0.0</v>
      </c>
      <c r="M806" s="10">
        <v>0.0</v>
      </c>
      <c r="N806" s="10"/>
      <c r="O806" s="10"/>
      <c r="P806" s="12">
        <f>IF($A806="","",IFERROR((IF($O806="",0,$O806)*Settings!$J$4+IF($L806="",0,$L806)*Settings!$J$5+IF($N806="",0,$N806)*Settings!$J$6)/(IF($O806="",0,Settings!$J$4)+IF($L806="",0,Settings!$J$5)+IF($N806="",0,Settings!$J$6)),0))</f>
        <v>0</v>
      </c>
      <c r="Q806" s="12">
        <f t="array" ref="Q806">IF($A806="","",XLOOKUP($E806,Settings!$A$19:$A$22,Settings!$G$19:$G$22,0))</f>
        <v>203</v>
      </c>
      <c r="R806" s="12">
        <f t="shared" si="1"/>
        <v>0</v>
      </c>
      <c r="S806" s="12">
        <f>IF($A806="","",IF($R806&lt;=0,1,1+$R806/SUMIF($R$4:$R$923,"&gt;0",$R$4:$R$923)*(Settings!$B$5*(Settings!$B$6-Settings!$B$7))))</f>
        <v>1</v>
      </c>
      <c r="T806" s="12">
        <f t="array" ref="T806">IF($A806="","",XLOOKUP($F806,Settings!$I$15:$I$20,Settings!$J$15:$J$20,1))</f>
        <v>0.75</v>
      </c>
      <c r="U806" s="12">
        <f>IF($A806="","",1+(($G806-5)/5)*Settings!$J$8)</f>
        <v>1</v>
      </c>
      <c r="V806" s="12">
        <f>IF($A806="","",1+(($H806-5)/5)*Settings!$J$9)</f>
        <v>1.06</v>
      </c>
      <c r="W806" s="12">
        <f t="array" ref="W806">IF($A806="","",XLOOKUP($J806,Lists!$C$3:$C$7,Lists!$D$3:$D$7,1))</f>
        <v>1</v>
      </c>
      <c r="X806" s="12">
        <f>IF($A806="","",IF($I806="Yes",Settings!$J$10,1))</f>
        <v>1</v>
      </c>
      <c r="Y806" s="12">
        <f t="shared" si="2"/>
        <v>1</v>
      </c>
      <c r="Z806" s="12">
        <f>IF($A806="","",IFERROR(ROUND(AVERAGEIFS('Historical Drafts'!$G$4:$G$300,'Historical Drafts'!$D$4:$D$300,$E806,'Historical Drafts'!$J$4:$J$300,"&gt;="&amp;$L806*0.85,'Historical Drafts'!$J$4:$J$300,"&lt;="&amp;$L806*1.15),0),$Y806))</f>
        <v>3</v>
      </c>
      <c r="AA806" s="12" t="str">
        <f>IF($A806="","",IF(COUNTIF('Auction Log'!$B$3:$B$300,$A806)&gt;0,"Sold","Available"))</f>
        <v>Available</v>
      </c>
      <c r="AB806" s="12" t="str">
        <f t="array" ref="AB806">IF($A806="","",IFERROR(XLOOKUP($A806,'Auction Log'!$B$3:$B$300,'Auction Log'!$G$3:$G$300,""),""))</f>
        <v/>
      </c>
      <c r="AC806" s="12" t="str">
        <f t="array" ref="AC806">IF($A806="","",IFERROR(XLOOKUP($A806,'Auction Log'!$B$3:$B$300,'Auction Log'!$F$3:$F$300,""),""))</f>
        <v/>
      </c>
      <c r="AD806" s="12">
        <f t="array" ref="AD806">IF($A806="","",ROUND($Y806*XLOOKUP($F806,Settings!$I$15:$I$20,Settings!$K$15:$K$20,0.4),0))</f>
        <v>0</v>
      </c>
      <c r="AE806" s="12">
        <f t="array" ref="AE806">IF($A806="","",ROUND($Y806*XLOOKUP($F806,Settings!$I$15:$I$20,Settings!$L$15:$L$20,0.8),0))</f>
        <v>1</v>
      </c>
      <c r="AF806" s="12">
        <f t="array" ref="AF806">IF($A806="","",ROUND($Y806*XLOOKUP($F806,Settings!$I$15:$I$20,Settings!$M$15:$M$20,1),0))</f>
        <v>1</v>
      </c>
      <c r="AG806" s="12">
        <f t="array" ref="AG806">IF($A806="","",ROUND($Y806*XLOOKUP($F806,Settings!$I$15:$I$20,Settings!$N$15:$N$20,1.1),0))</f>
        <v>1</v>
      </c>
      <c r="AH806" s="12">
        <f t="array" ref="AH806">IF($A806="","",ROUND($Y806*XLOOKUP($F806,Settings!$I$15:$I$20,Settings!$O$15:$O$20,1.1)*Settings!$J$7,0))</f>
        <v>1</v>
      </c>
      <c r="AI806" s="12">
        <f t="array" ref="AI806">IF($A806="","",IF($AA806="Sold","",MIN($AH806,IFERROR(XLOOKUP(Settings!$B$12,Managers!$B$4:$B$15,Managers!$H$4:$H$15),$AH806))))</f>
        <v>1</v>
      </c>
      <c r="AJ806" s="12" t="str">
        <f t="shared" si="3"/>
        <v>Budget Drainer</v>
      </c>
      <c r="AK806" s="12">
        <f t="shared" si="4"/>
        <v>28</v>
      </c>
      <c r="AL806" s="12" t="str">
        <f t="shared" si="5"/>
        <v/>
      </c>
    </row>
    <row r="807" ht="15.75" customHeight="1">
      <c r="A807" s="10" t="s">
        <v>1894</v>
      </c>
      <c r="B807" s="10" t="s">
        <v>1895</v>
      </c>
      <c r="C807" s="10" t="s">
        <v>231</v>
      </c>
      <c r="D807" s="10" t="s">
        <v>115</v>
      </c>
      <c r="E807" s="10" t="s">
        <v>115</v>
      </c>
      <c r="F807" s="10" t="s">
        <v>117</v>
      </c>
      <c r="G807" s="10">
        <v>5.0</v>
      </c>
      <c r="H807" s="10">
        <v>7.0</v>
      </c>
      <c r="I807" s="10" t="s">
        <v>2140</v>
      </c>
      <c r="J807" s="10" t="s">
        <v>2136</v>
      </c>
      <c r="K807" s="10"/>
      <c r="L807" s="10">
        <v>0.0</v>
      </c>
      <c r="M807" s="10">
        <v>0.0</v>
      </c>
      <c r="N807" s="10"/>
      <c r="O807" s="10"/>
      <c r="P807" s="12">
        <f>IF($A807="","",IFERROR((IF($O807="",0,$O807)*Settings!$J$4+IF($L807="",0,$L807)*Settings!$J$5+IF($N807="",0,$N807)*Settings!$J$6)/(IF($O807="",0,Settings!$J$4)+IF($L807="",0,Settings!$J$5)+IF($N807="",0,Settings!$J$6)),0))</f>
        <v>0</v>
      </c>
      <c r="Q807" s="12">
        <f t="array" ref="Q807">IF($A807="","",XLOOKUP($E807,Settings!$A$19:$A$22,Settings!$G$19:$G$22,0))</f>
        <v>249.25</v>
      </c>
      <c r="R807" s="12">
        <f t="shared" si="1"/>
        <v>0</v>
      </c>
      <c r="S807" s="12">
        <f>IF($A807="","",IF($R807&lt;=0,1,1+$R807/SUMIF($R$4:$R$923,"&gt;0",$R$4:$R$923)*(Settings!$B$5*(Settings!$B$6-Settings!$B$7))))</f>
        <v>1</v>
      </c>
      <c r="T807" s="12">
        <f t="array" ref="T807">IF($A807="","",XLOOKUP($F807,Settings!$I$15:$I$20,Settings!$J$15:$J$20,1))</f>
        <v>0.75</v>
      </c>
      <c r="U807" s="12">
        <f>IF($A807="","",1+(($G807-5)/5)*Settings!$J$8)</f>
        <v>1</v>
      </c>
      <c r="V807" s="12">
        <f>IF($A807="","",1+(($H807-5)/5)*Settings!$J$9)</f>
        <v>1.06</v>
      </c>
      <c r="W807" s="12">
        <f t="array" ref="W807">IF($A807="","",XLOOKUP($J807,Lists!$C$3:$C$7,Lists!$D$3:$D$7,1))</f>
        <v>1</v>
      </c>
      <c r="X807" s="12">
        <f>IF($A807="","",IF($I807="Yes",Settings!$J$10,1))</f>
        <v>1</v>
      </c>
      <c r="Y807" s="12">
        <f t="shared" si="2"/>
        <v>1</v>
      </c>
      <c r="Z807" s="12">
        <f>IF($A807="","",IFERROR(ROUND(AVERAGEIFS('Historical Drafts'!$G$4:$G$300,'Historical Drafts'!$D$4:$D$300,$E807,'Historical Drafts'!$J$4:$J$300,"&gt;="&amp;$L807*0.85,'Historical Drafts'!$J$4:$J$300,"&lt;="&amp;$L807*1.15),0),$Y807))</f>
        <v>1</v>
      </c>
      <c r="AA807" s="12" t="str">
        <f>IF($A807="","",IF(COUNTIF('Auction Log'!$B$3:$B$300,$A807)&gt;0,"Sold","Available"))</f>
        <v>Available</v>
      </c>
      <c r="AB807" s="12" t="str">
        <f t="array" ref="AB807">IF($A807="","",IFERROR(XLOOKUP($A807,'Auction Log'!$B$3:$B$300,'Auction Log'!$G$3:$G$300,""),""))</f>
        <v/>
      </c>
      <c r="AC807" s="12" t="str">
        <f t="array" ref="AC807">IF($A807="","",IFERROR(XLOOKUP($A807,'Auction Log'!$B$3:$B$300,'Auction Log'!$F$3:$F$300,""),""))</f>
        <v/>
      </c>
      <c r="AD807" s="12">
        <f t="array" ref="AD807">IF($A807="","",ROUND($Y807*XLOOKUP($F807,Settings!$I$15:$I$20,Settings!$K$15:$K$20,0.4),0))</f>
        <v>0</v>
      </c>
      <c r="AE807" s="12">
        <f t="array" ref="AE807">IF($A807="","",ROUND($Y807*XLOOKUP($F807,Settings!$I$15:$I$20,Settings!$L$15:$L$20,0.8),0))</f>
        <v>1</v>
      </c>
      <c r="AF807" s="12">
        <f t="array" ref="AF807">IF($A807="","",ROUND($Y807*XLOOKUP($F807,Settings!$I$15:$I$20,Settings!$M$15:$M$20,1),0))</f>
        <v>1</v>
      </c>
      <c r="AG807" s="12">
        <f t="array" ref="AG807">IF($A807="","",ROUND($Y807*XLOOKUP($F807,Settings!$I$15:$I$20,Settings!$N$15:$N$20,1.1),0))</f>
        <v>1</v>
      </c>
      <c r="AH807" s="12">
        <f t="array" ref="AH807">IF($A807="","",ROUND($Y807*XLOOKUP($F807,Settings!$I$15:$I$20,Settings!$O$15:$O$20,1.1)*Settings!$J$7,0))</f>
        <v>1</v>
      </c>
      <c r="AI807" s="12">
        <f t="array" ref="AI807">IF($A807="","",IF($AA807="Sold","",MIN($AH807,IFERROR(XLOOKUP(Settings!$B$12,Managers!$B$4:$B$15,Managers!$H$4:$H$15),$AH807))))</f>
        <v>1</v>
      </c>
      <c r="AJ807" s="12" t="str">
        <f t="shared" si="3"/>
        <v>Recommended</v>
      </c>
      <c r="AK807" s="12">
        <f t="shared" si="4"/>
        <v>26</v>
      </c>
      <c r="AL807" s="12" t="str">
        <f t="shared" si="5"/>
        <v/>
      </c>
    </row>
    <row r="808" ht="15.75" customHeight="1">
      <c r="A808" s="10" t="s">
        <v>1896</v>
      </c>
      <c r="B808" s="10" t="s">
        <v>1897</v>
      </c>
      <c r="C808" s="10" t="s">
        <v>177</v>
      </c>
      <c r="D808" s="10" t="s">
        <v>118</v>
      </c>
      <c r="E808" s="10" t="s">
        <v>118</v>
      </c>
      <c r="F808" s="10" t="s">
        <v>117</v>
      </c>
      <c r="G808" s="10">
        <v>5.0</v>
      </c>
      <c r="H808" s="10">
        <v>7.0</v>
      </c>
      <c r="I808" s="10" t="s">
        <v>2140</v>
      </c>
      <c r="J808" s="10" t="s">
        <v>2136</v>
      </c>
      <c r="K808" s="10"/>
      <c r="L808" s="10">
        <v>0.0</v>
      </c>
      <c r="M808" s="10">
        <v>0.0</v>
      </c>
      <c r="N808" s="10"/>
      <c r="O808" s="10"/>
      <c r="P808" s="12">
        <f>IF($A808="","",IFERROR((IF($O808="",0,$O808)*Settings!$J$4+IF($L808="",0,$L808)*Settings!$J$5+IF($N808="",0,$N808)*Settings!$J$6)/(IF($O808="",0,Settings!$J$4)+IF($L808="",0,Settings!$J$5)+IF($N808="",0,Settings!$J$6)),0))</f>
        <v>0</v>
      </c>
      <c r="Q808" s="12">
        <f t="array" ref="Q808">IF($A808="","",XLOOKUP($E808,Settings!$A$19:$A$22,Settings!$G$19:$G$22,0))</f>
        <v>196.25</v>
      </c>
      <c r="R808" s="12">
        <f t="shared" si="1"/>
        <v>0</v>
      </c>
      <c r="S808" s="12">
        <f>IF($A808="","",IF($R808&lt;=0,1,1+$R808/SUMIF($R$4:$R$923,"&gt;0",$R$4:$R$923)*(Settings!$B$5*(Settings!$B$6-Settings!$B$7))))</f>
        <v>1</v>
      </c>
      <c r="T808" s="12">
        <f t="array" ref="T808">IF($A808="","",XLOOKUP($F808,Settings!$I$15:$I$20,Settings!$J$15:$J$20,1))</f>
        <v>0.75</v>
      </c>
      <c r="U808" s="12">
        <f>IF($A808="","",1+(($G808-5)/5)*Settings!$J$8)</f>
        <v>1</v>
      </c>
      <c r="V808" s="12">
        <f>IF($A808="","",1+(($H808-5)/5)*Settings!$J$9)</f>
        <v>1.06</v>
      </c>
      <c r="W808" s="12">
        <f t="array" ref="W808">IF($A808="","",XLOOKUP($J808,Lists!$C$3:$C$7,Lists!$D$3:$D$7,1))</f>
        <v>1</v>
      </c>
      <c r="X808" s="12">
        <f>IF($A808="","",IF($I808="Yes",Settings!$J$10,1))</f>
        <v>1</v>
      </c>
      <c r="Y808" s="12">
        <f t="shared" si="2"/>
        <v>1</v>
      </c>
      <c r="Z808" s="12">
        <f>IF($A808="","",IFERROR(ROUND(AVERAGEIFS('Historical Drafts'!$G$4:$G$300,'Historical Drafts'!$D$4:$D$300,$E808,'Historical Drafts'!$J$4:$J$300,"&gt;="&amp;$L808*0.85,'Historical Drafts'!$J$4:$J$300,"&lt;="&amp;$L808*1.15),0),$Y808))</f>
        <v>1</v>
      </c>
      <c r="AA808" s="12" t="str">
        <f>IF($A808="","",IF(COUNTIF('Auction Log'!$B$3:$B$300,$A808)&gt;0,"Sold","Available"))</f>
        <v>Available</v>
      </c>
      <c r="AB808" s="12" t="str">
        <f t="array" ref="AB808">IF($A808="","",IFERROR(XLOOKUP($A808,'Auction Log'!$B$3:$B$300,'Auction Log'!$G$3:$G$300,""),""))</f>
        <v/>
      </c>
      <c r="AC808" s="12" t="str">
        <f t="array" ref="AC808">IF($A808="","",IFERROR(XLOOKUP($A808,'Auction Log'!$B$3:$B$300,'Auction Log'!$F$3:$F$300,""),""))</f>
        <v/>
      </c>
      <c r="AD808" s="12">
        <f t="array" ref="AD808">IF($A808="","",ROUND($Y808*XLOOKUP($F808,Settings!$I$15:$I$20,Settings!$K$15:$K$20,0.4),0))</f>
        <v>0</v>
      </c>
      <c r="AE808" s="12">
        <f t="array" ref="AE808">IF($A808="","",ROUND($Y808*XLOOKUP($F808,Settings!$I$15:$I$20,Settings!$L$15:$L$20,0.8),0))</f>
        <v>1</v>
      </c>
      <c r="AF808" s="12">
        <f t="array" ref="AF808">IF($A808="","",ROUND($Y808*XLOOKUP($F808,Settings!$I$15:$I$20,Settings!$M$15:$M$20,1),0))</f>
        <v>1</v>
      </c>
      <c r="AG808" s="12">
        <f t="array" ref="AG808">IF($A808="","",ROUND($Y808*XLOOKUP($F808,Settings!$I$15:$I$20,Settings!$N$15:$N$20,1.1),0))</f>
        <v>1</v>
      </c>
      <c r="AH808" s="12">
        <f t="array" ref="AH808">IF($A808="","",ROUND($Y808*XLOOKUP($F808,Settings!$I$15:$I$20,Settings!$O$15:$O$20,1.1)*Settings!$J$7,0))</f>
        <v>1</v>
      </c>
      <c r="AI808" s="12">
        <f t="array" ref="AI808">IF($A808="","",IF($AA808="Sold","",MIN($AH808,IFERROR(XLOOKUP(Settings!$B$12,Managers!$B$4:$B$15,Managers!$H$4:$H$15),$AH808))))</f>
        <v>1</v>
      </c>
      <c r="AJ808" s="12" t="str">
        <f t="shared" si="3"/>
        <v>Recommended</v>
      </c>
      <c r="AK808" s="12">
        <f t="shared" si="4"/>
        <v>26</v>
      </c>
      <c r="AL808" s="12" t="str">
        <f t="shared" si="5"/>
        <v/>
      </c>
    </row>
    <row r="809" ht="15.75" customHeight="1">
      <c r="A809" s="10" t="s">
        <v>1898</v>
      </c>
      <c r="B809" s="10" t="s">
        <v>1899</v>
      </c>
      <c r="C809" s="10" t="s">
        <v>566</v>
      </c>
      <c r="D809" s="10" t="s">
        <v>121</v>
      </c>
      <c r="E809" s="10" t="s">
        <v>121</v>
      </c>
      <c r="F809" s="10" t="s">
        <v>117</v>
      </c>
      <c r="G809" s="10">
        <v>5.0</v>
      </c>
      <c r="H809" s="10">
        <v>7.0</v>
      </c>
      <c r="I809" s="10" t="s">
        <v>2140</v>
      </c>
      <c r="J809" s="10" t="s">
        <v>2136</v>
      </c>
      <c r="K809" s="10"/>
      <c r="L809" s="10">
        <v>0.0</v>
      </c>
      <c r="M809" s="10">
        <v>0.0</v>
      </c>
      <c r="N809" s="10"/>
      <c r="O809" s="10"/>
      <c r="P809" s="12">
        <f>IF($A809="","",IFERROR((IF($O809="",0,$O809)*Settings!$J$4+IF($L809="",0,$L809)*Settings!$J$5+IF($N809="",0,$N809)*Settings!$J$6)/(IF($O809="",0,Settings!$J$4)+IF($L809="",0,Settings!$J$5)+IF($N809="",0,Settings!$J$6)),0))</f>
        <v>0</v>
      </c>
      <c r="Q809" s="12">
        <f t="array" ref="Q809">IF($A809="","",XLOOKUP($E809,Settings!$A$19:$A$22,Settings!$G$19:$G$22,0))</f>
        <v>206</v>
      </c>
      <c r="R809" s="12">
        <f t="shared" si="1"/>
        <v>0</v>
      </c>
      <c r="S809" s="12">
        <f>IF($A809="","",IF($R809&lt;=0,1,1+$R809/SUMIF($R$4:$R$923,"&gt;0",$R$4:$R$923)*(Settings!$B$5*(Settings!$B$6-Settings!$B$7))))</f>
        <v>1</v>
      </c>
      <c r="T809" s="12">
        <f t="array" ref="T809">IF($A809="","",XLOOKUP($F809,Settings!$I$15:$I$20,Settings!$J$15:$J$20,1))</f>
        <v>0.75</v>
      </c>
      <c r="U809" s="12">
        <f>IF($A809="","",1+(($G809-5)/5)*Settings!$J$8)</f>
        <v>1</v>
      </c>
      <c r="V809" s="12">
        <f>IF($A809="","",1+(($H809-5)/5)*Settings!$J$9)</f>
        <v>1.06</v>
      </c>
      <c r="W809" s="12">
        <f t="array" ref="W809">IF($A809="","",XLOOKUP($J809,Lists!$C$3:$C$7,Lists!$D$3:$D$7,1))</f>
        <v>1</v>
      </c>
      <c r="X809" s="12">
        <f>IF($A809="","",IF($I809="Yes",Settings!$J$10,1))</f>
        <v>1</v>
      </c>
      <c r="Y809" s="12">
        <f t="shared" si="2"/>
        <v>1</v>
      </c>
      <c r="Z809" s="12">
        <f>IF($A809="","",IFERROR(ROUND(AVERAGEIFS('Historical Drafts'!$G$4:$G$300,'Historical Drafts'!$D$4:$D$300,$E809,'Historical Drafts'!$J$4:$J$300,"&gt;="&amp;$L809*0.85,'Historical Drafts'!$J$4:$J$300,"&lt;="&amp;$L809*1.15),0),$Y809))</f>
        <v>3</v>
      </c>
      <c r="AA809" s="12" t="str">
        <f>IF($A809="","",IF(COUNTIF('Auction Log'!$B$3:$B$300,$A809)&gt;0,"Sold","Available"))</f>
        <v>Available</v>
      </c>
      <c r="AB809" s="12" t="str">
        <f t="array" ref="AB809">IF($A809="","",IFERROR(XLOOKUP($A809,'Auction Log'!$B$3:$B$300,'Auction Log'!$G$3:$G$300,""),""))</f>
        <v/>
      </c>
      <c r="AC809" s="12" t="str">
        <f t="array" ref="AC809">IF($A809="","",IFERROR(XLOOKUP($A809,'Auction Log'!$B$3:$B$300,'Auction Log'!$F$3:$F$300,""),""))</f>
        <v/>
      </c>
      <c r="AD809" s="12">
        <f t="array" ref="AD809">IF($A809="","",ROUND($Y809*XLOOKUP($F809,Settings!$I$15:$I$20,Settings!$K$15:$K$20,0.4),0))</f>
        <v>0</v>
      </c>
      <c r="AE809" s="12">
        <f t="array" ref="AE809">IF($A809="","",ROUND($Y809*XLOOKUP($F809,Settings!$I$15:$I$20,Settings!$L$15:$L$20,0.8),0))</f>
        <v>1</v>
      </c>
      <c r="AF809" s="12">
        <f t="array" ref="AF809">IF($A809="","",ROUND($Y809*XLOOKUP($F809,Settings!$I$15:$I$20,Settings!$M$15:$M$20,1),0))</f>
        <v>1</v>
      </c>
      <c r="AG809" s="12">
        <f t="array" ref="AG809">IF($A809="","",ROUND($Y809*XLOOKUP($F809,Settings!$I$15:$I$20,Settings!$N$15:$N$20,1.1),0))</f>
        <v>1</v>
      </c>
      <c r="AH809" s="12">
        <f t="array" ref="AH809">IF($A809="","",ROUND($Y809*XLOOKUP($F809,Settings!$I$15:$I$20,Settings!$O$15:$O$20,1.1)*Settings!$J$7,0))</f>
        <v>1</v>
      </c>
      <c r="AI809" s="12">
        <f t="array" ref="AI809">IF($A809="","",IF($AA809="Sold","",MIN($AH809,IFERROR(XLOOKUP(Settings!$B$12,Managers!$B$4:$B$15,Managers!$H$4:$H$15),$AH809))))</f>
        <v>1</v>
      </c>
      <c r="AJ809" s="12" t="str">
        <f t="shared" si="3"/>
        <v>Budget Drainer</v>
      </c>
      <c r="AK809" s="12">
        <f t="shared" si="4"/>
        <v>28</v>
      </c>
      <c r="AL809" s="12" t="str">
        <f t="shared" si="5"/>
        <v/>
      </c>
    </row>
    <row r="810" ht="15.75" customHeight="1">
      <c r="A810" s="10" t="s">
        <v>1900</v>
      </c>
      <c r="B810" s="10" t="s">
        <v>1901</v>
      </c>
      <c r="C810" s="10" t="s">
        <v>191</v>
      </c>
      <c r="D810" s="10" t="s">
        <v>115</v>
      </c>
      <c r="E810" s="10" t="s">
        <v>115</v>
      </c>
      <c r="F810" s="10" t="s">
        <v>117</v>
      </c>
      <c r="G810" s="10">
        <v>5.0</v>
      </c>
      <c r="H810" s="10">
        <v>7.0</v>
      </c>
      <c r="I810" s="10" t="s">
        <v>2140</v>
      </c>
      <c r="J810" s="10" t="s">
        <v>2136</v>
      </c>
      <c r="K810" s="10"/>
      <c r="L810" s="10">
        <v>0.0</v>
      </c>
      <c r="M810" s="10">
        <v>0.0</v>
      </c>
      <c r="N810" s="10"/>
      <c r="O810" s="10"/>
      <c r="P810" s="12">
        <f>IF($A810="","",IFERROR((IF($O810="",0,$O810)*Settings!$J$4+IF($L810="",0,$L810)*Settings!$J$5+IF($N810="",0,$N810)*Settings!$J$6)/(IF($O810="",0,Settings!$J$4)+IF($L810="",0,Settings!$J$5)+IF($N810="",0,Settings!$J$6)),0))</f>
        <v>0</v>
      </c>
      <c r="Q810" s="12">
        <f t="array" ref="Q810">IF($A810="","",XLOOKUP($E810,Settings!$A$19:$A$22,Settings!$G$19:$G$22,0))</f>
        <v>249.25</v>
      </c>
      <c r="R810" s="12">
        <f t="shared" si="1"/>
        <v>0</v>
      </c>
      <c r="S810" s="12">
        <f>IF($A810="","",IF($R810&lt;=0,1,1+$R810/SUMIF($R$4:$R$923,"&gt;0",$R$4:$R$923)*(Settings!$B$5*(Settings!$B$6-Settings!$B$7))))</f>
        <v>1</v>
      </c>
      <c r="T810" s="12">
        <f t="array" ref="T810">IF($A810="","",XLOOKUP($F810,Settings!$I$15:$I$20,Settings!$J$15:$J$20,1))</f>
        <v>0.75</v>
      </c>
      <c r="U810" s="12">
        <f>IF($A810="","",1+(($G810-5)/5)*Settings!$J$8)</f>
        <v>1</v>
      </c>
      <c r="V810" s="12">
        <f>IF($A810="","",1+(($H810-5)/5)*Settings!$J$9)</f>
        <v>1.06</v>
      </c>
      <c r="W810" s="12">
        <f t="array" ref="W810">IF($A810="","",XLOOKUP($J810,Lists!$C$3:$C$7,Lists!$D$3:$D$7,1))</f>
        <v>1</v>
      </c>
      <c r="X810" s="12">
        <f>IF($A810="","",IF($I810="Yes",Settings!$J$10,1))</f>
        <v>1</v>
      </c>
      <c r="Y810" s="12">
        <f t="shared" si="2"/>
        <v>1</v>
      </c>
      <c r="Z810" s="12">
        <f>IF($A810="","",IFERROR(ROUND(AVERAGEIFS('Historical Drafts'!$G$4:$G$300,'Historical Drafts'!$D$4:$D$300,$E810,'Historical Drafts'!$J$4:$J$300,"&gt;="&amp;$L810*0.85,'Historical Drafts'!$J$4:$J$300,"&lt;="&amp;$L810*1.15),0),$Y810))</f>
        <v>1</v>
      </c>
      <c r="AA810" s="12" t="str">
        <f>IF($A810="","",IF(COUNTIF('Auction Log'!$B$3:$B$300,$A810)&gt;0,"Sold","Available"))</f>
        <v>Available</v>
      </c>
      <c r="AB810" s="12" t="str">
        <f t="array" ref="AB810">IF($A810="","",IFERROR(XLOOKUP($A810,'Auction Log'!$B$3:$B$300,'Auction Log'!$G$3:$G$300,""),""))</f>
        <v/>
      </c>
      <c r="AC810" s="12" t="str">
        <f t="array" ref="AC810">IF($A810="","",IFERROR(XLOOKUP($A810,'Auction Log'!$B$3:$B$300,'Auction Log'!$F$3:$F$300,""),""))</f>
        <v/>
      </c>
      <c r="AD810" s="12">
        <f t="array" ref="AD810">IF($A810="","",ROUND($Y810*XLOOKUP($F810,Settings!$I$15:$I$20,Settings!$K$15:$K$20,0.4),0))</f>
        <v>0</v>
      </c>
      <c r="AE810" s="12">
        <f t="array" ref="AE810">IF($A810="","",ROUND($Y810*XLOOKUP($F810,Settings!$I$15:$I$20,Settings!$L$15:$L$20,0.8),0))</f>
        <v>1</v>
      </c>
      <c r="AF810" s="12">
        <f t="array" ref="AF810">IF($A810="","",ROUND($Y810*XLOOKUP($F810,Settings!$I$15:$I$20,Settings!$M$15:$M$20,1),0))</f>
        <v>1</v>
      </c>
      <c r="AG810" s="12">
        <f t="array" ref="AG810">IF($A810="","",ROUND($Y810*XLOOKUP($F810,Settings!$I$15:$I$20,Settings!$N$15:$N$20,1.1),0))</f>
        <v>1</v>
      </c>
      <c r="AH810" s="12">
        <f t="array" ref="AH810">IF($A810="","",ROUND($Y810*XLOOKUP($F810,Settings!$I$15:$I$20,Settings!$O$15:$O$20,1.1)*Settings!$J$7,0))</f>
        <v>1</v>
      </c>
      <c r="AI810" s="12">
        <f t="array" ref="AI810">IF($A810="","",IF($AA810="Sold","",MIN($AH810,IFERROR(XLOOKUP(Settings!$B$12,Managers!$B$4:$B$15,Managers!$H$4:$H$15),$AH810))))</f>
        <v>1</v>
      </c>
      <c r="AJ810" s="12" t="str">
        <f t="shared" si="3"/>
        <v>Recommended</v>
      </c>
      <c r="AK810" s="12">
        <f t="shared" si="4"/>
        <v>26</v>
      </c>
      <c r="AL810" s="12" t="str">
        <f t="shared" si="5"/>
        <v/>
      </c>
    </row>
    <row r="811" ht="15.75" customHeight="1">
      <c r="A811" s="10" t="s">
        <v>1902</v>
      </c>
      <c r="B811" s="10" t="s">
        <v>1903</v>
      </c>
      <c r="C811" s="10" t="s">
        <v>387</v>
      </c>
      <c r="D811" s="10" t="s">
        <v>121</v>
      </c>
      <c r="E811" s="10" t="s">
        <v>121</v>
      </c>
      <c r="F811" s="10" t="s">
        <v>117</v>
      </c>
      <c r="G811" s="10">
        <v>5.0</v>
      </c>
      <c r="H811" s="10">
        <v>7.0</v>
      </c>
      <c r="I811" s="10" t="s">
        <v>2140</v>
      </c>
      <c r="J811" s="10" t="s">
        <v>2136</v>
      </c>
      <c r="K811" s="10"/>
      <c r="L811" s="10">
        <v>0.0</v>
      </c>
      <c r="M811" s="10">
        <v>0.0</v>
      </c>
      <c r="N811" s="10"/>
      <c r="O811" s="10"/>
      <c r="P811" s="12">
        <f>IF($A811="","",IFERROR((IF($O811="",0,$O811)*Settings!$J$4+IF($L811="",0,$L811)*Settings!$J$5+IF($N811="",0,$N811)*Settings!$J$6)/(IF($O811="",0,Settings!$J$4)+IF($L811="",0,Settings!$J$5)+IF($N811="",0,Settings!$J$6)),0))</f>
        <v>0</v>
      </c>
      <c r="Q811" s="12">
        <f t="array" ref="Q811">IF($A811="","",XLOOKUP($E811,Settings!$A$19:$A$22,Settings!$G$19:$G$22,0))</f>
        <v>206</v>
      </c>
      <c r="R811" s="12">
        <f t="shared" si="1"/>
        <v>0</v>
      </c>
      <c r="S811" s="12">
        <f>IF($A811="","",IF($R811&lt;=0,1,1+$R811/SUMIF($R$4:$R$923,"&gt;0",$R$4:$R$923)*(Settings!$B$5*(Settings!$B$6-Settings!$B$7))))</f>
        <v>1</v>
      </c>
      <c r="T811" s="12">
        <f t="array" ref="T811">IF($A811="","",XLOOKUP($F811,Settings!$I$15:$I$20,Settings!$J$15:$J$20,1))</f>
        <v>0.75</v>
      </c>
      <c r="U811" s="12">
        <f>IF($A811="","",1+(($G811-5)/5)*Settings!$J$8)</f>
        <v>1</v>
      </c>
      <c r="V811" s="12">
        <f>IF($A811="","",1+(($H811-5)/5)*Settings!$J$9)</f>
        <v>1.06</v>
      </c>
      <c r="W811" s="12">
        <f t="array" ref="W811">IF($A811="","",XLOOKUP($J811,Lists!$C$3:$C$7,Lists!$D$3:$D$7,1))</f>
        <v>1</v>
      </c>
      <c r="X811" s="12">
        <f>IF($A811="","",IF($I811="Yes",Settings!$J$10,1))</f>
        <v>1</v>
      </c>
      <c r="Y811" s="12">
        <f t="shared" si="2"/>
        <v>1</v>
      </c>
      <c r="Z811" s="12">
        <f>IF($A811="","",IFERROR(ROUND(AVERAGEIFS('Historical Drafts'!$G$4:$G$300,'Historical Drafts'!$D$4:$D$300,$E811,'Historical Drafts'!$J$4:$J$300,"&gt;="&amp;$L811*0.85,'Historical Drafts'!$J$4:$J$300,"&lt;="&amp;$L811*1.15),0),$Y811))</f>
        <v>3</v>
      </c>
      <c r="AA811" s="12" t="str">
        <f>IF($A811="","",IF(COUNTIF('Auction Log'!$B$3:$B$300,$A811)&gt;0,"Sold","Available"))</f>
        <v>Available</v>
      </c>
      <c r="AB811" s="12" t="str">
        <f t="array" ref="AB811">IF($A811="","",IFERROR(XLOOKUP($A811,'Auction Log'!$B$3:$B$300,'Auction Log'!$G$3:$G$300,""),""))</f>
        <v/>
      </c>
      <c r="AC811" s="12" t="str">
        <f t="array" ref="AC811">IF($A811="","",IFERROR(XLOOKUP($A811,'Auction Log'!$B$3:$B$300,'Auction Log'!$F$3:$F$300,""),""))</f>
        <v/>
      </c>
      <c r="AD811" s="12">
        <f t="array" ref="AD811">IF($A811="","",ROUND($Y811*XLOOKUP($F811,Settings!$I$15:$I$20,Settings!$K$15:$K$20,0.4),0))</f>
        <v>0</v>
      </c>
      <c r="AE811" s="12">
        <f t="array" ref="AE811">IF($A811="","",ROUND($Y811*XLOOKUP($F811,Settings!$I$15:$I$20,Settings!$L$15:$L$20,0.8),0))</f>
        <v>1</v>
      </c>
      <c r="AF811" s="12">
        <f t="array" ref="AF811">IF($A811="","",ROUND($Y811*XLOOKUP($F811,Settings!$I$15:$I$20,Settings!$M$15:$M$20,1),0))</f>
        <v>1</v>
      </c>
      <c r="AG811" s="12">
        <f t="array" ref="AG811">IF($A811="","",ROUND($Y811*XLOOKUP($F811,Settings!$I$15:$I$20,Settings!$N$15:$N$20,1.1),0))</f>
        <v>1</v>
      </c>
      <c r="AH811" s="12">
        <f t="array" ref="AH811">IF($A811="","",ROUND($Y811*XLOOKUP($F811,Settings!$I$15:$I$20,Settings!$O$15:$O$20,1.1)*Settings!$J$7,0))</f>
        <v>1</v>
      </c>
      <c r="AI811" s="12">
        <f t="array" ref="AI811">IF($A811="","",IF($AA811="Sold","",MIN($AH811,IFERROR(XLOOKUP(Settings!$B$12,Managers!$B$4:$B$15,Managers!$H$4:$H$15),$AH811))))</f>
        <v>1</v>
      </c>
      <c r="AJ811" s="12" t="str">
        <f t="shared" si="3"/>
        <v>Budget Drainer</v>
      </c>
      <c r="AK811" s="12">
        <f t="shared" si="4"/>
        <v>28</v>
      </c>
      <c r="AL811" s="12" t="str">
        <f t="shared" si="5"/>
        <v/>
      </c>
    </row>
    <row r="812" ht="15.75" customHeight="1">
      <c r="A812" s="10" t="s">
        <v>1904</v>
      </c>
      <c r="B812" s="10" t="s">
        <v>1905</v>
      </c>
      <c r="C812" s="10" t="s">
        <v>285</v>
      </c>
      <c r="D812" s="10" t="s">
        <v>123</v>
      </c>
      <c r="E812" s="10" t="s">
        <v>123</v>
      </c>
      <c r="F812" s="10" t="s">
        <v>117</v>
      </c>
      <c r="G812" s="10">
        <v>5.0</v>
      </c>
      <c r="H812" s="10">
        <v>7.0</v>
      </c>
      <c r="I812" s="10" t="s">
        <v>2140</v>
      </c>
      <c r="J812" s="10" t="s">
        <v>2136</v>
      </c>
      <c r="K812" s="10"/>
      <c r="L812" s="10">
        <v>0.0</v>
      </c>
      <c r="M812" s="10">
        <v>0.0</v>
      </c>
      <c r="N812" s="10"/>
      <c r="O812" s="10"/>
      <c r="P812" s="12">
        <f>IF($A812="","",IFERROR((IF($O812="",0,$O812)*Settings!$J$4+IF($L812="",0,$L812)*Settings!$J$5+IF($N812="",0,$N812)*Settings!$J$6)/(IF($O812="",0,Settings!$J$4)+IF($L812="",0,Settings!$J$5)+IF($N812="",0,Settings!$J$6)),0))</f>
        <v>0</v>
      </c>
      <c r="Q812" s="12">
        <f t="array" ref="Q812">IF($A812="","",XLOOKUP($E812,Settings!$A$19:$A$22,Settings!$G$19:$G$22,0))</f>
        <v>203</v>
      </c>
      <c r="R812" s="12">
        <f t="shared" si="1"/>
        <v>0</v>
      </c>
      <c r="S812" s="12">
        <f>IF($A812="","",IF($R812&lt;=0,1,1+$R812/SUMIF($R$4:$R$923,"&gt;0",$R$4:$R$923)*(Settings!$B$5*(Settings!$B$6-Settings!$B$7))))</f>
        <v>1</v>
      </c>
      <c r="T812" s="12">
        <f t="array" ref="T812">IF($A812="","",XLOOKUP($F812,Settings!$I$15:$I$20,Settings!$J$15:$J$20,1))</f>
        <v>0.75</v>
      </c>
      <c r="U812" s="12">
        <f>IF($A812="","",1+(($G812-5)/5)*Settings!$J$8)</f>
        <v>1</v>
      </c>
      <c r="V812" s="12">
        <f>IF($A812="","",1+(($H812-5)/5)*Settings!$J$9)</f>
        <v>1.06</v>
      </c>
      <c r="W812" s="12">
        <f t="array" ref="W812">IF($A812="","",XLOOKUP($J812,Lists!$C$3:$C$7,Lists!$D$3:$D$7,1))</f>
        <v>1</v>
      </c>
      <c r="X812" s="12">
        <f>IF($A812="","",IF($I812="Yes",Settings!$J$10,1))</f>
        <v>1</v>
      </c>
      <c r="Y812" s="12">
        <f t="shared" si="2"/>
        <v>1</v>
      </c>
      <c r="Z812" s="12">
        <f>IF($A812="","",IFERROR(ROUND(AVERAGEIFS('Historical Drafts'!$G$4:$G$300,'Historical Drafts'!$D$4:$D$300,$E812,'Historical Drafts'!$J$4:$J$300,"&gt;="&amp;$L812*0.85,'Historical Drafts'!$J$4:$J$300,"&lt;="&amp;$L812*1.15),0),$Y812))</f>
        <v>3</v>
      </c>
      <c r="AA812" s="12" t="str">
        <f>IF($A812="","",IF(COUNTIF('Auction Log'!$B$3:$B$300,$A812)&gt;0,"Sold","Available"))</f>
        <v>Available</v>
      </c>
      <c r="AB812" s="12" t="str">
        <f t="array" ref="AB812">IF($A812="","",IFERROR(XLOOKUP($A812,'Auction Log'!$B$3:$B$300,'Auction Log'!$G$3:$G$300,""),""))</f>
        <v/>
      </c>
      <c r="AC812" s="12" t="str">
        <f t="array" ref="AC812">IF($A812="","",IFERROR(XLOOKUP($A812,'Auction Log'!$B$3:$B$300,'Auction Log'!$F$3:$F$300,""),""))</f>
        <v/>
      </c>
      <c r="AD812" s="12">
        <f t="array" ref="AD812">IF($A812="","",ROUND($Y812*XLOOKUP($F812,Settings!$I$15:$I$20,Settings!$K$15:$K$20,0.4),0))</f>
        <v>0</v>
      </c>
      <c r="AE812" s="12">
        <f t="array" ref="AE812">IF($A812="","",ROUND($Y812*XLOOKUP($F812,Settings!$I$15:$I$20,Settings!$L$15:$L$20,0.8),0))</f>
        <v>1</v>
      </c>
      <c r="AF812" s="12">
        <f t="array" ref="AF812">IF($A812="","",ROUND($Y812*XLOOKUP($F812,Settings!$I$15:$I$20,Settings!$M$15:$M$20,1),0))</f>
        <v>1</v>
      </c>
      <c r="AG812" s="12">
        <f t="array" ref="AG812">IF($A812="","",ROUND($Y812*XLOOKUP($F812,Settings!$I$15:$I$20,Settings!$N$15:$N$20,1.1),0))</f>
        <v>1</v>
      </c>
      <c r="AH812" s="12">
        <f t="array" ref="AH812">IF($A812="","",ROUND($Y812*XLOOKUP($F812,Settings!$I$15:$I$20,Settings!$O$15:$O$20,1.1)*Settings!$J$7,0))</f>
        <v>1</v>
      </c>
      <c r="AI812" s="12">
        <f t="array" ref="AI812">IF($A812="","",IF($AA812="Sold","",MIN($AH812,IFERROR(XLOOKUP(Settings!$B$12,Managers!$B$4:$B$15,Managers!$H$4:$H$15),$AH812))))</f>
        <v>1</v>
      </c>
      <c r="AJ812" s="12" t="str">
        <f t="shared" si="3"/>
        <v>Budget Drainer</v>
      </c>
      <c r="AK812" s="12">
        <f t="shared" si="4"/>
        <v>28</v>
      </c>
      <c r="AL812" s="12" t="str">
        <f t="shared" si="5"/>
        <v/>
      </c>
    </row>
    <row r="813" ht="15.75" customHeight="1">
      <c r="A813" s="10" t="s">
        <v>1906</v>
      </c>
      <c r="B813" s="10" t="s">
        <v>1907</v>
      </c>
      <c r="C813" s="10" t="s">
        <v>236</v>
      </c>
      <c r="D813" s="10" t="s">
        <v>118</v>
      </c>
      <c r="E813" s="10" t="s">
        <v>118</v>
      </c>
      <c r="F813" s="10" t="s">
        <v>117</v>
      </c>
      <c r="G813" s="10">
        <v>5.0</v>
      </c>
      <c r="H813" s="10">
        <v>7.0</v>
      </c>
      <c r="I813" s="10" t="s">
        <v>2140</v>
      </c>
      <c r="J813" s="10" t="s">
        <v>2136</v>
      </c>
      <c r="K813" s="10"/>
      <c r="L813" s="10">
        <v>0.0</v>
      </c>
      <c r="M813" s="10">
        <v>0.0</v>
      </c>
      <c r="N813" s="10"/>
      <c r="O813" s="10"/>
      <c r="P813" s="12">
        <f>IF($A813="","",IFERROR((IF($O813="",0,$O813)*Settings!$J$4+IF($L813="",0,$L813)*Settings!$J$5+IF($N813="",0,$N813)*Settings!$J$6)/(IF($O813="",0,Settings!$J$4)+IF($L813="",0,Settings!$J$5)+IF($N813="",0,Settings!$J$6)),0))</f>
        <v>0</v>
      </c>
      <c r="Q813" s="12">
        <f t="array" ref="Q813">IF($A813="","",XLOOKUP($E813,Settings!$A$19:$A$22,Settings!$G$19:$G$22,0))</f>
        <v>196.25</v>
      </c>
      <c r="R813" s="12">
        <f t="shared" si="1"/>
        <v>0</v>
      </c>
      <c r="S813" s="12">
        <f>IF($A813="","",IF($R813&lt;=0,1,1+$R813/SUMIF($R$4:$R$923,"&gt;0",$R$4:$R$923)*(Settings!$B$5*(Settings!$B$6-Settings!$B$7))))</f>
        <v>1</v>
      </c>
      <c r="T813" s="12">
        <f t="array" ref="T813">IF($A813="","",XLOOKUP($F813,Settings!$I$15:$I$20,Settings!$J$15:$J$20,1))</f>
        <v>0.75</v>
      </c>
      <c r="U813" s="12">
        <f>IF($A813="","",1+(($G813-5)/5)*Settings!$J$8)</f>
        <v>1</v>
      </c>
      <c r="V813" s="12">
        <f>IF($A813="","",1+(($H813-5)/5)*Settings!$J$9)</f>
        <v>1.06</v>
      </c>
      <c r="W813" s="12">
        <f t="array" ref="W813">IF($A813="","",XLOOKUP($J813,Lists!$C$3:$C$7,Lists!$D$3:$D$7,1))</f>
        <v>1</v>
      </c>
      <c r="X813" s="12">
        <f>IF($A813="","",IF($I813="Yes",Settings!$J$10,1))</f>
        <v>1</v>
      </c>
      <c r="Y813" s="12">
        <f t="shared" si="2"/>
        <v>1</v>
      </c>
      <c r="Z813" s="12">
        <f>IF($A813="","",IFERROR(ROUND(AVERAGEIFS('Historical Drafts'!$G$4:$G$300,'Historical Drafts'!$D$4:$D$300,$E813,'Historical Drafts'!$J$4:$J$300,"&gt;="&amp;$L813*0.85,'Historical Drafts'!$J$4:$J$300,"&lt;="&amp;$L813*1.15),0),$Y813))</f>
        <v>1</v>
      </c>
      <c r="AA813" s="12" t="str">
        <f>IF($A813="","",IF(COUNTIF('Auction Log'!$B$3:$B$300,$A813)&gt;0,"Sold","Available"))</f>
        <v>Available</v>
      </c>
      <c r="AB813" s="12" t="str">
        <f t="array" ref="AB813">IF($A813="","",IFERROR(XLOOKUP($A813,'Auction Log'!$B$3:$B$300,'Auction Log'!$G$3:$G$300,""),""))</f>
        <v/>
      </c>
      <c r="AC813" s="12" t="str">
        <f t="array" ref="AC813">IF($A813="","",IFERROR(XLOOKUP($A813,'Auction Log'!$B$3:$B$300,'Auction Log'!$F$3:$F$300,""),""))</f>
        <v/>
      </c>
      <c r="AD813" s="12">
        <f t="array" ref="AD813">IF($A813="","",ROUND($Y813*XLOOKUP($F813,Settings!$I$15:$I$20,Settings!$K$15:$K$20,0.4),0))</f>
        <v>0</v>
      </c>
      <c r="AE813" s="12">
        <f t="array" ref="AE813">IF($A813="","",ROUND($Y813*XLOOKUP($F813,Settings!$I$15:$I$20,Settings!$L$15:$L$20,0.8),0))</f>
        <v>1</v>
      </c>
      <c r="AF813" s="12">
        <f t="array" ref="AF813">IF($A813="","",ROUND($Y813*XLOOKUP($F813,Settings!$I$15:$I$20,Settings!$M$15:$M$20,1),0))</f>
        <v>1</v>
      </c>
      <c r="AG813" s="12">
        <f t="array" ref="AG813">IF($A813="","",ROUND($Y813*XLOOKUP($F813,Settings!$I$15:$I$20,Settings!$N$15:$N$20,1.1),0))</f>
        <v>1</v>
      </c>
      <c r="AH813" s="12">
        <f t="array" ref="AH813">IF($A813="","",ROUND($Y813*XLOOKUP($F813,Settings!$I$15:$I$20,Settings!$O$15:$O$20,1.1)*Settings!$J$7,0))</f>
        <v>1</v>
      </c>
      <c r="AI813" s="12">
        <f t="array" ref="AI813">IF($A813="","",IF($AA813="Sold","",MIN($AH813,IFERROR(XLOOKUP(Settings!$B$12,Managers!$B$4:$B$15,Managers!$H$4:$H$15),$AH813))))</f>
        <v>1</v>
      </c>
      <c r="AJ813" s="12" t="str">
        <f t="shared" si="3"/>
        <v>Recommended</v>
      </c>
      <c r="AK813" s="12">
        <f t="shared" si="4"/>
        <v>26</v>
      </c>
      <c r="AL813" s="12" t="str">
        <f t="shared" si="5"/>
        <v/>
      </c>
    </row>
    <row r="814" ht="15.75" customHeight="1">
      <c r="A814" s="10" t="s">
        <v>1908</v>
      </c>
      <c r="B814" s="10" t="s">
        <v>1909</v>
      </c>
      <c r="C814" s="10" t="s">
        <v>305</v>
      </c>
      <c r="D814" s="10" t="s">
        <v>121</v>
      </c>
      <c r="E814" s="10" t="s">
        <v>121</v>
      </c>
      <c r="F814" s="10" t="s">
        <v>117</v>
      </c>
      <c r="G814" s="10">
        <v>5.0</v>
      </c>
      <c r="H814" s="10">
        <v>7.0</v>
      </c>
      <c r="I814" s="10" t="s">
        <v>2140</v>
      </c>
      <c r="J814" s="10" t="s">
        <v>2136</v>
      </c>
      <c r="K814" s="10"/>
      <c r="L814" s="10">
        <v>0.0</v>
      </c>
      <c r="M814" s="10">
        <v>0.0</v>
      </c>
      <c r="N814" s="10"/>
      <c r="O814" s="10"/>
      <c r="P814" s="12">
        <f>IF($A814="","",IFERROR((IF($O814="",0,$O814)*Settings!$J$4+IF($L814="",0,$L814)*Settings!$J$5+IF($N814="",0,$N814)*Settings!$J$6)/(IF($O814="",0,Settings!$J$4)+IF($L814="",0,Settings!$J$5)+IF($N814="",0,Settings!$J$6)),0))</f>
        <v>0</v>
      </c>
      <c r="Q814" s="12">
        <f t="array" ref="Q814">IF($A814="","",XLOOKUP($E814,Settings!$A$19:$A$22,Settings!$G$19:$G$22,0))</f>
        <v>206</v>
      </c>
      <c r="R814" s="12">
        <f t="shared" si="1"/>
        <v>0</v>
      </c>
      <c r="S814" s="12">
        <f>IF($A814="","",IF($R814&lt;=0,1,1+$R814/SUMIF($R$4:$R$923,"&gt;0",$R$4:$R$923)*(Settings!$B$5*(Settings!$B$6-Settings!$B$7))))</f>
        <v>1</v>
      </c>
      <c r="T814" s="12">
        <f t="array" ref="T814">IF($A814="","",XLOOKUP($F814,Settings!$I$15:$I$20,Settings!$J$15:$J$20,1))</f>
        <v>0.75</v>
      </c>
      <c r="U814" s="12">
        <f>IF($A814="","",1+(($G814-5)/5)*Settings!$J$8)</f>
        <v>1</v>
      </c>
      <c r="V814" s="12">
        <f>IF($A814="","",1+(($H814-5)/5)*Settings!$J$9)</f>
        <v>1.06</v>
      </c>
      <c r="W814" s="12">
        <f t="array" ref="W814">IF($A814="","",XLOOKUP($J814,Lists!$C$3:$C$7,Lists!$D$3:$D$7,1))</f>
        <v>1</v>
      </c>
      <c r="X814" s="12">
        <f>IF($A814="","",IF($I814="Yes",Settings!$J$10,1))</f>
        <v>1</v>
      </c>
      <c r="Y814" s="12">
        <f t="shared" si="2"/>
        <v>1</v>
      </c>
      <c r="Z814" s="12">
        <f>IF($A814="","",IFERROR(ROUND(AVERAGEIFS('Historical Drafts'!$G$4:$G$300,'Historical Drafts'!$D$4:$D$300,$E814,'Historical Drafts'!$J$4:$J$300,"&gt;="&amp;$L814*0.85,'Historical Drafts'!$J$4:$J$300,"&lt;="&amp;$L814*1.15),0),$Y814))</f>
        <v>3</v>
      </c>
      <c r="AA814" s="12" t="str">
        <f>IF($A814="","",IF(COUNTIF('Auction Log'!$B$3:$B$300,$A814)&gt;0,"Sold","Available"))</f>
        <v>Available</v>
      </c>
      <c r="AB814" s="12" t="str">
        <f t="array" ref="AB814">IF($A814="","",IFERROR(XLOOKUP($A814,'Auction Log'!$B$3:$B$300,'Auction Log'!$G$3:$G$300,""),""))</f>
        <v/>
      </c>
      <c r="AC814" s="12" t="str">
        <f t="array" ref="AC814">IF($A814="","",IFERROR(XLOOKUP($A814,'Auction Log'!$B$3:$B$300,'Auction Log'!$F$3:$F$300,""),""))</f>
        <v/>
      </c>
      <c r="AD814" s="12">
        <f t="array" ref="AD814">IF($A814="","",ROUND($Y814*XLOOKUP($F814,Settings!$I$15:$I$20,Settings!$K$15:$K$20,0.4),0))</f>
        <v>0</v>
      </c>
      <c r="AE814" s="12">
        <f t="array" ref="AE814">IF($A814="","",ROUND($Y814*XLOOKUP($F814,Settings!$I$15:$I$20,Settings!$L$15:$L$20,0.8),0))</f>
        <v>1</v>
      </c>
      <c r="AF814" s="12">
        <f t="array" ref="AF814">IF($A814="","",ROUND($Y814*XLOOKUP($F814,Settings!$I$15:$I$20,Settings!$M$15:$M$20,1),0))</f>
        <v>1</v>
      </c>
      <c r="AG814" s="12">
        <f t="array" ref="AG814">IF($A814="","",ROUND($Y814*XLOOKUP($F814,Settings!$I$15:$I$20,Settings!$N$15:$N$20,1.1),0))</f>
        <v>1</v>
      </c>
      <c r="AH814" s="12">
        <f t="array" ref="AH814">IF($A814="","",ROUND($Y814*XLOOKUP($F814,Settings!$I$15:$I$20,Settings!$O$15:$O$20,1.1)*Settings!$J$7,0))</f>
        <v>1</v>
      </c>
      <c r="AI814" s="12">
        <f t="array" ref="AI814">IF($A814="","",IF($AA814="Sold","",MIN($AH814,IFERROR(XLOOKUP(Settings!$B$12,Managers!$B$4:$B$15,Managers!$H$4:$H$15),$AH814))))</f>
        <v>1</v>
      </c>
      <c r="AJ814" s="12" t="str">
        <f t="shared" si="3"/>
        <v>Budget Drainer</v>
      </c>
      <c r="AK814" s="12">
        <f t="shared" si="4"/>
        <v>28</v>
      </c>
      <c r="AL814" s="12" t="str">
        <f t="shared" si="5"/>
        <v/>
      </c>
    </row>
    <row r="815" ht="15.75" customHeight="1">
      <c r="A815" s="10" t="s">
        <v>1910</v>
      </c>
      <c r="B815" s="10" t="s">
        <v>1911</v>
      </c>
      <c r="C815" s="10" t="s">
        <v>566</v>
      </c>
      <c r="D815" s="10" t="s">
        <v>118</v>
      </c>
      <c r="E815" s="10" t="s">
        <v>118</v>
      </c>
      <c r="F815" s="10" t="s">
        <v>117</v>
      </c>
      <c r="G815" s="10">
        <v>5.0</v>
      </c>
      <c r="H815" s="10">
        <v>7.0</v>
      </c>
      <c r="I815" s="10" t="s">
        <v>2140</v>
      </c>
      <c r="J815" s="10" t="s">
        <v>2136</v>
      </c>
      <c r="K815" s="10"/>
      <c r="L815" s="10">
        <v>0.0</v>
      </c>
      <c r="M815" s="10">
        <v>0.0</v>
      </c>
      <c r="N815" s="10"/>
      <c r="O815" s="10"/>
      <c r="P815" s="12">
        <f>IF($A815="","",IFERROR((IF($O815="",0,$O815)*Settings!$J$4+IF($L815="",0,$L815)*Settings!$J$5+IF($N815="",0,$N815)*Settings!$J$6)/(IF($O815="",0,Settings!$J$4)+IF($L815="",0,Settings!$J$5)+IF($N815="",0,Settings!$J$6)),0))</f>
        <v>0</v>
      </c>
      <c r="Q815" s="12">
        <f t="array" ref="Q815">IF($A815="","",XLOOKUP($E815,Settings!$A$19:$A$22,Settings!$G$19:$G$22,0))</f>
        <v>196.25</v>
      </c>
      <c r="R815" s="12">
        <f t="shared" si="1"/>
        <v>0</v>
      </c>
      <c r="S815" s="12">
        <f>IF($A815="","",IF($R815&lt;=0,1,1+$R815/SUMIF($R$4:$R$923,"&gt;0",$R$4:$R$923)*(Settings!$B$5*(Settings!$B$6-Settings!$B$7))))</f>
        <v>1</v>
      </c>
      <c r="T815" s="12">
        <f t="array" ref="T815">IF($A815="","",XLOOKUP($F815,Settings!$I$15:$I$20,Settings!$J$15:$J$20,1))</f>
        <v>0.75</v>
      </c>
      <c r="U815" s="12">
        <f>IF($A815="","",1+(($G815-5)/5)*Settings!$J$8)</f>
        <v>1</v>
      </c>
      <c r="V815" s="12">
        <f>IF($A815="","",1+(($H815-5)/5)*Settings!$J$9)</f>
        <v>1.06</v>
      </c>
      <c r="W815" s="12">
        <f t="array" ref="W815">IF($A815="","",XLOOKUP($J815,Lists!$C$3:$C$7,Lists!$D$3:$D$7,1))</f>
        <v>1</v>
      </c>
      <c r="X815" s="12">
        <f>IF($A815="","",IF($I815="Yes",Settings!$J$10,1))</f>
        <v>1</v>
      </c>
      <c r="Y815" s="12">
        <f t="shared" si="2"/>
        <v>1</v>
      </c>
      <c r="Z815" s="12">
        <f>IF($A815="","",IFERROR(ROUND(AVERAGEIFS('Historical Drafts'!$G$4:$G$300,'Historical Drafts'!$D$4:$D$300,$E815,'Historical Drafts'!$J$4:$J$300,"&gt;="&amp;$L815*0.85,'Historical Drafts'!$J$4:$J$300,"&lt;="&amp;$L815*1.15),0),$Y815))</f>
        <v>1</v>
      </c>
      <c r="AA815" s="12" t="str">
        <f>IF($A815="","",IF(COUNTIF('Auction Log'!$B$3:$B$300,$A815)&gt;0,"Sold","Available"))</f>
        <v>Available</v>
      </c>
      <c r="AB815" s="12" t="str">
        <f t="array" ref="AB815">IF($A815="","",IFERROR(XLOOKUP($A815,'Auction Log'!$B$3:$B$300,'Auction Log'!$G$3:$G$300,""),""))</f>
        <v/>
      </c>
      <c r="AC815" s="12" t="str">
        <f t="array" ref="AC815">IF($A815="","",IFERROR(XLOOKUP($A815,'Auction Log'!$B$3:$B$300,'Auction Log'!$F$3:$F$300,""),""))</f>
        <v/>
      </c>
      <c r="AD815" s="12">
        <f t="array" ref="AD815">IF($A815="","",ROUND($Y815*XLOOKUP($F815,Settings!$I$15:$I$20,Settings!$K$15:$K$20,0.4),0))</f>
        <v>0</v>
      </c>
      <c r="AE815" s="12">
        <f t="array" ref="AE815">IF($A815="","",ROUND($Y815*XLOOKUP($F815,Settings!$I$15:$I$20,Settings!$L$15:$L$20,0.8),0))</f>
        <v>1</v>
      </c>
      <c r="AF815" s="12">
        <f t="array" ref="AF815">IF($A815="","",ROUND($Y815*XLOOKUP($F815,Settings!$I$15:$I$20,Settings!$M$15:$M$20,1),0))</f>
        <v>1</v>
      </c>
      <c r="AG815" s="12">
        <f t="array" ref="AG815">IF($A815="","",ROUND($Y815*XLOOKUP($F815,Settings!$I$15:$I$20,Settings!$N$15:$N$20,1.1),0))</f>
        <v>1</v>
      </c>
      <c r="AH815" s="12">
        <f t="array" ref="AH815">IF($A815="","",ROUND($Y815*XLOOKUP($F815,Settings!$I$15:$I$20,Settings!$O$15:$O$20,1.1)*Settings!$J$7,0))</f>
        <v>1</v>
      </c>
      <c r="AI815" s="12">
        <f t="array" ref="AI815">IF($A815="","",IF($AA815="Sold","",MIN($AH815,IFERROR(XLOOKUP(Settings!$B$12,Managers!$B$4:$B$15,Managers!$H$4:$H$15),$AH815))))</f>
        <v>1</v>
      </c>
      <c r="AJ815" s="12" t="str">
        <f t="shared" si="3"/>
        <v>Recommended</v>
      </c>
      <c r="AK815" s="12">
        <f t="shared" si="4"/>
        <v>26</v>
      </c>
      <c r="AL815" s="12" t="str">
        <f t="shared" si="5"/>
        <v/>
      </c>
    </row>
    <row r="816" ht="15.75" customHeight="1">
      <c r="A816" s="10" t="s">
        <v>1912</v>
      </c>
      <c r="B816" s="10" t="s">
        <v>1913</v>
      </c>
      <c r="C816" s="10" t="s">
        <v>215</v>
      </c>
      <c r="D816" s="10" t="s">
        <v>118</v>
      </c>
      <c r="E816" s="10" t="s">
        <v>118</v>
      </c>
      <c r="F816" s="10" t="s">
        <v>117</v>
      </c>
      <c r="G816" s="10">
        <v>5.0</v>
      </c>
      <c r="H816" s="10">
        <v>7.0</v>
      </c>
      <c r="I816" s="10" t="s">
        <v>2140</v>
      </c>
      <c r="J816" s="10" t="s">
        <v>2136</v>
      </c>
      <c r="K816" s="10"/>
      <c r="L816" s="10">
        <v>0.0</v>
      </c>
      <c r="M816" s="10">
        <v>0.0</v>
      </c>
      <c r="N816" s="10"/>
      <c r="O816" s="10"/>
      <c r="P816" s="12">
        <f>IF($A816="","",IFERROR((IF($O816="",0,$O816)*Settings!$J$4+IF($L816="",0,$L816)*Settings!$J$5+IF($N816="",0,$N816)*Settings!$J$6)/(IF($O816="",0,Settings!$J$4)+IF($L816="",0,Settings!$J$5)+IF($N816="",0,Settings!$J$6)),0))</f>
        <v>0</v>
      </c>
      <c r="Q816" s="12">
        <f t="array" ref="Q816">IF($A816="","",XLOOKUP($E816,Settings!$A$19:$A$22,Settings!$G$19:$G$22,0))</f>
        <v>196.25</v>
      </c>
      <c r="R816" s="12">
        <f t="shared" si="1"/>
        <v>0</v>
      </c>
      <c r="S816" s="12">
        <f>IF($A816="","",IF($R816&lt;=0,1,1+$R816/SUMIF($R$4:$R$923,"&gt;0",$R$4:$R$923)*(Settings!$B$5*(Settings!$B$6-Settings!$B$7))))</f>
        <v>1</v>
      </c>
      <c r="T816" s="12">
        <f t="array" ref="T816">IF($A816="","",XLOOKUP($F816,Settings!$I$15:$I$20,Settings!$J$15:$J$20,1))</f>
        <v>0.75</v>
      </c>
      <c r="U816" s="12">
        <f>IF($A816="","",1+(($G816-5)/5)*Settings!$J$8)</f>
        <v>1</v>
      </c>
      <c r="V816" s="12">
        <f>IF($A816="","",1+(($H816-5)/5)*Settings!$J$9)</f>
        <v>1.06</v>
      </c>
      <c r="W816" s="12">
        <f t="array" ref="W816">IF($A816="","",XLOOKUP($J816,Lists!$C$3:$C$7,Lists!$D$3:$D$7,1))</f>
        <v>1</v>
      </c>
      <c r="X816" s="12">
        <f>IF($A816="","",IF($I816="Yes",Settings!$J$10,1))</f>
        <v>1</v>
      </c>
      <c r="Y816" s="12">
        <f t="shared" si="2"/>
        <v>1</v>
      </c>
      <c r="Z816" s="12">
        <f>IF($A816="","",IFERROR(ROUND(AVERAGEIFS('Historical Drafts'!$G$4:$G$300,'Historical Drafts'!$D$4:$D$300,$E816,'Historical Drafts'!$J$4:$J$300,"&gt;="&amp;$L816*0.85,'Historical Drafts'!$J$4:$J$300,"&lt;="&amp;$L816*1.15),0),$Y816))</f>
        <v>1</v>
      </c>
      <c r="AA816" s="12" t="str">
        <f>IF($A816="","",IF(COUNTIF('Auction Log'!$B$3:$B$300,$A816)&gt;0,"Sold","Available"))</f>
        <v>Available</v>
      </c>
      <c r="AB816" s="12" t="str">
        <f t="array" ref="AB816">IF($A816="","",IFERROR(XLOOKUP($A816,'Auction Log'!$B$3:$B$300,'Auction Log'!$G$3:$G$300,""),""))</f>
        <v/>
      </c>
      <c r="AC816" s="12" t="str">
        <f t="array" ref="AC816">IF($A816="","",IFERROR(XLOOKUP($A816,'Auction Log'!$B$3:$B$300,'Auction Log'!$F$3:$F$300,""),""))</f>
        <v/>
      </c>
      <c r="AD816" s="12">
        <f t="array" ref="AD816">IF($A816="","",ROUND($Y816*XLOOKUP($F816,Settings!$I$15:$I$20,Settings!$K$15:$K$20,0.4),0))</f>
        <v>0</v>
      </c>
      <c r="AE816" s="12">
        <f t="array" ref="AE816">IF($A816="","",ROUND($Y816*XLOOKUP($F816,Settings!$I$15:$I$20,Settings!$L$15:$L$20,0.8),0))</f>
        <v>1</v>
      </c>
      <c r="AF816" s="12">
        <f t="array" ref="AF816">IF($A816="","",ROUND($Y816*XLOOKUP($F816,Settings!$I$15:$I$20,Settings!$M$15:$M$20,1),0))</f>
        <v>1</v>
      </c>
      <c r="AG816" s="12">
        <f t="array" ref="AG816">IF($A816="","",ROUND($Y816*XLOOKUP($F816,Settings!$I$15:$I$20,Settings!$N$15:$N$20,1.1),0))</f>
        <v>1</v>
      </c>
      <c r="AH816" s="12">
        <f t="array" ref="AH816">IF($A816="","",ROUND($Y816*XLOOKUP($F816,Settings!$I$15:$I$20,Settings!$O$15:$O$20,1.1)*Settings!$J$7,0))</f>
        <v>1</v>
      </c>
      <c r="AI816" s="12">
        <f t="array" ref="AI816">IF($A816="","",IF($AA816="Sold","",MIN($AH816,IFERROR(XLOOKUP(Settings!$B$12,Managers!$B$4:$B$15,Managers!$H$4:$H$15),$AH816))))</f>
        <v>1</v>
      </c>
      <c r="AJ816" s="12" t="str">
        <f t="shared" si="3"/>
        <v>Recommended</v>
      </c>
      <c r="AK816" s="12">
        <f t="shared" si="4"/>
        <v>26</v>
      </c>
      <c r="AL816" s="12" t="str">
        <f t="shared" si="5"/>
        <v/>
      </c>
    </row>
    <row r="817" ht="15.75" customHeight="1">
      <c r="A817" s="10" t="s">
        <v>1914</v>
      </c>
      <c r="B817" s="10" t="s">
        <v>1915</v>
      </c>
      <c r="C817" s="10" t="s">
        <v>221</v>
      </c>
      <c r="D817" s="10" t="s">
        <v>121</v>
      </c>
      <c r="E817" s="10" t="s">
        <v>121</v>
      </c>
      <c r="F817" s="10" t="s">
        <v>117</v>
      </c>
      <c r="G817" s="10">
        <v>5.0</v>
      </c>
      <c r="H817" s="10">
        <v>7.0</v>
      </c>
      <c r="I817" s="10" t="s">
        <v>2140</v>
      </c>
      <c r="J817" s="10" t="s">
        <v>2136</v>
      </c>
      <c r="K817" s="10"/>
      <c r="L817" s="10">
        <v>0.0</v>
      </c>
      <c r="M817" s="10">
        <v>0.0</v>
      </c>
      <c r="N817" s="10"/>
      <c r="O817" s="10"/>
      <c r="P817" s="12">
        <f>IF($A817="","",IFERROR((IF($O817="",0,$O817)*Settings!$J$4+IF($L817="",0,$L817)*Settings!$J$5+IF($N817="",0,$N817)*Settings!$J$6)/(IF($O817="",0,Settings!$J$4)+IF($L817="",0,Settings!$J$5)+IF($N817="",0,Settings!$J$6)),0))</f>
        <v>0</v>
      </c>
      <c r="Q817" s="12">
        <f t="array" ref="Q817">IF($A817="","",XLOOKUP($E817,Settings!$A$19:$A$22,Settings!$G$19:$G$22,0))</f>
        <v>206</v>
      </c>
      <c r="R817" s="12">
        <f t="shared" si="1"/>
        <v>0</v>
      </c>
      <c r="S817" s="12">
        <f>IF($A817="","",IF($R817&lt;=0,1,1+$R817/SUMIF($R$4:$R$923,"&gt;0",$R$4:$R$923)*(Settings!$B$5*(Settings!$B$6-Settings!$B$7))))</f>
        <v>1</v>
      </c>
      <c r="T817" s="12">
        <f t="array" ref="T817">IF($A817="","",XLOOKUP($F817,Settings!$I$15:$I$20,Settings!$J$15:$J$20,1))</f>
        <v>0.75</v>
      </c>
      <c r="U817" s="12">
        <f>IF($A817="","",1+(($G817-5)/5)*Settings!$J$8)</f>
        <v>1</v>
      </c>
      <c r="V817" s="12">
        <f>IF($A817="","",1+(($H817-5)/5)*Settings!$J$9)</f>
        <v>1.06</v>
      </c>
      <c r="W817" s="12">
        <f t="array" ref="W817">IF($A817="","",XLOOKUP($J817,Lists!$C$3:$C$7,Lists!$D$3:$D$7,1))</f>
        <v>1</v>
      </c>
      <c r="X817" s="12">
        <f>IF($A817="","",IF($I817="Yes",Settings!$J$10,1))</f>
        <v>1</v>
      </c>
      <c r="Y817" s="12">
        <f t="shared" si="2"/>
        <v>1</v>
      </c>
      <c r="Z817" s="12">
        <f>IF($A817="","",IFERROR(ROUND(AVERAGEIFS('Historical Drafts'!$G$4:$G$300,'Historical Drafts'!$D$4:$D$300,$E817,'Historical Drafts'!$J$4:$J$300,"&gt;="&amp;$L817*0.85,'Historical Drafts'!$J$4:$J$300,"&lt;="&amp;$L817*1.15),0),$Y817))</f>
        <v>3</v>
      </c>
      <c r="AA817" s="12" t="str">
        <f>IF($A817="","",IF(COUNTIF('Auction Log'!$B$3:$B$300,$A817)&gt;0,"Sold","Available"))</f>
        <v>Available</v>
      </c>
      <c r="AB817" s="12" t="str">
        <f t="array" ref="AB817">IF($A817="","",IFERROR(XLOOKUP($A817,'Auction Log'!$B$3:$B$300,'Auction Log'!$G$3:$G$300,""),""))</f>
        <v/>
      </c>
      <c r="AC817" s="12" t="str">
        <f t="array" ref="AC817">IF($A817="","",IFERROR(XLOOKUP($A817,'Auction Log'!$B$3:$B$300,'Auction Log'!$F$3:$F$300,""),""))</f>
        <v/>
      </c>
      <c r="AD817" s="12">
        <f t="array" ref="AD817">IF($A817="","",ROUND($Y817*XLOOKUP($F817,Settings!$I$15:$I$20,Settings!$K$15:$K$20,0.4),0))</f>
        <v>0</v>
      </c>
      <c r="AE817" s="12">
        <f t="array" ref="AE817">IF($A817="","",ROUND($Y817*XLOOKUP($F817,Settings!$I$15:$I$20,Settings!$L$15:$L$20,0.8),0))</f>
        <v>1</v>
      </c>
      <c r="AF817" s="12">
        <f t="array" ref="AF817">IF($A817="","",ROUND($Y817*XLOOKUP($F817,Settings!$I$15:$I$20,Settings!$M$15:$M$20,1),0))</f>
        <v>1</v>
      </c>
      <c r="AG817" s="12">
        <f t="array" ref="AG817">IF($A817="","",ROUND($Y817*XLOOKUP($F817,Settings!$I$15:$I$20,Settings!$N$15:$N$20,1.1),0))</f>
        <v>1</v>
      </c>
      <c r="AH817" s="12">
        <f t="array" ref="AH817">IF($A817="","",ROUND($Y817*XLOOKUP($F817,Settings!$I$15:$I$20,Settings!$O$15:$O$20,1.1)*Settings!$J$7,0))</f>
        <v>1</v>
      </c>
      <c r="AI817" s="12">
        <f t="array" ref="AI817">IF($A817="","",IF($AA817="Sold","",MIN($AH817,IFERROR(XLOOKUP(Settings!$B$12,Managers!$B$4:$B$15,Managers!$H$4:$H$15),$AH817))))</f>
        <v>1</v>
      </c>
      <c r="AJ817" s="12" t="str">
        <f t="shared" si="3"/>
        <v>Budget Drainer</v>
      </c>
      <c r="AK817" s="12">
        <f t="shared" si="4"/>
        <v>28</v>
      </c>
      <c r="AL817" s="12" t="str">
        <f t="shared" si="5"/>
        <v/>
      </c>
    </row>
    <row r="818" ht="15.75" customHeight="1">
      <c r="A818" s="10" t="s">
        <v>1916</v>
      </c>
      <c r="B818" s="10" t="s">
        <v>1917</v>
      </c>
      <c r="C818" s="10" t="s">
        <v>327</v>
      </c>
      <c r="D818" s="10" t="s">
        <v>118</v>
      </c>
      <c r="E818" s="10" t="s">
        <v>118</v>
      </c>
      <c r="F818" s="10" t="s">
        <v>117</v>
      </c>
      <c r="G818" s="10">
        <v>5.0</v>
      </c>
      <c r="H818" s="10">
        <v>7.0</v>
      </c>
      <c r="I818" s="10" t="s">
        <v>2140</v>
      </c>
      <c r="J818" s="10" t="s">
        <v>2136</v>
      </c>
      <c r="K818" s="10"/>
      <c r="L818" s="10">
        <v>0.0</v>
      </c>
      <c r="M818" s="10">
        <v>0.0</v>
      </c>
      <c r="N818" s="10"/>
      <c r="O818" s="10"/>
      <c r="P818" s="12">
        <f>IF($A818="","",IFERROR((IF($O818="",0,$O818)*Settings!$J$4+IF($L818="",0,$L818)*Settings!$J$5+IF($N818="",0,$N818)*Settings!$J$6)/(IF($O818="",0,Settings!$J$4)+IF($L818="",0,Settings!$J$5)+IF($N818="",0,Settings!$J$6)),0))</f>
        <v>0</v>
      </c>
      <c r="Q818" s="12">
        <f t="array" ref="Q818">IF($A818="","",XLOOKUP($E818,Settings!$A$19:$A$22,Settings!$G$19:$G$22,0))</f>
        <v>196.25</v>
      </c>
      <c r="R818" s="12">
        <f t="shared" si="1"/>
        <v>0</v>
      </c>
      <c r="S818" s="12">
        <f>IF($A818="","",IF($R818&lt;=0,1,1+$R818/SUMIF($R$4:$R$923,"&gt;0",$R$4:$R$923)*(Settings!$B$5*(Settings!$B$6-Settings!$B$7))))</f>
        <v>1</v>
      </c>
      <c r="T818" s="12">
        <f t="array" ref="T818">IF($A818="","",XLOOKUP($F818,Settings!$I$15:$I$20,Settings!$J$15:$J$20,1))</f>
        <v>0.75</v>
      </c>
      <c r="U818" s="12">
        <f>IF($A818="","",1+(($G818-5)/5)*Settings!$J$8)</f>
        <v>1</v>
      </c>
      <c r="V818" s="12">
        <f>IF($A818="","",1+(($H818-5)/5)*Settings!$J$9)</f>
        <v>1.06</v>
      </c>
      <c r="W818" s="12">
        <f t="array" ref="W818">IF($A818="","",XLOOKUP($J818,Lists!$C$3:$C$7,Lists!$D$3:$D$7,1))</f>
        <v>1</v>
      </c>
      <c r="X818" s="12">
        <f>IF($A818="","",IF($I818="Yes",Settings!$J$10,1))</f>
        <v>1</v>
      </c>
      <c r="Y818" s="12">
        <f t="shared" si="2"/>
        <v>1</v>
      </c>
      <c r="Z818" s="12">
        <f>IF($A818="","",IFERROR(ROUND(AVERAGEIFS('Historical Drafts'!$G$4:$G$300,'Historical Drafts'!$D$4:$D$300,$E818,'Historical Drafts'!$J$4:$J$300,"&gt;="&amp;$L818*0.85,'Historical Drafts'!$J$4:$J$300,"&lt;="&amp;$L818*1.15),0),$Y818))</f>
        <v>1</v>
      </c>
      <c r="AA818" s="12" t="str">
        <f>IF($A818="","",IF(COUNTIF('Auction Log'!$B$3:$B$300,$A818)&gt;0,"Sold","Available"))</f>
        <v>Available</v>
      </c>
      <c r="AB818" s="12" t="str">
        <f t="array" ref="AB818">IF($A818="","",IFERROR(XLOOKUP($A818,'Auction Log'!$B$3:$B$300,'Auction Log'!$G$3:$G$300,""),""))</f>
        <v/>
      </c>
      <c r="AC818" s="12" t="str">
        <f t="array" ref="AC818">IF($A818="","",IFERROR(XLOOKUP($A818,'Auction Log'!$B$3:$B$300,'Auction Log'!$F$3:$F$300,""),""))</f>
        <v/>
      </c>
      <c r="AD818" s="12">
        <f t="array" ref="AD818">IF($A818="","",ROUND($Y818*XLOOKUP($F818,Settings!$I$15:$I$20,Settings!$K$15:$K$20,0.4),0))</f>
        <v>0</v>
      </c>
      <c r="AE818" s="12">
        <f t="array" ref="AE818">IF($A818="","",ROUND($Y818*XLOOKUP($F818,Settings!$I$15:$I$20,Settings!$L$15:$L$20,0.8),0))</f>
        <v>1</v>
      </c>
      <c r="AF818" s="12">
        <f t="array" ref="AF818">IF($A818="","",ROUND($Y818*XLOOKUP($F818,Settings!$I$15:$I$20,Settings!$M$15:$M$20,1),0))</f>
        <v>1</v>
      </c>
      <c r="AG818" s="12">
        <f t="array" ref="AG818">IF($A818="","",ROUND($Y818*XLOOKUP($F818,Settings!$I$15:$I$20,Settings!$N$15:$N$20,1.1),0))</f>
        <v>1</v>
      </c>
      <c r="AH818" s="12">
        <f t="array" ref="AH818">IF($A818="","",ROUND($Y818*XLOOKUP($F818,Settings!$I$15:$I$20,Settings!$O$15:$O$20,1.1)*Settings!$J$7,0))</f>
        <v>1</v>
      </c>
      <c r="AI818" s="12">
        <f t="array" ref="AI818">IF($A818="","",IF($AA818="Sold","",MIN($AH818,IFERROR(XLOOKUP(Settings!$B$12,Managers!$B$4:$B$15,Managers!$H$4:$H$15),$AH818))))</f>
        <v>1</v>
      </c>
      <c r="AJ818" s="12" t="str">
        <f t="shared" si="3"/>
        <v>Recommended</v>
      </c>
      <c r="AK818" s="12">
        <f t="shared" si="4"/>
        <v>26</v>
      </c>
      <c r="AL818" s="12" t="str">
        <f t="shared" si="5"/>
        <v/>
      </c>
    </row>
    <row r="819" ht="15.75" customHeight="1">
      <c r="A819" s="10" t="s">
        <v>1918</v>
      </c>
      <c r="B819" s="10" t="s">
        <v>1919</v>
      </c>
      <c r="C819" s="10" t="s">
        <v>191</v>
      </c>
      <c r="D819" s="10" t="s">
        <v>115</v>
      </c>
      <c r="E819" s="10" t="s">
        <v>115</v>
      </c>
      <c r="F819" s="10" t="s">
        <v>117</v>
      </c>
      <c r="G819" s="10">
        <v>5.0</v>
      </c>
      <c r="H819" s="10">
        <v>7.0</v>
      </c>
      <c r="I819" s="10" t="s">
        <v>2140</v>
      </c>
      <c r="J819" s="10" t="s">
        <v>2136</v>
      </c>
      <c r="K819" s="10"/>
      <c r="L819" s="10">
        <v>0.0</v>
      </c>
      <c r="M819" s="10">
        <v>0.0</v>
      </c>
      <c r="N819" s="10"/>
      <c r="O819" s="10"/>
      <c r="P819" s="12">
        <f>IF($A819="","",IFERROR((IF($O819="",0,$O819)*Settings!$J$4+IF($L819="",0,$L819)*Settings!$J$5+IF($N819="",0,$N819)*Settings!$J$6)/(IF($O819="",0,Settings!$J$4)+IF($L819="",0,Settings!$J$5)+IF($N819="",0,Settings!$J$6)),0))</f>
        <v>0</v>
      </c>
      <c r="Q819" s="12">
        <f t="array" ref="Q819">IF($A819="","",XLOOKUP($E819,Settings!$A$19:$A$22,Settings!$G$19:$G$22,0))</f>
        <v>249.25</v>
      </c>
      <c r="R819" s="12">
        <f t="shared" si="1"/>
        <v>0</v>
      </c>
      <c r="S819" s="12">
        <f>IF($A819="","",IF($R819&lt;=0,1,1+$R819/SUMIF($R$4:$R$923,"&gt;0",$R$4:$R$923)*(Settings!$B$5*(Settings!$B$6-Settings!$B$7))))</f>
        <v>1</v>
      </c>
      <c r="T819" s="12">
        <f t="array" ref="T819">IF($A819="","",XLOOKUP($F819,Settings!$I$15:$I$20,Settings!$J$15:$J$20,1))</f>
        <v>0.75</v>
      </c>
      <c r="U819" s="12">
        <f>IF($A819="","",1+(($G819-5)/5)*Settings!$J$8)</f>
        <v>1</v>
      </c>
      <c r="V819" s="12">
        <f>IF($A819="","",1+(($H819-5)/5)*Settings!$J$9)</f>
        <v>1.06</v>
      </c>
      <c r="W819" s="12">
        <f t="array" ref="W819">IF($A819="","",XLOOKUP($J819,Lists!$C$3:$C$7,Lists!$D$3:$D$7,1))</f>
        <v>1</v>
      </c>
      <c r="X819" s="12">
        <f>IF($A819="","",IF($I819="Yes",Settings!$J$10,1))</f>
        <v>1</v>
      </c>
      <c r="Y819" s="12">
        <f t="shared" si="2"/>
        <v>1</v>
      </c>
      <c r="Z819" s="12">
        <f>IF($A819="","",IFERROR(ROUND(AVERAGEIFS('Historical Drafts'!$G$4:$G$300,'Historical Drafts'!$D$4:$D$300,$E819,'Historical Drafts'!$J$4:$J$300,"&gt;="&amp;$L819*0.85,'Historical Drafts'!$J$4:$J$300,"&lt;="&amp;$L819*1.15),0),$Y819))</f>
        <v>1</v>
      </c>
      <c r="AA819" s="12" t="str">
        <f>IF($A819="","",IF(COUNTIF('Auction Log'!$B$3:$B$300,$A819)&gt;0,"Sold","Available"))</f>
        <v>Available</v>
      </c>
      <c r="AB819" s="12" t="str">
        <f t="array" ref="AB819">IF($A819="","",IFERROR(XLOOKUP($A819,'Auction Log'!$B$3:$B$300,'Auction Log'!$G$3:$G$300,""),""))</f>
        <v/>
      </c>
      <c r="AC819" s="12" t="str">
        <f t="array" ref="AC819">IF($A819="","",IFERROR(XLOOKUP($A819,'Auction Log'!$B$3:$B$300,'Auction Log'!$F$3:$F$300,""),""))</f>
        <v/>
      </c>
      <c r="AD819" s="12">
        <f t="array" ref="AD819">IF($A819="","",ROUND($Y819*XLOOKUP($F819,Settings!$I$15:$I$20,Settings!$K$15:$K$20,0.4),0))</f>
        <v>0</v>
      </c>
      <c r="AE819" s="12">
        <f t="array" ref="AE819">IF($A819="","",ROUND($Y819*XLOOKUP($F819,Settings!$I$15:$I$20,Settings!$L$15:$L$20,0.8),0))</f>
        <v>1</v>
      </c>
      <c r="AF819" s="12">
        <f t="array" ref="AF819">IF($A819="","",ROUND($Y819*XLOOKUP($F819,Settings!$I$15:$I$20,Settings!$M$15:$M$20,1),0))</f>
        <v>1</v>
      </c>
      <c r="AG819" s="12">
        <f t="array" ref="AG819">IF($A819="","",ROUND($Y819*XLOOKUP($F819,Settings!$I$15:$I$20,Settings!$N$15:$N$20,1.1),0))</f>
        <v>1</v>
      </c>
      <c r="AH819" s="12">
        <f t="array" ref="AH819">IF($A819="","",ROUND($Y819*XLOOKUP($F819,Settings!$I$15:$I$20,Settings!$O$15:$O$20,1.1)*Settings!$J$7,0))</f>
        <v>1</v>
      </c>
      <c r="AI819" s="12">
        <f t="array" ref="AI819">IF($A819="","",IF($AA819="Sold","",MIN($AH819,IFERROR(XLOOKUP(Settings!$B$12,Managers!$B$4:$B$15,Managers!$H$4:$H$15),$AH819))))</f>
        <v>1</v>
      </c>
      <c r="AJ819" s="12" t="str">
        <f t="shared" si="3"/>
        <v>Recommended</v>
      </c>
      <c r="AK819" s="12">
        <f t="shared" si="4"/>
        <v>26</v>
      </c>
      <c r="AL819" s="12" t="str">
        <f t="shared" si="5"/>
        <v/>
      </c>
    </row>
    <row r="820" ht="15.75" customHeight="1">
      <c r="A820" s="10" t="s">
        <v>1920</v>
      </c>
      <c r="B820" s="10" t="s">
        <v>1921</v>
      </c>
      <c r="C820" s="10" t="s">
        <v>327</v>
      </c>
      <c r="D820" s="10" t="s">
        <v>115</v>
      </c>
      <c r="E820" s="10" t="s">
        <v>115</v>
      </c>
      <c r="F820" s="10" t="s">
        <v>117</v>
      </c>
      <c r="G820" s="10">
        <v>5.0</v>
      </c>
      <c r="H820" s="10">
        <v>7.0</v>
      </c>
      <c r="I820" s="10" t="s">
        <v>2140</v>
      </c>
      <c r="J820" s="10" t="s">
        <v>2136</v>
      </c>
      <c r="K820" s="10"/>
      <c r="L820" s="10">
        <v>0.0</v>
      </c>
      <c r="M820" s="10">
        <v>0.0</v>
      </c>
      <c r="N820" s="10"/>
      <c r="O820" s="10"/>
      <c r="P820" s="12">
        <f>IF($A820="","",IFERROR((IF($O820="",0,$O820)*Settings!$J$4+IF($L820="",0,$L820)*Settings!$J$5+IF($N820="",0,$N820)*Settings!$J$6)/(IF($O820="",0,Settings!$J$4)+IF($L820="",0,Settings!$J$5)+IF($N820="",0,Settings!$J$6)),0))</f>
        <v>0</v>
      </c>
      <c r="Q820" s="12">
        <f t="array" ref="Q820">IF($A820="","",XLOOKUP($E820,Settings!$A$19:$A$22,Settings!$G$19:$G$22,0))</f>
        <v>249.25</v>
      </c>
      <c r="R820" s="12">
        <f t="shared" si="1"/>
        <v>0</v>
      </c>
      <c r="S820" s="12">
        <f>IF($A820="","",IF($R820&lt;=0,1,1+$R820/SUMIF($R$4:$R$923,"&gt;0",$R$4:$R$923)*(Settings!$B$5*(Settings!$B$6-Settings!$B$7))))</f>
        <v>1</v>
      </c>
      <c r="T820" s="12">
        <f t="array" ref="T820">IF($A820="","",XLOOKUP($F820,Settings!$I$15:$I$20,Settings!$J$15:$J$20,1))</f>
        <v>0.75</v>
      </c>
      <c r="U820" s="12">
        <f>IF($A820="","",1+(($G820-5)/5)*Settings!$J$8)</f>
        <v>1</v>
      </c>
      <c r="V820" s="12">
        <f>IF($A820="","",1+(($H820-5)/5)*Settings!$J$9)</f>
        <v>1.06</v>
      </c>
      <c r="W820" s="12">
        <f t="array" ref="W820">IF($A820="","",XLOOKUP($J820,Lists!$C$3:$C$7,Lists!$D$3:$D$7,1))</f>
        <v>1</v>
      </c>
      <c r="X820" s="12">
        <f>IF($A820="","",IF($I820="Yes",Settings!$J$10,1))</f>
        <v>1</v>
      </c>
      <c r="Y820" s="12">
        <f t="shared" si="2"/>
        <v>1</v>
      </c>
      <c r="Z820" s="12">
        <f>IF($A820="","",IFERROR(ROUND(AVERAGEIFS('Historical Drafts'!$G$4:$G$300,'Historical Drafts'!$D$4:$D$300,$E820,'Historical Drafts'!$J$4:$J$300,"&gt;="&amp;$L820*0.85,'Historical Drafts'!$J$4:$J$300,"&lt;="&amp;$L820*1.15),0),$Y820))</f>
        <v>1</v>
      </c>
      <c r="AA820" s="12" t="str">
        <f>IF($A820="","",IF(COUNTIF('Auction Log'!$B$3:$B$300,$A820)&gt;0,"Sold","Available"))</f>
        <v>Available</v>
      </c>
      <c r="AB820" s="12" t="str">
        <f t="array" ref="AB820">IF($A820="","",IFERROR(XLOOKUP($A820,'Auction Log'!$B$3:$B$300,'Auction Log'!$G$3:$G$300,""),""))</f>
        <v/>
      </c>
      <c r="AC820" s="12" t="str">
        <f t="array" ref="AC820">IF($A820="","",IFERROR(XLOOKUP($A820,'Auction Log'!$B$3:$B$300,'Auction Log'!$F$3:$F$300,""),""))</f>
        <v/>
      </c>
      <c r="AD820" s="12">
        <f t="array" ref="AD820">IF($A820="","",ROUND($Y820*XLOOKUP($F820,Settings!$I$15:$I$20,Settings!$K$15:$K$20,0.4),0))</f>
        <v>0</v>
      </c>
      <c r="AE820" s="12">
        <f t="array" ref="AE820">IF($A820="","",ROUND($Y820*XLOOKUP($F820,Settings!$I$15:$I$20,Settings!$L$15:$L$20,0.8),0))</f>
        <v>1</v>
      </c>
      <c r="AF820" s="12">
        <f t="array" ref="AF820">IF($A820="","",ROUND($Y820*XLOOKUP($F820,Settings!$I$15:$I$20,Settings!$M$15:$M$20,1),0))</f>
        <v>1</v>
      </c>
      <c r="AG820" s="12">
        <f t="array" ref="AG820">IF($A820="","",ROUND($Y820*XLOOKUP($F820,Settings!$I$15:$I$20,Settings!$N$15:$N$20,1.1),0))</f>
        <v>1</v>
      </c>
      <c r="AH820" s="12">
        <f t="array" ref="AH820">IF($A820="","",ROUND($Y820*XLOOKUP($F820,Settings!$I$15:$I$20,Settings!$O$15:$O$20,1.1)*Settings!$J$7,0))</f>
        <v>1</v>
      </c>
      <c r="AI820" s="12">
        <f t="array" ref="AI820">IF($A820="","",IF($AA820="Sold","",MIN($AH820,IFERROR(XLOOKUP(Settings!$B$12,Managers!$B$4:$B$15,Managers!$H$4:$H$15),$AH820))))</f>
        <v>1</v>
      </c>
      <c r="AJ820" s="12" t="str">
        <f t="shared" si="3"/>
        <v>Recommended</v>
      </c>
      <c r="AK820" s="12">
        <f t="shared" si="4"/>
        <v>26</v>
      </c>
      <c r="AL820" s="12" t="str">
        <f t="shared" si="5"/>
        <v/>
      </c>
    </row>
    <row r="821" ht="15.75" customHeight="1">
      <c r="A821" s="10" t="s">
        <v>1922</v>
      </c>
      <c r="B821" s="10" t="s">
        <v>1923</v>
      </c>
      <c r="C821" s="10" t="s">
        <v>199</v>
      </c>
      <c r="D821" s="10" t="s">
        <v>118</v>
      </c>
      <c r="E821" s="10" t="s">
        <v>118</v>
      </c>
      <c r="F821" s="10" t="s">
        <v>117</v>
      </c>
      <c r="G821" s="10">
        <v>5.0</v>
      </c>
      <c r="H821" s="10">
        <v>7.0</v>
      </c>
      <c r="I821" s="10" t="s">
        <v>2140</v>
      </c>
      <c r="J821" s="10" t="s">
        <v>2136</v>
      </c>
      <c r="K821" s="10"/>
      <c r="L821" s="10">
        <v>0.0</v>
      </c>
      <c r="M821" s="10">
        <v>0.0</v>
      </c>
      <c r="N821" s="10"/>
      <c r="O821" s="10"/>
      <c r="P821" s="12">
        <f>IF($A821="","",IFERROR((IF($O821="",0,$O821)*Settings!$J$4+IF($L821="",0,$L821)*Settings!$J$5+IF($N821="",0,$N821)*Settings!$J$6)/(IF($O821="",0,Settings!$J$4)+IF($L821="",0,Settings!$J$5)+IF($N821="",0,Settings!$J$6)),0))</f>
        <v>0</v>
      </c>
      <c r="Q821" s="12">
        <f t="array" ref="Q821">IF($A821="","",XLOOKUP($E821,Settings!$A$19:$A$22,Settings!$G$19:$G$22,0))</f>
        <v>196.25</v>
      </c>
      <c r="R821" s="12">
        <f t="shared" si="1"/>
        <v>0</v>
      </c>
      <c r="S821" s="12">
        <f>IF($A821="","",IF($R821&lt;=0,1,1+$R821/SUMIF($R$4:$R$923,"&gt;0",$R$4:$R$923)*(Settings!$B$5*(Settings!$B$6-Settings!$B$7))))</f>
        <v>1</v>
      </c>
      <c r="T821" s="12">
        <f t="array" ref="T821">IF($A821="","",XLOOKUP($F821,Settings!$I$15:$I$20,Settings!$J$15:$J$20,1))</f>
        <v>0.75</v>
      </c>
      <c r="U821" s="12">
        <f>IF($A821="","",1+(($G821-5)/5)*Settings!$J$8)</f>
        <v>1</v>
      </c>
      <c r="V821" s="12">
        <f>IF($A821="","",1+(($H821-5)/5)*Settings!$J$9)</f>
        <v>1.06</v>
      </c>
      <c r="W821" s="12">
        <f t="array" ref="W821">IF($A821="","",XLOOKUP($J821,Lists!$C$3:$C$7,Lists!$D$3:$D$7,1))</f>
        <v>1</v>
      </c>
      <c r="X821" s="12">
        <f>IF($A821="","",IF($I821="Yes",Settings!$J$10,1))</f>
        <v>1</v>
      </c>
      <c r="Y821" s="12">
        <f t="shared" si="2"/>
        <v>1</v>
      </c>
      <c r="Z821" s="12">
        <f>IF($A821="","",IFERROR(ROUND(AVERAGEIFS('Historical Drafts'!$G$4:$G$300,'Historical Drafts'!$D$4:$D$300,$E821,'Historical Drafts'!$J$4:$J$300,"&gt;="&amp;$L821*0.85,'Historical Drafts'!$J$4:$J$300,"&lt;="&amp;$L821*1.15),0),$Y821))</f>
        <v>1</v>
      </c>
      <c r="AA821" s="12" t="str">
        <f>IF($A821="","",IF(COUNTIF('Auction Log'!$B$3:$B$300,$A821)&gt;0,"Sold","Available"))</f>
        <v>Available</v>
      </c>
      <c r="AB821" s="12" t="str">
        <f t="array" ref="AB821">IF($A821="","",IFERROR(XLOOKUP($A821,'Auction Log'!$B$3:$B$300,'Auction Log'!$G$3:$G$300,""),""))</f>
        <v/>
      </c>
      <c r="AC821" s="12" t="str">
        <f t="array" ref="AC821">IF($A821="","",IFERROR(XLOOKUP($A821,'Auction Log'!$B$3:$B$300,'Auction Log'!$F$3:$F$300,""),""))</f>
        <v/>
      </c>
      <c r="AD821" s="12">
        <f t="array" ref="AD821">IF($A821="","",ROUND($Y821*XLOOKUP($F821,Settings!$I$15:$I$20,Settings!$K$15:$K$20,0.4),0))</f>
        <v>0</v>
      </c>
      <c r="AE821" s="12">
        <f t="array" ref="AE821">IF($A821="","",ROUND($Y821*XLOOKUP($F821,Settings!$I$15:$I$20,Settings!$L$15:$L$20,0.8),0))</f>
        <v>1</v>
      </c>
      <c r="AF821" s="12">
        <f t="array" ref="AF821">IF($A821="","",ROUND($Y821*XLOOKUP($F821,Settings!$I$15:$I$20,Settings!$M$15:$M$20,1),0))</f>
        <v>1</v>
      </c>
      <c r="AG821" s="12">
        <f t="array" ref="AG821">IF($A821="","",ROUND($Y821*XLOOKUP($F821,Settings!$I$15:$I$20,Settings!$N$15:$N$20,1.1),0))</f>
        <v>1</v>
      </c>
      <c r="AH821" s="12">
        <f t="array" ref="AH821">IF($A821="","",ROUND($Y821*XLOOKUP($F821,Settings!$I$15:$I$20,Settings!$O$15:$O$20,1.1)*Settings!$J$7,0))</f>
        <v>1</v>
      </c>
      <c r="AI821" s="12">
        <f t="array" ref="AI821">IF($A821="","",IF($AA821="Sold","",MIN($AH821,IFERROR(XLOOKUP(Settings!$B$12,Managers!$B$4:$B$15,Managers!$H$4:$H$15),$AH821))))</f>
        <v>1</v>
      </c>
      <c r="AJ821" s="12" t="str">
        <f t="shared" si="3"/>
        <v>Recommended</v>
      </c>
      <c r="AK821" s="12">
        <f t="shared" si="4"/>
        <v>26</v>
      </c>
      <c r="AL821" s="12" t="str">
        <f t="shared" si="5"/>
        <v/>
      </c>
    </row>
    <row r="822" ht="15.75" customHeight="1">
      <c r="A822" s="10" t="s">
        <v>1924</v>
      </c>
      <c r="B822" s="10" t="s">
        <v>1925</v>
      </c>
      <c r="C822" s="10" t="s">
        <v>199</v>
      </c>
      <c r="D822" s="10" t="s">
        <v>118</v>
      </c>
      <c r="E822" s="10" t="s">
        <v>118</v>
      </c>
      <c r="F822" s="10" t="s">
        <v>117</v>
      </c>
      <c r="G822" s="10">
        <v>5.0</v>
      </c>
      <c r="H822" s="10">
        <v>7.0</v>
      </c>
      <c r="I822" s="10" t="s">
        <v>2140</v>
      </c>
      <c r="J822" s="10" t="s">
        <v>2136</v>
      </c>
      <c r="K822" s="10"/>
      <c r="L822" s="10">
        <v>0.0</v>
      </c>
      <c r="M822" s="10">
        <v>0.0</v>
      </c>
      <c r="N822" s="10"/>
      <c r="O822" s="10"/>
      <c r="P822" s="12">
        <f>IF($A822="","",IFERROR((IF($O822="",0,$O822)*Settings!$J$4+IF($L822="",0,$L822)*Settings!$J$5+IF($N822="",0,$N822)*Settings!$J$6)/(IF($O822="",0,Settings!$J$4)+IF($L822="",0,Settings!$J$5)+IF($N822="",0,Settings!$J$6)),0))</f>
        <v>0</v>
      </c>
      <c r="Q822" s="12">
        <f t="array" ref="Q822">IF($A822="","",XLOOKUP($E822,Settings!$A$19:$A$22,Settings!$G$19:$G$22,0))</f>
        <v>196.25</v>
      </c>
      <c r="R822" s="12">
        <f t="shared" si="1"/>
        <v>0</v>
      </c>
      <c r="S822" s="12">
        <f>IF($A822="","",IF($R822&lt;=0,1,1+$R822/SUMIF($R$4:$R$923,"&gt;0",$R$4:$R$923)*(Settings!$B$5*(Settings!$B$6-Settings!$B$7))))</f>
        <v>1</v>
      </c>
      <c r="T822" s="12">
        <f t="array" ref="T822">IF($A822="","",XLOOKUP($F822,Settings!$I$15:$I$20,Settings!$J$15:$J$20,1))</f>
        <v>0.75</v>
      </c>
      <c r="U822" s="12">
        <f>IF($A822="","",1+(($G822-5)/5)*Settings!$J$8)</f>
        <v>1</v>
      </c>
      <c r="V822" s="12">
        <f>IF($A822="","",1+(($H822-5)/5)*Settings!$J$9)</f>
        <v>1.06</v>
      </c>
      <c r="W822" s="12">
        <f t="array" ref="W822">IF($A822="","",XLOOKUP($J822,Lists!$C$3:$C$7,Lists!$D$3:$D$7,1))</f>
        <v>1</v>
      </c>
      <c r="X822" s="12">
        <f>IF($A822="","",IF($I822="Yes",Settings!$J$10,1))</f>
        <v>1</v>
      </c>
      <c r="Y822" s="12">
        <f t="shared" si="2"/>
        <v>1</v>
      </c>
      <c r="Z822" s="12">
        <f>IF($A822="","",IFERROR(ROUND(AVERAGEIFS('Historical Drafts'!$G$4:$G$300,'Historical Drafts'!$D$4:$D$300,$E822,'Historical Drafts'!$J$4:$J$300,"&gt;="&amp;$L822*0.85,'Historical Drafts'!$J$4:$J$300,"&lt;="&amp;$L822*1.15),0),$Y822))</f>
        <v>1</v>
      </c>
      <c r="AA822" s="12" t="str">
        <f>IF($A822="","",IF(COUNTIF('Auction Log'!$B$3:$B$300,$A822)&gt;0,"Sold","Available"))</f>
        <v>Available</v>
      </c>
      <c r="AB822" s="12" t="str">
        <f t="array" ref="AB822">IF($A822="","",IFERROR(XLOOKUP($A822,'Auction Log'!$B$3:$B$300,'Auction Log'!$G$3:$G$300,""),""))</f>
        <v/>
      </c>
      <c r="AC822" s="12" t="str">
        <f t="array" ref="AC822">IF($A822="","",IFERROR(XLOOKUP($A822,'Auction Log'!$B$3:$B$300,'Auction Log'!$F$3:$F$300,""),""))</f>
        <v/>
      </c>
      <c r="AD822" s="12">
        <f t="array" ref="AD822">IF($A822="","",ROUND($Y822*XLOOKUP($F822,Settings!$I$15:$I$20,Settings!$K$15:$K$20,0.4),0))</f>
        <v>0</v>
      </c>
      <c r="AE822" s="12">
        <f t="array" ref="AE822">IF($A822="","",ROUND($Y822*XLOOKUP($F822,Settings!$I$15:$I$20,Settings!$L$15:$L$20,0.8),0))</f>
        <v>1</v>
      </c>
      <c r="AF822" s="12">
        <f t="array" ref="AF822">IF($A822="","",ROUND($Y822*XLOOKUP($F822,Settings!$I$15:$I$20,Settings!$M$15:$M$20,1),0))</f>
        <v>1</v>
      </c>
      <c r="AG822" s="12">
        <f t="array" ref="AG822">IF($A822="","",ROUND($Y822*XLOOKUP($F822,Settings!$I$15:$I$20,Settings!$N$15:$N$20,1.1),0))</f>
        <v>1</v>
      </c>
      <c r="AH822" s="12">
        <f t="array" ref="AH822">IF($A822="","",ROUND($Y822*XLOOKUP($F822,Settings!$I$15:$I$20,Settings!$O$15:$O$20,1.1)*Settings!$J$7,0))</f>
        <v>1</v>
      </c>
      <c r="AI822" s="12">
        <f t="array" ref="AI822">IF($A822="","",IF($AA822="Sold","",MIN($AH822,IFERROR(XLOOKUP(Settings!$B$12,Managers!$B$4:$B$15,Managers!$H$4:$H$15),$AH822))))</f>
        <v>1</v>
      </c>
      <c r="AJ822" s="12" t="str">
        <f t="shared" si="3"/>
        <v>Recommended</v>
      </c>
      <c r="AK822" s="12">
        <f t="shared" si="4"/>
        <v>26</v>
      </c>
      <c r="AL822" s="12" t="str">
        <f t="shared" si="5"/>
        <v/>
      </c>
    </row>
    <row r="823" ht="15.75" customHeight="1">
      <c r="A823" s="10" t="s">
        <v>1926</v>
      </c>
      <c r="B823" s="10" t="s">
        <v>1927</v>
      </c>
      <c r="C823" s="10" t="s">
        <v>243</v>
      </c>
      <c r="D823" s="10" t="s">
        <v>118</v>
      </c>
      <c r="E823" s="10" t="s">
        <v>118</v>
      </c>
      <c r="F823" s="10" t="s">
        <v>117</v>
      </c>
      <c r="G823" s="10">
        <v>5.0</v>
      </c>
      <c r="H823" s="10">
        <v>7.0</v>
      </c>
      <c r="I823" s="10" t="s">
        <v>2140</v>
      </c>
      <c r="J823" s="10" t="s">
        <v>2136</v>
      </c>
      <c r="K823" s="10"/>
      <c r="L823" s="10">
        <v>0.0</v>
      </c>
      <c r="M823" s="10">
        <v>0.0</v>
      </c>
      <c r="N823" s="10"/>
      <c r="O823" s="10"/>
      <c r="P823" s="12">
        <f>IF($A823="","",IFERROR((IF($O823="",0,$O823)*Settings!$J$4+IF($L823="",0,$L823)*Settings!$J$5+IF($N823="",0,$N823)*Settings!$J$6)/(IF($O823="",0,Settings!$J$4)+IF($L823="",0,Settings!$J$5)+IF($N823="",0,Settings!$J$6)),0))</f>
        <v>0</v>
      </c>
      <c r="Q823" s="12">
        <f t="array" ref="Q823">IF($A823="","",XLOOKUP($E823,Settings!$A$19:$A$22,Settings!$G$19:$G$22,0))</f>
        <v>196.25</v>
      </c>
      <c r="R823" s="12">
        <f t="shared" si="1"/>
        <v>0</v>
      </c>
      <c r="S823" s="12">
        <f>IF($A823="","",IF($R823&lt;=0,1,1+$R823/SUMIF($R$4:$R$923,"&gt;0",$R$4:$R$923)*(Settings!$B$5*(Settings!$B$6-Settings!$B$7))))</f>
        <v>1</v>
      </c>
      <c r="T823" s="12">
        <f t="array" ref="T823">IF($A823="","",XLOOKUP($F823,Settings!$I$15:$I$20,Settings!$J$15:$J$20,1))</f>
        <v>0.75</v>
      </c>
      <c r="U823" s="12">
        <f>IF($A823="","",1+(($G823-5)/5)*Settings!$J$8)</f>
        <v>1</v>
      </c>
      <c r="V823" s="12">
        <f>IF($A823="","",1+(($H823-5)/5)*Settings!$J$9)</f>
        <v>1.06</v>
      </c>
      <c r="W823" s="12">
        <f t="array" ref="W823">IF($A823="","",XLOOKUP($J823,Lists!$C$3:$C$7,Lists!$D$3:$D$7,1))</f>
        <v>1</v>
      </c>
      <c r="X823" s="12">
        <f>IF($A823="","",IF($I823="Yes",Settings!$J$10,1))</f>
        <v>1</v>
      </c>
      <c r="Y823" s="12">
        <f t="shared" si="2"/>
        <v>1</v>
      </c>
      <c r="Z823" s="12">
        <f>IF($A823="","",IFERROR(ROUND(AVERAGEIFS('Historical Drafts'!$G$4:$G$300,'Historical Drafts'!$D$4:$D$300,$E823,'Historical Drafts'!$J$4:$J$300,"&gt;="&amp;$L823*0.85,'Historical Drafts'!$J$4:$J$300,"&lt;="&amp;$L823*1.15),0),$Y823))</f>
        <v>1</v>
      </c>
      <c r="AA823" s="12" t="str">
        <f>IF($A823="","",IF(COUNTIF('Auction Log'!$B$3:$B$300,$A823)&gt;0,"Sold","Available"))</f>
        <v>Available</v>
      </c>
      <c r="AB823" s="12" t="str">
        <f t="array" ref="AB823">IF($A823="","",IFERROR(XLOOKUP($A823,'Auction Log'!$B$3:$B$300,'Auction Log'!$G$3:$G$300,""),""))</f>
        <v/>
      </c>
      <c r="AC823" s="12" t="str">
        <f t="array" ref="AC823">IF($A823="","",IFERROR(XLOOKUP($A823,'Auction Log'!$B$3:$B$300,'Auction Log'!$F$3:$F$300,""),""))</f>
        <v/>
      </c>
      <c r="AD823" s="12">
        <f t="array" ref="AD823">IF($A823="","",ROUND($Y823*XLOOKUP($F823,Settings!$I$15:$I$20,Settings!$K$15:$K$20,0.4),0))</f>
        <v>0</v>
      </c>
      <c r="AE823" s="12">
        <f t="array" ref="AE823">IF($A823="","",ROUND($Y823*XLOOKUP($F823,Settings!$I$15:$I$20,Settings!$L$15:$L$20,0.8),0))</f>
        <v>1</v>
      </c>
      <c r="AF823" s="12">
        <f t="array" ref="AF823">IF($A823="","",ROUND($Y823*XLOOKUP($F823,Settings!$I$15:$I$20,Settings!$M$15:$M$20,1),0))</f>
        <v>1</v>
      </c>
      <c r="AG823" s="12">
        <f t="array" ref="AG823">IF($A823="","",ROUND($Y823*XLOOKUP($F823,Settings!$I$15:$I$20,Settings!$N$15:$N$20,1.1),0))</f>
        <v>1</v>
      </c>
      <c r="AH823" s="12">
        <f t="array" ref="AH823">IF($A823="","",ROUND($Y823*XLOOKUP($F823,Settings!$I$15:$I$20,Settings!$O$15:$O$20,1.1)*Settings!$J$7,0))</f>
        <v>1</v>
      </c>
      <c r="AI823" s="12">
        <f t="array" ref="AI823">IF($A823="","",IF($AA823="Sold","",MIN($AH823,IFERROR(XLOOKUP(Settings!$B$12,Managers!$B$4:$B$15,Managers!$H$4:$H$15),$AH823))))</f>
        <v>1</v>
      </c>
      <c r="AJ823" s="12" t="str">
        <f t="shared" si="3"/>
        <v>Recommended</v>
      </c>
      <c r="AK823" s="12">
        <f t="shared" si="4"/>
        <v>26</v>
      </c>
      <c r="AL823" s="12" t="str">
        <f t="shared" si="5"/>
        <v/>
      </c>
    </row>
    <row r="824" ht="15.75" customHeight="1">
      <c r="A824" s="10" t="s">
        <v>1928</v>
      </c>
      <c r="B824" s="10" t="s">
        <v>1929</v>
      </c>
      <c r="C824" s="10" t="s">
        <v>226</v>
      </c>
      <c r="D824" s="10" t="s">
        <v>115</v>
      </c>
      <c r="E824" s="10" t="s">
        <v>115</v>
      </c>
      <c r="F824" s="10" t="s">
        <v>117</v>
      </c>
      <c r="G824" s="10">
        <v>5.0</v>
      </c>
      <c r="H824" s="10">
        <v>7.0</v>
      </c>
      <c r="I824" s="10" t="s">
        <v>2140</v>
      </c>
      <c r="J824" s="10" t="s">
        <v>2136</v>
      </c>
      <c r="K824" s="10"/>
      <c r="L824" s="10">
        <v>0.0</v>
      </c>
      <c r="M824" s="10">
        <v>0.0</v>
      </c>
      <c r="N824" s="10"/>
      <c r="O824" s="10"/>
      <c r="P824" s="12">
        <f>IF($A824="","",IFERROR((IF($O824="",0,$O824)*Settings!$J$4+IF($L824="",0,$L824)*Settings!$J$5+IF($N824="",0,$N824)*Settings!$J$6)/(IF($O824="",0,Settings!$J$4)+IF($L824="",0,Settings!$J$5)+IF($N824="",0,Settings!$J$6)),0))</f>
        <v>0</v>
      </c>
      <c r="Q824" s="12">
        <f t="array" ref="Q824">IF($A824="","",XLOOKUP($E824,Settings!$A$19:$A$22,Settings!$G$19:$G$22,0))</f>
        <v>249.25</v>
      </c>
      <c r="R824" s="12">
        <f t="shared" si="1"/>
        <v>0</v>
      </c>
      <c r="S824" s="12">
        <f>IF($A824="","",IF($R824&lt;=0,1,1+$R824/SUMIF($R$4:$R$923,"&gt;0",$R$4:$R$923)*(Settings!$B$5*(Settings!$B$6-Settings!$B$7))))</f>
        <v>1</v>
      </c>
      <c r="T824" s="12">
        <f t="array" ref="T824">IF($A824="","",XLOOKUP($F824,Settings!$I$15:$I$20,Settings!$J$15:$J$20,1))</f>
        <v>0.75</v>
      </c>
      <c r="U824" s="12">
        <f>IF($A824="","",1+(($G824-5)/5)*Settings!$J$8)</f>
        <v>1</v>
      </c>
      <c r="V824" s="12">
        <f>IF($A824="","",1+(($H824-5)/5)*Settings!$J$9)</f>
        <v>1.06</v>
      </c>
      <c r="W824" s="12">
        <f t="array" ref="W824">IF($A824="","",XLOOKUP($J824,Lists!$C$3:$C$7,Lists!$D$3:$D$7,1))</f>
        <v>1</v>
      </c>
      <c r="X824" s="12">
        <f>IF($A824="","",IF($I824="Yes",Settings!$J$10,1))</f>
        <v>1</v>
      </c>
      <c r="Y824" s="12">
        <f t="shared" si="2"/>
        <v>1</v>
      </c>
      <c r="Z824" s="12">
        <f>IF($A824="","",IFERROR(ROUND(AVERAGEIFS('Historical Drafts'!$G$4:$G$300,'Historical Drafts'!$D$4:$D$300,$E824,'Historical Drafts'!$J$4:$J$300,"&gt;="&amp;$L824*0.85,'Historical Drafts'!$J$4:$J$300,"&lt;="&amp;$L824*1.15),0),$Y824))</f>
        <v>1</v>
      </c>
      <c r="AA824" s="12" t="str">
        <f>IF($A824="","",IF(COUNTIF('Auction Log'!$B$3:$B$300,$A824)&gt;0,"Sold","Available"))</f>
        <v>Available</v>
      </c>
      <c r="AB824" s="12" t="str">
        <f t="array" ref="AB824">IF($A824="","",IFERROR(XLOOKUP($A824,'Auction Log'!$B$3:$B$300,'Auction Log'!$G$3:$G$300,""),""))</f>
        <v/>
      </c>
      <c r="AC824" s="12" t="str">
        <f t="array" ref="AC824">IF($A824="","",IFERROR(XLOOKUP($A824,'Auction Log'!$B$3:$B$300,'Auction Log'!$F$3:$F$300,""),""))</f>
        <v/>
      </c>
      <c r="AD824" s="12">
        <f t="array" ref="AD824">IF($A824="","",ROUND($Y824*XLOOKUP($F824,Settings!$I$15:$I$20,Settings!$K$15:$K$20,0.4),0))</f>
        <v>0</v>
      </c>
      <c r="AE824" s="12">
        <f t="array" ref="AE824">IF($A824="","",ROUND($Y824*XLOOKUP($F824,Settings!$I$15:$I$20,Settings!$L$15:$L$20,0.8),0))</f>
        <v>1</v>
      </c>
      <c r="AF824" s="12">
        <f t="array" ref="AF824">IF($A824="","",ROUND($Y824*XLOOKUP($F824,Settings!$I$15:$I$20,Settings!$M$15:$M$20,1),0))</f>
        <v>1</v>
      </c>
      <c r="AG824" s="12">
        <f t="array" ref="AG824">IF($A824="","",ROUND($Y824*XLOOKUP($F824,Settings!$I$15:$I$20,Settings!$N$15:$N$20,1.1),0))</f>
        <v>1</v>
      </c>
      <c r="AH824" s="12">
        <f t="array" ref="AH824">IF($A824="","",ROUND($Y824*XLOOKUP($F824,Settings!$I$15:$I$20,Settings!$O$15:$O$20,1.1)*Settings!$J$7,0))</f>
        <v>1</v>
      </c>
      <c r="AI824" s="12">
        <f t="array" ref="AI824">IF($A824="","",IF($AA824="Sold","",MIN($AH824,IFERROR(XLOOKUP(Settings!$B$12,Managers!$B$4:$B$15,Managers!$H$4:$H$15),$AH824))))</f>
        <v>1</v>
      </c>
      <c r="AJ824" s="12" t="str">
        <f t="shared" si="3"/>
        <v>Recommended</v>
      </c>
      <c r="AK824" s="12">
        <f t="shared" si="4"/>
        <v>26</v>
      </c>
      <c r="AL824" s="12" t="str">
        <f t="shared" si="5"/>
        <v/>
      </c>
    </row>
    <row r="825" ht="15.75" customHeight="1">
      <c r="A825" s="10" t="s">
        <v>1930</v>
      </c>
      <c r="B825" s="10" t="s">
        <v>1931</v>
      </c>
      <c r="C825" s="10" t="s">
        <v>243</v>
      </c>
      <c r="D825" s="10" t="s">
        <v>121</v>
      </c>
      <c r="E825" s="10" t="s">
        <v>121</v>
      </c>
      <c r="F825" s="10" t="s">
        <v>117</v>
      </c>
      <c r="G825" s="10">
        <v>5.0</v>
      </c>
      <c r="H825" s="10">
        <v>7.0</v>
      </c>
      <c r="I825" s="10" t="s">
        <v>2140</v>
      </c>
      <c r="J825" s="10" t="s">
        <v>2136</v>
      </c>
      <c r="K825" s="10"/>
      <c r="L825" s="10">
        <v>0.0</v>
      </c>
      <c r="M825" s="10">
        <v>0.0</v>
      </c>
      <c r="N825" s="10"/>
      <c r="O825" s="10"/>
      <c r="P825" s="12">
        <f>IF($A825="","",IFERROR((IF($O825="",0,$O825)*Settings!$J$4+IF($L825="",0,$L825)*Settings!$J$5+IF($N825="",0,$N825)*Settings!$J$6)/(IF($O825="",0,Settings!$J$4)+IF($L825="",0,Settings!$J$5)+IF($N825="",0,Settings!$J$6)),0))</f>
        <v>0</v>
      </c>
      <c r="Q825" s="12">
        <f t="array" ref="Q825">IF($A825="","",XLOOKUP($E825,Settings!$A$19:$A$22,Settings!$G$19:$G$22,0))</f>
        <v>206</v>
      </c>
      <c r="R825" s="12">
        <f t="shared" si="1"/>
        <v>0</v>
      </c>
      <c r="S825" s="12">
        <f>IF($A825="","",IF($R825&lt;=0,1,1+$R825/SUMIF($R$4:$R$923,"&gt;0",$R$4:$R$923)*(Settings!$B$5*(Settings!$B$6-Settings!$B$7))))</f>
        <v>1</v>
      </c>
      <c r="T825" s="12">
        <f t="array" ref="T825">IF($A825="","",XLOOKUP($F825,Settings!$I$15:$I$20,Settings!$J$15:$J$20,1))</f>
        <v>0.75</v>
      </c>
      <c r="U825" s="12">
        <f>IF($A825="","",1+(($G825-5)/5)*Settings!$J$8)</f>
        <v>1</v>
      </c>
      <c r="V825" s="12">
        <f>IF($A825="","",1+(($H825-5)/5)*Settings!$J$9)</f>
        <v>1.06</v>
      </c>
      <c r="W825" s="12">
        <f t="array" ref="W825">IF($A825="","",XLOOKUP($J825,Lists!$C$3:$C$7,Lists!$D$3:$D$7,1))</f>
        <v>1</v>
      </c>
      <c r="X825" s="12">
        <f>IF($A825="","",IF($I825="Yes",Settings!$J$10,1))</f>
        <v>1</v>
      </c>
      <c r="Y825" s="12">
        <f t="shared" si="2"/>
        <v>1</v>
      </c>
      <c r="Z825" s="12">
        <f>IF($A825="","",IFERROR(ROUND(AVERAGEIFS('Historical Drafts'!$G$4:$G$300,'Historical Drafts'!$D$4:$D$300,$E825,'Historical Drafts'!$J$4:$J$300,"&gt;="&amp;$L825*0.85,'Historical Drafts'!$J$4:$J$300,"&lt;="&amp;$L825*1.15),0),$Y825))</f>
        <v>3</v>
      </c>
      <c r="AA825" s="12" t="str">
        <f>IF($A825="","",IF(COUNTIF('Auction Log'!$B$3:$B$300,$A825)&gt;0,"Sold","Available"))</f>
        <v>Available</v>
      </c>
      <c r="AB825" s="12" t="str">
        <f t="array" ref="AB825">IF($A825="","",IFERROR(XLOOKUP($A825,'Auction Log'!$B$3:$B$300,'Auction Log'!$G$3:$G$300,""),""))</f>
        <v/>
      </c>
      <c r="AC825" s="12" t="str">
        <f t="array" ref="AC825">IF($A825="","",IFERROR(XLOOKUP($A825,'Auction Log'!$B$3:$B$300,'Auction Log'!$F$3:$F$300,""),""))</f>
        <v/>
      </c>
      <c r="AD825" s="12">
        <f t="array" ref="AD825">IF($A825="","",ROUND($Y825*XLOOKUP($F825,Settings!$I$15:$I$20,Settings!$K$15:$K$20,0.4),0))</f>
        <v>0</v>
      </c>
      <c r="AE825" s="12">
        <f t="array" ref="AE825">IF($A825="","",ROUND($Y825*XLOOKUP($F825,Settings!$I$15:$I$20,Settings!$L$15:$L$20,0.8),0))</f>
        <v>1</v>
      </c>
      <c r="AF825" s="12">
        <f t="array" ref="AF825">IF($A825="","",ROUND($Y825*XLOOKUP($F825,Settings!$I$15:$I$20,Settings!$M$15:$M$20,1),0))</f>
        <v>1</v>
      </c>
      <c r="AG825" s="12">
        <f t="array" ref="AG825">IF($A825="","",ROUND($Y825*XLOOKUP($F825,Settings!$I$15:$I$20,Settings!$N$15:$N$20,1.1),0))</f>
        <v>1</v>
      </c>
      <c r="AH825" s="12">
        <f t="array" ref="AH825">IF($A825="","",ROUND($Y825*XLOOKUP($F825,Settings!$I$15:$I$20,Settings!$O$15:$O$20,1.1)*Settings!$J$7,0))</f>
        <v>1</v>
      </c>
      <c r="AI825" s="12">
        <f t="array" ref="AI825">IF($A825="","",IF($AA825="Sold","",MIN($AH825,IFERROR(XLOOKUP(Settings!$B$12,Managers!$B$4:$B$15,Managers!$H$4:$H$15),$AH825))))</f>
        <v>1</v>
      </c>
      <c r="AJ825" s="12" t="str">
        <f t="shared" si="3"/>
        <v>Budget Drainer</v>
      </c>
      <c r="AK825" s="12">
        <f t="shared" si="4"/>
        <v>28</v>
      </c>
      <c r="AL825" s="12" t="str">
        <f t="shared" si="5"/>
        <v/>
      </c>
    </row>
    <row r="826" ht="15.75" customHeight="1">
      <c r="A826" s="10" t="s">
        <v>1932</v>
      </c>
      <c r="B826" s="10" t="s">
        <v>1933</v>
      </c>
      <c r="C826" s="10" t="s">
        <v>314</v>
      </c>
      <c r="D826" s="10" t="s">
        <v>123</v>
      </c>
      <c r="E826" s="10" t="s">
        <v>123</v>
      </c>
      <c r="F826" s="10" t="s">
        <v>117</v>
      </c>
      <c r="G826" s="10">
        <v>5.0</v>
      </c>
      <c r="H826" s="10">
        <v>7.0</v>
      </c>
      <c r="I826" s="10" t="s">
        <v>2140</v>
      </c>
      <c r="J826" s="10" t="s">
        <v>2136</v>
      </c>
      <c r="K826" s="10"/>
      <c r="L826" s="10">
        <v>0.0</v>
      </c>
      <c r="M826" s="10">
        <v>0.0</v>
      </c>
      <c r="N826" s="10"/>
      <c r="O826" s="10"/>
      <c r="P826" s="12">
        <f>IF($A826="","",IFERROR((IF($O826="",0,$O826)*Settings!$J$4+IF($L826="",0,$L826)*Settings!$J$5+IF($N826="",0,$N826)*Settings!$J$6)/(IF($O826="",0,Settings!$J$4)+IF($L826="",0,Settings!$J$5)+IF($N826="",0,Settings!$J$6)),0))</f>
        <v>0</v>
      </c>
      <c r="Q826" s="12">
        <f t="array" ref="Q826">IF($A826="","",XLOOKUP($E826,Settings!$A$19:$A$22,Settings!$G$19:$G$22,0))</f>
        <v>203</v>
      </c>
      <c r="R826" s="12">
        <f t="shared" si="1"/>
        <v>0</v>
      </c>
      <c r="S826" s="12">
        <f>IF($A826="","",IF($R826&lt;=0,1,1+$R826/SUMIF($R$4:$R$923,"&gt;0",$R$4:$R$923)*(Settings!$B$5*(Settings!$B$6-Settings!$B$7))))</f>
        <v>1</v>
      </c>
      <c r="T826" s="12">
        <f t="array" ref="T826">IF($A826="","",XLOOKUP($F826,Settings!$I$15:$I$20,Settings!$J$15:$J$20,1))</f>
        <v>0.75</v>
      </c>
      <c r="U826" s="12">
        <f>IF($A826="","",1+(($G826-5)/5)*Settings!$J$8)</f>
        <v>1</v>
      </c>
      <c r="V826" s="12">
        <f>IF($A826="","",1+(($H826-5)/5)*Settings!$J$9)</f>
        <v>1.06</v>
      </c>
      <c r="W826" s="12">
        <f t="array" ref="W826">IF($A826="","",XLOOKUP($J826,Lists!$C$3:$C$7,Lists!$D$3:$D$7,1))</f>
        <v>1</v>
      </c>
      <c r="X826" s="12">
        <f>IF($A826="","",IF($I826="Yes",Settings!$J$10,1))</f>
        <v>1</v>
      </c>
      <c r="Y826" s="12">
        <f t="shared" si="2"/>
        <v>1</v>
      </c>
      <c r="Z826" s="12">
        <f>IF($A826="","",IFERROR(ROUND(AVERAGEIFS('Historical Drafts'!$G$4:$G$300,'Historical Drafts'!$D$4:$D$300,$E826,'Historical Drafts'!$J$4:$J$300,"&gt;="&amp;$L826*0.85,'Historical Drafts'!$J$4:$J$300,"&lt;="&amp;$L826*1.15),0),$Y826))</f>
        <v>3</v>
      </c>
      <c r="AA826" s="12" t="str">
        <f>IF($A826="","",IF(COUNTIF('Auction Log'!$B$3:$B$300,$A826)&gt;0,"Sold","Available"))</f>
        <v>Available</v>
      </c>
      <c r="AB826" s="12" t="str">
        <f t="array" ref="AB826">IF($A826="","",IFERROR(XLOOKUP($A826,'Auction Log'!$B$3:$B$300,'Auction Log'!$G$3:$G$300,""),""))</f>
        <v/>
      </c>
      <c r="AC826" s="12" t="str">
        <f t="array" ref="AC826">IF($A826="","",IFERROR(XLOOKUP($A826,'Auction Log'!$B$3:$B$300,'Auction Log'!$F$3:$F$300,""),""))</f>
        <v/>
      </c>
      <c r="AD826" s="12">
        <f t="array" ref="AD826">IF($A826="","",ROUND($Y826*XLOOKUP($F826,Settings!$I$15:$I$20,Settings!$K$15:$K$20,0.4),0))</f>
        <v>0</v>
      </c>
      <c r="AE826" s="12">
        <f t="array" ref="AE826">IF($A826="","",ROUND($Y826*XLOOKUP($F826,Settings!$I$15:$I$20,Settings!$L$15:$L$20,0.8),0))</f>
        <v>1</v>
      </c>
      <c r="AF826" s="12">
        <f t="array" ref="AF826">IF($A826="","",ROUND($Y826*XLOOKUP($F826,Settings!$I$15:$I$20,Settings!$M$15:$M$20,1),0))</f>
        <v>1</v>
      </c>
      <c r="AG826" s="12">
        <f t="array" ref="AG826">IF($A826="","",ROUND($Y826*XLOOKUP($F826,Settings!$I$15:$I$20,Settings!$N$15:$N$20,1.1),0))</f>
        <v>1</v>
      </c>
      <c r="AH826" s="12">
        <f t="array" ref="AH826">IF($A826="","",ROUND($Y826*XLOOKUP($F826,Settings!$I$15:$I$20,Settings!$O$15:$O$20,1.1)*Settings!$J$7,0))</f>
        <v>1</v>
      </c>
      <c r="AI826" s="12">
        <f t="array" ref="AI826">IF($A826="","",IF($AA826="Sold","",MIN($AH826,IFERROR(XLOOKUP(Settings!$B$12,Managers!$B$4:$B$15,Managers!$H$4:$H$15),$AH826))))</f>
        <v>1</v>
      </c>
      <c r="AJ826" s="12" t="str">
        <f t="shared" si="3"/>
        <v>Budget Drainer</v>
      </c>
      <c r="AK826" s="12">
        <f t="shared" si="4"/>
        <v>28</v>
      </c>
      <c r="AL826" s="12" t="str">
        <f t="shared" si="5"/>
        <v/>
      </c>
    </row>
    <row r="827" ht="15.75" customHeight="1">
      <c r="A827" s="10" t="s">
        <v>1934</v>
      </c>
      <c r="B827" s="10" t="s">
        <v>1935</v>
      </c>
      <c r="C827" s="10" t="s">
        <v>285</v>
      </c>
      <c r="D827" s="10" t="s">
        <v>123</v>
      </c>
      <c r="E827" s="10" t="s">
        <v>123</v>
      </c>
      <c r="F827" s="10" t="s">
        <v>117</v>
      </c>
      <c r="G827" s="10">
        <v>5.0</v>
      </c>
      <c r="H827" s="10">
        <v>7.0</v>
      </c>
      <c r="I827" s="10" t="s">
        <v>2140</v>
      </c>
      <c r="J827" s="10" t="s">
        <v>2136</v>
      </c>
      <c r="K827" s="10"/>
      <c r="L827" s="10">
        <v>0.0</v>
      </c>
      <c r="M827" s="10">
        <v>0.0</v>
      </c>
      <c r="N827" s="10"/>
      <c r="O827" s="10"/>
      <c r="P827" s="12">
        <f>IF($A827="","",IFERROR((IF($O827="",0,$O827)*Settings!$J$4+IF($L827="",0,$L827)*Settings!$J$5+IF($N827="",0,$N827)*Settings!$J$6)/(IF($O827="",0,Settings!$J$4)+IF($L827="",0,Settings!$J$5)+IF($N827="",0,Settings!$J$6)),0))</f>
        <v>0</v>
      </c>
      <c r="Q827" s="12">
        <f t="array" ref="Q827">IF($A827="","",XLOOKUP($E827,Settings!$A$19:$A$22,Settings!$G$19:$G$22,0))</f>
        <v>203</v>
      </c>
      <c r="R827" s="12">
        <f t="shared" si="1"/>
        <v>0</v>
      </c>
      <c r="S827" s="12">
        <f>IF($A827="","",IF($R827&lt;=0,1,1+$R827/SUMIF($R$4:$R$923,"&gt;0",$R$4:$R$923)*(Settings!$B$5*(Settings!$B$6-Settings!$B$7))))</f>
        <v>1</v>
      </c>
      <c r="T827" s="12">
        <f t="array" ref="T827">IF($A827="","",XLOOKUP($F827,Settings!$I$15:$I$20,Settings!$J$15:$J$20,1))</f>
        <v>0.75</v>
      </c>
      <c r="U827" s="12">
        <f>IF($A827="","",1+(($G827-5)/5)*Settings!$J$8)</f>
        <v>1</v>
      </c>
      <c r="V827" s="12">
        <f>IF($A827="","",1+(($H827-5)/5)*Settings!$J$9)</f>
        <v>1.06</v>
      </c>
      <c r="W827" s="12">
        <f t="array" ref="W827">IF($A827="","",XLOOKUP($J827,Lists!$C$3:$C$7,Lists!$D$3:$D$7,1))</f>
        <v>1</v>
      </c>
      <c r="X827" s="12">
        <f>IF($A827="","",IF($I827="Yes",Settings!$J$10,1))</f>
        <v>1</v>
      </c>
      <c r="Y827" s="12">
        <f t="shared" si="2"/>
        <v>1</v>
      </c>
      <c r="Z827" s="12">
        <f>IF($A827="","",IFERROR(ROUND(AVERAGEIFS('Historical Drafts'!$G$4:$G$300,'Historical Drafts'!$D$4:$D$300,$E827,'Historical Drafts'!$J$4:$J$300,"&gt;="&amp;$L827*0.85,'Historical Drafts'!$J$4:$J$300,"&lt;="&amp;$L827*1.15),0),$Y827))</f>
        <v>3</v>
      </c>
      <c r="AA827" s="12" t="str">
        <f>IF($A827="","",IF(COUNTIF('Auction Log'!$B$3:$B$300,$A827)&gt;0,"Sold","Available"))</f>
        <v>Available</v>
      </c>
      <c r="AB827" s="12" t="str">
        <f t="array" ref="AB827">IF($A827="","",IFERROR(XLOOKUP($A827,'Auction Log'!$B$3:$B$300,'Auction Log'!$G$3:$G$300,""),""))</f>
        <v/>
      </c>
      <c r="AC827" s="12" t="str">
        <f t="array" ref="AC827">IF($A827="","",IFERROR(XLOOKUP($A827,'Auction Log'!$B$3:$B$300,'Auction Log'!$F$3:$F$300,""),""))</f>
        <v/>
      </c>
      <c r="AD827" s="12">
        <f t="array" ref="AD827">IF($A827="","",ROUND($Y827*XLOOKUP($F827,Settings!$I$15:$I$20,Settings!$K$15:$K$20,0.4),0))</f>
        <v>0</v>
      </c>
      <c r="AE827" s="12">
        <f t="array" ref="AE827">IF($A827="","",ROUND($Y827*XLOOKUP($F827,Settings!$I$15:$I$20,Settings!$L$15:$L$20,0.8),0))</f>
        <v>1</v>
      </c>
      <c r="AF827" s="12">
        <f t="array" ref="AF827">IF($A827="","",ROUND($Y827*XLOOKUP($F827,Settings!$I$15:$I$20,Settings!$M$15:$M$20,1),0))</f>
        <v>1</v>
      </c>
      <c r="AG827" s="12">
        <f t="array" ref="AG827">IF($A827="","",ROUND($Y827*XLOOKUP($F827,Settings!$I$15:$I$20,Settings!$N$15:$N$20,1.1),0))</f>
        <v>1</v>
      </c>
      <c r="AH827" s="12">
        <f t="array" ref="AH827">IF($A827="","",ROUND($Y827*XLOOKUP($F827,Settings!$I$15:$I$20,Settings!$O$15:$O$20,1.1)*Settings!$J$7,0))</f>
        <v>1</v>
      </c>
      <c r="AI827" s="12">
        <f t="array" ref="AI827">IF($A827="","",IF($AA827="Sold","",MIN($AH827,IFERROR(XLOOKUP(Settings!$B$12,Managers!$B$4:$B$15,Managers!$H$4:$H$15),$AH827))))</f>
        <v>1</v>
      </c>
      <c r="AJ827" s="12" t="str">
        <f t="shared" si="3"/>
        <v>Budget Drainer</v>
      </c>
      <c r="AK827" s="12">
        <f t="shared" si="4"/>
        <v>28</v>
      </c>
      <c r="AL827" s="12" t="str">
        <f t="shared" si="5"/>
        <v/>
      </c>
    </row>
    <row r="828" ht="15.75" customHeight="1">
      <c r="A828" s="10" t="s">
        <v>1936</v>
      </c>
      <c r="B828" s="10" t="s">
        <v>1937</v>
      </c>
      <c r="C828" s="10" t="s">
        <v>191</v>
      </c>
      <c r="D828" s="10" t="s">
        <v>123</v>
      </c>
      <c r="E828" s="10" t="s">
        <v>123</v>
      </c>
      <c r="F828" s="10" t="s">
        <v>117</v>
      </c>
      <c r="G828" s="10">
        <v>5.0</v>
      </c>
      <c r="H828" s="10">
        <v>7.0</v>
      </c>
      <c r="I828" s="10" t="s">
        <v>2140</v>
      </c>
      <c r="J828" s="10" t="s">
        <v>2136</v>
      </c>
      <c r="K828" s="10"/>
      <c r="L828" s="10">
        <v>0.0</v>
      </c>
      <c r="M828" s="10">
        <v>0.0</v>
      </c>
      <c r="N828" s="10"/>
      <c r="O828" s="10"/>
      <c r="P828" s="12">
        <f>IF($A828="","",IFERROR((IF($O828="",0,$O828)*Settings!$J$4+IF($L828="",0,$L828)*Settings!$J$5+IF($N828="",0,$N828)*Settings!$J$6)/(IF($O828="",0,Settings!$J$4)+IF($L828="",0,Settings!$J$5)+IF($N828="",0,Settings!$J$6)),0))</f>
        <v>0</v>
      </c>
      <c r="Q828" s="12">
        <f t="array" ref="Q828">IF($A828="","",XLOOKUP($E828,Settings!$A$19:$A$22,Settings!$G$19:$G$22,0))</f>
        <v>203</v>
      </c>
      <c r="R828" s="12">
        <f t="shared" si="1"/>
        <v>0</v>
      </c>
      <c r="S828" s="12">
        <f>IF($A828="","",IF($R828&lt;=0,1,1+$R828/SUMIF($R$4:$R$923,"&gt;0",$R$4:$R$923)*(Settings!$B$5*(Settings!$B$6-Settings!$B$7))))</f>
        <v>1</v>
      </c>
      <c r="T828" s="12">
        <f t="array" ref="T828">IF($A828="","",XLOOKUP($F828,Settings!$I$15:$I$20,Settings!$J$15:$J$20,1))</f>
        <v>0.75</v>
      </c>
      <c r="U828" s="12">
        <f>IF($A828="","",1+(($G828-5)/5)*Settings!$J$8)</f>
        <v>1</v>
      </c>
      <c r="V828" s="12">
        <f>IF($A828="","",1+(($H828-5)/5)*Settings!$J$9)</f>
        <v>1.06</v>
      </c>
      <c r="W828" s="12">
        <f t="array" ref="W828">IF($A828="","",XLOOKUP($J828,Lists!$C$3:$C$7,Lists!$D$3:$D$7,1))</f>
        <v>1</v>
      </c>
      <c r="X828" s="12">
        <f>IF($A828="","",IF($I828="Yes",Settings!$J$10,1))</f>
        <v>1</v>
      </c>
      <c r="Y828" s="12">
        <f t="shared" si="2"/>
        <v>1</v>
      </c>
      <c r="Z828" s="12">
        <f>IF($A828="","",IFERROR(ROUND(AVERAGEIFS('Historical Drafts'!$G$4:$G$300,'Historical Drafts'!$D$4:$D$300,$E828,'Historical Drafts'!$J$4:$J$300,"&gt;="&amp;$L828*0.85,'Historical Drafts'!$J$4:$J$300,"&lt;="&amp;$L828*1.15),0),$Y828))</f>
        <v>3</v>
      </c>
      <c r="AA828" s="12" t="str">
        <f>IF($A828="","",IF(COUNTIF('Auction Log'!$B$3:$B$300,$A828)&gt;0,"Sold","Available"))</f>
        <v>Available</v>
      </c>
      <c r="AB828" s="12" t="str">
        <f t="array" ref="AB828">IF($A828="","",IFERROR(XLOOKUP($A828,'Auction Log'!$B$3:$B$300,'Auction Log'!$G$3:$G$300,""),""))</f>
        <v/>
      </c>
      <c r="AC828" s="12" t="str">
        <f t="array" ref="AC828">IF($A828="","",IFERROR(XLOOKUP($A828,'Auction Log'!$B$3:$B$300,'Auction Log'!$F$3:$F$300,""),""))</f>
        <v/>
      </c>
      <c r="AD828" s="12">
        <f t="array" ref="AD828">IF($A828="","",ROUND($Y828*XLOOKUP($F828,Settings!$I$15:$I$20,Settings!$K$15:$K$20,0.4),0))</f>
        <v>0</v>
      </c>
      <c r="AE828" s="12">
        <f t="array" ref="AE828">IF($A828="","",ROUND($Y828*XLOOKUP($F828,Settings!$I$15:$I$20,Settings!$L$15:$L$20,0.8),0))</f>
        <v>1</v>
      </c>
      <c r="AF828" s="12">
        <f t="array" ref="AF828">IF($A828="","",ROUND($Y828*XLOOKUP($F828,Settings!$I$15:$I$20,Settings!$M$15:$M$20,1),0))</f>
        <v>1</v>
      </c>
      <c r="AG828" s="12">
        <f t="array" ref="AG828">IF($A828="","",ROUND($Y828*XLOOKUP($F828,Settings!$I$15:$I$20,Settings!$N$15:$N$20,1.1),0))</f>
        <v>1</v>
      </c>
      <c r="AH828" s="12">
        <f t="array" ref="AH828">IF($A828="","",ROUND($Y828*XLOOKUP($F828,Settings!$I$15:$I$20,Settings!$O$15:$O$20,1.1)*Settings!$J$7,0))</f>
        <v>1</v>
      </c>
      <c r="AI828" s="12">
        <f t="array" ref="AI828">IF($A828="","",IF($AA828="Sold","",MIN($AH828,IFERROR(XLOOKUP(Settings!$B$12,Managers!$B$4:$B$15,Managers!$H$4:$H$15),$AH828))))</f>
        <v>1</v>
      </c>
      <c r="AJ828" s="12" t="str">
        <f t="shared" si="3"/>
        <v>Budget Drainer</v>
      </c>
      <c r="AK828" s="12">
        <f t="shared" si="4"/>
        <v>28</v>
      </c>
      <c r="AL828" s="12" t="str">
        <f t="shared" si="5"/>
        <v/>
      </c>
    </row>
    <row r="829" ht="15.75" customHeight="1">
      <c r="A829" s="10" t="s">
        <v>1938</v>
      </c>
      <c r="B829" s="10" t="s">
        <v>1939</v>
      </c>
      <c r="C829" s="10" t="s">
        <v>191</v>
      </c>
      <c r="D829" s="10" t="s">
        <v>118</v>
      </c>
      <c r="E829" s="10" t="s">
        <v>118</v>
      </c>
      <c r="F829" s="10" t="s">
        <v>117</v>
      </c>
      <c r="G829" s="10">
        <v>5.0</v>
      </c>
      <c r="H829" s="10">
        <v>7.0</v>
      </c>
      <c r="I829" s="10" t="s">
        <v>2140</v>
      </c>
      <c r="J829" s="10" t="s">
        <v>2136</v>
      </c>
      <c r="K829" s="10"/>
      <c r="L829" s="10">
        <v>0.0</v>
      </c>
      <c r="M829" s="10">
        <v>0.0</v>
      </c>
      <c r="N829" s="10"/>
      <c r="O829" s="10"/>
      <c r="P829" s="12">
        <f>IF($A829="","",IFERROR((IF($O829="",0,$O829)*Settings!$J$4+IF($L829="",0,$L829)*Settings!$J$5+IF($N829="",0,$N829)*Settings!$J$6)/(IF($O829="",0,Settings!$J$4)+IF($L829="",0,Settings!$J$5)+IF($N829="",0,Settings!$J$6)),0))</f>
        <v>0</v>
      </c>
      <c r="Q829" s="12">
        <f t="array" ref="Q829">IF($A829="","",XLOOKUP($E829,Settings!$A$19:$A$22,Settings!$G$19:$G$22,0))</f>
        <v>196.25</v>
      </c>
      <c r="R829" s="12">
        <f t="shared" si="1"/>
        <v>0</v>
      </c>
      <c r="S829" s="12">
        <f>IF($A829="","",IF($R829&lt;=0,1,1+$R829/SUMIF($R$4:$R$923,"&gt;0",$R$4:$R$923)*(Settings!$B$5*(Settings!$B$6-Settings!$B$7))))</f>
        <v>1</v>
      </c>
      <c r="T829" s="12">
        <f t="array" ref="T829">IF($A829="","",XLOOKUP($F829,Settings!$I$15:$I$20,Settings!$J$15:$J$20,1))</f>
        <v>0.75</v>
      </c>
      <c r="U829" s="12">
        <f>IF($A829="","",1+(($G829-5)/5)*Settings!$J$8)</f>
        <v>1</v>
      </c>
      <c r="V829" s="12">
        <f>IF($A829="","",1+(($H829-5)/5)*Settings!$J$9)</f>
        <v>1.06</v>
      </c>
      <c r="W829" s="12">
        <f t="array" ref="W829">IF($A829="","",XLOOKUP($J829,Lists!$C$3:$C$7,Lists!$D$3:$D$7,1))</f>
        <v>1</v>
      </c>
      <c r="X829" s="12">
        <f>IF($A829="","",IF($I829="Yes",Settings!$J$10,1))</f>
        <v>1</v>
      </c>
      <c r="Y829" s="12">
        <f t="shared" si="2"/>
        <v>1</v>
      </c>
      <c r="Z829" s="12">
        <f>IF($A829="","",IFERROR(ROUND(AVERAGEIFS('Historical Drafts'!$G$4:$G$300,'Historical Drafts'!$D$4:$D$300,$E829,'Historical Drafts'!$J$4:$J$300,"&gt;="&amp;$L829*0.85,'Historical Drafts'!$J$4:$J$300,"&lt;="&amp;$L829*1.15),0),$Y829))</f>
        <v>1</v>
      </c>
      <c r="AA829" s="12" t="str">
        <f>IF($A829="","",IF(COUNTIF('Auction Log'!$B$3:$B$300,$A829)&gt;0,"Sold","Available"))</f>
        <v>Available</v>
      </c>
      <c r="AB829" s="12" t="str">
        <f t="array" ref="AB829">IF($A829="","",IFERROR(XLOOKUP($A829,'Auction Log'!$B$3:$B$300,'Auction Log'!$G$3:$G$300,""),""))</f>
        <v/>
      </c>
      <c r="AC829" s="12" t="str">
        <f t="array" ref="AC829">IF($A829="","",IFERROR(XLOOKUP($A829,'Auction Log'!$B$3:$B$300,'Auction Log'!$F$3:$F$300,""),""))</f>
        <v/>
      </c>
      <c r="AD829" s="12">
        <f t="array" ref="AD829">IF($A829="","",ROUND($Y829*XLOOKUP($F829,Settings!$I$15:$I$20,Settings!$K$15:$K$20,0.4),0))</f>
        <v>0</v>
      </c>
      <c r="AE829" s="12">
        <f t="array" ref="AE829">IF($A829="","",ROUND($Y829*XLOOKUP($F829,Settings!$I$15:$I$20,Settings!$L$15:$L$20,0.8),0))</f>
        <v>1</v>
      </c>
      <c r="AF829" s="12">
        <f t="array" ref="AF829">IF($A829="","",ROUND($Y829*XLOOKUP($F829,Settings!$I$15:$I$20,Settings!$M$15:$M$20,1),0))</f>
        <v>1</v>
      </c>
      <c r="AG829" s="12">
        <f t="array" ref="AG829">IF($A829="","",ROUND($Y829*XLOOKUP($F829,Settings!$I$15:$I$20,Settings!$N$15:$N$20,1.1),0))</f>
        <v>1</v>
      </c>
      <c r="AH829" s="12">
        <f t="array" ref="AH829">IF($A829="","",ROUND($Y829*XLOOKUP($F829,Settings!$I$15:$I$20,Settings!$O$15:$O$20,1.1)*Settings!$J$7,0))</f>
        <v>1</v>
      </c>
      <c r="AI829" s="12">
        <f t="array" ref="AI829">IF($A829="","",IF($AA829="Sold","",MIN($AH829,IFERROR(XLOOKUP(Settings!$B$12,Managers!$B$4:$B$15,Managers!$H$4:$H$15),$AH829))))</f>
        <v>1</v>
      </c>
      <c r="AJ829" s="12" t="str">
        <f t="shared" si="3"/>
        <v>Recommended</v>
      </c>
      <c r="AK829" s="12">
        <f t="shared" si="4"/>
        <v>26</v>
      </c>
      <c r="AL829" s="12" t="str">
        <f t="shared" si="5"/>
        <v/>
      </c>
    </row>
    <row r="830" ht="15.75" customHeight="1">
      <c r="A830" s="10" t="s">
        <v>1940</v>
      </c>
      <c r="B830" s="10" t="s">
        <v>1941</v>
      </c>
      <c r="C830" s="10" t="s">
        <v>180</v>
      </c>
      <c r="D830" s="10" t="s">
        <v>121</v>
      </c>
      <c r="E830" s="10" t="s">
        <v>121</v>
      </c>
      <c r="F830" s="10" t="s">
        <v>117</v>
      </c>
      <c r="G830" s="10">
        <v>5.0</v>
      </c>
      <c r="H830" s="10">
        <v>7.0</v>
      </c>
      <c r="I830" s="10" t="s">
        <v>2140</v>
      </c>
      <c r="J830" s="10" t="s">
        <v>2136</v>
      </c>
      <c r="K830" s="10"/>
      <c r="L830" s="10">
        <v>0.0</v>
      </c>
      <c r="M830" s="10">
        <v>0.0</v>
      </c>
      <c r="N830" s="10"/>
      <c r="O830" s="10"/>
      <c r="P830" s="12">
        <f>IF($A830="","",IFERROR((IF($O830="",0,$O830)*Settings!$J$4+IF($L830="",0,$L830)*Settings!$J$5+IF($N830="",0,$N830)*Settings!$J$6)/(IF($O830="",0,Settings!$J$4)+IF($L830="",0,Settings!$J$5)+IF($N830="",0,Settings!$J$6)),0))</f>
        <v>0</v>
      </c>
      <c r="Q830" s="12">
        <f t="array" ref="Q830">IF($A830="","",XLOOKUP($E830,Settings!$A$19:$A$22,Settings!$G$19:$G$22,0))</f>
        <v>206</v>
      </c>
      <c r="R830" s="12">
        <f t="shared" si="1"/>
        <v>0</v>
      </c>
      <c r="S830" s="12">
        <f>IF($A830="","",IF($R830&lt;=0,1,1+$R830/SUMIF($R$4:$R$923,"&gt;0",$R$4:$R$923)*(Settings!$B$5*(Settings!$B$6-Settings!$B$7))))</f>
        <v>1</v>
      </c>
      <c r="T830" s="12">
        <f t="array" ref="T830">IF($A830="","",XLOOKUP($F830,Settings!$I$15:$I$20,Settings!$J$15:$J$20,1))</f>
        <v>0.75</v>
      </c>
      <c r="U830" s="12">
        <f>IF($A830="","",1+(($G830-5)/5)*Settings!$J$8)</f>
        <v>1</v>
      </c>
      <c r="V830" s="12">
        <f>IF($A830="","",1+(($H830-5)/5)*Settings!$J$9)</f>
        <v>1.06</v>
      </c>
      <c r="W830" s="12">
        <f t="array" ref="W830">IF($A830="","",XLOOKUP($J830,Lists!$C$3:$C$7,Lists!$D$3:$D$7,1))</f>
        <v>1</v>
      </c>
      <c r="X830" s="12">
        <f>IF($A830="","",IF($I830="Yes",Settings!$J$10,1))</f>
        <v>1</v>
      </c>
      <c r="Y830" s="12">
        <f t="shared" si="2"/>
        <v>1</v>
      </c>
      <c r="Z830" s="12">
        <f>IF($A830="","",IFERROR(ROUND(AVERAGEIFS('Historical Drafts'!$G$4:$G$300,'Historical Drafts'!$D$4:$D$300,$E830,'Historical Drafts'!$J$4:$J$300,"&gt;="&amp;$L830*0.85,'Historical Drafts'!$J$4:$J$300,"&lt;="&amp;$L830*1.15),0),$Y830))</f>
        <v>3</v>
      </c>
      <c r="AA830" s="12" t="str">
        <f>IF($A830="","",IF(COUNTIF('Auction Log'!$B$3:$B$300,$A830)&gt;0,"Sold","Available"))</f>
        <v>Available</v>
      </c>
      <c r="AB830" s="12" t="str">
        <f t="array" ref="AB830">IF($A830="","",IFERROR(XLOOKUP($A830,'Auction Log'!$B$3:$B$300,'Auction Log'!$G$3:$G$300,""),""))</f>
        <v/>
      </c>
      <c r="AC830" s="12" t="str">
        <f t="array" ref="AC830">IF($A830="","",IFERROR(XLOOKUP($A830,'Auction Log'!$B$3:$B$300,'Auction Log'!$F$3:$F$300,""),""))</f>
        <v/>
      </c>
      <c r="AD830" s="12">
        <f t="array" ref="AD830">IF($A830="","",ROUND($Y830*XLOOKUP($F830,Settings!$I$15:$I$20,Settings!$K$15:$K$20,0.4),0))</f>
        <v>0</v>
      </c>
      <c r="AE830" s="12">
        <f t="array" ref="AE830">IF($A830="","",ROUND($Y830*XLOOKUP($F830,Settings!$I$15:$I$20,Settings!$L$15:$L$20,0.8),0))</f>
        <v>1</v>
      </c>
      <c r="AF830" s="12">
        <f t="array" ref="AF830">IF($A830="","",ROUND($Y830*XLOOKUP($F830,Settings!$I$15:$I$20,Settings!$M$15:$M$20,1),0))</f>
        <v>1</v>
      </c>
      <c r="AG830" s="12">
        <f t="array" ref="AG830">IF($A830="","",ROUND($Y830*XLOOKUP($F830,Settings!$I$15:$I$20,Settings!$N$15:$N$20,1.1),0))</f>
        <v>1</v>
      </c>
      <c r="AH830" s="12">
        <f t="array" ref="AH830">IF($A830="","",ROUND($Y830*XLOOKUP($F830,Settings!$I$15:$I$20,Settings!$O$15:$O$20,1.1)*Settings!$J$7,0))</f>
        <v>1</v>
      </c>
      <c r="AI830" s="12">
        <f t="array" ref="AI830">IF($A830="","",IF($AA830="Sold","",MIN($AH830,IFERROR(XLOOKUP(Settings!$B$12,Managers!$B$4:$B$15,Managers!$H$4:$H$15),$AH830))))</f>
        <v>1</v>
      </c>
      <c r="AJ830" s="12" t="str">
        <f t="shared" si="3"/>
        <v>Budget Drainer</v>
      </c>
      <c r="AK830" s="12">
        <f t="shared" si="4"/>
        <v>28</v>
      </c>
      <c r="AL830" s="12" t="str">
        <f t="shared" si="5"/>
        <v/>
      </c>
    </row>
    <row r="831" ht="15.75" customHeight="1">
      <c r="A831" s="10" t="s">
        <v>1942</v>
      </c>
      <c r="B831" s="10" t="s">
        <v>1943</v>
      </c>
      <c r="C831" s="10" t="s">
        <v>180</v>
      </c>
      <c r="D831" s="10" t="s">
        <v>123</v>
      </c>
      <c r="E831" s="10" t="s">
        <v>123</v>
      </c>
      <c r="F831" s="10" t="s">
        <v>117</v>
      </c>
      <c r="G831" s="10">
        <v>5.0</v>
      </c>
      <c r="H831" s="10">
        <v>7.0</v>
      </c>
      <c r="I831" s="10" t="s">
        <v>2140</v>
      </c>
      <c r="J831" s="10" t="s">
        <v>2136</v>
      </c>
      <c r="K831" s="10"/>
      <c r="L831" s="10">
        <v>0.0</v>
      </c>
      <c r="M831" s="10">
        <v>0.0</v>
      </c>
      <c r="N831" s="10"/>
      <c r="O831" s="10"/>
      <c r="P831" s="12">
        <f>IF($A831="","",IFERROR((IF($O831="",0,$O831)*Settings!$J$4+IF($L831="",0,$L831)*Settings!$J$5+IF($N831="",0,$N831)*Settings!$J$6)/(IF($O831="",0,Settings!$J$4)+IF($L831="",0,Settings!$J$5)+IF($N831="",0,Settings!$J$6)),0))</f>
        <v>0</v>
      </c>
      <c r="Q831" s="12">
        <f t="array" ref="Q831">IF($A831="","",XLOOKUP($E831,Settings!$A$19:$A$22,Settings!$G$19:$G$22,0))</f>
        <v>203</v>
      </c>
      <c r="R831" s="12">
        <f t="shared" si="1"/>
        <v>0</v>
      </c>
      <c r="S831" s="12">
        <f>IF($A831="","",IF($R831&lt;=0,1,1+$R831/SUMIF($R$4:$R$923,"&gt;0",$R$4:$R$923)*(Settings!$B$5*(Settings!$B$6-Settings!$B$7))))</f>
        <v>1</v>
      </c>
      <c r="T831" s="12">
        <f t="array" ref="T831">IF($A831="","",XLOOKUP($F831,Settings!$I$15:$I$20,Settings!$J$15:$J$20,1))</f>
        <v>0.75</v>
      </c>
      <c r="U831" s="12">
        <f>IF($A831="","",1+(($G831-5)/5)*Settings!$J$8)</f>
        <v>1</v>
      </c>
      <c r="V831" s="12">
        <f>IF($A831="","",1+(($H831-5)/5)*Settings!$J$9)</f>
        <v>1.06</v>
      </c>
      <c r="W831" s="12">
        <f t="array" ref="W831">IF($A831="","",XLOOKUP($J831,Lists!$C$3:$C$7,Lists!$D$3:$D$7,1))</f>
        <v>1</v>
      </c>
      <c r="X831" s="12">
        <f>IF($A831="","",IF($I831="Yes",Settings!$J$10,1))</f>
        <v>1</v>
      </c>
      <c r="Y831" s="12">
        <f t="shared" si="2"/>
        <v>1</v>
      </c>
      <c r="Z831" s="12">
        <f>IF($A831="","",IFERROR(ROUND(AVERAGEIFS('Historical Drafts'!$G$4:$G$300,'Historical Drafts'!$D$4:$D$300,$E831,'Historical Drafts'!$J$4:$J$300,"&gt;="&amp;$L831*0.85,'Historical Drafts'!$J$4:$J$300,"&lt;="&amp;$L831*1.15),0),$Y831))</f>
        <v>3</v>
      </c>
      <c r="AA831" s="12" t="str">
        <f>IF($A831="","",IF(COUNTIF('Auction Log'!$B$3:$B$300,$A831)&gt;0,"Sold","Available"))</f>
        <v>Available</v>
      </c>
      <c r="AB831" s="12" t="str">
        <f t="array" ref="AB831">IF($A831="","",IFERROR(XLOOKUP($A831,'Auction Log'!$B$3:$B$300,'Auction Log'!$G$3:$G$300,""),""))</f>
        <v/>
      </c>
      <c r="AC831" s="12" t="str">
        <f t="array" ref="AC831">IF($A831="","",IFERROR(XLOOKUP($A831,'Auction Log'!$B$3:$B$300,'Auction Log'!$F$3:$F$300,""),""))</f>
        <v/>
      </c>
      <c r="AD831" s="12">
        <f t="array" ref="AD831">IF($A831="","",ROUND($Y831*XLOOKUP($F831,Settings!$I$15:$I$20,Settings!$K$15:$K$20,0.4),0))</f>
        <v>0</v>
      </c>
      <c r="AE831" s="12">
        <f t="array" ref="AE831">IF($A831="","",ROUND($Y831*XLOOKUP($F831,Settings!$I$15:$I$20,Settings!$L$15:$L$20,0.8),0))</f>
        <v>1</v>
      </c>
      <c r="AF831" s="12">
        <f t="array" ref="AF831">IF($A831="","",ROUND($Y831*XLOOKUP($F831,Settings!$I$15:$I$20,Settings!$M$15:$M$20,1),0))</f>
        <v>1</v>
      </c>
      <c r="AG831" s="12">
        <f t="array" ref="AG831">IF($A831="","",ROUND($Y831*XLOOKUP($F831,Settings!$I$15:$I$20,Settings!$N$15:$N$20,1.1),0))</f>
        <v>1</v>
      </c>
      <c r="AH831" s="12">
        <f t="array" ref="AH831">IF($A831="","",ROUND($Y831*XLOOKUP($F831,Settings!$I$15:$I$20,Settings!$O$15:$O$20,1.1)*Settings!$J$7,0))</f>
        <v>1</v>
      </c>
      <c r="AI831" s="12">
        <f t="array" ref="AI831">IF($A831="","",IF($AA831="Sold","",MIN($AH831,IFERROR(XLOOKUP(Settings!$B$12,Managers!$B$4:$B$15,Managers!$H$4:$H$15),$AH831))))</f>
        <v>1</v>
      </c>
      <c r="AJ831" s="12" t="str">
        <f t="shared" si="3"/>
        <v>Budget Drainer</v>
      </c>
      <c r="AK831" s="12">
        <f t="shared" si="4"/>
        <v>28</v>
      </c>
      <c r="AL831" s="12" t="str">
        <f t="shared" si="5"/>
        <v/>
      </c>
    </row>
    <row r="832" ht="15.75" customHeight="1">
      <c r="A832" s="10" t="s">
        <v>1944</v>
      </c>
      <c r="B832" s="10" t="s">
        <v>1945</v>
      </c>
      <c r="C832" s="10" t="s">
        <v>191</v>
      </c>
      <c r="D832" s="10" t="s">
        <v>121</v>
      </c>
      <c r="E832" s="10" t="s">
        <v>121</v>
      </c>
      <c r="F832" s="10" t="s">
        <v>117</v>
      </c>
      <c r="G832" s="10">
        <v>5.0</v>
      </c>
      <c r="H832" s="10">
        <v>7.0</v>
      </c>
      <c r="I832" s="10" t="s">
        <v>2140</v>
      </c>
      <c r="J832" s="10" t="s">
        <v>2136</v>
      </c>
      <c r="K832" s="10"/>
      <c r="L832" s="10">
        <v>0.0</v>
      </c>
      <c r="M832" s="10">
        <v>0.0</v>
      </c>
      <c r="N832" s="10"/>
      <c r="O832" s="10"/>
      <c r="P832" s="12">
        <f>IF($A832="","",IFERROR((IF($O832="",0,$O832)*Settings!$J$4+IF($L832="",0,$L832)*Settings!$J$5+IF($N832="",0,$N832)*Settings!$J$6)/(IF($O832="",0,Settings!$J$4)+IF($L832="",0,Settings!$J$5)+IF($N832="",0,Settings!$J$6)),0))</f>
        <v>0</v>
      </c>
      <c r="Q832" s="12">
        <f t="array" ref="Q832">IF($A832="","",XLOOKUP($E832,Settings!$A$19:$A$22,Settings!$G$19:$G$22,0))</f>
        <v>206</v>
      </c>
      <c r="R832" s="12">
        <f t="shared" si="1"/>
        <v>0</v>
      </c>
      <c r="S832" s="12">
        <f>IF($A832="","",IF($R832&lt;=0,1,1+$R832/SUMIF($R$4:$R$923,"&gt;0",$R$4:$R$923)*(Settings!$B$5*(Settings!$B$6-Settings!$B$7))))</f>
        <v>1</v>
      </c>
      <c r="T832" s="12">
        <f t="array" ref="T832">IF($A832="","",XLOOKUP($F832,Settings!$I$15:$I$20,Settings!$J$15:$J$20,1))</f>
        <v>0.75</v>
      </c>
      <c r="U832" s="12">
        <f>IF($A832="","",1+(($G832-5)/5)*Settings!$J$8)</f>
        <v>1</v>
      </c>
      <c r="V832" s="12">
        <f>IF($A832="","",1+(($H832-5)/5)*Settings!$J$9)</f>
        <v>1.06</v>
      </c>
      <c r="W832" s="12">
        <f t="array" ref="W832">IF($A832="","",XLOOKUP($J832,Lists!$C$3:$C$7,Lists!$D$3:$D$7,1))</f>
        <v>1</v>
      </c>
      <c r="X832" s="12">
        <f>IF($A832="","",IF($I832="Yes",Settings!$J$10,1))</f>
        <v>1</v>
      </c>
      <c r="Y832" s="12">
        <f t="shared" si="2"/>
        <v>1</v>
      </c>
      <c r="Z832" s="12">
        <f>IF($A832="","",IFERROR(ROUND(AVERAGEIFS('Historical Drafts'!$G$4:$G$300,'Historical Drafts'!$D$4:$D$300,$E832,'Historical Drafts'!$J$4:$J$300,"&gt;="&amp;$L832*0.85,'Historical Drafts'!$J$4:$J$300,"&lt;="&amp;$L832*1.15),0),$Y832))</f>
        <v>3</v>
      </c>
      <c r="AA832" s="12" t="str">
        <f>IF($A832="","",IF(COUNTIF('Auction Log'!$B$3:$B$300,$A832)&gt;0,"Sold","Available"))</f>
        <v>Available</v>
      </c>
      <c r="AB832" s="12" t="str">
        <f t="array" ref="AB832">IF($A832="","",IFERROR(XLOOKUP($A832,'Auction Log'!$B$3:$B$300,'Auction Log'!$G$3:$G$300,""),""))</f>
        <v/>
      </c>
      <c r="AC832" s="12" t="str">
        <f t="array" ref="AC832">IF($A832="","",IFERROR(XLOOKUP($A832,'Auction Log'!$B$3:$B$300,'Auction Log'!$F$3:$F$300,""),""))</f>
        <v/>
      </c>
      <c r="AD832" s="12">
        <f t="array" ref="AD832">IF($A832="","",ROUND($Y832*XLOOKUP($F832,Settings!$I$15:$I$20,Settings!$K$15:$K$20,0.4),0))</f>
        <v>0</v>
      </c>
      <c r="AE832" s="12">
        <f t="array" ref="AE832">IF($A832="","",ROUND($Y832*XLOOKUP($F832,Settings!$I$15:$I$20,Settings!$L$15:$L$20,0.8),0))</f>
        <v>1</v>
      </c>
      <c r="AF832" s="12">
        <f t="array" ref="AF832">IF($A832="","",ROUND($Y832*XLOOKUP($F832,Settings!$I$15:$I$20,Settings!$M$15:$M$20,1),0))</f>
        <v>1</v>
      </c>
      <c r="AG832" s="12">
        <f t="array" ref="AG832">IF($A832="","",ROUND($Y832*XLOOKUP($F832,Settings!$I$15:$I$20,Settings!$N$15:$N$20,1.1),0))</f>
        <v>1</v>
      </c>
      <c r="AH832" s="12">
        <f t="array" ref="AH832">IF($A832="","",ROUND($Y832*XLOOKUP($F832,Settings!$I$15:$I$20,Settings!$O$15:$O$20,1.1)*Settings!$J$7,0))</f>
        <v>1</v>
      </c>
      <c r="AI832" s="12">
        <f t="array" ref="AI832">IF($A832="","",IF($AA832="Sold","",MIN($AH832,IFERROR(XLOOKUP(Settings!$B$12,Managers!$B$4:$B$15,Managers!$H$4:$H$15),$AH832))))</f>
        <v>1</v>
      </c>
      <c r="AJ832" s="12" t="str">
        <f t="shared" si="3"/>
        <v>Budget Drainer</v>
      </c>
      <c r="AK832" s="12">
        <f t="shared" si="4"/>
        <v>28</v>
      </c>
      <c r="AL832" s="12" t="str">
        <f t="shared" si="5"/>
        <v/>
      </c>
    </row>
    <row r="833" ht="15.75" customHeight="1">
      <c r="A833" s="10" t="s">
        <v>1946</v>
      </c>
      <c r="B833" s="10" t="s">
        <v>1947</v>
      </c>
      <c r="C833" s="10" t="s">
        <v>566</v>
      </c>
      <c r="D833" s="10" t="s">
        <v>118</v>
      </c>
      <c r="E833" s="10" t="s">
        <v>118</v>
      </c>
      <c r="F833" s="10" t="s">
        <v>117</v>
      </c>
      <c r="G833" s="10">
        <v>5.0</v>
      </c>
      <c r="H833" s="10">
        <v>7.0</v>
      </c>
      <c r="I833" s="10" t="s">
        <v>2140</v>
      </c>
      <c r="J833" s="10" t="s">
        <v>2136</v>
      </c>
      <c r="K833" s="10"/>
      <c r="L833" s="10">
        <v>0.0</v>
      </c>
      <c r="M833" s="10">
        <v>0.0</v>
      </c>
      <c r="N833" s="10"/>
      <c r="O833" s="10"/>
      <c r="P833" s="12">
        <f>IF($A833="","",IFERROR((IF($O833="",0,$O833)*Settings!$J$4+IF($L833="",0,$L833)*Settings!$J$5+IF($N833="",0,$N833)*Settings!$J$6)/(IF($O833="",0,Settings!$J$4)+IF($L833="",0,Settings!$J$5)+IF($N833="",0,Settings!$J$6)),0))</f>
        <v>0</v>
      </c>
      <c r="Q833" s="12">
        <f t="array" ref="Q833">IF($A833="","",XLOOKUP($E833,Settings!$A$19:$A$22,Settings!$G$19:$G$22,0))</f>
        <v>196.25</v>
      </c>
      <c r="R833" s="12">
        <f t="shared" si="1"/>
        <v>0</v>
      </c>
      <c r="S833" s="12">
        <f>IF($A833="","",IF($R833&lt;=0,1,1+$R833/SUMIF($R$4:$R$923,"&gt;0",$R$4:$R$923)*(Settings!$B$5*(Settings!$B$6-Settings!$B$7))))</f>
        <v>1</v>
      </c>
      <c r="T833" s="12">
        <f t="array" ref="T833">IF($A833="","",XLOOKUP($F833,Settings!$I$15:$I$20,Settings!$J$15:$J$20,1))</f>
        <v>0.75</v>
      </c>
      <c r="U833" s="12">
        <f>IF($A833="","",1+(($G833-5)/5)*Settings!$J$8)</f>
        <v>1</v>
      </c>
      <c r="V833" s="12">
        <f>IF($A833="","",1+(($H833-5)/5)*Settings!$J$9)</f>
        <v>1.06</v>
      </c>
      <c r="W833" s="12">
        <f t="array" ref="W833">IF($A833="","",XLOOKUP($J833,Lists!$C$3:$C$7,Lists!$D$3:$D$7,1))</f>
        <v>1</v>
      </c>
      <c r="X833" s="12">
        <f>IF($A833="","",IF($I833="Yes",Settings!$J$10,1))</f>
        <v>1</v>
      </c>
      <c r="Y833" s="12">
        <f t="shared" si="2"/>
        <v>1</v>
      </c>
      <c r="Z833" s="12">
        <f>IF($A833="","",IFERROR(ROUND(AVERAGEIFS('Historical Drafts'!$G$4:$G$300,'Historical Drafts'!$D$4:$D$300,$E833,'Historical Drafts'!$J$4:$J$300,"&gt;="&amp;$L833*0.85,'Historical Drafts'!$J$4:$J$300,"&lt;="&amp;$L833*1.15),0),$Y833))</f>
        <v>1</v>
      </c>
      <c r="AA833" s="12" t="str">
        <f>IF($A833="","",IF(COUNTIF('Auction Log'!$B$3:$B$300,$A833)&gt;0,"Sold","Available"))</f>
        <v>Available</v>
      </c>
      <c r="AB833" s="12" t="str">
        <f t="array" ref="AB833">IF($A833="","",IFERROR(XLOOKUP($A833,'Auction Log'!$B$3:$B$300,'Auction Log'!$G$3:$G$300,""),""))</f>
        <v/>
      </c>
      <c r="AC833" s="12" t="str">
        <f t="array" ref="AC833">IF($A833="","",IFERROR(XLOOKUP($A833,'Auction Log'!$B$3:$B$300,'Auction Log'!$F$3:$F$300,""),""))</f>
        <v/>
      </c>
      <c r="AD833" s="12">
        <f t="array" ref="AD833">IF($A833="","",ROUND($Y833*XLOOKUP($F833,Settings!$I$15:$I$20,Settings!$K$15:$K$20,0.4),0))</f>
        <v>0</v>
      </c>
      <c r="AE833" s="12">
        <f t="array" ref="AE833">IF($A833="","",ROUND($Y833*XLOOKUP($F833,Settings!$I$15:$I$20,Settings!$L$15:$L$20,0.8),0))</f>
        <v>1</v>
      </c>
      <c r="AF833" s="12">
        <f t="array" ref="AF833">IF($A833="","",ROUND($Y833*XLOOKUP($F833,Settings!$I$15:$I$20,Settings!$M$15:$M$20,1),0))</f>
        <v>1</v>
      </c>
      <c r="AG833" s="12">
        <f t="array" ref="AG833">IF($A833="","",ROUND($Y833*XLOOKUP($F833,Settings!$I$15:$I$20,Settings!$N$15:$N$20,1.1),0))</f>
        <v>1</v>
      </c>
      <c r="AH833" s="12">
        <f t="array" ref="AH833">IF($A833="","",ROUND($Y833*XLOOKUP($F833,Settings!$I$15:$I$20,Settings!$O$15:$O$20,1.1)*Settings!$J$7,0))</f>
        <v>1</v>
      </c>
      <c r="AI833" s="12">
        <f t="array" ref="AI833">IF($A833="","",IF($AA833="Sold","",MIN($AH833,IFERROR(XLOOKUP(Settings!$B$12,Managers!$B$4:$B$15,Managers!$H$4:$H$15),$AH833))))</f>
        <v>1</v>
      </c>
      <c r="AJ833" s="12" t="str">
        <f t="shared" si="3"/>
        <v>Recommended</v>
      </c>
      <c r="AK833" s="12">
        <f t="shared" si="4"/>
        <v>26</v>
      </c>
      <c r="AL833" s="12" t="str">
        <f t="shared" si="5"/>
        <v/>
      </c>
    </row>
    <row r="834" ht="15.75" customHeight="1">
      <c r="A834" s="10" t="s">
        <v>487</v>
      </c>
      <c r="B834" s="10" t="s">
        <v>1948</v>
      </c>
      <c r="C834" s="10" t="s">
        <v>180</v>
      </c>
      <c r="D834" s="10" t="s">
        <v>115</v>
      </c>
      <c r="E834" s="10" t="s">
        <v>115</v>
      </c>
      <c r="F834" s="10" t="s">
        <v>117</v>
      </c>
      <c r="G834" s="10">
        <v>5.0</v>
      </c>
      <c r="H834" s="10">
        <v>7.0</v>
      </c>
      <c r="I834" s="10" t="s">
        <v>2140</v>
      </c>
      <c r="J834" s="10" t="s">
        <v>2136</v>
      </c>
      <c r="K834" s="10"/>
      <c r="L834" s="10">
        <v>0.0</v>
      </c>
      <c r="M834" s="10">
        <v>0.0</v>
      </c>
      <c r="N834" s="10"/>
      <c r="O834" s="10"/>
      <c r="P834" s="12">
        <f>IF($A834="","",IFERROR((IF($O834="",0,$O834)*Settings!$J$4+IF($L834="",0,$L834)*Settings!$J$5+IF($N834="",0,$N834)*Settings!$J$6)/(IF($O834="",0,Settings!$J$4)+IF($L834="",0,Settings!$J$5)+IF($N834="",0,Settings!$J$6)),0))</f>
        <v>0</v>
      </c>
      <c r="Q834" s="12">
        <f t="array" ref="Q834">IF($A834="","",XLOOKUP($E834,Settings!$A$19:$A$22,Settings!$G$19:$G$22,0))</f>
        <v>249.25</v>
      </c>
      <c r="R834" s="12">
        <f t="shared" si="1"/>
        <v>0</v>
      </c>
      <c r="S834" s="12">
        <f>IF($A834="","",IF($R834&lt;=0,1,1+$R834/SUMIF($R$4:$R$923,"&gt;0",$R$4:$R$923)*(Settings!$B$5*(Settings!$B$6-Settings!$B$7))))</f>
        <v>1</v>
      </c>
      <c r="T834" s="12">
        <f t="array" ref="T834">IF($A834="","",XLOOKUP($F834,Settings!$I$15:$I$20,Settings!$J$15:$J$20,1))</f>
        <v>0.75</v>
      </c>
      <c r="U834" s="12">
        <f>IF($A834="","",1+(($G834-5)/5)*Settings!$J$8)</f>
        <v>1</v>
      </c>
      <c r="V834" s="12">
        <f>IF($A834="","",1+(($H834-5)/5)*Settings!$J$9)</f>
        <v>1.06</v>
      </c>
      <c r="W834" s="12">
        <f t="array" ref="W834">IF($A834="","",XLOOKUP($J834,Lists!$C$3:$C$7,Lists!$D$3:$D$7,1))</f>
        <v>1</v>
      </c>
      <c r="X834" s="12">
        <f>IF($A834="","",IF($I834="Yes",Settings!$J$10,1))</f>
        <v>1</v>
      </c>
      <c r="Y834" s="12">
        <f t="shared" si="2"/>
        <v>1</v>
      </c>
      <c r="Z834" s="12">
        <f>IF($A834="","",IFERROR(ROUND(AVERAGEIFS('Historical Drafts'!$G$4:$G$300,'Historical Drafts'!$D$4:$D$300,$E834,'Historical Drafts'!$J$4:$J$300,"&gt;="&amp;$L834*0.85,'Historical Drafts'!$J$4:$J$300,"&lt;="&amp;$L834*1.15),0),$Y834))</f>
        <v>1</v>
      </c>
      <c r="AA834" s="12" t="str">
        <f>IF($A834="","",IF(COUNTIF('Auction Log'!$B$3:$B$300,$A834)&gt;0,"Sold","Available"))</f>
        <v>Available</v>
      </c>
      <c r="AB834" s="12" t="str">
        <f t="array" ref="AB834">IF($A834="","",IFERROR(XLOOKUP($A834,'Auction Log'!$B$3:$B$300,'Auction Log'!$G$3:$G$300,""),""))</f>
        <v/>
      </c>
      <c r="AC834" s="12" t="str">
        <f t="array" ref="AC834">IF($A834="","",IFERROR(XLOOKUP($A834,'Auction Log'!$B$3:$B$300,'Auction Log'!$F$3:$F$300,""),""))</f>
        <v/>
      </c>
      <c r="AD834" s="12">
        <f t="array" ref="AD834">IF($A834="","",ROUND($Y834*XLOOKUP($F834,Settings!$I$15:$I$20,Settings!$K$15:$K$20,0.4),0))</f>
        <v>0</v>
      </c>
      <c r="AE834" s="12">
        <f t="array" ref="AE834">IF($A834="","",ROUND($Y834*XLOOKUP($F834,Settings!$I$15:$I$20,Settings!$L$15:$L$20,0.8),0))</f>
        <v>1</v>
      </c>
      <c r="AF834" s="12">
        <f t="array" ref="AF834">IF($A834="","",ROUND($Y834*XLOOKUP($F834,Settings!$I$15:$I$20,Settings!$M$15:$M$20,1),0))</f>
        <v>1</v>
      </c>
      <c r="AG834" s="12">
        <f t="array" ref="AG834">IF($A834="","",ROUND($Y834*XLOOKUP($F834,Settings!$I$15:$I$20,Settings!$N$15:$N$20,1.1),0))</f>
        <v>1</v>
      </c>
      <c r="AH834" s="12">
        <f t="array" ref="AH834">IF($A834="","",ROUND($Y834*XLOOKUP($F834,Settings!$I$15:$I$20,Settings!$O$15:$O$20,1.1)*Settings!$J$7,0))</f>
        <v>1</v>
      </c>
      <c r="AI834" s="12">
        <f t="array" ref="AI834">IF($A834="","",IF($AA834="Sold","",MIN($AH834,IFERROR(XLOOKUP(Settings!$B$12,Managers!$B$4:$B$15,Managers!$H$4:$H$15),$AH834))))</f>
        <v>1</v>
      </c>
      <c r="AJ834" s="12" t="str">
        <f t="shared" si="3"/>
        <v>Recommended</v>
      </c>
      <c r="AK834" s="12">
        <f t="shared" si="4"/>
        <v>26</v>
      </c>
      <c r="AL834" s="12" t="str">
        <f t="shared" si="5"/>
        <v/>
      </c>
    </row>
    <row r="835" ht="15.75" customHeight="1">
      <c r="A835" s="10" t="s">
        <v>1949</v>
      </c>
      <c r="B835" s="10" t="s">
        <v>1950</v>
      </c>
      <c r="C835" s="10" t="s">
        <v>231</v>
      </c>
      <c r="D835" s="10" t="s">
        <v>121</v>
      </c>
      <c r="E835" s="10" t="s">
        <v>121</v>
      </c>
      <c r="F835" s="10" t="s">
        <v>117</v>
      </c>
      <c r="G835" s="10">
        <v>5.0</v>
      </c>
      <c r="H835" s="10">
        <v>7.0</v>
      </c>
      <c r="I835" s="10" t="s">
        <v>2140</v>
      </c>
      <c r="J835" s="10" t="s">
        <v>2136</v>
      </c>
      <c r="K835" s="10"/>
      <c r="L835" s="10">
        <v>0.0</v>
      </c>
      <c r="M835" s="10">
        <v>0.0</v>
      </c>
      <c r="N835" s="10"/>
      <c r="O835" s="10"/>
      <c r="P835" s="12">
        <f>IF($A835="","",IFERROR((IF($O835="",0,$O835)*Settings!$J$4+IF($L835="",0,$L835)*Settings!$J$5+IF($N835="",0,$N835)*Settings!$J$6)/(IF($O835="",0,Settings!$J$4)+IF($L835="",0,Settings!$J$5)+IF($N835="",0,Settings!$J$6)),0))</f>
        <v>0</v>
      </c>
      <c r="Q835" s="12">
        <f t="array" ref="Q835">IF($A835="","",XLOOKUP($E835,Settings!$A$19:$A$22,Settings!$G$19:$G$22,0))</f>
        <v>206</v>
      </c>
      <c r="R835" s="12">
        <f t="shared" si="1"/>
        <v>0</v>
      </c>
      <c r="S835" s="12">
        <f>IF($A835="","",IF($R835&lt;=0,1,1+$R835/SUMIF($R$4:$R$923,"&gt;0",$R$4:$R$923)*(Settings!$B$5*(Settings!$B$6-Settings!$B$7))))</f>
        <v>1</v>
      </c>
      <c r="T835" s="12">
        <f t="array" ref="T835">IF($A835="","",XLOOKUP($F835,Settings!$I$15:$I$20,Settings!$J$15:$J$20,1))</f>
        <v>0.75</v>
      </c>
      <c r="U835" s="12">
        <f>IF($A835="","",1+(($G835-5)/5)*Settings!$J$8)</f>
        <v>1</v>
      </c>
      <c r="V835" s="12">
        <f>IF($A835="","",1+(($H835-5)/5)*Settings!$J$9)</f>
        <v>1.06</v>
      </c>
      <c r="W835" s="12">
        <f t="array" ref="W835">IF($A835="","",XLOOKUP($J835,Lists!$C$3:$C$7,Lists!$D$3:$D$7,1))</f>
        <v>1</v>
      </c>
      <c r="X835" s="12">
        <f>IF($A835="","",IF($I835="Yes",Settings!$J$10,1))</f>
        <v>1</v>
      </c>
      <c r="Y835" s="12">
        <f t="shared" si="2"/>
        <v>1</v>
      </c>
      <c r="Z835" s="12">
        <f>IF($A835="","",IFERROR(ROUND(AVERAGEIFS('Historical Drafts'!$G$4:$G$300,'Historical Drafts'!$D$4:$D$300,$E835,'Historical Drafts'!$J$4:$J$300,"&gt;="&amp;$L835*0.85,'Historical Drafts'!$J$4:$J$300,"&lt;="&amp;$L835*1.15),0),$Y835))</f>
        <v>3</v>
      </c>
      <c r="AA835" s="12" t="str">
        <f>IF($A835="","",IF(COUNTIF('Auction Log'!$B$3:$B$300,$A835)&gt;0,"Sold","Available"))</f>
        <v>Available</v>
      </c>
      <c r="AB835" s="12" t="str">
        <f t="array" ref="AB835">IF($A835="","",IFERROR(XLOOKUP($A835,'Auction Log'!$B$3:$B$300,'Auction Log'!$G$3:$G$300,""),""))</f>
        <v/>
      </c>
      <c r="AC835" s="12" t="str">
        <f t="array" ref="AC835">IF($A835="","",IFERROR(XLOOKUP($A835,'Auction Log'!$B$3:$B$300,'Auction Log'!$F$3:$F$300,""),""))</f>
        <v/>
      </c>
      <c r="AD835" s="12">
        <f t="array" ref="AD835">IF($A835="","",ROUND($Y835*XLOOKUP($F835,Settings!$I$15:$I$20,Settings!$K$15:$K$20,0.4),0))</f>
        <v>0</v>
      </c>
      <c r="AE835" s="12">
        <f t="array" ref="AE835">IF($A835="","",ROUND($Y835*XLOOKUP($F835,Settings!$I$15:$I$20,Settings!$L$15:$L$20,0.8),0))</f>
        <v>1</v>
      </c>
      <c r="AF835" s="12">
        <f t="array" ref="AF835">IF($A835="","",ROUND($Y835*XLOOKUP($F835,Settings!$I$15:$I$20,Settings!$M$15:$M$20,1),0))</f>
        <v>1</v>
      </c>
      <c r="AG835" s="12">
        <f t="array" ref="AG835">IF($A835="","",ROUND($Y835*XLOOKUP($F835,Settings!$I$15:$I$20,Settings!$N$15:$N$20,1.1),0))</f>
        <v>1</v>
      </c>
      <c r="AH835" s="12">
        <f t="array" ref="AH835">IF($A835="","",ROUND($Y835*XLOOKUP($F835,Settings!$I$15:$I$20,Settings!$O$15:$O$20,1.1)*Settings!$J$7,0))</f>
        <v>1</v>
      </c>
      <c r="AI835" s="12">
        <f t="array" ref="AI835">IF($A835="","",IF($AA835="Sold","",MIN($AH835,IFERROR(XLOOKUP(Settings!$B$12,Managers!$B$4:$B$15,Managers!$H$4:$H$15),$AH835))))</f>
        <v>1</v>
      </c>
      <c r="AJ835" s="12" t="str">
        <f t="shared" si="3"/>
        <v>Budget Drainer</v>
      </c>
      <c r="AK835" s="12">
        <f t="shared" si="4"/>
        <v>28</v>
      </c>
      <c r="AL835" s="12" t="str">
        <f t="shared" si="5"/>
        <v/>
      </c>
    </row>
    <row r="836" ht="15.75" customHeight="1">
      <c r="A836" s="10" t="s">
        <v>1951</v>
      </c>
      <c r="B836" s="10" t="s">
        <v>1952</v>
      </c>
      <c r="C836" s="10" t="s">
        <v>188</v>
      </c>
      <c r="D836" s="10" t="s">
        <v>118</v>
      </c>
      <c r="E836" s="10" t="s">
        <v>118</v>
      </c>
      <c r="F836" s="10" t="s">
        <v>117</v>
      </c>
      <c r="G836" s="10">
        <v>5.0</v>
      </c>
      <c r="H836" s="10">
        <v>7.0</v>
      </c>
      <c r="I836" s="10" t="s">
        <v>2140</v>
      </c>
      <c r="J836" s="10" t="s">
        <v>2136</v>
      </c>
      <c r="K836" s="10"/>
      <c r="L836" s="10">
        <v>0.0</v>
      </c>
      <c r="M836" s="10">
        <v>0.0</v>
      </c>
      <c r="N836" s="10"/>
      <c r="O836" s="10"/>
      <c r="P836" s="12">
        <f>IF($A836="","",IFERROR((IF($O836="",0,$O836)*Settings!$J$4+IF($L836="",0,$L836)*Settings!$J$5+IF($N836="",0,$N836)*Settings!$J$6)/(IF($O836="",0,Settings!$J$4)+IF($L836="",0,Settings!$J$5)+IF($N836="",0,Settings!$J$6)),0))</f>
        <v>0</v>
      </c>
      <c r="Q836" s="12">
        <f t="array" ref="Q836">IF($A836="","",XLOOKUP($E836,Settings!$A$19:$A$22,Settings!$G$19:$G$22,0))</f>
        <v>196.25</v>
      </c>
      <c r="R836" s="12">
        <f t="shared" si="1"/>
        <v>0</v>
      </c>
      <c r="S836" s="12">
        <f>IF($A836="","",IF($R836&lt;=0,1,1+$R836/SUMIF($R$4:$R$923,"&gt;0",$R$4:$R$923)*(Settings!$B$5*(Settings!$B$6-Settings!$B$7))))</f>
        <v>1</v>
      </c>
      <c r="T836" s="12">
        <f t="array" ref="T836">IF($A836="","",XLOOKUP($F836,Settings!$I$15:$I$20,Settings!$J$15:$J$20,1))</f>
        <v>0.75</v>
      </c>
      <c r="U836" s="12">
        <f>IF($A836="","",1+(($G836-5)/5)*Settings!$J$8)</f>
        <v>1</v>
      </c>
      <c r="V836" s="12">
        <f>IF($A836="","",1+(($H836-5)/5)*Settings!$J$9)</f>
        <v>1.06</v>
      </c>
      <c r="W836" s="12">
        <f t="array" ref="W836">IF($A836="","",XLOOKUP($J836,Lists!$C$3:$C$7,Lists!$D$3:$D$7,1))</f>
        <v>1</v>
      </c>
      <c r="X836" s="12">
        <f>IF($A836="","",IF($I836="Yes",Settings!$J$10,1))</f>
        <v>1</v>
      </c>
      <c r="Y836" s="12">
        <f t="shared" si="2"/>
        <v>1</v>
      </c>
      <c r="Z836" s="12">
        <f>IF($A836="","",IFERROR(ROUND(AVERAGEIFS('Historical Drafts'!$G$4:$G$300,'Historical Drafts'!$D$4:$D$300,$E836,'Historical Drafts'!$J$4:$J$300,"&gt;="&amp;$L836*0.85,'Historical Drafts'!$J$4:$J$300,"&lt;="&amp;$L836*1.15),0),$Y836))</f>
        <v>1</v>
      </c>
      <c r="AA836" s="12" t="str">
        <f>IF($A836="","",IF(COUNTIF('Auction Log'!$B$3:$B$300,$A836)&gt;0,"Sold","Available"))</f>
        <v>Available</v>
      </c>
      <c r="AB836" s="12" t="str">
        <f t="array" ref="AB836">IF($A836="","",IFERROR(XLOOKUP($A836,'Auction Log'!$B$3:$B$300,'Auction Log'!$G$3:$G$300,""),""))</f>
        <v/>
      </c>
      <c r="AC836" s="12" t="str">
        <f t="array" ref="AC836">IF($A836="","",IFERROR(XLOOKUP($A836,'Auction Log'!$B$3:$B$300,'Auction Log'!$F$3:$F$300,""),""))</f>
        <v/>
      </c>
      <c r="AD836" s="12">
        <f t="array" ref="AD836">IF($A836="","",ROUND($Y836*XLOOKUP($F836,Settings!$I$15:$I$20,Settings!$K$15:$K$20,0.4),0))</f>
        <v>0</v>
      </c>
      <c r="AE836" s="12">
        <f t="array" ref="AE836">IF($A836="","",ROUND($Y836*XLOOKUP($F836,Settings!$I$15:$I$20,Settings!$L$15:$L$20,0.8),0))</f>
        <v>1</v>
      </c>
      <c r="AF836" s="12">
        <f t="array" ref="AF836">IF($A836="","",ROUND($Y836*XLOOKUP($F836,Settings!$I$15:$I$20,Settings!$M$15:$M$20,1),0))</f>
        <v>1</v>
      </c>
      <c r="AG836" s="12">
        <f t="array" ref="AG836">IF($A836="","",ROUND($Y836*XLOOKUP($F836,Settings!$I$15:$I$20,Settings!$N$15:$N$20,1.1),0))</f>
        <v>1</v>
      </c>
      <c r="AH836" s="12">
        <f t="array" ref="AH836">IF($A836="","",ROUND($Y836*XLOOKUP($F836,Settings!$I$15:$I$20,Settings!$O$15:$O$20,1.1)*Settings!$J$7,0))</f>
        <v>1</v>
      </c>
      <c r="AI836" s="12">
        <f t="array" ref="AI836">IF($A836="","",IF($AA836="Sold","",MIN($AH836,IFERROR(XLOOKUP(Settings!$B$12,Managers!$B$4:$B$15,Managers!$H$4:$H$15),$AH836))))</f>
        <v>1</v>
      </c>
      <c r="AJ836" s="12" t="str">
        <f t="shared" si="3"/>
        <v>Recommended</v>
      </c>
      <c r="AK836" s="12">
        <f t="shared" si="4"/>
        <v>26</v>
      </c>
      <c r="AL836" s="12" t="str">
        <f t="shared" si="5"/>
        <v/>
      </c>
    </row>
    <row r="837" ht="15.75" customHeight="1">
      <c r="A837" s="10" t="s">
        <v>1953</v>
      </c>
      <c r="B837" s="10" t="s">
        <v>1954</v>
      </c>
      <c r="C837" s="10" t="s">
        <v>453</v>
      </c>
      <c r="D837" s="10" t="s">
        <v>118</v>
      </c>
      <c r="E837" s="10" t="s">
        <v>118</v>
      </c>
      <c r="F837" s="10" t="s">
        <v>117</v>
      </c>
      <c r="G837" s="10">
        <v>5.0</v>
      </c>
      <c r="H837" s="10">
        <v>7.0</v>
      </c>
      <c r="I837" s="10" t="s">
        <v>2140</v>
      </c>
      <c r="J837" s="10" t="s">
        <v>2136</v>
      </c>
      <c r="K837" s="10"/>
      <c r="L837" s="10">
        <v>0.0</v>
      </c>
      <c r="M837" s="10">
        <v>0.0</v>
      </c>
      <c r="N837" s="10"/>
      <c r="O837" s="10"/>
      <c r="P837" s="12">
        <f>IF($A837="","",IFERROR((IF($O837="",0,$O837)*Settings!$J$4+IF($L837="",0,$L837)*Settings!$J$5+IF($N837="",0,$N837)*Settings!$J$6)/(IF($O837="",0,Settings!$J$4)+IF($L837="",0,Settings!$J$5)+IF($N837="",0,Settings!$J$6)),0))</f>
        <v>0</v>
      </c>
      <c r="Q837" s="12">
        <f t="array" ref="Q837">IF($A837="","",XLOOKUP($E837,Settings!$A$19:$A$22,Settings!$G$19:$G$22,0))</f>
        <v>196.25</v>
      </c>
      <c r="R837" s="12">
        <f t="shared" si="1"/>
        <v>0</v>
      </c>
      <c r="S837" s="12">
        <f>IF($A837="","",IF($R837&lt;=0,1,1+$R837/SUMIF($R$4:$R$923,"&gt;0",$R$4:$R$923)*(Settings!$B$5*(Settings!$B$6-Settings!$B$7))))</f>
        <v>1</v>
      </c>
      <c r="T837" s="12">
        <f t="array" ref="T837">IF($A837="","",XLOOKUP($F837,Settings!$I$15:$I$20,Settings!$J$15:$J$20,1))</f>
        <v>0.75</v>
      </c>
      <c r="U837" s="12">
        <f>IF($A837="","",1+(($G837-5)/5)*Settings!$J$8)</f>
        <v>1</v>
      </c>
      <c r="V837" s="12">
        <f>IF($A837="","",1+(($H837-5)/5)*Settings!$J$9)</f>
        <v>1.06</v>
      </c>
      <c r="W837" s="12">
        <f t="array" ref="W837">IF($A837="","",XLOOKUP($J837,Lists!$C$3:$C$7,Lists!$D$3:$D$7,1))</f>
        <v>1</v>
      </c>
      <c r="X837" s="12">
        <f>IF($A837="","",IF($I837="Yes",Settings!$J$10,1))</f>
        <v>1</v>
      </c>
      <c r="Y837" s="12">
        <f t="shared" si="2"/>
        <v>1</v>
      </c>
      <c r="Z837" s="12">
        <f>IF($A837="","",IFERROR(ROUND(AVERAGEIFS('Historical Drafts'!$G$4:$G$300,'Historical Drafts'!$D$4:$D$300,$E837,'Historical Drafts'!$J$4:$J$300,"&gt;="&amp;$L837*0.85,'Historical Drafts'!$J$4:$J$300,"&lt;="&amp;$L837*1.15),0),$Y837))</f>
        <v>1</v>
      </c>
      <c r="AA837" s="12" t="str">
        <f>IF($A837="","",IF(COUNTIF('Auction Log'!$B$3:$B$300,$A837)&gt;0,"Sold","Available"))</f>
        <v>Available</v>
      </c>
      <c r="AB837" s="12" t="str">
        <f t="array" ref="AB837">IF($A837="","",IFERROR(XLOOKUP($A837,'Auction Log'!$B$3:$B$300,'Auction Log'!$G$3:$G$300,""),""))</f>
        <v/>
      </c>
      <c r="AC837" s="12" t="str">
        <f t="array" ref="AC837">IF($A837="","",IFERROR(XLOOKUP($A837,'Auction Log'!$B$3:$B$300,'Auction Log'!$F$3:$F$300,""),""))</f>
        <v/>
      </c>
      <c r="AD837" s="12">
        <f t="array" ref="AD837">IF($A837="","",ROUND($Y837*XLOOKUP($F837,Settings!$I$15:$I$20,Settings!$K$15:$K$20,0.4),0))</f>
        <v>0</v>
      </c>
      <c r="AE837" s="12">
        <f t="array" ref="AE837">IF($A837="","",ROUND($Y837*XLOOKUP($F837,Settings!$I$15:$I$20,Settings!$L$15:$L$20,0.8),0))</f>
        <v>1</v>
      </c>
      <c r="AF837" s="12">
        <f t="array" ref="AF837">IF($A837="","",ROUND($Y837*XLOOKUP($F837,Settings!$I$15:$I$20,Settings!$M$15:$M$20,1),0))</f>
        <v>1</v>
      </c>
      <c r="AG837" s="12">
        <f t="array" ref="AG837">IF($A837="","",ROUND($Y837*XLOOKUP($F837,Settings!$I$15:$I$20,Settings!$N$15:$N$20,1.1),0))</f>
        <v>1</v>
      </c>
      <c r="AH837" s="12">
        <f t="array" ref="AH837">IF($A837="","",ROUND($Y837*XLOOKUP($F837,Settings!$I$15:$I$20,Settings!$O$15:$O$20,1.1)*Settings!$J$7,0))</f>
        <v>1</v>
      </c>
      <c r="AI837" s="12">
        <f t="array" ref="AI837">IF($A837="","",IF($AA837="Sold","",MIN($AH837,IFERROR(XLOOKUP(Settings!$B$12,Managers!$B$4:$B$15,Managers!$H$4:$H$15),$AH837))))</f>
        <v>1</v>
      </c>
      <c r="AJ837" s="12" t="str">
        <f t="shared" si="3"/>
        <v>Recommended</v>
      </c>
      <c r="AK837" s="12">
        <f t="shared" si="4"/>
        <v>26</v>
      </c>
      <c r="AL837" s="12" t="str">
        <f t="shared" si="5"/>
        <v/>
      </c>
    </row>
    <row r="838" ht="15.75" customHeight="1">
      <c r="A838" s="10" t="s">
        <v>1955</v>
      </c>
      <c r="B838" s="10" t="s">
        <v>1956</v>
      </c>
      <c r="C838" s="10" t="s">
        <v>191</v>
      </c>
      <c r="D838" s="10" t="s">
        <v>115</v>
      </c>
      <c r="E838" s="10" t="s">
        <v>115</v>
      </c>
      <c r="F838" s="10" t="s">
        <v>117</v>
      </c>
      <c r="G838" s="10">
        <v>5.0</v>
      </c>
      <c r="H838" s="10">
        <v>7.0</v>
      </c>
      <c r="I838" s="10" t="s">
        <v>2140</v>
      </c>
      <c r="J838" s="10" t="s">
        <v>2136</v>
      </c>
      <c r="K838" s="10"/>
      <c r="L838" s="10">
        <v>0.0</v>
      </c>
      <c r="M838" s="10">
        <v>0.0</v>
      </c>
      <c r="N838" s="10"/>
      <c r="O838" s="10"/>
      <c r="P838" s="12">
        <f>IF($A838="","",IFERROR((IF($O838="",0,$O838)*Settings!$J$4+IF($L838="",0,$L838)*Settings!$J$5+IF($N838="",0,$N838)*Settings!$J$6)/(IF($O838="",0,Settings!$J$4)+IF($L838="",0,Settings!$J$5)+IF($N838="",0,Settings!$J$6)),0))</f>
        <v>0</v>
      </c>
      <c r="Q838" s="12">
        <f t="array" ref="Q838">IF($A838="","",XLOOKUP($E838,Settings!$A$19:$A$22,Settings!$G$19:$G$22,0))</f>
        <v>249.25</v>
      </c>
      <c r="R838" s="12">
        <f t="shared" si="1"/>
        <v>0</v>
      </c>
      <c r="S838" s="12">
        <f>IF($A838="","",IF($R838&lt;=0,1,1+$R838/SUMIF($R$4:$R$923,"&gt;0",$R$4:$R$923)*(Settings!$B$5*(Settings!$B$6-Settings!$B$7))))</f>
        <v>1</v>
      </c>
      <c r="T838" s="12">
        <f t="array" ref="T838">IF($A838="","",XLOOKUP($F838,Settings!$I$15:$I$20,Settings!$J$15:$J$20,1))</f>
        <v>0.75</v>
      </c>
      <c r="U838" s="12">
        <f>IF($A838="","",1+(($G838-5)/5)*Settings!$J$8)</f>
        <v>1</v>
      </c>
      <c r="V838" s="12">
        <f>IF($A838="","",1+(($H838-5)/5)*Settings!$J$9)</f>
        <v>1.06</v>
      </c>
      <c r="W838" s="12">
        <f t="array" ref="W838">IF($A838="","",XLOOKUP($J838,Lists!$C$3:$C$7,Lists!$D$3:$D$7,1))</f>
        <v>1</v>
      </c>
      <c r="X838" s="12">
        <f>IF($A838="","",IF($I838="Yes",Settings!$J$10,1))</f>
        <v>1</v>
      </c>
      <c r="Y838" s="12">
        <f t="shared" si="2"/>
        <v>1</v>
      </c>
      <c r="Z838" s="12">
        <f>IF($A838="","",IFERROR(ROUND(AVERAGEIFS('Historical Drafts'!$G$4:$G$300,'Historical Drafts'!$D$4:$D$300,$E838,'Historical Drafts'!$J$4:$J$300,"&gt;="&amp;$L838*0.85,'Historical Drafts'!$J$4:$J$300,"&lt;="&amp;$L838*1.15),0),$Y838))</f>
        <v>1</v>
      </c>
      <c r="AA838" s="12" t="str">
        <f>IF($A838="","",IF(COUNTIF('Auction Log'!$B$3:$B$300,$A838)&gt;0,"Sold","Available"))</f>
        <v>Available</v>
      </c>
      <c r="AB838" s="12" t="str">
        <f t="array" ref="AB838">IF($A838="","",IFERROR(XLOOKUP($A838,'Auction Log'!$B$3:$B$300,'Auction Log'!$G$3:$G$300,""),""))</f>
        <v/>
      </c>
      <c r="AC838" s="12" t="str">
        <f t="array" ref="AC838">IF($A838="","",IFERROR(XLOOKUP($A838,'Auction Log'!$B$3:$B$300,'Auction Log'!$F$3:$F$300,""),""))</f>
        <v/>
      </c>
      <c r="AD838" s="12">
        <f t="array" ref="AD838">IF($A838="","",ROUND($Y838*XLOOKUP($F838,Settings!$I$15:$I$20,Settings!$K$15:$K$20,0.4),0))</f>
        <v>0</v>
      </c>
      <c r="AE838" s="12">
        <f t="array" ref="AE838">IF($A838="","",ROUND($Y838*XLOOKUP($F838,Settings!$I$15:$I$20,Settings!$L$15:$L$20,0.8),0))</f>
        <v>1</v>
      </c>
      <c r="AF838" s="12">
        <f t="array" ref="AF838">IF($A838="","",ROUND($Y838*XLOOKUP($F838,Settings!$I$15:$I$20,Settings!$M$15:$M$20,1),0))</f>
        <v>1</v>
      </c>
      <c r="AG838" s="12">
        <f t="array" ref="AG838">IF($A838="","",ROUND($Y838*XLOOKUP($F838,Settings!$I$15:$I$20,Settings!$N$15:$N$20,1.1),0))</f>
        <v>1</v>
      </c>
      <c r="AH838" s="12">
        <f t="array" ref="AH838">IF($A838="","",ROUND($Y838*XLOOKUP($F838,Settings!$I$15:$I$20,Settings!$O$15:$O$20,1.1)*Settings!$J$7,0))</f>
        <v>1</v>
      </c>
      <c r="AI838" s="12">
        <f t="array" ref="AI838">IF($A838="","",IF($AA838="Sold","",MIN($AH838,IFERROR(XLOOKUP(Settings!$B$12,Managers!$B$4:$B$15,Managers!$H$4:$H$15),$AH838))))</f>
        <v>1</v>
      </c>
      <c r="AJ838" s="12" t="str">
        <f t="shared" si="3"/>
        <v>Recommended</v>
      </c>
      <c r="AK838" s="12">
        <f t="shared" si="4"/>
        <v>26</v>
      </c>
      <c r="AL838" s="12" t="str">
        <f t="shared" si="5"/>
        <v/>
      </c>
    </row>
    <row r="839" ht="15.75" customHeight="1">
      <c r="A839" s="10" t="s">
        <v>1957</v>
      </c>
      <c r="B839" s="10" t="s">
        <v>1958</v>
      </c>
      <c r="C839" s="10" t="s">
        <v>226</v>
      </c>
      <c r="D839" s="10" t="s">
        <v>118</v>
      </c>
      <c r="E839" s="10" t="s">
        <v>118</v>
      </c>
      <c r="F839" s="10" t="s">
        <v>117</v>
      </c>
      <c r="G839" s="10">
        <v>5.0</v>
      </c>
      <c r="H839" s="10">
        <v>7.0</v>
      </c>
      <c r="I839" s="10" t="s">
        <v>2140</v>
      </c>
      <c r="J839" s="10" t="s">
        <v>2136</v>
      </c>
      <c r="K839" s="10"/>
      <c r="L839" s="10">
        <v>0.0</v>
      </c>
      <c r="M839" s="10">
        <v>0.0</v>
      </c>
      <c r="N839" s="10"/>
      <c r="O839" s="10"/>
      <c r="P839" s="12">
        <f>IF($A839="","",IFERROR((IF($O839="",0,$O839)*Settings!$J$4+IF($L839="",0,$L839)*Settings!$J$5+IF($N839="",0,$N839)*Settings!$J$6)/(IF($O839="",0,Settings!$J$4)+IF($L839="",0,Settings!$J$5)+IF($N839="",0,Settings!$J$6)),0))</f>
        <v>0</v>
      </c>
      <c r="Q839" s="12">
        <f t="array" ref="Q839">IF($A839="","",XLOOKUP($E839,Settings!$A$19:$A$22,Settings!$G$19:$G$22,0))</f>
        <v>196.25</v>
      </c>
      <c r="R839" s="12">
        <f t="shared" si="1"/>
        <v>0</v>
      </c>
      <c r="S839" s="12">
        <f>IF($A839="","",IF($R839&lt;=0,1,1+$R839/SUMIF($R$4:$R$923,"&gt;0",$R$4:$R$923)*(Settings!$B$5*(Settings!$B$6-Settings!$B$7))))</f>
        <v>1</v>
      </c>
      <c r="T839" s="12">
        <f t="array" ref="T839">IF($A839="","",XLOOKUP($F839,Settings!$I$15:$I$20,Settings!$J$15:$J$20,1))</f>
        <v>0.75</v>
      </c>
      <c r="U839" s="12">
        <f>IF($A839="","",1+(($G839-5)/5)*Settings!$J$8)</f>
        <v>1</v>
      </c>
      <c r="V839" s="12">
        <f>IF($A839="","",1+(($H839-5)/5)*Settings!$J$9)</f>
        <v>1.06</v>
      </c>
      <c r="W839" s="12">
        <f t="array" ref="W839">IF($A839="","",XLOOKUP($J839,Lists!$C$3:$C$7,Lists!$D$3:$D$7,1))</f>
        <v>1</v>
      </c>
      <c r="X839" s="12">
        <f>IF($A839="","",IF($I839="Yes",Settings!$J$10,1))</f>
        <v>1</v>
      </c>
      <c r="Y839" s="12">
        <f t="shared" si="2"/>
        <v>1</v>
      </c>
      <c r="Z839" s="12">
        <f>IF($A839="","",IFERROR(ROUND(AVERAGEIFS('Historical Drafts'!$G$4:$G$300,'Historical Drafts'!$D$4:$D$300,$E839,'Historical Drafts'!$J$4:$J$300,"&gt;="&amp;$L839*0.85,'Historical Drafts'!$J$4:$J$300,"&lt;="&amp;$L839*1.15),0),$Y839))</f>
        <v>1</v>
      </c>
      <c r="AA839" s="12" t="str">
        <f>IF($A839="","",IF(COUNTIF('Auction Log'!$B$3:$B$300,$A839)&gt;0,"Sold","Available"))</f>
        <v>Available</v>
      </c>
      <c r="AB839" s="12" t="str">
        <f t="array" ref="AB839">IF($A839="","",IFERROR(XLOOKUP($A839,'Auction Log'!$B$3:$B$300,'Auction Log'!$G$3:$G$300,""),""))</f>
        <v/>
      </c>
      <c r="AC839" s="12" t="str">
        <f t="array" ref="AC839">IF($A839="","",IFERROR(XLOOKUP($A839,'Auction Log'!$B$3:$B$300,'Auction Log'!$F$3:$F$300,""),""))</f>
        <v/>
      </c>
      <c r="AD839" s="12">
        <f t="array" ref="AD839">IF($A839="","",ROUND($Y839*XLOOKUP($F839,Settings!$I$15:$I$20,Settings!$K$15:$K$20,0.4),0))</f>
        <v>0</v>
      </c>
      <c r="AE839" s="12">
        <f t="array" ref="AE839">IF($A839="","",ROUND($Y839*XLOOKUP($F839,Settings!$I$15:$I$20,Settings!$L$15:$L$20,0.8),0))</f>
        <v>1</v>
      </c>
      <c r="AF839" s="12">
        <f t="array" ref="AF839">IF($A839="","",ROUND($Y839*XLOOKUP($F839,Settings!$I$15:$I$20,Settings!$M$15:$M$20,1),0))</f>
        <v>1</v>
      </c>
      <c r="AG839" s="12">
        <f t="array" ref="AG839">IF($A839="","",ROUND($Y839*XLOOKUP($F839,Settings!$I$15:$I$20,Settings!$N$15:$N$20,1.1),0))</f>
        <v>1</v>
      </c>
      <c r="AH839" s="12">
        <f t="array" ref="AH839">IF($A839="","",ROUND($Y839*XLOOKUP($F839,Settings!$I$15:$I$20,Settings!$O$15:$O$20,1.1)*Settings!$J$7,0))</f>
        <v>1</v>
      </c>
      <c r="AI839" s="12">
        <f t="array" ref="AI839">IF($A839="","",IF($AA839="Sold","",MIN($AH839,IFERROR(XLOOKUP(Settings!$B$12,Managers!$B$4:$B$15,Managers!$H$4:$H$15),$AH839))))</f>
        <v>1</v>
      </c>
      <c r="AJ839" s="12" t="str">
        <f t="shared" si="3"/>
        <v>Recommended</v>
      </c>
      <c r="AK839" s="12">
        <f t="shared" si="4"/>
        <v>26</v>
      </c>
      <c r="AL839" s="12" t="str">
        <f t="shared" si="5"/>
        <v/>
      </c>
    </row>
    <row r="840" ht="15.75" customHeight="1">
      <c r="A840" s="10" t="s">
        <v>1959</v>
      </c>
      <c r="B840" s="10" t="s">
        <v>1960</v>
      </c>
      <c r="C840" s="10" t="s">
        <v>188</v>
      </c>
      <c r="D840" s="10" t="s">
        <v>115</v>
      </c>
      <c r="E840" s="10" t="s">
        <v>115</v>
      </c>
      <c r="F840" s="10" t="s">
        <v>117</v>
      </c>
      <c r="G840" s="10">
        <v>5.0</v>
      </c>
      <c r="H840" s="10">
        <v>7.0</v>
      </c>
      <c r="I840" s="10" t="s">
        <v>2140</v>
      </c>
      <c r="J840" s="10" t="s">
        <v>2136</v>
      </c>
      <c r="K840" s="10"/>
      <c r="L840" s="10">
        <v>0.0</v>
      </c>
      <c r="M840" s="10">
        <v>0.0</v>
      </c>
      <c r="N840" s="10"/>
      <c r="O840" s="10"/>
      <c r="P840" s="12">
        <f>IF($A840="","",IFERROR((IF($O840="",0,$O840)*Settings!$J$4+IF($L840="",0,$L840)*Settings!$J$5+IF($N840="",0,$N840)*Settings!$J$6)/(IF($O840="",0,Settings!$J$4)+IF($L840="",0,Settings!$J$5)+IF($N840="",0,Settings!$J$6)),0))</f>
        <v>0</v>
      </c>
      <c r="Q840" s="12">
        <f t="array" ref="Q840">IF($A840="","",XLOOKUP($E840,Settings!$A$19:$A$22,Settings!$G$19:$G$22,0))</f>
        <v>249.25</v>
      </c>
      <c r="R840" s="12">
        <f t="shared" si="1"/>
        <v>0</v>
      </c>
      <c r="S840" s="12">
        <f>IF($A840="","",IF($R840&lt;=0,1,1+$R840/SUMIF($R$4:$R$923,"&gt;0",$R$4:$R$923)*(Settings!$B$5*(Settings!$B$6-Settings!$B$7))))</f>
        <v>1</v>
      </c>
      <c r="T840" s="12">
        <f t="array" ref="T840">IF($A840="","",XLOOKUP($F840,Settings!$I$15:$I$20,Settings!$J$15:$J$20,1))</f>
        <v>0.75</v>
      </c>
      <c r="U840" s="12">
        <f>IF($A840="","",1+(($G840-5)/5)*Settings!$J$8)</f>
        <v>1</v>
      </c>
      <c r="V840" s="12">
        <f>IF($A840="","",1+(($H840-5)/5)*Settings!$J$9)</f>
        <v>1.06</v>
      </c>
      <c r="W840" s="12">
        <f t="array" ref="W840">IF($A840="","",XLOOKUP($J840,Lists!$C$3:$C$7,Lists!$D$3:$D$7,1))</f>
        <v>1</v>
      </c>
      <c r="X840" s="12">
        <f>IF($A840="","",IF($I840="Yes",Settings!$J$10,1))</f>
        <v>1</v>
      </c>
      <c r="Y840" s="12">
        <f t="shared" si="2"/>
        <v>1</v>
      </c>
      <c r="Z840" s="12">
        <f>IF($A840="","",IFERROR(ROUND(AVERAGEIFS('Historical Drafts'!$G$4:$G$300,'Historical Drafts'!$D$4:$D$300,$E840,'Historical Drafts'!$J$4:$J$300,"&gt;="&amp;$L840*0.85,'Historical Drafts'!$J$4:$J$300,"&lt;="&amp;$L840*1.15),0),$Y840))</f>
        <v>1</v>
      </c>
      <c r="AA840" s="12" t="str">
        <f>IF($A840="","",IF(COUNTIF('Auction Log'!$B$3:$B$300,$A840)&gt;0,"Sold","Available"))</f>
        <v>Available</v>
      </c>
      <c r="AB840" s="12" t="str">
        <f t="array" ref="AB840">IF($A840="","",IFERROR(XLOOKUP($A840,'Auction Log'!$B$3:$B$300,'Auction Log'!$G$3:$G$300,""),""))</f>
        <v/>
      </c>
      <c r="AC840" s="12" t="str">
        <f t="array" ref="AC840">IF($A840="","",IFERROR(XLOOKUP($A840,'Auction Log'!$B$3:$B$300,'Auction Log'!$F$3:$F$300,""),""))</f>
        <v/>
      </c>
      <c r="AD840" s="12">
        <f t="array" ref="AD840">IF($A840="","",ROUND($Y840*XLOOKUP($F840,Settings!$I$15:$I$20,Settings!$K$15:$K$20,0.4),0))</f>
        <v>0</v>
      </c>
      <c r="AE840" s="12">
        <f t="array" ref="AE840">IF($A840="","",ROUND($Y840*XLOOKUP($F840,Settings!$I$15:$I$20,Settings!$L$15:$L$20,0.8),0))</f>
        <v>1</v>
      </c>
      <c r="AF840" s="12">
        <f t="array" ref="AF840">IF($A840="","",ROUND($Y840*XLOOKUP($F840,Settings!$I$15:$I$20,Settings!$M$15:$M$20,1),0))</f>
        <v>1</v>
      </c>
      <c r="AG840" s="12">
        <f t="array" ref="AG840">IF($A840="","",ROUND($Y840*XLOOKUP($F840,Settings!$I$15:$I$20,Settings!$N$15:$N$20,1.1),0))</f>
        <v>1</v>
      </c>
      <c r="AH840" s="12">
        <f t="array" ref="AH840">IF($A840="","",ROUND($Y840*XLOOKUP($F840,Settings!$I$15:$I$20,Settings!$O$15:$O$20,1.1)*Settings!$J$7,0))</f>
        <v>1</v>
      </c>
      <c r="AI840" s="12">
        <f t="array" ref="AI840">IF($A840="","",IF($AA840="Sold","",MIN($AH840,IFERROR(XLOOKUP(Settings!$B$12,Managers!$B$4:$B$15,Managers!$H$4:$H$15),$AH840))))</f>
        <v>1</v>
      </c>
      <c r="AJ840" s="12" t="str">
        <f t="shared" si="3"/>
        <v>Recommended</v>
      </c>
      <c r="AK840" s="12">
        <f t="shared" si="4"/>
        <v>26</v>
      </c>
      <c r="AL840" s="12" t="str">
        <f t="shared" si="5"/>
        <v/>
      </c>
    </row>
    <row r="841" ht="15.75" customHeight="1">
      <c r="A841" s="10" t="s">
        <v>1961</v>
      </c>
      <c r="B841" s="10" t="s">
        <v>1962</v>
      </c>
      <c r="C841" s="10" t="s">
        <v>257</v>
      </c>
      <c r="D841" s="10" t="s">
        <v>123</v>
      </c>
      <c r="E841" s="10" t="s">
        <v>123</v>
      </c>
      <c r="F841" s="10" t="s">
        <v>117</v>
      </c>
      <c r="G841" s="10">
        <v>5.0</v>
      </c>
      <c r="H841" s="10">
        <v>7.0</v>
      </c>
      <c r="I841" s="10" t="s">
        <v>2140</v>
      </c>
      <c r="J841" s="10" t="s">
        <v>2136</v>
      </c>
      <c r="K841" s="10"/>
      <c r="L841" s="10">
        <v>0.0</v>
      </c>
      <c r="M841" s="10">
        <v>0.0</v>
      </c>
      <c r="N841" s="10"/>
      <c r="O841" s="10"/>
      <c r="P841" s="12">
        <f>IF($A841="","",IFERROR((IF($O841="",0,$O841)*Settings!$J$4+IF($L841="",0,$L841)*Settings!$J$5+IF($N841="",0,$N841)*Settings!$J$6)/(IF($O841="",0,Settings!$J$4)+IF($L841="",0,Settings!$J$5)+IF($N841="",0,Settings!$J$6)),0))</f>
        <v>0</v>
      </c>
      <c r="Q841" s="12">
        <f t="array" ref="Q841">IF($A841="","",XLOOKUP($E841,Settings!$A$19:$A$22,Settings!$G$19:$G$22,0))</f>
        <v>203</v>
      </c>
      <c r="R841" s="12">
        <f t="shared" si="1"/>
        <v>0</v>
      </c>
      <c r="S841" s="12">
        <f>IF($A841="","",IF($R841&lt;=0,1,1+$R841/SUMIF($R$4:$R$923,"&gt;0",$R$4:$R$923)*(Settings!$B$5*(Settings!$B$6-Settings!$B$7))))</f>
        <v>1</v>
      </c>
      <c r="T841" s="12">
        <f t="array" ref="T841">IF($A841="","",XLOOKUP($F841,Settings!$I$15:$I$20,Settings!$J$15:$J$20,1))</f>
        <v>0.75</v>
      </c>
      <c r="U841" s="12">
        <f>IF($A841="","",1+(($G841-5)/5)*Settings!$J$8)</f>
        <v>1</v>
      </c>
      <c r="V841" s="12">
        <f>IF($A841="","",1+(($H841-5)/5)*Settings!$J$9)</f>
        <v>1.06</v>
      </c>
      <c r="W841" s="12">
        <f t="array" ref="W841">IF($A841="","",XLOOKUP($J841,Lists!$C$3:$C$7,Lists!$D$3:$D$7,1))</f>
        <v>1</v>
      </c>
      <c r="X841" s="12">
        <f>IF($A841="","",IF($I841="Yes",Settings!$J$10,1))</f>
        <v>1</v>
      </c>
      <c r="Y841" s="12">
        <f t="shared" si="2"/>
        <v>1</v>
      </c>
      <c r="Z841" s="12">
        <f>IF($A841="","",IFERROR(ROUND(AVERAGEIFS('Historical Drafts'!$G$4:$G$300,'Historical Drafts'!$D$4:$D$300,$E841,'Historical Drafts'!$J$4:$J$300,"&gt;="&amp;$L841*0.85,'Historical Drafts'!$J$4:$J$300,"&lt;="&amp;$L841*1.15),0),$Y841))</f>
        <v>3</v>
      </c>
      <c r="AA841" s="12" t="str">
        <f>IF($A841="","",IF(COUNTIF('Auction Log'!$B$3:$B$300,$A841)&gt;0,"Sold","Available"))</f>
        <v>Available</v>
      </c>
      <c r="AB841" s="12" t="str">
        <f t="array" ref="AB841">IF($A841="","",IFERROR(XLOOKUP($A841,'Auction Log'!$B$3:$B$300,'Auction Log'!$G$3:$G$300,""),""))</f>
        <v/>
      </c>
      <c r="AC841" s="12" t="str">
        <f t="array" ref="AC841">IF($A841="","",IFERROR(XLOOKUP($A841,'Auction Log'!$B$3:$B$300,'Auction Log'!$F$3:$F$300,""),""))</f>
        <v/>
      </c>
      <c r="AD841" s="12">
        <f t="array" ref="AD841">IF($A841="","",ROUND($Y841*XLOOKUP($F841,Settings!$I$15:$I$20,Settings!$K$15:$K$20,0.4),0))</f>
        <v>0</v>
      </c>
      <c r="AE841" s="12">
        <f t="array" ref="AE841">IF($A841="","",ROUND($Y841*XLOOKUP($F841,Settings!$I$15:$I$20,Settings!$L$15:$L$20,0.8),0))</f>
        <v>1</v>
      </c>
      <c r="AF841" s="12">
        <f t="array" ref="AF841">IF($A841="","",ROUND($Y841*XLOOKUP($F841,Settings!$I$15:$I$20,Settings!$M$15:$M$20,1),0))</f>
        <v>1</v>
      </c>
      <c r="AG841" s="12">
        <f t="array" ref="AG841">IF($A841="","",ROUND($Y841*XLOOKUP($F841,Settings!$I$15:$I$20,Settings!$N$15:$N$20,1.1),0))</f>
        <v>1</v>
      </c>
      <c r="AH841" s="12">
        <f t="array" ref="AH841">IF($A841="","",ROUND($Y841*XLOOKUP($F841,Settings!$I$15:$I$20,Settings!$O$15:$O$20,1.1)*Settings!$J$7,0))</f>
        <v>1</v>
      </c>
      <c r="AI841" s="12">
        <f t="array" ref="AI841">IF($A841="","",IF($AA841="Sold","",MIN($AH841,IFERROR(XLOOKUP(Settings!$B$12,Managers!$B$4:$B$15,Managers!$H$4:$H$15),$AH841))))</f>
        <v>1</v>
      </c>
      <c r="AJ841" s="12" t="str">
        <f t="shared" si="3"/>
        <v>Budget Drainer</v>
      </c>
      <c r="AK841" s="12">
        <f t="shared" si="4"/>
        <v>28</v>
      </c>
      <c r="AL841" s="12" t="str">
        <f t="shared" si="5"/>
        <v/>
      </c>
    </row>
    <row r="842" ht="15.75" customHeight="1">
      <c r="A842" s="10" t="s">
        <v>1963</v>
      </c>
      <c r="B842" s="10" t="s">
        <v>1964</v>
      </c>
      <c r="C842" s="10" t="s">
        <v>327</v>
      </c>
      <c r="D842" s="10" t="s">
        <v>118</v>
      </c>
      <c r="E842" s="10" t="s">
        <v>118</v>
      </c>
      <c r="F842" s="10" t="s">
        <v>117</v>
      </c>
      <c r="G842" s="10">
        <v>5.0</v>
      </c>
      <c r="H842" s="10">
        <v>7.0</v>
      </c>
      <c r="I842" s="10" t="s">
        <v>2140</v>
      </c>
      <c r="J842" s="10" t="s">
        <v>2136</v>
      </c>
      <c r="K842" s="10"/>
      <c r="L842" s="10">
        <v>0.0</v>
      </c>
      <c r="M842" s="10">
        <v>0.0</v>
      </c>
      <c r="N842" s="10"/>
      <c r="O842" s="10"/>
      <c r="P842" s="12">
        <f>IF($A842="","",IFERROR((IF($O842="",0,$O842)*Settings!$J$4+IF($L842="",0,$L842)*Settings!$J$5+IF($N842="",0,$N842)*Settings!$J$6)/(IF($O842="",0,Settings!$J$4)+IF($L842="",0,Settings!$J$5)+IF($N842="",0,Settings!$J$6)),0))</f>
        <v>0</v>
      </c>
      <c r="Q842" s="12">
        <f t="array" ref="Q842">IF($A842="","",XLOOKUP($E842,Settings!$A$19:$A$22,Settings!$G$19:$G$22,0))</f>
        <v>196.25</v>
      </c>
      <c r="R842" s="12">
        <f t="shared" si="1"/>
        <v>0</v>
      </c>
      <c r="S842" s="12">
        <f>IF($A842="","",IF($R842&lt;=0,1,1+$R842/SUMIF($R$4:$R$923,"&gt;0",$R$4:$R$923)*(Settings!$B$5*(Settings!$B$6-Settings!$B$7))))</f>
        <v>1</v>
      </c>
      <c r="T842" s="12">
        <f t="array" ref="T842">IF($A842="","",XLOOKUP($F842,Settings!$I$15:$I$20,Settings!$J$15:$J$20,1))</f>
        <v>0.75</v>
      </c>
      <c r="U842" s="12">
        <f>IF($A842="","",1+(($G842-5)/5)*Settings!$J$8)</f>
        <v>1</v>
      </c>
      <c r="V842" s="12">
        <f>IF($A842="","",1+(($H842-5)/5)*Settings!$J$9)</f>
        <v>1.06</v>
      </c>
      <c r="W842" s="12">
        <f t="array" ref="W842">IF($A842="","",XLOOKUP($J842,Lists!$C$3:$C$7,Lists!$D$3:$D$7,1))</f>
        <v>1</v>
      </c>
      <c r="X842" s="12">
        <f>IF($A842="","",IF($I842="Yes",Settings!$J$10,1))</f>
        <v>1</v>
      </c>
      <c r="Y842" s="12">
        <f t="shared" si="2"/>
        <v>1</v>
      </c>
      <c r="Z842" s="12">
        <f>IF($A842="","",IFERROR(ROUND(AVERAGEIFS('Historical Drafts'!$G$4:$G$300,'Historical Drafts'!$D$4:$D$300,$E842,'Historical Drafts'!$J$4:$J$300,"&gt;="&amp;$L842*0.85,'Historical Drafts'!$J$4:$J$300,"&lt;="&amp;$L842*1.15),0),$Y842))</f>
        <v>1</v>
      </c>
      <c r="AA842" s="12" t="str">
        <f>IF($A842="","",IF(COUNTIF('Auction Log'!$B$3:$B$300,$A842)&gt;0,"Sold","Available"))</f>
        <v>Available</v>
      </c>
      <c r="AB842" s="12" t="str">
        <f t="array" ref="AB842">IF($A842="","",IFERROR(XLOOKUP($A842,'Auction Log'!$B$3:$B$300,'Auction Log'!$G$3:$G$300,""),""))</f>
        <v/>
      </c>
      <c r="AC842" s="12" t="str">
        <f t="array" ref="AC842">IF($A842="","",IFERROR(XLOOKUP($A842,'Auction Log'!$B$3:$B$300,'Auction Log'!$F$3:$F$300,""),""))</f>
        <v/>
      </c>
      <c r="AD842" s="12">
        <f t="array" ref="AD842">IF($A842="","",ROUND($Y842*XLOOKUP($F842,Settings!$I$15:$I$20,Settings!$K$15:$K$20,0.4),0))</f>
        <v>0</v>
      </c>
      <c r="AE842" s="12">
        <f t="array" ref="AE842">IF($A842="","",ROUND($Y842*XLOOKUP($F842,Settings!$I$15:$I$20,Settings!$L$15:$L$20,0.8),0))</f>
        <v>1</v>
      </c>
      <c r="AF842" s="12">
        <f t="array" ref="AF842">IF($A842="","",ROUND($Y842*XLOOKUP($F842,Settings!$I$15:$I$20,Settings!$M$15:$M$20,1),0))</f>
        <v>1</v>
      </c>
      <c r="AG842" s="12">
        <f t="array" ref="AG842">IF($A842="","",ROUND($Y842*XLOOKUP($F842,Settings!$I$15:$I$20,Settings!$N$15:$N$20,1.1),0))</f>
        <v>1</v>
      </c>
      <c r="AH842" s="12">
        <f t="array" ref="AH842">IF($A842="","",ROUND($Y842*XLOOKUP($F842,Settings!$I$15:$I$20,Settings!$O$15:$O$20,1.1)*Settings!$J$7,0))</f>
        <v>1</v>
      </c>
      <c r="AI842" s="12">
        <f t="array" ref="AI842">IF($A842="","",IF($AA842="Sold","",MIN($AH842,IFERROR(XLOOKUP(Settings!$B$12,Managers!$B$4:$B$15,Managers!$H$4:$H$15),$AH842))))</f>
        <v>1</v>
      </c>
      <c r="AJ842" s="12" t="str">
        <f t="shared" si="3"/>
        <v>Recommended</v>
      </c>
      <c r="AK842" s="12">
        <f t="shared" si="4"/>
        <v>26</v>
      </c>
      <c r="AL842" s="12" t="str">
        <f t="shared" si="5"/>
        <v/>
      </c>
    </row>
    <row r="843" ht="15.75" customHeight="1">
      <c r="A843" s="10" t="s">
        <v>1965</v>
      </c>
      <c r="B843" s="10" t="s">
        <v>1966</v>
      </c>
      <c r="C843" s="10" t="s">
        <v>236</v>
      </c>
      <c r="D843" s="10" t="s">
        <v>118</v>
      </c>
      <c r="E843" s="10" t="s">
        <v>118</v>
      </c>
      <c r="F843" s="10" t="s">
        <v>117</v>
      </c>
      <c r="G843" s="10">
        <v>5.0</v>
      </c>
      <c r="H843" s="10">
        <v>7.0</v>
      </c>
      <c r="I843" s="10" t="s">
        <v>2140</v>
      </c>
      <c r="J843" s="10" t="s">
        <v>2136</v>
      </c>
      <c r="K843" s="10"/>
      <c r="L843" s="10">
        <v>0.0</v>
      </c>
      <c r="M843" s="10">
        <v>0.0</v>
      </c>
      <c r="N843" s="10"/>
      <c r="O843" s="10"/>
      <c r="P843" s="12">
        <f>IF($A843="","",IFERROR((IF($O843="",0,$O843)*Settings!$J$4+IF($L843="",0,$L843)*Settings!$J$5+IF($N843="",0,$N843)*Settings!$J$6)/(IF($O843="",0,Settings!$J$4)+IF($L843="",0,Settings!$J$5)+IF($N843="",0,Settings!$J$6)),0))</f>
        <v>0</v>
      </c>
      <c r="Q843" s="12">
        <f t="array" ref="Q843">IF($A843="","",XLOOKUP($E843,Settings!$A$19:$A$22,Settings!$G$19:$G$22,0))</f>
        <v>196.25</v>
      </c>
      <c r="R843" s="12">
        <f t="shared" si="1"/>
        <v>0</v>
      </c>
      <c r="S843" s="12">
        <f>IF($A843="","",IF($R843&lt;=0,1,1+$R843/SUMIF($R$4:$R$923,"&gt;0",$R$4:$R$923)*(Settings!$B$5*(Settings!$B$6-Settings!$B$7))))</f>
        <v>1</v>
      </c>
      <c r="T843" s="12">
        <f t="array" ref="T843">IF($A843="","",XLOOKUP($F843,Settings!$I$15:$I$20,Settings!$J$15:$J$20,1))</f>
        <v>0.75</v>
      </c>
      <c r="U843" s="12">
        <f>IF($A843="","",1+(($G843-5)/5)*Settings!$J$8)</f>
        <v>1</v>
      </c>
      <c r="V843" s="12">
        <f>IF($A843="","",1+(($H843-5)/5)*Settings!$J$9)</f>
        <v>1.06</v>
      </c>
      <c r="W843" s="12">
        <f t="array" ref="W843">IF($A843="","",XLOOKUP($J843,Lists!$C$3:$C$7,Lists!$D$3:$D$7,1))</f>
        <v>1</v>
      </c>
      <c r="X843" s="12">
        <f>IF($A843="","",IF($I843="Yes",Settings!$J$10,1))</f>
        <v>1</v>
      </c>
      <c r="Y843" s="12">
        <f t="shared" si="2"/>
        <v>1</v>
      </c>
      <c r="Z843" s="12">
        <f>IF($A843="","",IFERROR(ROUND(AVERAGEIFS('Historical Drafts'!$G$4:$G$300,'Historical Drafts'!$D$4:$D$300,$E843,'Historical Drafts'!$J$4:$J$300,"&gt;="&amp;$L843*0.85,'Historical Drafts'!$J$4:$J$300,"&lt;="&amp;$L843*1.15),0),$Y843))</f>
        <v>1</v>
      </c>
      <c r="AA843" s="12" t="str">
        <f>IF($A843="","",IF(COUNTIF('Auction Log'!$B$3:$B$300,$A843)&gt;0,"Sold","Available"))</f>
        <v>Available</v>
      </c>
      <c r="AB843" s="12" t="str">
        <f t="array" ref="AB843">IF($A843="","",IFERROR(XLOOKUP($A843,'Auction Log'!$B$3:$B$300,'Auction Log'!$G$3:$G$300,""),""))</f>
        <v/>
      </c>
      <c r="AC843" s="12" t="str">
        <f t="array" ref="AC843">IF($A843="","",IFERROR(XLOOKUP($A843,'Auction Log'!$B$3:$B$300,'Auction Log'!$F$3:$F$300,""),""))</f>
        <v/>
      </c>
      <c r="AD843" s="12">
        <f t="array" ref="AD843">IF($A843="","",ROUND($Y843*XLOOKUP($F843,Settings!$I$15:$I$20,Settings!$K$15:$K$20,0.4),0))</f>
        <v>0</v>
      </c>
      <c r="AE843" s="12">
        <f t="array" ref="AE843">IF($A843="","",ROUND($Y843*XLOOKUP($F843,Settings!$I$15:$I$20,Settings!$L$15:$L$20,0.8),0))</f>
        <v>1</v>
      </c>
      <c r="AF843" s="12">
        <f t="array" ref="AF843">IF($A843="","",ROUND($Y843*XLOOKUP($F843,Settings!$I$15:$I$20,Settings!$M$15:$M$20,1),0))</f>
        <v>1</v>
      </c>
      <c r="AG843" s="12">
        <f t="array" ref="AG843">IF($A843="","",ROUND($Y843*XLOOKUP($F843,Settings!$I$15:$I$20,Settings!$N$15:$N$20,1.1),0))</f>
        <v>1</v>
      </c>
      <c r="AH843" s="12">
        <f t="array" ref="AH843">IF($A843="","",ROUND($Y843*XLOOKUP($F843,Settings!$I$15:$I$20,Settings!$O$15:$O$20,1.1)*Settings!$J$7,0))</f>
        <v>1</v>
      </c>
      <c r="AI843" s="12">
        <f t="array" ref="AI843">IF($A843="","",IF($AA843="Sold","",MIN($AH843,IFERROR(XLOOKUP(Settings!$B$12,Managers!$B$4:$B$15,Managers!$H$4:$H$15),$AH843))))</f>
        <v>1</v>
      </c>
      <c r="AJ843" s="12" t="str">
        <f t="shared" si="3"/>
        <v>Recommended</v>
      </c>
      <c r="AK843" s="12">
        <f t="shared" si="4"/>
        <v>26</v>
      </c>
      <c r="AL843" s="12" t="str">
        <f t="shared" si="5"/>
        <v/>
      </c>
    </row>
    <row r="844" ht="15.75" customHeight="1">
      <c r="A844" s="10" t="s">
        <v>1967</v>
      </c>
      <c r="B844" s="10" t="s">
        <v>1968</v>
      </c>
      <c r="C844" s="10" t="s">
        <v>314</v>
      </c>
      <c r="D844" s="10" t="s">
        <v>123</v>
      </c>
      <c r="E844" s="10" t="s">
        <v>123</v>
      </c>
      <c r="F844" s="10" t="s">
        <v>117</v>
      </c>
      <c r="G844" s="10">
        <v>5.0</v>
      </c>
      <c r="H844" s="10">
        <v>7.0</v>
      </c>
      <c r="I844" s="10" t="s">
        <v>2140</v>
      </c>
      <c r="J844" s="10" t="s">
        <v>2136</v>
      </c>
      <c r="K844" s="10"/>
      <c r="L844" s="10">
        <v>0.0</v>
      </c>
      <c r="M844" s="10">
        <v>0.0</v>
      </c>
      <c r="N844" s="10"/>
      <c r="O844" s="10"/>
      <c r="P844" s="12">
        <f>IF($A844="","",IFERROR((IF($O844="",0,$O844)*Settings!$J$4+IF($L844="",0,$L844)*Settings!$J$5+IF($N844="",0,$N844)*Settings!$J$6)/(IF($O844="",0,Settings!$J$4)+IF($L844="",0,Settings!$J$5)+IF($N844="",0,Settings!$J$6)),0))</f>
        <v>0</v>
      </c>
      <c r="Q844" s="12">
        <f t="array" ref="Q844">IF($A844="","",XLOOKUP($E844,Settings!$A$19:$A$22,Settings!$G$19:$G$22,0))</f>
        <v>203</v>
      </c>
      <c r="R844" s="12">
        <f t="shared" si="1"/>
        <v>0</v>
      </c>
      <c r="S844" s="12">
        <f>IF($A844="","",IF($R844&lt;=0,1,1+$R844/SUMIF($R$4:$R$923,"&gt;0",$R$4:$R$923)*(Settings!$B$5*(Settings!$B$6-Settings!$B$7))))</f>
        <v>1</v>
      </c>
      <c r="T844" s="12">
        <f t="array" ref="T844">IF($A844="","",XLOOKUP($F844,Settings!$I$15:$I$20,Settings!$J$15:$J$20,1))</f>
        <v>0.75</v>
      </c>
      <c r="U844" s="12">
        <f>IF($A844="","",1+(($G844-5)/5)*Settings!$J$8)</f>
        <v>1</v>
      </c>
      <c r="V844" s="12">
        <f>IF($A844="","",1+(($H844-5)/5)*Settings!$J$9)</f>
        <v>1.06</v>
      </c>
      <c r="W844" s="12">
        <f t="array" ref="W844">IF($A844="","",XLOOKUP($J844,Lists!$C$3:$C$7,Lists!$D$3:$D$7,1))</f>
        <v>1</v>
      </c>
      <c r="X844" s="12">
        <f>IF($A844="","",IF($I844="Yes",Settings!$J$10,1))</f>
        <v>1</v>
      </c>
      <c r="Y844" s="12">
        <f t="shared" si="2"/>
        <v>1</v>
      </c>
      <c r="Z844" s="12">
        <f>IF($A844="","",IFERROR(ROUND(AVERAGEIFS('Historical Drafts'!$G$4:$G$300,'Historical Drafts'!$D$4:$D$300,$E844,'Historical Drafts'!$J$4:$J$300,"&gt;="&amp;$L844*0.85,'Historical Drafts'!$J$4:$J$300,"&lt;="&amp;$L844*1.15),0),$Y844))</f>
        <v>3</v>
      </c>
      <c r="AA844" s="12" t="str">
        <f>IF($A844="","",IF(COUNTIF('Auction Log'!$B$3:$B$300,$A844)&gt;0,"Sold","Available"))</f>
        <v>Available</v>
      </c>
      <c r="AB844" s="12" t="str">
        <f t="array" ref="AB844">IF($A844="","",IFERROR(XLOOKUP($A844,'Auction Log'!$B$3:$B$300,'Auction Log'!$G$3:$G$300,""),""))</f>
        <v/>
      </c>
      <c r="AC844" s="12" t="str">
        <f t="array" ref="AC844">IF($A844="","",IFERROR(XLOOKUP($A844,'Auction Log'!$B$3:$B$300,'Auction Log'!$F$3:$F$300,""),""))</f>
        <v/>
      </c>
      <c r="AD844" s="12">
        <f t="array" ref="AD844">IF($A844="","",ROUND($Y844*XLOOKUP($F844,Settings!$I$15:$I$20,Settings!$K$15:$K$20,0.4),0))</f>
        <v>0</v>
      </c>
      <c r="AE844" s="12">
        <f t="array" ref="AE844">IF($A844="","",ROUND($Y844*XLOOKUP($F844,Settings!$I$15:$I$20,Settings!$L$15:$L$20,0.8),0))</f>
        <v>1</v>
      </c>
      <c r="AF844" s="12">
        <f t="array" ref="AF844">IF($A844="","",ROUND($Y844*XLOOKUP($F844,Settings!$I$15:$I$20,Settings!$M$15:$M$20,1),0))</f>
        <v>1</v>
      </c>
      <c r="AG844" s="12">
        <f t="array" ref="AG844">IF($A844="","",ROUND($Y844*XLOOKUP($F844,Settings!$I$15:$I$20,Settings!$N$15:$N$20,1.1),0))</f>
        <v>1</v>
      </c>
      <c r="AH844" s="12">
        <f t="array" ref="AH844">IF($A844="","",ROUND($Y844*XLOOKUP($F844,Settings!$I$15:$I$20,Settings!$O$15:$O$20,1.1)*Settings!$J$7,0))</f>
        <v>1</v>
      </c>
      <c r="AI844" s="12">
        <f t="array" ref="AI844">IF($A844="","",IF($AA844="Sold","",MIN($AH844,IFERROR(XLOOKUP(Settings!$B$12,Managers!$B$4:$B$15,Managers!$H$4:$H$15),$AH844))))</f>
        <v>1</v>
      </c>
      <c r="AJ844" s="12" t="str">
        <f t="shared" si="3"/>
        <v>Budget Drainer</v>
      </c>
      <c r="AK844" s="12">
        <f t="shared" si="4"/>
        <v>28</v>
      </c>
      <c r="AL844" s="12" t="str">
        <f t="shared" si="5"/>
        <v/>
      </c>
    </row>
    <row r="845" ht="15.75" customHeight="1">
      <c r="A845" s="10" t="s">
        <v>1969</v>
      </c>
      <c r="B845" s="10" t="s">
        <v>1970</v>
      </c>
      <c r="C845" s="10" t="s">
        <v>231</v>
      </c>
      <c r="D845" s="10" t="s">
        <v>123</v>
      </c>
      <c r="E845" s="10" t="s">
        <v>123</v>
      </c>
      <c r="F845" s="10" t="s">
        <v>117</v>
      </c>
      <c r="G845" s="10">
        <v>5.0</v>
      </c>
      <c r="H845" s="10">
        <v>7.0</v>
      </c>
      <c r="I845" s="10" t="s">
        <v>2140</v>
      </c>
      <c r="J845" s="10" t="s">
        <v>2136</v>
      </c>
      <c r="K845" s="10"/>
      <c r="L845" s="10">
        <v>0.0</v>
      </c>
      <c r="M845" s="10">
        <v>0.0</v>
      </c>
      <c r="N845" s="10"/>
      <c r="O845" s="10"/>
      <c r="P845" s="12">
        <f>IF($A845="","",IFERROR((IF($O845="",0,$O845)*Settings!$J$4+IF($L845="",0,$L845)*Settings!$J$5+IF($N845="",0,$N845)*Settings!$J$6)/(IF($O845="",0,Settings!$J$4)+IF($L845="",0,Settings!$J$5)+IF($N845="",0,Settings!$J$6)),0))</f>
        <v>0</v>
      </c>
      <c r="Q845" s="12">
        <f t="array" ref="Q845">IF($A845="","",XLOOKUP($E845,Settings!$A$19:$A$22,Settings!$G$19:$G$22,0))</f>
        <v>203</v>
      </c>
      <c r="R845" s="12">
        <f t="shared" si="1"/>
        <v>0</v>
      </c>
      <c r="S845" s="12">
        <f>IF($A845="","",IF($R845&lt;=0,1,1+$R845/SUMIF($R$4:$R$923,"&gt;0",$R$4:$R$923)*(Settings!$B$5*(Settings!$B$6-Settings!$B$7))))</f>
        <v>1</v>
      </c>
      <c r="T845" s="12">
        <f t="array" ref="T845">IF($A845="","",XLOOKUP($F845,Settings!$I$15:$I$20,Settings!$J$15:$J$20,1))</f>
        <v>0.75</v>
      </c>
      <c r="U845" s="12">
        <f>IF($A845="","",1+(($G845-5)/5)*Settings!$J$8)</f>
        <v>1</v>
      </c>
      <c r="V845" s="12">
        <f>IF($A845="","",1+(($H845-5)/5)*Settings!$J$9)</f>
        <v>1.06</v>
      </c>
      <c r="W845" s="12">
        <f t="array" ref="W845">IF($A845="","",XLOOKUP($J845,Lists!$C$3:$C$7,Lists!$D$3:$D$7,1))</f>
        <v>1</v>
      </c>
      <c r="X845" s="12">
        <f>IF($A845="","",IF($I845="Yes",Settings!$J$10,1))</f>
        <v>1</v>
      </c>
      <c r="Y845" s="12">
        <f t="shared" si="2"/>
        <v>1</v>
      </c>
      <c r="Z845" s="12">
        <f>IF($A845="","",IFERROR(ROUND(AVERAGEIFS('Historical Drafts'!$G$4:$G$300,'Historical Drafts'!$D$4:$D$300,$E845,'Historical Drafts'!$J$4:$J$300,"&gt;="&amp;$L845*0.85,'Historical Drafts'!$J$4:$J$300,"&lt;="&amp;$L845*1.15),0),$Y845))</f>
        <v>3</v>
      </c>
      <c r="AA845" s="12" t="str">
        <f>IF($A845="","",IF(COUNTIF('Auction Log'!$B$3:$B$300,$A845)&gt;0,"Sold","Available"))</f>
        <v>Available</v>
      </c>
      <c r="AB845" s="12" t="str">
        <f t="array" ref="AB845">IF($A845="","",IFERROR(XLOOKUP($A845,'Auction Log'!$B$3:$B$300,'Auction Log'!$G$3:$G$300,""),""))</f>
        <v/>
      </c>
      <c r="AC845" s="12" t="str">
        <f t="array" ref="AC845">IF($A845="","",IFERROR(XLOOKUP($A845,'Auction Log'!$B$3:$B$300,'Auction Log'!$F$3:$F$300,""),""))</f>
        <v/>
      </c>
      <c r="AD845" s="12">
        <f t="array" ref="AD845">IF($A845="","",ROUND($Y845*XLOOKUP($F845,Settings!$I$15:$I$20,Settings!$K$15:$K$20,0.4),0))</f>
        <v>0</v>
      </c>
      <c r="AE845" s="12">
        <f t="array" ref="AE845">IF($A845="","",ROUND($Y845*XLOOKUP($F845,Settings!$I$15:$I$20,Settings!$L$15:$L$20,0.8),0))</f>
        <v>1</v>
      </c>
      <c r="AF845" s="12">
        <f t="array" ref="AF845">IF($A845="","",ROUND($Y845*XLOOKUP($F845,Settings!$I$15:$I$20,Settings!$M$15:$M$20,1),0))</f>
        <v>1</v>
      </c>
      <c r="AG845" s="12">
        <f t="array" ref="AG845">IF($A845="","",ROUND($Y845*XLOOKUP($F845,Settings!$I$15:$I$20,Settings!$N$15:$N$20,1.1),0))</f>
        <v>1</v>
      </c>
      <c r="AH845" s="12">
        <f t="array" ref="AH845">IF($A845="","",ROUND($Y845*XLOOKUP($F845,Settings!$I$15:$I$20,Settings!$O$15:$O$20,1.1)*Settings!$J$7,0))</f>
        <v>1</v>
      </c>
      <c r="AI845" s="12">
        <f t="array" ref="AI845">IF($A845="","",IF($AA845="Sold","",MIN($AH845,IFERROR(XLOOKUP(Settings!$B$12,Managers!$B$4:$B$15,Managers!$H$4:$H$15),$AH845))))</f>
        <v>1</v>
      </c>
      <c r="AJ845" s="12" t="str">
        <f t="shared" si="3"/>
        <v>Budget Drainer</v>
      </c>
      <c r="AK845" s="12">
        <f t="shared" si="4"/>
        <v>28</v>
      </c>
      <c r="AL845" s="12" t="str">
        <f t="shared" si="5"/>
        <v/>
      </c>
    </row>
    <row r="846" ht="15.75" customHeight="1">
      <c r="A846" s="10" t="s">
        <v>1971</v>
      </c>
      <c r="B846" s="10" t="s">
        <v>1972</v>
      </c>
      <c r="C846" s="10" t="s">
        <v>231</v>
      </c>
      <c r="D846" s="10" t="s">
        <v>118</v>
      </c>
      <c r="E846" s="10" t="s">
        <v>118</v>
      </c>
      <c r="F846" s="10" t="s">
        <v>117</v>
      </c>
      <c r="G846" s="10">
        <v>5.0</v>
      </c>
      <c r="H846" s="10">
        <v>7.0</v>
      </c>
      <c r="I846" s="10" t="s">
        <v>2140</v>
      </c>
      <c r="J846" s="10" t="s">
        <v>2136</v>
      </c>
      <c r="K846" s="10"/>
      <c r="L846" s="10">
        <v>0.0</v>
      </c>
      <c r="M846" s="10">
        <v>0.0</v>
      </c>
      <c r="N846" s="10"/>
      <c r="O846" s="10"/>
      <c r="P846" s="12">
        <f>IF($A846="","",IFERROR((IF($O846="",0,$O846)*Settings!$J$4+IF($L846="",0,$L846)*Settings!$J$5+IF($N846="",0,$N846)*Settings!$J$6)/(IF($O846="",0,Settings!$J$4)+IF($L846="",0,Settings!$J$5)+IF($N846="",0,Settings!$J$6)),0))</f>
        <v>0</v>
      </c>
      <c r="Q846" s="12">
        <f t="array" ref="Q846">IF($A846="","",XLOOKUP($E846,Settings!$A$19:$A$22,Settings!$G$19:$G$22,0))</f>
        <v>196.25</v>
      </c>
      <c r="R846" s="12">
        <f t="shared" si="1"/>
        <v>0</v>
      </c>
      <c r="S846" s="12">
        <f>IF($A846="","",IF($R846&lt;=0,1,1+$R846/SUMIF($R$4:$R$923,"&gt;0",$R$4:$R$923)*(Settings!$B$5*(Settings!$B$6-Settings!$B$7))))</f>
        <v>1</v>
      </c>
      <c r="T846" s="12">
        <f t="array" ref="T846">IF($A846="","",XLOOKUP($F846,Settings!$I$15:$I$20,Settings!$J$15:$J$20,1))</f>
        <v>0.75</v>
      </c>
      <c r="U846" s="12">
        <f>IF($A846="","",1+(($G846-5)/5)*Settings!$J$8)</f>
        <v>1</v>
      </c>
      <c r="V846" s="12">
        <f>IF($A846="","",1+(($H846-5)/5)*Settings!$J$9)</f>
        <v>1.06</v>
      </c>
      <c r="W846" s="12">
        <f t="array" ref="W846">IF($A846="","",XLOOKUP($J846,Lists!$C$3:$C$7,Lists!$D$3:$D$7,1))</f>
        <v>1</v>
      </c>
      <c r="X846" s="12">
        <f>IF($A846="","",IF($I846="Yes",Settings!$J$10,1))</f>
        <v>1</v>
      </c>
      <c r="Y846" s="12">
        <f t="shared" si="2"/>
        <v>1</v>
      </c>
      <c r="Z846" s="12">
        <f>IF($A846="","",IFERROR(ROUND(AVERAGEIFS('Historical Drafts'!$G$4:$G$300,'Historical Drafts'!$D$4:$D$300,$E846,'Historical Drafts'!$J$4:$J$300,"&gt;="&amp;$L846*0.85,'Historical Drafts'!$J$4:$J$300,"&lt;="&amp;$L846*1.15),0),$Y846))</f>
        <v>1</v>
      </c>
      <c r="AA846" s="12" t="str">
        <f>IF($A846="","",IF(COUNTIF('Auction Log'!$B$3:$B$300,$A846)&gt;0,"Sold","Available"))</f>
        <v>Available</v>
      </c>
      <c r="AB846" s="12" t="str">
        <f t="array" ref="AB846">IF($A846="","",IFERROR(XLOOKUP($A846,'Auction Log'!$B$3:$B$300,'Auction Log'!$G$3:$G$300,""),""))</f>
        <v/>
      </c>
      <c r="AC846" s="12" t="str">
        <f t="array" ref="AC846">IF($A846="","",IFERROR(XLOOKUP($A846,'Auction Log'!$B$3:$B$300,'Auction Log'!$F$3:$F$300,""),""))</f>
        <v/>
      </c>
      <c r="AD846" s="12">
        <f t="array" ref="AD846">IF($A846="","",ROUND($Y846*XLOOKUP($F846,Settings!$I$15:$I$20,Settings!$K$15:$K$20,0.4),0))</f>
        <v>0</v>
      </c>
      <c r="AE846" s="12">
        <f t="array" ref="AE846">IF($A846="","",ROUND($Y846*XLOOKUP($F846,Settings!$I$15:$I$20,Settings!$L$15:$L$20,0.8),0))</f>
        <v>1</v>
      </c>
      <c r="AF846" s="12">
        <f t="array" ref="AF846">IF($A846="","",ROUND($Y846*XLOOKUP($F846,Settings!$I$15:$I$20,Settings!$M$15:$M$20,1),0))</f>
        <v>1</v>
      </c>
      <c r="AG846" s="12">
        <f t="array" ref="AG846">IF($A846="","",ROUND($Y846*XLOOKUP($F846,Settings!$I$15:$I$20,Settings!$N$15:$N$20,1.1),0))</f>
        <v>1</v>
      </c>
      <c r="AH846" s="12">
        <f t="array" ref="AH846">IF($A846="","",ROUND($Y846*XLOOKUP($F846,Settings!$I$15:$I$20,Settings!$O$15:$O$20,1.1)*Settings!$J$7,0))</f>
        <v>1</v>
      </c>
      <c r="AI846" s="12">
        <f t="array" ref="AI846">IF($A846="","",IF($AA846="Sold","",MIN($AH846,IFERROR(XLOOKUP(Settings!$B$12,Managers!$B$4:$B$15,Managers!$H$4:$H$15),$AH846))))</f>
        <v>1</v>
      </c>
      <c r="AJ846" s="12" t="str">
        <f t="shared" si="3"/>
        <v>Recommended</v>
      </c>
      <c r="AK846" s="12">
        <f t="shared" si="4"/>
        <v>26</v>
      </c>
      <c r="AL846" s="12" t="str">
        <f t="shared" si="5"/>
        <v/>
      </c>
    </row>
    <row r="847" ht="15.75" customHeight="1">
      <c r="A847" s="10" t="s">
        <v>1973</v>
      </c>
      <c r="B847" s="10" t="s">
        <v>1974</v>
      </c>
      <c r="C847" s="10" t="s">
        <v>236</v>
      </c>
      <c r="D847" s="10" t="s">
        <v>121</v>
      </c>
      <c r="E847" s="10" t="s">
        <v>121</v>
      </c>
      <c r="F847" s="10" t="s">
        <v>117</v>
      </c>
      <c r="G847" s="10">
        <v>5.0</v>
      </c>
      <c r="H847" s="10">
        <v>7.0</v>
      </c>
      <c r="I847" s="10" t="s">
        <v>2140</v>
      </c>
      <c r="J847" s="10" t="s">
        <v>2136</v>
      </c>
      <c r="K847" s="10"/>
      <c r="L847" s="10">
        <v>0.0</v>
      </c>
      <c r="M847" s="10">
        <v>0.0</v>
      </c>
      <c r="N847" s="10"/>
      <c r="O847" s="10"/>
      <c r="P847" s="12">
        <f>IF($A847="","",IFERROR((IF($O847="",0,$O847)*Settings!$J$4+IF($L847="",0,$L847)*Settings!$J$5+IF($N847="",0,$N847)*Settings!$J$6)/(IF($O847="",0,Settings!$J$4)+IF($L847="",0,Settings!$J$5)+IF($N847="",0,Settings!$J$6)),0))</f>
        <v>0</v>
      </c>
      <c r="Q847" s="12">
        <f t="array" ref="Q847">IF($A847="","",XLOOKUP($E847,Settings!$A$19:$A$22,Settings!$G$19:$G$22,0))</f>
        <v>206</v>
      </c>
      <c r="R847" s="12">
        <f t="shared" si="1"/>
        <v>0</v>
      </c>
      <c r="S847" s="12">
        <f>IF($A847="","",IF($R847&lt;=0,1,1+$R847/SUMIF($R$4:$R$923,"&gt;0",$R$4:$R$923)*(Settings!$B$5*(Settings!$B$6-Settings!$B$7))))</f>
        <v>1</v>
      </c>
      <c r="T847" s="12">
        <f t="array" ref="T847">IF($A847="","",XLOOKUP($F847,Settings!$I$15:$I$20,Settings!$J$15:$J$20,1))</f>
        <v>0.75</v>
      </c>
      <c r="U847" s="12">
        <f>IF($A847="","",1+(($G847-5)/5)*Settings!$J$8)</f>
        <v>1</v>
      </c>
      <c r="V847" s="12">
        <f>IF($A847="","",1+(($H847-5)/5)*Settings!$J$9)</f>
        <v>1.06</v>
      </c>
      <c r="W847" s="12">
        <f t="array" ref="W847">IF($A847="","",XLOOKUP($J847,Lists!$C$3:$C$7,Lists!$D$3:$D$7,1))</f>
        <v>1</v>
      </c>
      <c r="X847" s="12">
        <f>IF($A847="","",IF($I847="Yes",Settings!$J$10,1))</f>
        <v>1</v>
      </c>
      <c r="Y847" s="12">
        <f t="shared" si="2"/>
        <v>1</v>
      </c>
      <c r="Z847" s="12">
        <f>IF($A847="","",IFERROR(ROUND(AVERAGEIFS('Historical Drafts'!$G$4:$G$300,'Historical Drafts'!$D$4:$D$300,$E847,'Historical Drafts'!$J$4:$J$300,"&gt;="&amp;$L847*0.85,'Historical Drafts'!$J$4:$J$300,"&lt;="&amp;$L847*1.15),0),$Y847))</f>
        <v>3</v>
      </c>
      <c r="AA847" s="12" t="str">
        <f>IF($A847="","",IF(COUNTIF('Auction Log'!$B$3:$B$300,$A847)&gt;0,"Sold","Available"))</f>
        <v>Available</v>
      </c>
      <c r="AB847" s="12" t="str">
        <f t="array" ref="AB847">IF($A847="","",IFERROR(XLOOKUP($A847,'Auction Log'!$B$3:$B$300,'Auction Log'!$G$3:$G$300,""),""))</f>
        <v/>
      </c>
      <c r="AC847" s="12" t="str">
        <f t="array" ref="AC847">IF($A847="","",IFERROR(XLOOKUP($A847,'Auction Log'!$B$3:$B$300,'Auction Log'!$F$3:$F$300,""),""))</f>
        <v/>
      </c>
      <c r="AD847" s="12">
        <f t="array" ref="AD847">IF($A847="","",ROUND($Y847*XLOOKUP($F847,Settings!$I$15:$I$20,Settings!$K$15:$K$20,0.4),0))</f>
        <v>0</v>
      </c>
      <c r="AE847" s="12">
        <f t="array" ref="AE847">IF($A847="","",ROUND($Y847*XLOOKUP($F847,Settings!$I$15:$I$20,Settings!$L$15:$L$20,0.8),0))</f>
        <v>1</v>
      </c>
      <c r="AF847" s="12">
        <f t="array" ref="AF847">IF($A847="","",ROUND($Y847*XLOOKUP($F847,Settings!$I$15:$I$20,Settings!$M$15:$M$20,1),0))</f>
        <v>1</v>
      </c>
      <c r="AG847" s="12">
        <f t="array" ref="AG847">IF($A847="","",ROUND($Y847*XLOOKUP($F847,Settings!$I$15:$I$20,Settings!$N$15:$N$20,1.1),0))</f>
        <v>1</v>
      </c>
      <c r="AH847" s="12">
        <f t="array" ref="AH847">IF($A847="","",ROUND($Y847*XLOOKUP($F847,Settings!$I$15:$I$20,Settings!$O$15:$O$20,1.1)*Settings!$J$7,0))</f>
        <v>1</v>
      </c>
      <c r="AI847" s="12">
        <f t="array" ref="AI847">IF($A847="","",IF($AA847="Sold","",MIN($AH847,IFERROR(XLOOKUP(Settings!$B$12,Managers!$B$4:$B$15,Managers!$H$4:$H$15),$AH847))))</f>
        <v>1</v>
      </c>
      <c r="AJ847" s="12" t="str">
        <f t="shared" si="3"/>
        <v>Budget Drainer</v>
      </c>
      <c r="AK847" s="12">
        <f t="shared" si="4"/>
        <v>28</v>
      </c>
      <c r="AL847" s="12" t="str">
        <f t="shared" si="5"/>
        <v/>
      </c>
    </row>
    <row r="848" ht="15.75" customHeight="1">
      <c r="A848" s="10" t="s">
        <v>1975</v>
      </c>
      <c r="B848" s="10" t="s">
        <v>1976</v>
      </c>
      <c r="C848" s="10" t="s">
        <v>285</v>
      </c>
      <c r="D848" s="10" t="s">
        <v>123</v>
      </c>
      <c r="E848" s="10" t="s">
        <v>123</v>
      </c>
      <c r="F848" s="10" t="s">
        <v>117</v>
      </c>
      <c r="G848" s="10">
        <v>5.0</v>
      </c>
      <c r="H848" s="10">
        <v>7.0</v>
      </c>
      <c r="I848" s="10" t="s">
        <v>2140</v>
      </c>
      <c r="J848" s="10" t="s">
        <v>2136</v>
      </c>
      <c r="K848" s="10"/>
      <c r="L848" s="10">
        <v>0.0</v>
      </c>
      <c r="M848" s="10">
        <v>0.0</v>
      </c>
      <c r="N848" s="10"/>
      <c r="O848" s="10"/>
      <c r="P848" s="12">
        <f>IF($A848="","",IFERROR((IF($O848="",0,$O848)*Settings!$J$4+IF($L848="",0,$L848)*Settings!$J$5+IF($N848="",0,$N848)*Settings!$J$6)/(IF($O848="",0,Settings!$J$4)+IF($L848="",0,Settings!$J$5)+IF($N848="",0,Settings!$J$6)),0))</f>
        <v>0</v>
      </c>
      <c r="Q848" s="12">
        <f t="array" ref="Q848">IF($A848="","",XLOOKUP($E848,Settings!$A$19:$A$22,Settings!$G$19:$G$22,0))</f>
        <v>203</v>
      </c>
      <c r="R848" s="12">
        <f t="shared" si="1"/>
        <v>0</v>
      </c>
      <c r="S848" s="12">
        <f>IF($A848="","",IF($R848&lt;=0,1,1+$R848/SUMIF($R$4:$R$923,"&gt;0",$R$4:$R$923)*(Settings!$B$5*(Settings!$B$6-Settings!$B$7))))</f>
        <v>1</v>
      </c>
      <c r="T848" s="12">
        <f t="array" ref="T848">IF($A848="","",XLOOKUP($F848,Settings!$I$15:$I$20,Settings!$J$15:$J$20,1))</f>
        <v>0.75</v>
      </c>
      <c r="U848" s="12">
        <f>IF($A848="","",1+(($G848-5)/5)*Settings!$J$8)</f>
        <v>1</v>
      </c>
      <c r="V848" s="12">
        <f>IF($A848="","",1+(($H848-5)/5)*Settings!$J$9)</f>
        <v>1.06</v>
      </c>
      <c r="W848" s="12">
        <f t="array" ref="W848">IF($A848="","",XLOOKUP($J848,Lists!$C$3:$C$7,Lists!$D$3:$D$7,1))</f>
        <v>1</v>
      </c>
      <c r="X848" s="12">
        <f>IF($A848="","",IF($I848="Yes",Settings!$J$10,1))</f>
        <v>1</v>
      </c>
      <c r="Y848" s="12">
        <f t="shared" si="2"/>
        <v>1</v>
      </c>
      <c r="Z848" s="12">
        <f>IF($A848="","",IFERROR(ROUND(AVERAGEIFS('Historical Drafts'!$G$4:$G$300,'Historical Drafts'!$D$4:$D$300,$E848,'Historical Drafts'!$J$4:$J$300,"&gt;="&amp;$L848*0.85,'Historical Drafts'!$J$4:$J$300,"&lt;="&amp;$L848*1.15),0),$Y848))</f>
        <v>3</v>
      </c>
      <c r="AA848" s="12" t="str">
        <f>IF($A848="","",IF(COUNTIF('Auction Log'!$B$3:$B$300,$A848)&gt;0,"Sold","Available"))</f>
        <v>Available</v>
      </c>
      <c r="AB848" s="12" t="str">
        <f t="array" ref="AB848">IF($A848="","",IFERROR(XLOOKUP($A848,'Auction Log'!$B$3:$B$300,'Auction Log'!$G$3:$G$300,""),""))</f>
        <v/>
      </c>
      <c r="AC848" s="12" t="str">
        <f t="array" ref="AC848">IF($A848="","",IFERROR(XLOOKUP($A848,'Auction Log'!$B$3:$B$300,'Auction Log'!$F$3:$F$300,""),""))</f>
        <v/>
      </c>
      <c r="AD848" s="12">
        <f t="array" ref="AD848">IF($A848="","",ROUND($Y848*XLOOKUP($F848,Settings!$I$15:$I$20,Settings!$K$15:$K$20,0.4),0))</f>
        <v>0</v>
      </c>
      <c r="AE848" s="12">
        <f t="array" ref="AE848">IF($A848="","",ROUND($Y848*XLOOKUP($F848,Settings!$I$15:$I$20,Settings!$L$15:$L$20,0.8),0))</f>
        <v>1</v>
      </c>
      <c r="AF848" s="12">
        <f t="array" ref="AF848">IF($A848="","",ROUND($Y848*XLOOKUP($F848,Settings!$I$15:$I$20,Settings!$M$15:$M$20,1),0))</f>
        <v>1</v>
      </c>
      <c r="AG848" s="12">
        <f t="array" ref="AG848">IF($A848="","",ROUND($Y848*XLOOKUP($F848,Settings!$I$15:$I$20,Settings!$N$15:$N$20,1.1),0))</f>
        <v>1</v>
      </c>
      <c r="AH848" s="12">
        <f t="array" ref="AH848">IF($A848="","",ROUND($Y848*XLOOKUP($F848,Settings!$I$15:$I$20,Settings!$O$15:$O$20,1.1)*Settings!$J$7,0))</f>
        <v>1</v>
      </c>
      <c r="AI848" s="12">
        <f t="array" ref="AI848">IF($A848="","",IF($AA848="Sold","",MIN($AH848,IFERROR(XLOOKUP(Settings!$B$12,Managers!$B$4:$B$15,Managers!$H$4:$H$15),$AH848))))</f>
        <v>1</v>
      </c>
      <c r="AJ848" s="12" t="str">
        <f t="shared" si="3"/>
        <v>Budget Drainer</v>
      </c>
      <c r="AK848" s="12">
        <f t="shared" si="4"/>
        <v>28</v>
      </c>
      <c r="AL848" s="12" t="str">
        <f t="shared" si="5"/>
        <v/>
      </c>
    </row>
    <row r="849" ht="15.75" customHeight="1">
      <c r="A849" s="10" t="s">
        <v>1977</v>
      </c>
      <c r="B849" s="10" t="s">
        <v>1978</v>
      </c>
      <c r="C849" s="10" t="s">
        <v>188</v>
      </c>
      <c r="D849" s="10" t="s">
        <v>115</v>
      </c>
      <c r="E849" s="10" t="s">
        <v>115</v>
      </c>
      <c r="F849" s="10" t="s">
        <v>117</v>
      </c>
      <c r="G849" s="10">
        <v>5.0</v>
      </c>
      <c r="H849" s="10">
        <v>7.0</v>
      </c>
      <c r="I849" s="10" t="s">
        <v>2140</v>
      </c>
      <c r="J849" s="10" t="s">
        <v>2136</v>
      </c>
      <c r="K849" s="10"/>
      <c r="L849" s="10">
        <v>0.0</v>
      </c>
      <c r="M849" s="10">
        <v>0.0</v>
      </c>
      <c r="N849" s="10"/>
      <c r="O849" s="10"/>
      <c r="P849" s="12">
        <f>IF($A849="","",IFERROR((IF($O849="",0,$O849)*Settings!$J$4+IF($L849="",0,$L849)*Settings!$J$5+IF($N849="",0,$N849)*Settings!$J$6)/(IF($O849="",0,Settings!$J$4)+IF($L849="",0,Settings!$J$5)+IF($N849="",0,Settings!$J$6)),0))</f>
        <v>0</v>
      </c>
      <c r="Q849" s="12">
        <f t="array" ref="Q849">IF($A849="","",XLOOKUP($E849,Settings!$A$19:$A$22,Settings!$G$19:$G$22,0))</f>
        <v>249.25</v>
      </c>
      <c r="R849" s="12">
        <f t="shared" si="1"/>
        <v>0</v>
      </c>
      <c r="S849" s="12">
        <f>IF($A849="","",IF($R849&lt;=0,1,1+$R849/SUMIF($R$4:$R$923,"&gt;0",$R$4:$R$923)*(Settings!$B$5*(Settings!$B$6-Settings!$B$7))))</f>
        <v>1</v>
      </c>
      <c r="T849" s="12">
        <f t="array" ref="T849">IF($A849="","",XLOOKUP($F849,Settings!$I$15:$I$20,Settings!$J$15:$J$20,1))</f>
        <v>0.75</v>
      </c>
      <c r="U849" s="12">
        <f>IF($A849="","",1+(($G849-5)/5)*Settings!$J$8)</f>
        <v>1</v>
      </c>
      <c r="V849" s="12">
        <f>IF($A849="","",1+(($H849-5)/5)*Settings!$J$9)</f>
        <v>1.06</v>
      </c>
      <c r="W849" s="12">
        <f t="array" ref="W849">IF($A849="","",XLOOKUP($J849,Lists!$C$3:$C$7,Lists!$D$3:$D$7,1))</f>
        <v>1</v>
      </c>
      <c r="X849" s="12">
        <f>IF($A849="","",IF($I849="Yes",Settings!$J$10,1))</f>
        <v>1</v>
      </c>
      <c r="Y849" s="12">
        <f t="shared" si="2"/>
        <v>1</v>
      </c>
      <c r="Z849" s="12">
        <f>IF($A849="","",IFERROR(ROUND(AVERAGEIFS('Historical Drafts'!$G$4:$G$300,'Historical Drafts'!$D$4:$D$300,$E849,'Historical Drafts'!$J$4:$J$300,"&gt;="&amp;$L849*0.85,'Historical Drafts'!$J$4:$J$300,"&lt;="&amp;$L849*1.15),0),$Y849))</f>
        <v>1</v>
      </c>
      <c r="AA849" s="12" t="str">
        <f>IF($A849="","",IF(COUNTIF('Auction Log'!$B$3:$B$300,$A849)&gt;0,"Sold","Available"))</f>
        <v>Available</v>
      </c>
      <c r="AB849" s="12" t="str">
        <f t="array" ref="AB849">IF($A849="","",IFERROR(XLOOKUP($A849,'Auction Log'!$B$3:$B$300,'Auction Log'!$G$3:$G$300,""),""))</f>
        <v/>
      </c>
      <c r="AC849" s="12" t="str">
        <f t="array" ref="AC849">IF($A849="","",IFERROR(XLOOKUP($A849,'Auction Log'!$B$3:$B$300,'Auction Log'!$F$3:$F$300,""),""))</f>
        <v/>
      </c>
      <c r="AD849" s="12">
        <f t="array" ref="AD849">IF($A849="","",ROUND($Y849*XLOOKUP($F849,Settings!$I$15:$I$20,Settings!$K$15:$K$20,0.4),0))</f>
        <v>0</v>
      </c>
      <c r="AE849" s="12">
        <f t="array" ref="AE849">IF($A849="","",ROUND($Y849*XLOOKUP($F849,Settings!$I$15:$I$20,Settings!$L$15:$L$20,0.8),0))</f>
        <v>1</v>
      </c>
      <c r="AF849" s="12">
        <f t="array" ref="AF849">IF($A849="","",ROUND($Y849*XLOOKUP($F849,Settings!$I$15:$I$20,Settings!$M$15:$M$20,1),0))</f>
        <v>1</v>
      </c>
      <c r="AG849" s="12">
        <f t="array" ref="AG849">IF($A849="","",ROUND($Y849*XLOOKUP($F849,Settings!$I$15:$I$20,Settings!$N$15:$N$20,1.1),0))</f>
        <v>1</v>
      </c>
      <c r="AH849" s="12">
        <f t="array" ref="AH849">IF($A849="","",ROUND($Y849*XLOOKUP($F849,Settings!$I$15:$I$20,Settings!$O$15:$O$20,1.1)*Settings!$J$7,0))</f>
        <v>1</v>
      </c>
      <c r="AI849" s="12">
        <f t="array" ref="AI849">IF($A849="","",IF($AA849="Sold","",MIN($AH849,IFERROR(XLOOKUP(Settings!$B$12,Managers!$B$4:$B$15,Managers!$H$4:$H$15),$AH849))))</f>
        <v>1</v>
      </c>
      <c r="AJ849" s="12" t="str">
        <f t="shared" si="3"/>
        <v>Recommended</v>
      </c>
      <c r="AK849" s="12">
        <f t="shared" si="4"/>
        <v>26</v>
      </c>
      <c r="AL849" s="12" t="str">
        <f t="shared" si="5"/>
        <v/>
      </c>
    </row>
    <row r="850" ht="15.75" customHeight="1">
      <c r="A850" s="10" t="s">
        <v>1979</v>
      </c>
      <c r="B850" s="10" t="s">
        <v>1980</v>
      </c>
      <c r="C850" s="10" t="s">
        <v>387</v>
      </c>
      <c r="D850" s="10" t="s">
        <v>123</v>
      </c>
      <c r="E850" s="10" t="s">
        <v>123</v>
      </c>
      <c r="F850" s="10" t="s">
        <v>117</v>
      </c>
      <c r="G850" s="10">
        <v>5.0</v>
      </c>
      <c r="H850" s="10">
        <v>7.0</v>
      </c>
      <c r="I850" s="10" t="s">
        <v>2140</v>
      </c>
      <c r="J850" s="10" t="s">
        <v>2136</v>
      </c>
      <c r="K850" s="10"/>
      <c r="L850" s="10">
        <v>0.0</v>
      </c>
      <c r="M850" s="10">
        <v>0.0</v>
      </c>
      <c r="N850" s="10"/>
      <c r="O850" s="10"/>
      <c r="P850" s="12">
        <f>IF($A850="","",IFERROR((IF($O850="",0,$O850)*Settings!$J$4+IF($L850="",0,$L850)*Settings!$J$5+IF($N850="",0,$N850)*Settings!$J$6)/(IF($O850="",0,Settings!$J$4)+IF($L850="",0,Settings!$J$5)+IF($N850="",0,Settings!$J$6)),0))</f>
        <v>0</v>
      </c>
      <c r="Q850" s="12">
        <f t="array" ref="Q850">IF($A850="","",XLOOKUP($E850,Settings!$A$19:$A$22,Settings!$G$19:$G$22,0))</f>
        <v>203</v>
      </c>
      <c r="R850" s="12">
        <f t="shared" si="1"/>
        <v>0</v>
      </c>
      <c r="S850" s="12">
        <f>IF($A850="","",IF($R850&lt;=0,1,1+$R850/SUMIF($R$4:$R$923,"&gt;0",$R$4:$R$923)*(Settings!$B$5*(Settings!$B$6-Settings!$B$7))))</f>
        <v>1</v>
      </c>
      <c r="T850" s="12">
        <f t="array" ref="T850">IF($A850="","",XLOOKUP($F850,Settings!$I$15:$I$20,Settings!$J$15:$J$20,1))</f>
        <v>0.75</v>
      </c>
      <c r="U850" s="12">
        <f>IF($A850="","",1+(($G850-5)/5)*Settings!$J$8)</f>
        <v>1</v>
      </c>
      <c r="V850" s="12">
        <f>IF($A850="","",1+(($H850-5)/5)*Settings!$J$9)</f>
        <v>1.06</v>
      </c>
      <c r="W850" s="12">
        <f t="array" ref="W850">IF($A850="","",XLOOKUP($J850,Lists!$C$3:$C$7,Lists!$D$3:$D$7,1))</f>
        <v>1</v>
      </c>
      <c r="X850" s="12">
        <f>IF($A850="","",IF($I850="Yes",Settings!$J$10,1))</f>
        <v>1</v>
      </c>
      <c r="Y850" s="12">
        <f t="shared" si="2"/>
        <v>1</v>
      </c>
      <c r="Z850" s="12">
        <f>IF($A850="","",IFERROR(ROUND(AVERAGEIFS('Historical Drafts'!$G$4:$G$300,'Historical Drafts'!$D$4:$D$300,$E850,'Historical Drafts'!$J$4:$J$300,"&gt;="&amp;$L850*0.85,'Historical Drafts'!$J$4:$J$300,"&lt;="&amp;$L850*1.15),0),$Y850))</f>
        <v>3</v>
      </c>
      <c r="AA850" s="12" t="str">
        <f>IF($A850="","",IF(COUNTIF('Auction Log'!$B$3:$B$300,$A850)&gt;0,"Sold","Available"))</f>
        <v>Available</v>
      </c>
      <c r="AB850" s="12" t="str">
        <f t="array" ref="AB850">IF($A850="","",IFERROR(XLOOKUP($A850,'Auction Log'!$B$3:$B$300,'Auction Log'!$G$3:$G$300,""),""))</f>
        <v/>
      </c>
      <c r="AC850" s="12" t="str">
        <f t="array" ref="AC850">IF($A850="","",IFERROR(XLOOKUP($A850,'Auction Log'!$B$3:$B$300,'Auction Log'!$F$3:$F$300,""),""))</f>
        <v/>
      </c>
      <c r="AD850" s="12">
        <f t="array" ref="AD850">IF($A850="","",ROUND($Y850*XLOOKUP($F850,Settings!$I$15:$I$20,Settings!$K$15:$K$20,0.4),0))</f>
        <v>0</v>
      </c>
      <c r="AE850" s="12">
        <f t="array" ref="AE850">IF($A850="","",ROUND($Y850*XLOOKUP($F850,Settings!$I$15:$I$20,Settings!$L$15:$L$20,0.8),0))</f>
        <v>1</v>
      </c>
      <c r="AF850" s="12">
        <f t="array" ref="AF850">IF($A850="","",ROUND($Y850*XLOOKUP($F850,Settings!$I$15:$I$20,Settings!$M$15:$M$20,1),0))</f>
        <v>1</v>
      </c>
      <c r="AG850" s="12">
        <f t="array" ref="AG850">IF($A850="","",ROUND($Y850*XLOOKUP($F850,Settings!$I$15:$I$20,Settings!$N$15:$N$20,1.1),0))</f>
        <v>1</v>
      </c>
      <c r="AH850" s="12">
        <f t="array" ref="AH850">IF($A850="","",ROUND($Y850*XLOOKUP($F850,Settings!$I$15:$I$20,Settings!$O$15:$O$20,1.1)*Settings!$J$7,0))</f>
        <v>1</v>
      </c>
      <c r="AI850" s="12">
        <f t="array" ref="AI850">IF($A850="","",IF($AA850="Sold","",MIN($AH850,IFERROR(XLOOKUP(Settings!$B$12,Managers!$B$4:$B$15,Managers!$H$4:$H$15),$AH850))))</f>
        <v>1</v>
      </c>
      <c r="AJ850" s="12" t="str">
        <f t="shared" si="3"/>
        <v>Budget Drainer</v>
      </c>
      <c r="AK850" s="12">
        <f t="shared" si="4"/>
        <v>28</v>
      </c>
      <c r="AL850" s="12" t="str">
        <f t="shared" si="5"/>
        <v/>
      </c>
    </row>
    <row r="851" ht="15.75" customHeight="1">
      <c r="A851" s="10" t="s">
        <v>1981</v>
      </c>
      <c r="B851" s="10" t="s">
        <v>1982</v>
      </c>
      <c r="C851" s="10" t="s">
        <v>236</v>
      </c>
      <c r="D851" s="10" t="s">
        <v>118</v>
      </c>
      <c r="E851" s="10" t="s">
        <v>118</v>
      </c>
      <c r="F851" s="10" t="s">
        <v>117</v>
      </c>
      <c r="G851" s="10">
        <v>5.0</v>
      </c>
      <c r="H851" s="10">
        <v>7.0</v>
      </c>
      <c r="I851" s="10" t="s">
        <v>2140</v>
      </c>
      <c r="J851" s="10" t="s">
        <v>2136</v>
      </c>
      <c r="K851" s="10"/>
      <c r="L851" s="10">
        <v>0.0</v>
      </c>
      <c r="M851" s="10">
        <v>0.0</v>
      </c>
      <c r="N851" s="10"/>
      <c r="O851" s="10"/>
      <c r="P851" s="12">
        <f>IF($A851="","",IFERROR((IF($O851="",0,$O851)*Settings!$J$4+IF($L851="",0,$L851)*Settings!$J$5+IF($N851="",0,$N851)*Settings!$J$6)/(IF($O851="",0,Settings!$J$4)+IF($L851="",0,Settings!$J$5)+IF($N851="",0,Settings!$J$6)),0))</f>
        <v>0</v>
      </c>
      <c r="Q851" s="12">
        <f t="array" ref="Q851">IF($A851="","",XLOOKUP($E851,Settings!$A$19:$A$22,Settings!$G$19:$G$22,0))</f>
        <v>196.25</v>
      </c>
      <c r="R851" s="12">
        <f t="shared" si="1"/>
        <v>0</v>
      </c>
      <c r="S851" s="12">
        <f>IF($A851="","",IF($R851&lt;=0,1,1+$R851/SUMIF($R$4:$R$923,"&gt;0",$R$4:$R$923)*(Settings!$B$5*(Settings!$B$6-Settings!$B$7))))</f>
        <v>1</v>
      </c>
      <c r="T851" s="12">
        <f t="array" ref="T851">IF($A851="","",XLOOKUP($F851,Settings!$I$15:$I$20,Settings!$J$15:$J$20,1))</f>
        <v>0.75</v>
      </c>
      <c r="U851" s="12">
        <f>IF($A851="","",1+(($G851-5)/5)*Settings!$J$8)</f>
        <v>1</v>
      </c>
      <c r="V851" s="12">
        <f>IF($A851="","",1+(($H851-5)/5)*Settings!$J$9)</f>
        <v>1.06</v>
      </c>
      <c r="W851" s="12">
        <f t="array" ref="W851">IF($A851="","",XLOOKUP($J851,Lists!$C$3:$C$7,Lists!$D$3:$D$7,1))</f>
        <v>1</v>
      </c>
      <c r="X851" s="12">
        <f>IF($A851="","",IF($I851="Yes",Settings!$J$10,1))</f>
        <v>1</v>
      </c>
      <c r="Y851" s="12">
        <f t="shared" si="2"/>
        <v>1</v>
      </c>
      <c r="Z851" s="12">
        <f>IF($A851="","",IFERROR(ROUND(AVERAGEIFS('Historical Drafts'!$G$4:$G$300,'Historical Drafts'!$D$4:$D$300,$E851,'Historical Drafts'!$J$4:$J$300,"&gt;="&amp;$L851*0.85,'Historical Drafts'!$J$4:$J$300,"&lt;="&amp;$L851*1.15),0),$Y851))</f>
        <v>1</v>
      </c>
      <c r="AA851" s="12" t="str">
        <f>IF($A851="","",IF(COUNTIF('Auction Log'!$B$3:$B$300,$A851)&gt;0,"Sold","Available"))</f>
        <v>Available</v>
      </c>
      <c r="AB851" s="12" t="str">
        <f t="array" ref="AB851">IF($A851="","",IFERROR(XLOOKUP($A851,'Auction Log'!$B$3:$B$300,'Auction Log'!$G$3:$G$300,""),""))</f>
        <v/>
      </c>
      <c r="AC851" s="12" t="str">
        <f t="array" ref="AC851">IF($A851="","",IFERROR(XLOOKUP($A851,'Auction Log'!$B$3:$B$300,'Auction Log'!$F$3:$F$300,""),""))</f>
        <v/>
      </c>
      <c r="AD851" s="12">
        <f t="array" ref="AD851">IF($A851="","",ROUND($Y851*XLOOKUP($F851,Settings!$I$15:$I$20,Settings!$K$15:$K$20,0.4),0))</f>
        <v>0</v>
      </c>
      <c r="AE851" s="12">
        <f t="array" ref="AE851">IF($A851="","",ROUND($Y851*XLOOKUP($F851,Settings!$I$15:$I$20,Settings!$L$15:$L$20,0.8),0))</f>
        <v>1</v>
      </c>
      <c r="AF851" s="12">
        <f t="array" ref="AF851">IF($A851="","",ROUND($Y851*XLOOKUP($F851,Settings!$I$15:$I$20,Settings!$M$15:$M$20,1),0))</f>
        <v>1</v>
      </c>
      <c r="AG851" s="12">
        <f t="array" ref="AG851">IF($A851="","",ROUND($Y851*XLOOKUP($F851,Settings!$I$15:$I$20,Settings!$N$15:$N$20,1.1),0))</f>
        <v>1</v>
      </c>
      <c r="AH851" s="12">
        <f t="array" ref="AH851">IF($A851="","",ROUND($Y851*XLOOKUP($F851,Settings!$I$15:$I$20,Settings!$O$15:$O$20,1.1)*Settings!$J$7,0))</f>
        <v>1</v>
      </c>
      <c r="AI851" s="12">
        <f t="array" ref="AI851">IF($A851="","",IF($AA851="Sold","",MIN($AH851,IFERROR(XLOOKUP(Settings!$B$12,Managers!$B$4:$B$15,Managers!$H$4:$H$15),$AH851))))</f>
        <v>1</v>
      </c>
      <c r="AJ851" s="12" t="str">
        <f t="shared" si="3"/>
        <v>Recommended</v>
      </c>
      <c r="AK851" s="12">
        <f t="shared" si="4"/>
        <v>26</v>
      </c>
      <c r="AL851" s="12" t="str">
        <f t="shared" si="5"/>
        <v/>
      </c>
    </row>
    <row r="852" ht="15.75" customHeight="1">
      <c r="A852" s="10" t="s">
        <v>1983</v>
      </c>
      <c r="B852" s="10" t="s">
        <v>1984</v>
      </c>
      <c r="C852" s="10" t="s">
        <v>243</v>
      </c>
      <c r="D852" s="10" t="s">
        <v>123</v>
      </c>
      <c r="E852" s="10" t="s">
        <v>123</v>
      </c>
      <c r="F852" s="10" t="s">
        <v>117</v>
      </c>
      <c r="G852" s="10">
        <v>5.0</v>
      </c>
      <c r="H852" s="10">
        <v>7.0</v>
      </c>
      <c r="I852" s="10" t="s">
        <v>2140</v>
      </c>
      <c r="J852" s="10" t="s">
        <v>2136</v>
      </c>
      <c r="K852" s="10"/>
      <c r="L852" s="10">
        <v>0.0</v>
      </c>
      <c r="M852" s="10">
        <v>0.0</v>
      </c>
      <c r="N852" s="10"/>
      <c r="O852" s="10"/>
      <c r="P852" s="12">
        <f>IF($A852="","",IFERROR((IF($O852="",0,$O852)*Settings!$J$4+IF($L852="",0,$L852)*Settings!$J$5+IF($N852="",0,$N852)*Settings!$J$6)/(IF($O852="",0,Settings!$J$4)+IF($L852="",0,Settings!$J$5)+IF($N852="",0,Settings!$J$6)),0))</f>
        <v>0</v>
      </c>
      <c r="Q852" s="12">
        <f t="array" ref="Q852">IF($A852="","",XLOOKUP($E852,Settings!$A$19:$A$22,Settings!$G$19:$G$22,0))</f>
        <v>203</v>
      </c>
      <c r="R852" s="12">
        <f t="shared" si="1"/>
        <v>0</v>
      </c>
      <c r="S852" s="12">
        <f>IF($A852="","",IF($R852&lt;=0,1,1+$R852/SUMIF($R$4:$R$923,"&gt;0",$R$4:$R$923)*(Settings!$B$5*(Settings!$B$6-Settings!$B$7))))</f>
        <v>1</v>
      </c>
      <c r="T852" s="12">
        <f t="array" ref="T852">IF($A852="","",XLOOKUP($F852,Settings!$I$15:$I$20,Settings!$J$15:$J$20,1))</f>
        <v>0.75</v>
      </c>
      <c r="U852" s="12">
        <f>IF($A852="","",1+(($G852-5)/5)*Settings!$J$8)</f>
        <v>1</v>
      </c>
      <c r="V852" s="12">
        <f>IF($A852="","",1+(($H852-5)/5)*Settings!$J$9)</f>
        <v>1.06</v>
      </c>
      <c r="W852" s="12">
        <f t="array" ref="W852">IF($A852="","",XLOOKUP($J852,Lists!$C$3:$C$7,Lists!$D$3:$D$7,1))</f>
        <v>1</v>
      </c>
      <c r="X852" s="12">
        <f>IF($A852="","",IF($I852="Yes",Settings!$J$10,1))</f>
        <v>1</v>
      </c>
      <c r="Y852" s="12">
        <f t="shared" si="2"/>
        <v>1</v>
      </c>
      <c r="Z852" s="12">
        <f>IF($A852="","",IFERROR(ROUND(AVERAGEIFS('Historical Drafts'!$G$4:$G$300,'Historical Drafts'!$D$4:$D$300,$E852,'Historical Drafts'!$J$4:$J$300,"&gt;="&amp;$L852*0.85,'Historical Drafts'!$J$4:$J$300,"&lt;="&amp;$L852*1.15),0),$Y852))</f>
        <v>3</v>
      </c>
      <c r="AA852" s="12" t="str">
        <f>IF($A852="","",IF(COUNTIF('Auction Log'!$B$3:$B$300,$A852)&gt;0,"Sold","Available"))</f>
        <v>Available</v>
      </c>
      <c r="AB852" s="12" t="str">
        <f t="array" ref="AB852">IF($A852="","",IFERROR(XLOOKUP($A852,'Auction Log'!$B$3:$B$300,'Auction Log'!$G$3:$G$300,""),""))</f>
        <v/>
      </c>
      <c r="AC852" s="12" t="str">
        <f t="array" ref="AC852">IF($A852="","",IFERROR(XLOOKUP($A852,'Auction Log'!$B$3:$B$300,'Auction Log'!$F$3:$F$300,""),""))</f>
        <v/>
      </c>
      <c r="AD852" s="12">
        <f t="array" ref="AD852">IF($A852="","",ROUND($Y852*XLOOKUP($F852,Settings!$I$15:$I$20,Settings!$K$15:$K$20,0.4),0))</f>
        <v>0</v>
      </c>
      <c r="AE852" s="12">
        <f t="array" ref="AE852">IF($A852="","",ROUND($Y852*XLOOKUP($F852,Settings!$I$15:$I$20,Settings!$L$15:$L$20,0.8),0))</f>
        <v>1</v>
      </c>
      <c r="AF852" s="12">
        <f t="array" ref="AF852">IF($A852="","",ROUND($Y852*XLOOKUP($F852,Settings!$I$15:$I$20,Settings!$M$15:$M$20,1),0))</f>
        <v>1</v>
      </c>
      <c r="AG852" s="12">
        <f t="array" ref="AG852">IF($A852="","",ROUND($Y852*XLOOKUP($F852,Settings!$I$15:$I$20,Settings!$N$15:$N$20,1.1),0))</f>
        <v>1</v>
      </c>
      <c r="AH852" s="12">
        <f t="array" ref="AH852">IF($A852="","",ROUND($Y852*XLOOKUP($F852,Settings!$I$15:$I$20,Settings!$O$15:$O$20,1.1)*Settings!$J$7,0))</f>
        <v>1</v>
      </c>
      <c r="AI852" s="12">
        <f t="array" ref="AI852">IF($A852="","",IF($AA852="Sold","",MIN($AH852,IFERROR(XLOOKUP(Settings!$B$12,Managers!$B$4:$B$15,Managers!$H$4:$H$15),$AH852))))</f>
        <v>1</v>
      </c>
      <c r="AJ852" s="12" t="str">
        <f t="shared" si="3"/>
        <v>Budget Drainer</v>
      </c>
      <c r="AK852" s="12">
        <f t="shared" si="4"/>
        <v>28</v>
      </c>
      <c r="AL852" s="12" t="str">
        <f t="shared" si="5"/>
        <v/>
      </c>
    </row>
    <row r="853" ht="15.75" customHeight="1">
      <c r="A853" s="10" t="s">
        <v>1985</v>
      </c>
      <c r="B853" s="10" t="s">
        <v>1986</v>
      </c>
      <c r="C853" s="10" t="s">
        <v>243</v>
      </c>
      <c r="D853" s="10" t="s">
        <v>123</v>
      </c>
      <c r="E853" s="10" t="s">
        <v>123</v>
      </c>
      <c r="F853" s="10" t="s">
        <v>117</v>
      </c>
      <c r="G853" s="10">
        <v>5.0</v>
      </c>
      <c r="H853" s="10">
        <v>7.0</v>
      </c>
      <c r="I853" s="10" t="s">
        <v>2140</v>
      </c>
      <c r="J853" s="10" t="s">
        <v>2136</v>
      </c>
      <c r="K853" s="10"/>
      <c r="L853" s="10">
        <v>0.0</v>
      </c>
      <c r="M853" s="10">
        <v>0.0</v>
      </c>
      <c r="N853" s="10"/>
      <c r="O853" s="10"/>
      <c r="P853" s="12">
        <f>IF($A853="","",IFERROR((IF($O853="",0,$O853)*Settings!$J$4+IF($L853="",0,$L853)*Settings!$J$5+IF($N853="",0,$N853)*Settings!$J$6)/(IF($O853="",0,Settings!$J$4)+IF($L853="",0,Settings!$J$5)+IF($N853="",0,Settings!$J$6)),0))</f>
        <v>0</v>
      </c>
      <c r="Q853" s="12">
        <f t="array" ref="Q853">IF($A853="","",XLOOKUP($E853,Settings!$A$19:$A$22,Settings!$G$19:$G$22,0))</f>
        <v>203</v>
      </c>
      <c r="R853" s="12">
        <f t="shared" si="1"/>
        <v>0</v>
      </c>
      <c r="S853" s="12">
        <f>IF($A853="","",IF($R853&lt;=0,1,1+$R853/SUMIF($R$4:$R$923,"&gt;0",$R$4:$R$923)*(Settings!$B$5*(Settings!$B$6-Settings!$B$7))))</f>
        <v>1</v>
      </c>
      <c r="T853" s="12">
        <f t="array" ref="T853">IF($A853="","",XLOOKUP($F853,Settings!$I$15:$I$20,Settings!$J$15:$J$20,1))</f>
        <v>0.75</v>
      </c>
      <c r="U853" s="12">
        <f>IF($A853="","",1+(($G853-5)/5)*Settings!$J$8)</f>
        <v>1</v>
      </c>
      <c r="V853" s="12">
        <f>IF($A853="","",1+(($H853-5)/5)*Settings!$J$9)</f>
        <v>1.06</v>
      </c>
      <c r="W853" s="12">
        <f t="array" ref="W853">IF($A853="","",XLOOKUP($J853,Lists!$C$3:$C$7,Lists!$D$3:$D$7,1))</f>
        <v>1</v>
      </c>
      <c r="X853" s="12">
        <f>IF($A853="","",IF($I853="Yes",Settings!$J$10,1))</f>
        <v>1</v>
      </c>
      <c r="Y853" s="12">
        <f t="shared" si="2"/>
        <v>1</v>
      </c>
      <c r="Z853" s="12">
        <f>IF($A853="","",IFERROR(ROUND(AVERAGEIFS('Historical Drafts'!$G$4:$G$300,'Historical Drafts'!$D$4:$D$300,$E853,'Historical Drafts'!$J$4:$J$300,"&gt;="&amp;$L853*0.85,'Historical Drafts'!$J$4:$J$300,"&lt;="&amp;$L853*1.15),0),$Y853))</f>
        <v>3</v>
      </c>
      <c r="AA853" s="12" t="str">
        <f>IF($A853="","",IF(COUNTIF('Auction Log'!$B$3:$B$300,$A853)&gt;0,"Sold","Available"))</f>
        <v>Available</v>
      </c>
      <c r="AB853" s="12" t="str">
        <f t="array" ref="AB853">IF($A853="","",IFERROR(XLOOKUP($A853,'Auction Log'!$B$3:$B$300,'Auction Log'!$G$3:$G$300,""),""))</f>
        <v/>
      </c>
      <c r="AC853" s="12" t="str">
        <f t="array" ref="AC853">IF($A853="","",IFERROR(XLOOKUP($A853,'Auction Log'!$B$3:$B$300,'Auction Log'!$F$3:$F$300,""),""))</f>
        <v/>
      </c>
      <c r="AD853" s="12">
        <f t="array" ref="AD853">IF($A853="","",ROUND($Y853*XLOOKUP($F853,Settings!$I$15:$I$20,Settings!$K$15:$K$20,0.4),0))</f>
        <v>0</v>
      </c>
      <c r="AE853" s="12">
        <f t="array" ref="AE853">IF($A853="","",ROUND($Y853*XLOOKUP($F853,Settings!$I$15:$I$20,Settings!$L$15:$L$20,0.8),0))</f>
        <v>1</v>
      </c>
      <c r="AF853" s="12">
        <f t="array" ref="AF853">IF($A853="","",ROUND($Y853*XLOOKUP($F853,Settings!$I$15:$I$20,Settings!$M$15:$M$20,1),0))</f>
        <v>1</v>
      </c>
      <c r="AG853" s="12">
        <f t="array" ref="AG853">IF($A853="","",ROUND($Y853*XLOOKUP($F853,Settings!$I$15:$I$20,Settings!$N$15:$N$20,1.1),0))</f>
        <v>1</v>
      </c>
      <c r="AH853" s="12">
        <f t="array" ref="AH853">IF($A853="","",ROUND($Y853*XLOOKUP($F853,Settings!$I$15:$I$20,Settings!$O$15:$O$20,1.1)*Settings!$J$7,0))</f>
        <v>1</v>
      </c>
      <c r="AI853" s="12">
        <f t="array" ref="AI853">IF($A853="","",IF($AA853="Sold","",MIN($AH853,IFERROR(XLOOKUP(Settings!$B$12,Managers!$B$4:$B$15,Managers!$H$4:$H$15),$AH853))))</f>
        <v>1</v>
      </c>
      <c r="AJ853" s="12" t="str">
        <f t="shared" si="3"/>
        <v>Budget Drainer</v>
      </c>
      <c r="AK853" s="12">
        <f t="shared" si="4"/>
        <v>28</v>
      </c>
      <c r="AL853" s="12" t="str">
        <f t="shared" si="5"/>
        <v/>
      </c>
    </row>
    <row r="854" ht="15.75" customHeight="1">
      <c r="A854" s="10" t="s">
        <v>1987</v>
      </c>
      <c r="B854" s="10" t="s">
        <v>1988</v>
      </c>
      <c r="C854" s="10" t="s">
        <v>236</v>
      </c>
      <c r="D854" s="10" t="s">
        <v>121</v>
      </c>
      <c r="E854" s="10" t="s">
        <v>121</v>
      </c>
      <c r="F854" s="10" t="s">
        <v>117</v>
      </c>
      <c r="G854" s="10">
        <v>5.0</v>
      </c>
      <c r="H854" s="10">
        <v>7.0</v>
      </c>
      <c r="I854" s="10" t="s">
        <v>2140</v>
      </c>
      <c r="J854" s="10" t="s">
        <v>2136</v>
      </c>
      <c r="K854" s="10"/>
      <c r="L854" s="10">
        <v>0.0</v>
      </c>
      <c r="M854" s="10">
        <v>0.0</v>
      </c>
      <c r="N854" s="10"/>
      <c r="O854" s="10"/>
      <c r="P854" s="12">
        <f>IF($A854="","",IFERROR((IF($O854="",0,$O854)*Settings!$J$4+IF($L854="",0,$L854)*Settings!$J$5+IF($N854="",0,$N854)*Settings!$J$6)/(IF($O854="",0,Settings!$J$4)+IF($L854="",0,Settings!$J$5)+IF($N854="",0,Settings!$J$6)),0))</f>
        <v>0</v>
      </c>
      <c r="Q854" s="12">
        <f t="array" ref="Q854">IF($A854="","",XLOOKUP($E854,Settings!$A$19:$A$22,Settings!$G$19:$G$22,0))</f>
        <v>206</v>
      </c>
      <c r="R854" s="12">
        <f t="shared" si="1"/>
        <v>0</v>
      </c>
      <c r="S854" s="12">
        <f>IF($A854="","",IF($R854&lt;=0,1,1+$R854/SUMIF($R$4:$R$923,"&gt;0",$R$4:$R$923)*(Settings!$B$5*(Settings!$B$6-Settings!$B$7))))</f>
        <v>1</v>
      </c>
      <c r="T854" s="12">
        <f t="array" ref="T854">IF($A854="","",XLOOKUP($F854,Settings!$I$15:$I$20,Settings!$J$15:$J$20,1))</f>
        <v>0.75</v>
      </c>
      <c r="U854" s="12">
        <f>IF($A854="","",1+(($G854-5)/5)*Settings!$J$8)</f>
        <v>1</v>
      </c>
      <c r="V854" s="12">
        <f>IF($A854="","",1+(($H854-5)/5)*Settings!$J$9)</f>
        <v>1.06</v>
      </c>
      <c r="W854" s="12">
        <f t="array" ref="W854">IF($A854="","",XLOOKUP($J854,Lists!$C$3:$C$7,Lists!$D$3:$D$7,1))</f>
        <v>1</v>
      </c>
      <c r="X854" s="12">
        <f>IF($A854="","",IF($I854="Yes",Settings!$J$10,1))</f>
        <v>1</v>
      </c>
      <c r="Y854" s="12">
        <f t="shared" si="2"/>
        <v>1</v>
      </c>
      <c r="Z854" s="12">
        <f>IF($A854="","",IFERROR(ROUND(AVERAGEIFS('Historical Drafts'!$G$4:$G$300,'Historical Drafts'!$D$4:$D$300,$E854,'Historical Drafts'!$J$4:$J$300,"&gt;="&amp;$L854*0.85,'Historical Drafts'!$J$4:$J$300,"&lt;="&amp;$L854*1.15),0),$Y854))</f>
        <v>3</v>
      </c>
      <c r="AA854" s="12" t="str">
        <f>IF($A854="","",IF(COUNTIF('Auction Log'!$B$3:$B$300,$A854)&gt;0,"Sold","Available"))</f>
        <v>Available</v>
      </c>
      <c r="AB854" s="12" t="str">
        <f t="array" ref="AB854">IF($A854="","",IFERROR(XLOOKUP($A854,'Auction Log'!$B$3:$B$300,'Auction Log'!$G$3:$G$300,""),""))</f>
        <v/>
      </c>
      <c r="AC854" s="12" t="str">
        <f t="array" ref="AC854">IF($A854="","",IFERROR(XLOOKUP($A854,'Auction Log'!$B$3:$B$300,'Auction Log'!$F$3:$F$300,""),""))</f>
        <v/>
      </c>
      <c r="AD854" s="12">
        <f t="array" ref="AD854">IF($A854="","",ROUND($Y854*XLOOKUP($F854,Settings!$I$15:$I$20,Settings!$K$15:$K$20,0.4),0))</f>
        <v>0</v>
      </c>
      <c r="AE854" s="12">
        <f t="array" ref="AE854">IF($A854="","",ROUND($Y854*XLOOKUP($F854,Settings!$I$15:$I$20,Settings!$L$15:$L$20,0.8),0))</f>
        <v>1</v>
      </c>
      <c r="AF854" s="12">
        <f t="array" ref="AF854">IF($A854="","",ROUND($Y854*XLOOKUP($F854,Settings!$I$15:$I$20,Settings!$M$15:$M$20,1),0))</f>
        <v>1</v>
      </c>
      <c r="AG854" s="12">
        <f t="array" ref="AG854">IF($A854="","",ROUND($Y854*XLOOKUP($F854,Settings!$I$15:$I$20,Settings!$N$15:$N$20,1.1),0))</f>
        <v>1</v>
      </c>
      <c r="AH854" s="12">
        <f t="array" ref="AH854">IF($A854="","",ROUND($Y854*XLOOKUP($F854,Settings!$I$15:$I$20,Settings!$O$15:$O$20,1.1)*Settings!$J$7,0))</f>
        <v>1</v>
      </c>
      <c r="AI854" s="12">
        <f t="array" ref="AI854">IF($A854="","",IF($AA854="Sold","",MIN($AH854,IFERROR(XLOOKUP(Settings!$B$12,Managers!$B$4:$B$15,Managers!$H$4:$H$15),$AH854))))</f>
        <v>1</v>
      </c>
      <c r="AJ854" s="12" t="str">
        <f t="shared" si="3"/>
        <v>Budget Drainer</v>
      </c>
      <c r="AK854" s="12">
        <f t="shared" si="4"/>
        <v>28</v>
      </c>
      <c r="AL854" s="12" t="str">
        <f t="shared" si="5"/>
        <v/>
      </c>
    </row>
    <row r="855" ht="15.75" customHeight="1">
      <c r="A855" s="10" t="s">
        <v>1989</v>
      </c>
      <c r="B855" s="10" t="s">
        <v>1990</v>
      </c>
      <c r="C855" s="10" t="s">
        <v>231</v>
      </c>
      <c r="D855" s="10" t="s">
        <v>115</v>
      </c>
      <c r="E855" s="10" t="s">
        <v>115</v>
      </c>
      <c r="F855" s="10" t="s">
        <v>117</v>
      </c>
      <c r="G855" s="10">
        <v>5.0</v>
      </c>
      <c r="H855" s="10">
        <v>7.0</v>
      </c>
      <c r="I855" s="10" t="s">
        <v>2140</v>
      </c>
      <c r="J855" s="10" t="s">
        <v>2136</v>
      </c>
      <c r="K855" s="10"/>
      <c r="L855" s="10">
        <v>0.0</v>
      </c>
      <c r="M855" s="10">
        <v>0.0</v>
      </c>
      <c r="N855" s="10"/>
      <c r="O855" s="10"/>
      <c r="P855" s="12">
        <f>IF($A855="","",IFERROR((IF($O855="",0,$O855)*Settings!$J$4+IF($L855="",0,$L855)*Settings!$J$5+IF($N855="",0,$N855)*Settings!$J$6)/(IF($O855="",0,Settings!$J$4)+IF($L855="",0,Settings!$J$5)+IF($N855="",0,Settings!$J$6)),0))</f>
        <v>0</v>
      </c>
      <c r="Q855" s="12">
        <f t="array" ref="Q855">IF($A855="","",XLOOKUP($E855,Settings!$A$19:$A$22,Settings!$G$19:$G$22,0))</f>
        <v>249.25</v>
      </c>
      <c r="R855" s="12">
        <f t="shared" si="1"/>
        <v>0</v>
      </c>
      <c r="S855" s="12">
        <f>IF($A855="","",IF($R855&lt;=0,1,1+$R855/SUMIF($R$4:$R$923,"&gt;0",$R$4:$R$923)*(Settings!$B$5*(Settings!$B$6-Settings!$B$7))))</f>
        <v>1</v>
      </c>
      <c r="T855" s="12">
        <f t="array" ref="T855">IF($A855="","",XLOOKUP($F855,Settings!$I$15:$I$20,Settings!$J$15:$J$20,1))</f>
        <v>0.75</v>
      </c>
      <c r="U855" s="12">
        <f>IF($A855="","",1+(($G855-5)/5)*Settings!$J$8)</f>
        <v>1</v>
      </c>
      <c r="V855" s="12">
        <f>IF($A855="","",1+(($H855-5)/5)*Settings!$J$9)</f>
        <v>1.06</v>
      </c>
      <c r="W855" s="12">
        <f t="array" ref="W855">IF($A855="","",XLOOKUP($J855,Lists!$C$3:$C$7,Lists!$D$3:$D$7,1))</f>
        <v>1</v>
      </c>
      <c r="X855" s="12">
        <f>IF($A855="","",IF($I855="Yes",Settings!$J$10,1))</f>
        <v>1</v>
      </c>
      <c r="Y855" s="12">
        <f t="shared" si="2"/>
        <v>1</v>
      </c>
      <c r="Z855" s="12">
        <f>IF($A855="","",IFERROR(ROUND(AVERAGEIFS('Historical Drafts'!$G$4:$G$300,'Historical Drafts'!$D$4:$D$300,$E855,'Historical Drafts'!$J$4:$J$300,"&gt;="&amp;$L855*0.85,'Historical Drafts'!$J$4:$J$300,"&lt;="&amp;$L855*1.15),0),$Y855))</f>
        <v>1</v>
      </c>
      <c r="AA855" s="12" t="str">
        <f>IF($A855="","",IF(COUNTIF('Auction Log'!$B$3:$B$300,$A855)&gt;0,"Sold","Available"))</f>
        <v>Available</v>
      </c>
      <c r="AB855" s="12" t="str">
        <f t="array" ref="AB855">IF($A855="","",IFERROR(XLOOKUP($A855,'Auction Log'!$B$3:$B$300,'Auction Log'!$G$3:$G$300,""),""))</f>
        <v/>
      </c>
      <c r="AC855" s="12" t="str">
        <f t="array" ref="AC855">IF($A855="","",IFERROR(XLOOKUP($A855,'Auction Log'!$B$3:$B$300,'Auction Log'!$F$3:$F$300,""),""))</f>
        <v/>
      </c>
      <c r="AD855" s="12">
        <f t="array" ref="AD855">IF($A855="","",ROUND($Y855*XLOOKUP($F855,Settings!$I$15:$I$20,Settings!$K$15:$K$20,0.4),0))</f>
        <v>0</v>
      </c>
      <c r="AE855" s="12">
        <f t="array" ref="AE855">IF($A855="","",ROUND($Y855*XLOOKUP($F855,Settings!$I$15:$I$20,Settings!$L$15:$L$20,0.8),0))</f>
        <v>1</v>
      </c>
      <c r="AF855" s="12">
        <f t="array" ref="AF855">IF($A855="","",ROUND($Y855*XLOOKUP($F855,Settings!$I$15:$I$20,Settings!$M$15:$M$20,1),0))</f>
        <v>1</v>
      </c>
      <c r="AG855" s="12">
        <f t="array" ref="AG855">IF($A855="","",ROUND($Y855*XLOOKUP($F855,Settings!$I$15:$I$20,Settings!$N$15:$N$20,1.1),0))</f>
        <v>1</v>
      </c>
      <c r="AH855" s="12">
        <f t="array" ref="AH855">IF($A855="","",ROUND($Y855*XLOOKUP($F855,Settings!$I$15:$I$20,Settings!$O$15:$O$20,1.1)*Settings!$J$7,0))</f>
        <v>1</v>
      </c>
      <c r="AI855" s="12">
        <f t="array" ref="AI855">IF($A855="","",IF($AA855="Sold","",MIN($AH855,IFERROR(XLOOKUP(Settings!$B$12,Managers!$B$4:$B$15,Managers!$H$4:$H$15),$AH855))))</f>
        <v>1</v>
      </c>
      <c r="AJ855" s="12" t="str">
        <f t="shared" si="3"/>
        <v>Recommended</v>
      </c>
      <c r="AK855" s="12">
        <f t="shared" si="4"/>
        <v>26</v>
      </c>
      <c r="AL855" s="12" t="str">
        <f t="shared" si="5"/>
        <v/>
      </c>
    </row>
    <row r="856" ht="15.75" customHeight="1">
      <c r="A856" s="10" t="s">
        <v>1991</v>
      </c>
      <c r="B856" s="10" t="s">
        <v>1992</v>
      </c>
      <c r="C856" s="10" t="s">
        <v>327</v>
      </c>
      <c r="D856" s="10" t="s">
        <v>118</v>
      </c>
      <c r="E856" s="10" t="s">
        <v>118</v>
      </c>
      <c r="F856" s="10" t="s">
        <v>117</v>
      </c>
      <c r="G856" s="10">
        <v>5.0</v>
      </c>
      <c r="H856" s="10">
        <v>7.0</v>
      </c>
      <c r="I856" s="10" t="s">
        <v>2140</v>
      </c>
      <c r="J856" s="10" t="s">
        <v>2136</v>
      </c>
      <c r="K856" s="10"/>
      <c r="L856" s="10">
        <v>0.0</v>
      </c>
      <c r="M856" s="10">
        <v>0.0</v>
      </c>
      <c r="N856" s="10"/>
      <c r="O856" s="10"/>
      <c r="P856" s="12">
        <f>IF($A856="","",IFERROR((IF($O856="",0,$O856)*Settings!$J$4+IF($L856="",0,$L856)*Settings!$J$5+IF($N856="",0,$N856)*Settings!$J$6)/(IF($O856="",0,Settings!$J$4)+IF($L856="",0,Settings!$J$5)+IF($N856="",0,Settings!$J$6)),0))</f>
        <v>0</v>
      </c>
      <c r="Q856" s="12">
        <f t="array" ref="Q856">IF($A856="","",XLOOKUP($E856,Settings!$A$19:$A$22,Settings!$G$19:$G$22,0))</f>
        <v>196.25</v>
      </c>
      <c r="R856" s="12">
        <f t="shared" si="1"/>
        <v>0</v>
      </c>
      <c r="S856" s="12">
        <f>IF($A856="","",IF($R856&lt;=0,1,1+$R856/SUMIF($R$4:$R$923,"&gt;0",$R$4:$R$923)*(Settings!$B$5*(Settings!$B$6-Settings!$B$7))))</f>
        <v>1</v>
      </c>
      <c r="T856" s="12">
        <f t="array" ref="T856">IF($A856="","",XLOOKUP($F856,Settings!$I$15:$I$20,Settings!$J$15:$J$20,1))</f>
        <v>0.75</v>
      </c>
      <c r="U856" s="12">
        <f>IF($A856="","",1+(($G856-5)/5)*Settings!$J$8)</f>
        <v>1</v>
      </c>
      <c r="V856" s="12">
        <f>IF($A856="","",1+(($H856-5)/5)*Settings!$J$9)</f>
        <v>1.06</v>
      </c>
      <c r="W856" s="12">
        <f t="array" ref="W856">IF($A856="","",XLOOKUP($J856,Lists!$C$3:$C$7,Lists!$D$3:$D$7,1))</f>
        <v>1</v>
      </c>
      <c r="X856" s="12">
        <f>IF($A856="","",IF($I856="Yes",Settings!$J$10,1))</f>
        <v>1</v>
      </c>
      <c r="Y856" s="12">
        <f t="shared" si="2"/>
        <v>1</v>
      </c>
      <c r="Z856" s="12">
        <f>IF($A856="","",IFERROR(ROUND(AVERAGEIFS('Historical Drafts'!$G$4:$G$300,'Historical Drafts'!$D$4:$D$300,$E856,'Historical Drafts'!$J$4:$J$300,"&gt;="&amp;$L856*0.85,'Historical Drafts'!$J$4:$J$300,"&lt;="&amp;$L856*1.15),0),$Y856))</f>
        <v>1</v>
      </c>
      <c r="AA856" s="12" t="str">
        <f>IF($A856="","",IF(COUNTIF('Auction Log'!$B$3:$B$300,$A856)&gt;0,"Sold","Available"))</f>
        <v>Available</v>
      </c>
      <c r="AB856" s="12" t="str">
        <f t="array" ref="AB856">IF($A856="","",IFERROR(XLOOKUP($A856,'Auction Log'!$B$3:$B$300,'Auction Log'!$G$3:$G$300,""),""))</f>
        <v/>
      </c>
      <c r="AC856" s="12" t="str">
        <f t="array" ref="AC856">IF($A856="","",IFERROR(XLOOKUP($A856,'Auction Log'!$B$3:$B$300,'Auction Log'!$F$3:$F$300,""),""))</f>
        <v/>
      </c>
      <c r="AD856" s="12">
        <f t="array" ref="AD856">IF($A856="","",ROUND($Y856*XLOOKUP($F856,Settings!$I$15:$I$20,Settings!$K$15:$K$20,0.4),0))</f>
        <v>0</v>
      </c>
      <c r="AE856" s="12">
        <f t="array" ref="AE856">IF($A856="","",ROUND($Y856*XLOOKUP($F856,Settings!$I$15:$I$20,Settings!$L$15:$L$20,0.8),0))</f>
        <v>1</v>
      </c>
      <c r="AF856" s="12">
        <f t="array" ref="AF856">IF($A856="","",ROUND($Y856*XLOOKUP($F856,Settings!$I$15:$I$20,Settings!$M$15:$M$20,1),0))</f>
        <v>1</v>
      </c>
      <c r="AG856" s="12">
        <f t="array" ref="AG856">IF($A856="","",ROUND($Y856*XLOOKUP($F856,Settings!$I$15:$I$20,Settings!$N$15:$N$20,1.1),0))</f>
        <v>1</v>
      </c>
      <c r="AH856" s="12">
        <f t="array" ref="AH856">IF($A856="","",ROUND($Y856*XLOOKUP($F856,Settings!$I$15:$I$20,Settings!$O$15:$O$20,1.1)*Settings!$J$7,0))</f>
        <v>1</v>
      </c>
      <c r="AI856" s="12">
        <f t="array" ref="AI856">IF($A856="","",IF($AA856="Sold","",MIN($AH856,IFERROR(XLOOKUP(Settings!$B$12,Managers!$B$4:$B$15,Managers!$H$4:$H$15),$AH856))))</f>
        <v>1</v>
      </c>
      <c r="AJ856" s="12" t="str">
        <f t="shared" si="3"/>
        <v>Recommended</v>
      </c>
      <c r="AK856" s="12">
        <f t="shared" si="4"/>
        <v>26</v>
      </c>
      <c r="AL856" s="12" t="str">
        <f t="shared" si="5"/>
        <v/>
      </c>
    </row>
    <row r="857" ht="15.75" customHeight="1">
      <c r="A857" s="10" t="s">
        <v>1993</v>
      </c>
      <c r="B857" s="10" t="s">
        <v>1994</v>
      </c>
      <c r="C857" s="10" t="s">
        <v>177</v>
      </c>
      <c r="D857" s="10" t="s">
        <v>121</v>
      </c>
      <c r="E857" s="10" t="s">
        <v>121</v>
      </c>
      <c r="F857" s="10" t="s">
        <v>117</v>
      </c>
      <c r="G857" s="10">
        <v>5.0</v>
      </c>
      <c r="H857" s="10">
        <v>7.0</v>
      </c>
      <c r="I857" s="10" t="s">
        <v>2140</v>
      </c>
      <c r="J857" s="10" t="s">
        <v>2136</v>
      </c>
      <c r="K857" s="10"/>
      <c r="L857" s="10">
        <v>0.0</v>
      </c>
      <c r="M857" s="10">
        <v>0.0</v>
      </c>
      <c r="N857" s="10"/>
      <c r="O857" s="10"/>
      <c r="P857" s="12">
        <f>IF($A857="","",IFERROR((IF($O857="",0,$O857)*Settings!$J$4+IF($L857="",0,$L857)*Settings!$J$5+IF($N857="",0,$N857)*Settings!$J$6)/(IF($O857="",0,Settings!$J$4)+IF($L857="",0,Settings!$J$5)+IF($N857="",0,Settings!$J$6)),0))</f>
        <v>0</v>
      </c>
      <c r="Q857" s="12">
        <f t="array" ref="Q857">IF($A857="","",XLOOKUP($E857,Settings!$A$19:$A$22,Settings!$G$19:$G$22,0))</f>
        <v>206</v>
      </c>
      <c r="R857" s="12">
        <f t="shared" si="1"/>
        <v>0</v>
      </c>
      <c r="S857" s="12">
        <f>IF($A857="","",IF($R857&lt;=0,1,1+$R857/SUMIF($R$4:$R$923,"&gt;0",$R$4:$R$923)*(Settings!$B$5*(Settings!$B$6-Settings!$B$7))))</f>
        <v>1</v>
      </c>
      <c r="T857" s="12">
        <f t="array" ref="T857">IF($A857="","",XLOOKUP($F857,Settings!$I$15:$I$20,Settings!$J$15:$J$20,1))</f>
        <v>0.75</v>
      </c>
      <c r="U857" s="12">
        <f>IF($A857="","",1+(($G857-5)/5)*Settings!$J$8)</f>
        <v>1</v>
      </c>
      <c r="V857" s="12">
        <f>IF($A857="","",1+(($H857-5)/5)*Settings!$J$9)</f>
        <v>1.06</v>
      </c>
      <c r="W857" s="12">
        <f t="array" ref="W857">IF($A857="","",XLOOKUP($J857,Lists!$C$3:$C$7,Lists!$D$3:$D$7,1))</f>
        <v>1</v>
      </c>
      <c r="X857" s="12">
        <f>IF($A857="","",IF($I857="Yes",Settings!$J$10,1))</f>
        <v>1</v>
      </c>
      <c r="Y857" s="12">
        <f t="shared" si="2"/>
        <v>1</v>
      </c>
      <c r="Z857" s="12">
        <f>IF($A857="","",IFERROR(ROUND(AVERAGEIFS('Historical Drafts'!$G$4:$G$300,'Historical Drafts'!$D$4:$D$300,$E857,'Historical Drafts'!$J$4:$J$300,"&gt;="&amp;$L857*0.85,'Historical Drafts'!$J$4:$J$300,"&lt;="&amp;$L857*1.15),0),$Y857))</f>
        <v>3</v>
      </c>
      <c r="AA857" s="12" t="str">
        <f>IF($A857="","",IF(COUNTIF('Auction Log'!$B$3:$B$300,$A857)&gt;0,"Sold","Available"))</f>
        <v>Available</v>
      </c>
      <c r="AB857" s="12" t="str">
        <f t="array" ref="AB857">IF($A857="","",IFERROR(XLOOKUP($A857,'Auction Log'!$B$3:$B$300,'Auction Log'!$G$3:$G$300,""),""))</f>
        <v/>
      </c>
      <c r="AC857" s="12" t="str">
        <f t="array" ref="AC857">IF($A857="","",IFERROR(XLOOKUP($A857,'Auction Log'!$B$3:$B$300,'Auction Log'!$F$3:$F$300,""),""))</f>
        <v/>
      </c>
      <c r="AD857" s="12">
        <f t="array" ref="AD857">IF($A857="","",ROUND($Y857*XLOOKUP($F857,Settings!$I$15:$I$20,Settings!$K$15:$K$20,0.4),0))</f>
        <v>0</v>
      </c>
      <c r="AE857" s="12">
        <f t="array" ref="AE857">IF($A857="","",ROUND($Y857*XLOOKUP($F857,Settings!$I$15:$I$20,Settings!$L$15:$L$20,0.8),0))</f>
        <v>1</v>
      </c>
      <c r="AF857" s="12">
        <f t="array" ref="AF857">IF($A857="","",ROUND($Y857*XLOOKUP($F857,Settings!$I$15:$I$20,Settings!$M$15:$M$20,1),0))</f>
        <v>1</v>
      </c>
      <c r="AG857" s="12">
        <f t="array" ref="AG857">IF($A857="","",ROUND($Y857*XLOOKUP($F857,Settings!$I$15:$I$20,Settings!$N$15:$N$20,1.1),0))</f>
        <v>1</v>
      </c>
      <c r="AH857" s="12">
        <f t="array" ref="AH857">IF($A857="","",ROUND($Y857*XLOOKUP($F857,Settings!$I$15:$I$20,Settings!$O$15:$O$20,1.1)*Settings!$J$7,0))</f>
        <v>1</v>
      </c>
      <c r="AI857" s="12">
        <f t="array" ref="AI857">IF($A857="","",IF($AA857="Sold","",MIN($AH857,IFERROR(XLOOKUP(Settings!$B$12,Managers!$B$4:$B$15,Managers!$H$4:$H$15),$AH857))))</f>
        <v>1</v>
      </c>
      <c r="AJ857" s="12" t="str">
        <f t="shared" si="3"/>
        <v>Budget Drainer</v>
      </c>
      <c r="AK857" s="12">
        <f t="shared" si="4"/>
        <v>28</v>
      </c>
      <c r="AL857" s="12" t="str">
        <f t="shared" si="5"/>
        <v/>
      </c>
    </row>
    <row r="858" ht="15.75" customHeight="1">
      <c r="A858" s="10" t="s">
        <v>1995</v>
      </c>
      <c r="B858" s="10" t="s">
        <v>1996</v>
      </c>
      <c r="C858" s="10" t="s">
        <v>188</v>
      </c>
      <c r="D858" s="10" t="s">
        <v>123</v>
      </c>
      <c r="E858" s="10" t="s">
        <v>123</v>
      </c>
      <c r="F858" s="10" t="s">
        <v>117</v>
      </c>
      <c r="G858" s="10">
        <v>5.0</v>
      </c>
      <c r="H858" s="10">
        <v>7.0</v>
      </c>
      <c r="I858" s="10" t="s">
        <v>2140</v>
      </c>
      <c r="J858" s="10" t="s">
        <v>2136</v>
      </c>
      <c r="K858" s="10"/>
      <c r="L858" s="10">
        <v>0.0</v>
      </c>
      <c r="M858" s="10">
        <v>0.0</v>
      </c>
      <c r="N858" s="10"/>
      <c r="O858" s="10"/>
      <c r="P858" s="12">
        <f>IF($A858="","",IFERROR((IF($O858="",0,$O858)*Settings!$J$4+IF($L858="",0,$L858)*Settings!$J$5+IF($N858="",0,$N858)*Settings!$J$6)/(IF($O858="",0,Settings!$J$4)+IF($L858="",0,Settings!$J$5)+IF($N858="",0,Settings!$J$6)),0))</f>
        <v>0</v>
      </c>
      <c r="Q858" s="12">
        <f t="array" ref="Q858">IF($A858="","",XLOOKUP($E858,Settings!$A$19:$A$22,Settings!$G$19:$G$22,0))</f>
        <v>203</v>
      </c>
      <c r="R858" s="12">
        <f t="shared" si="1"/>
        <v>0</v>
      </c>
      <c r="S858" s="12">
        <f>IF($A858="","",IF($R858&lt;=0,1,1+$R858/SUMIF($R$4:$R$923,"&gt;0",$R$4:$R$923)*(Settings!$B$5*(Settings!$B$6-Settings!$B$7))))</f>
        <v>1</v>
      </c>
      <c r="T858" s="12">
        <f t="array" ref="T858">IF($A858="","",XLOOKUP($F858,Settings!$I$15:$I$20,Settings!$J$15:$J$20,1))</f>
        <v>0.75</v>
      </c>
      <c r="U858" s="12">
        <f>IF($A858="","",1+(($G858-5)/5)*Settings!$J$8)</f>
        <v>1</v>
      </c>
      <c r="V858" s="12">
        <f>IF($A858="","",1+(($H858-5)/5)*Settings!$J$9)</f>
        <v>1.06</v>
      </c>
      <c r="W858" s="12">
        <f t="array" ref="W858">IF($A858="","",XLOOKUP($J858,Lists!$C$3:$C$7,Lists!$D$3:$D$7,1))</f>
        <v>1</v>
      </c>
      <c r="X858" s="12">
        <f>IF($A858="","",IF($I858="Yes",Settings!$J$10,1))</f>
        <v>1</v>
      </c>
      <c r="Y858" s="12">
        <f t="shared" si="2"/>
        <v>1</v>
      </c>
      <c r="Z858" s="12">
        <f>IF($A858="","",IFERROR(ROUND(AVERAGEIFS('Historical Drafts'!$G$4:$G$300,'Historical Drafts'!$D$4:$D$300,$E858,'Historical Drafts'!$J$4:$J$300,"&gt;="&amp;$L858*0.85,'Historical Drafts'!$J$4:$J$300,"&lt;="&amp;$L858*1.15),0),$Y858))</f>
        <v>3</v>
      </c>
      <c r="AA858" s="12" t="str">
        <f>IF($A858="","",IF(COUNTIF('Auction Log'!$B$3:$B$300,$A858)&gt;0,"Sold","Available"))</f>
        <v>Available</v>
      </c>
      <c r="AB858" s="12" t="str">
        <f t="array" ref="AB858">IF($A858="","",IFERROR(XLOOKUP($A858,'Auction Log'!$B$3:$B$300,'Auction Log'!$G$3:$G$300,""),""))</f>
        <v/>
      </c>
      <c r="AC858" s="12" t="str">
        <f t="array" ref="AC858">IF($A858="","",IFERROR(XLOOKUP($A858,'Auction Log'!$B$3:$B$300,'Auction Log'!$F$3:$F$300,""),""))</f>
        <v/>
      </c>
      <c r="AD858" s="12">
        <f t="array" ref="AD858">IF($A858="","",ROUND($Y858*XLOOKUP($F858,Settings!$I$15:$I$20,Settings!$K$15:$K$20,0.4),0))</f>
        <v>0</v>
      </c>
      <c r="AE858" s="12">
        <f t="array" ref="AE858">IF($A858="","",ROUND($Y858*XLOOKUP($F858,Settings!$I$15:$I$20,Settings!$L$15:$L$20,0.8),0))</f>
        <v>1</v>
      </c>
      <c r="AF858" s="12">
        <f t="array" ref="AF858">IF($A858="","",ROUND($Y858*XLOOKUP($F858,Settings!$I$15:$I$20,Settings!$M$15:$M$20,1),0))</f>
        <v>1</v>
      </c>
      <c r="AG858" s="12">
        <f t="array" ref="AG858">IF($A858="","",ROUND($Y858*XLOOKUP($F858,Settings!$I$15:$I$20,Settings!$N$15:$N$20,1.1),0))</f>
        <v>1</v>
      </c>
      <c r="AH858" s="12">
        <f t="array" ref="AH858">IF($A858="","",ROUND($Y858*XLOOKUP($F858,Settings!$I$15:$I$20,Settings!$O$15:$O$20,1.1)*Settings!$J$7,0))</f>
        <v>1</v>
      </c>
      <c r="AI858" s="12">
        <f t="array" ref="AI858">IF($A858="","",IF($AA858="Sold","",MIN($AH858,IFERROR(XLOOKUP(Settings!$B$12,Managers!$B$4:$B$15,Managers!$H$4:$H$15),$AH858))))</f>
        <v>1</v>
      </c>
      <c r="AJ858" s="12" t="str">
        <f t="shared" si="3"/>
        <v>Budget Drainer</v>
      </c>
      <c r="AK858" s="12">
        <f t="shared" si="4"/>
        <v>28</v>
      </c>
      <c r="AL858" s="12" t="str">
        <f t="shared" si="5"/>
        <v/>
      </c>
    </row>
    <row r="859" ht="15.75" customHeight="1">
      <c r="A859" s="10" t="s">
        <v>1997</v>
      </c>
      <c r="B859" s="10" t="s">
        <v>1998</v>
      </c>
      <c r="C859" s="10" t="s">
        <v>285</v>
      </c>
      <c r="D859" s="10" t="s">
        <v>121</v>
      </c>
      <c r="E859" s="10" t="s">
        <v>121</v>
      </c>
      <c r="F859" s="10" t="s">
        <v>117</v>
      </c>
      <c r="G859" s="10">
        <v>5.0</v>
      </c>
      <c r="H859" s="10">
        <v>7.0</v>
      </c>
      <c r="I859" s="10" t="s">
        <v>2140</v>
      </c>
      <c r="J859" s="10" t="s">
        <v>2136</v>
      </c>
      <c r="K859" s="10"/>
      <c r="L859" s="10">
        <v>0.0</v>
      </c>
      <c r="M859" s="10">
        <v>0.0</v>
      </c>
      <c r="N859" s="10"/>
      <c r="O859" s="10"/>
      <c r="P859" s="12">
        <f>IF($A859="","",IFERROR((IF($O859="",0,$O859)*Settings!$J$4+IF($L859="",0,$L859)*Settings!$J$5+IF($N859="",0,$N859)*Settings!$J$6)/(IF($O859="",0,Settings!$J$4)+IF($L859="",0,Settings!$J$5)+IF($N859="",0,Settings!$J$6)),0))</f>
        <v>0</v>
      </c>
      <c r="Q859" s="12">
        <f t="array" ref="Q859">IF($A859="","",XLOOKUP($E859,Settings!$A$19:$A$22,Settings!$G$19:$G$22,0))</f>
        <v>206</v>
      </c>
      <c r="R859" s="12">
        <f t="shared" si="1"/>
        <v>0</v>
      </c>
      <c r="S859" s="12">
        <f>IF($A859="","",IF($R859&lt;=0,1,1+$R859/SUMIF($R$4:$R$923,"&gt;0",$R$4:$R$923)*(Settings!$B$5*(Settings!$B$6-Settings!$B$7))))</f>
        <v>1</v>
      </c>
      <c r="T859" s="12">
        <f t="array" ref="T859">IF($A859="","",XLOOKUP($F859,Settings!$I$15:$I$20,Settings!$J$15:$J$20,1))</f>
        <v>0.75</v>
      </c>
      <c r="U859" s="12">
        <f>IF($A859="","",1+(($G859-5)/5)*Settings!$J$8)</f>
        <v>1</v>
      </c>
      <c r="V859" s="12">
        <f>IF($A859="","",1+(($H859-5)/5)*Settings!$J$9)</f>
        <v>1.06</v>
      </c>
      <c r="W859" s="12">
        <f t="array" ref="W859">IF($A859="","",XLOOKUP($J859,Lists!$C$3:$C$7,Lists!$D$3:$D$7,1))</f>
        <v>1</v>
      </c>
      <c r="X859" s="12">
        <f>IF($A859="","",IF($I859="Yes",Settings!$J$10,1))</f>
        <v>1</v>
      </c>
      <c r="Y859" s="12">
        <f t="shared" si="2"/>
        <v>1</v>
      </c>
      <c r="Z859" s="12">
        <f>IF($A859="","",IFERROR(ROUND(AVERAGEIFS('Historical Drafts'!$G$4:$G$300,'Historical Drafts'!$D$4:$D$300,$E859,'Historical Drafts'!$J$4:$J$300,"&gt;="&amp;$L859*0.85,'Historical Drafts'!$J$4:$J$300,"&lt;="&amp;$L859*1.15),0),$Y859))</f>
        <v>3</v>
      </c>
      <c r="AA859" s="12" t="str">
        <f>IF($A859="","",IF(COUNTIF('Auction Log'!$B$3:$B$300,$A859)&gt;0,"Sold","Available"))</f>
        <v>Available</v>
      </c>
      <c r="AB859" s="12" t="str">
        <f t="array" ref="AB859">IF($A859="","",IFERROR(XLOOKUP($A859,'Auction Log'!$B$3:$B$300,'Auction Log'!$G$3:$G$300,""),""))</f>
        <v/>
      </c>
      <c r="AC859" s="12" t="str">
        <f t="array" ref="AC859">IF($A859="","",IFERROR(XLOOKUP($A859,'Auction Log'!$B$3:$B$300,'Auction Log'!$F$3:$F$300,""),""))</f>
        <v/>
      </c>
      <c r="AD859" s="12">
        <f t="array" ref="AD859">IF($A859="","",ROUND($Y859*XLOOKUP($F859,Settings!$I$15:$I$20,Settings!$K$15:$K$20,0.4),0))</f>
        <v>0</v>
      </c>
      <c r="AE859" s="12">
        <f t="array" ref="AE859">IF($A859="","",ROUND($Y859*XLOOKUP($F859,Settings!$I$15:$I$20,Settings!$L$15:$L$20,0.8),0))</f>
        <v>1</v>
      </c>
      <c r="AF859" s="12">
        <f t="array" ref="AF859">IF($A859="","",ROUND($Y859*XLOOKUP($F859,Settings!$I$15:$I$20,Settings!$M$15:$M$20,1),0))</f>
        <v>1</v>
      </c>
      <c r="AG859" s="12">
        <f t="array" ref="AG859">IF($A859="","",ROUND($Y859*XLOOKUP($F859,Settings!$I$15:$I$20,Settings!$N$15:$N$20,1.1),0))</f>
        <v>1</v>
      </c>
      <c r="AH859" s="12">
        <f t="array" ref="AH859">IF($A859="","",ROUND($Y859*XLOOKUP($F859,Settings!$I$15:$I$20,Settings!$O$15:$O$20,1.1)*Settings!$J$7,0))</f>
        <v>1</v>
      </c>
      <c r="AI859" s="12">
        <f t="array" ref="AI859">IF($A859="","",IF($AA859="Sold","",MIN($AH859,IFERROR(XLOOKUP(Settings!$B$12,Managers!$B$4:$B$15,Managers!$H$4:$H$15),$AH859))))</f>
        <v>1</v>
      </c>
      <c r="AJ859" s="12" t="str">
        <f t="shared" si="3"/>
        <v>Budget Drainer</v>
      </c>
      <c r="AK859" s="12">
        <f t="shared" si="4"/>
        <v>28</v>
      </c>
      <c r="AL859" s="12" t="str">
        <f t="shared" si="5"/>
        <v/>
      </c>
    </row>
    <row r="860" ht="15.75" customHeight="1">
      <c r="A860" s="10" t="s">
        <v>1999</v>
      </c>
      <c r="B860" s="10" t="s">
        <v>2000</v>
      </c>
      <c r="C860" s="10" t="s">
        <v>387</v>
      </c>
      <c r="D860" s="10" t="s">
        <v>121</v>
      </c>
      <c r="E860" s="10" t="s">
        <v>121</v>
      </c>
      <c r="F860" s="10" t="s">
        <v>117</v>
      </c>
      <c r="G860" s="10">
        <v>5.0</v>
      </c>
      <c r="H860" s="10">
        <v>7.0</v>
      </c>
      <c r="I860" s="10" t="s">
        <v>2140</v>
      </c>
      <c r="J860" s="10" t="s">
        <v>2136</v>
      </c>
      <c r="K860" s="10"/>
      <c r="L860" s="10">
        <v>0.0</v>
      </c>
      <c r="M860" s="10">
        <v>0.0</v>
      </c>
      <c r="N860" s="10"/>
      <c r="O860" s="10"/>
      <c r="P860" s="12">
        <f>IF($A860="","",IFERROR((IF($O860="",0,$O860)*Settings!$J$4+IF($L860="",0,$L860)*Settings!$J$5+IF($N860="",0,$N860)*Settings!$J$6)/(IF($O860="",0,Settings!$J$4)+IF($L860="",0,Settings!$J$5)+IF($N860="",0,Settings!$J$6)),0))</f>
        <v>0</v>
      </c>
      <c r="Q860" s="12">
        <f t="array" ref="Q860">IF($A860="","",XLOOKUP($E860,Settings!$A$19:$A$22,Settings!$G$19:$G$22,0))</f>
        <v>206</v>
      </c>
      <c r="R860" s="12">
        <f t="shared" si="1"/>
        <v>0</v>
      </c>
      <c r="S860" s="12">
        <f>IF($A860="","",IF($R860&lt;=0,1,1+$R860/SUMIF($R$4:$R$923,"&gt;0",$R$4:$R$923)*(Settings!$B$5*(Settings!$B$6-Settings!$B$7))))</f>
        <v>1</v>
      </c>
      <c r="T860" s="12">
        <f t="array" ref="T860">IF($A860="","",XLOOKUP($F860,Settings!$I$15:$I$20,Settings!$J$15:$J$20,1))</f>
        <v>0.75</v>
      </c>
      <c r="U860" s="12">
        <f>IF($A860="","",1+(($G860-5)/5)*Settings!$J$8)</f>
        <v>1</v>
      </c>
      <c r="V860" s="12">
        <f>IF($A860="","",1+(($H860-5)/5)*Settings!$J$9)</f>
        <v>1.06</v>
      </c>
      <c r="W860" s="12">
        <f t="array" ref="W860">IF($A860="","",XLOOKUP($J860,Lists!$C$3:$C$7,Lists!$D$3:$D$7,1))</f>
        <v>1</v>
      </c>
      <c r="X860" s="12">
        <f>IF($A860="","",IF($I860="Yes",Settings!$J$10,1))</f>
        <v>1</v>
      </c>
      <c r="Y860" s="12">
        <f t="shared" si="2"/>
        <v>1</v>
      </c>
      <c r="Z860" s="12">
        <f>IF($A860="","",IFERROR(ROUND(AVERAGEIFS('Historical Drafts'!$G$4:$G$300,'Historical Drafts'!$D$4:$D$300,$E860,'Historical Drafts'!$J$4:$J$300,"&gt;="&amp;$L860*0.85,'Historical Drafts'!$J$4:$J$300,"&lt;="&amp;$L860*1.15),0),$Y860))</f>
        <v>3</v>
      </c>
      <c r="AA860" s="12" t="str">
        <f>IF($A860="","",IF(COUNTIF('Auction Log'!$B$3:$B$300,$A860)&gt;0,"Sold","Available"))</f>
        <v>Available</v>
      </c>
      <c r="AB860" s="12" t="str">
        <f t="array" ref="AB860">IF($A860="","",IFERROR(XLOOKUP($A860,'Auction Log'!$B$3:$B$300,'Auction Log'!$G$3:$G$300,""),""))</f>
        <v/>
      </c>
      <c r="AC860" s="12" t="str">
        <f t="array" ref="AC860">IF($A860="","",IFERROR(XLOOKUP($A860,'Auction Log'!$B$3:$B$300,'Auction Log'!$F$3:$F$300,""),""))</f>
        <v/>
      </c>
      <c r="AD860" s="12">
        <f t="array" ref="AD860">IF($A860="","",ROUND($Y860*XLOOKUP($F860,Settings!$I$15:$I$20,Settings!$K$15:$K$20,0.4),0))</f>
        <v>0</v>
      </c>
      <c r="AE860" s="12">
        <f t="array" ref="AE860">IF($A860="","",ROUND($Y860*XLOOKUP($F860,Settings!$I$15:$I$20,Settings!$L$15:$L$20,0.8),0))</f>
        <v>1</v>
      </c>
      <c r="AF860" s="12">
        <f t="array" ref="AF860">IF($A860="","",ROUND($Y860*XLOOKUP($F860,Settings!$I$15:$I$20,Settings!$M$15:$M$20,1),0))</f>
        <v>1</v>
      </c>
      <c r="AG860" s="12">
        <f t="array" ref="AG860">IF($A860="","",ROUND($Y860*XLOOKUP($F860,Settings!$I$15:$I$20,Settings!$N$15:$N$20,1.1),0))</f>
        <v>1</v>
      </c>
      <c r="AH860" s="12">
        <f t="array" ref="AH860">IF($A860="","",ROUND($Y860*XLOOKUP($F860,Settings!$I$15:$I$20,Settings!$O$15:$O$20,1.1)*Settings!$J$7,0))</f>
        <v>1</v>
      </c>
      <c r="AI860" s="12">
        <f t="array" ref="AI860">IF($A860="","",IF($AA860="Sold","",MIN($AH860,IFERROR(XLOOKUP(Settings!$B$12,Managers!$B$4:$B$15,Managers!$H$4:$H$15),$AH860))))</f>
        <v>1</v>
      </c>
      <c r="AJ860" s="12" t="str">
        <f t="shared" si="3"/>
        <v>Budget Drainer</v>
      </c>
      <c r="AK860" s="12">
        <f t="shared" si="4"/>
        <v>28</v>
      </c>
      <c r="AL860" s="12" t="str">
        <f t="shared" si="5"/>
        <v/>
      </c>
    </row>
    <row r="861" ht="15.75" customHeight="1">
      <c r="A861" s="10" t="s">
        <v>2001</v>
      </c>
      <c r="B861" s="10" t="s">
        <v>2002</v>
      </c>
      <c r="C861" s="10" t="s">
        <v>243</v>
      </c>
      <c r="D861" s="10" t="s">
        <v>118</v>
      </c>
      <c r="E861" s="10" t="s">
        <v>118</v>
      </c>
      <c r="F861" s="10" t="s">
        <v>117</v>
      </c>
      <c r="G861" s="10">
        <v>5.0</v>
      </c>
      <c r="H861" s="10">
        <v>7.0</v>
      </c>
      <c r="I861" s="10" t="s">
        <v>2140</v>
      </c>
      <c r="J861" s="10" t="s">
        <v>2136</v>
      </c>
      <c r="K861" s="10"/>
      <c r="L861" s="10">
        <v>0.0</v>
      </c>
      <c r="M861" s="10">
        <v>0.0</v>
      </c>
      <c r="N861" s="10"/>
      <c r="O861" s="10"/>
      <c r="P861" s="12">
        <f>IF($A861="","",IFERROR((IF($O861="",0,$O861)*Settings!$J$4+IF($L861="",0,$L861)*Settings!$J$5+IF($N861="",0,$N861)*Settings!$J$6)/(IF($O861="",0,Settings!$J$4)+IF($L861="",0,Settings!$J$5)+IF($N861="",0,Settings!$J$6)),0))</f>
        <v>0</v>
      </c>
      <c r="Q861" s="12">
        <f t="array" ref="Q861">IF($A861="","",XLOOKUP($E861,Settings!$A$19:$A$22,Settings!$G$19:$G$22,0))</f>
        <v>196.25</v>
      </c>
      <c r="R861" s="12">
        <f t="shared" si="1"/>
        <v>0</v>
      </c>
      <c r="S861" s="12">
        <f>IF($A861="","",IF($R861&lt;=0,1,1+$R861/SUMIF($R$4:$R$923,"&gt;0",$R$4:$R$923)*(Settings!$B$5*(Settings!$B$6-Settings!$B$7))))</f>
        <v>1</v>
      </c>
      <c r="T861" s="12">
        <f t="array" ref="T861">IF($A861="","",XLOOKUP($F861,Settings!$I$15:$I$20,Settings!$J$15:$J$20,1))</f>
        <v>0.75</v>
      </c>
      <c r="U861" s="12">
        <f>IF($A861="","",1+(($G861-5)/5)*Settings!$J$8)</f>
        <v>1</v>
      </c>
      <c r="V861" s="12">
        <f>IF($A861="","",1+(($H861-5)/5)*Settings!$J$9)</f>
        <v>1.06</v>
      </c>
      <c r="W861" s="12">
        <f t="array" ref="W861">IF($A861="","",XLOOKUP($J861,Lists!$C$3:$C$7,Lists!$D$3:$D$7,1))</f>
        <v>1</v>
      </c>
      <c r="X861" s="12">
        <f>IF($A861="","",IF($I861="Yes",Settings!$J$10,1))</f>
        <v>1</v>
      </c>
      <c r="Y861" s="12">
        <f t="shared" si="2"/>
        <v>1</v>
      </c>
      <c r="Z861" s="12">
        <f>IF($A861="","",IFERROR(ROUND(AVERAGEIFS('Historical Drafts'!$G$4:$G$300,'Historical Drafts'!$D$4:$D$300,$E861,'Historical Drafts'!$J$4:$J$300,"&gt;="&amp;$L861*0.85,'Historical Drafts'!$J$4:$J$300,"&lt;="&amp;$L861*1.15),0),$Y861))</f>
        <v>1</v>
      </c>
      <c r="AA861" s="12" t="str">
        <f>IF($A861="","",IF(COUNTIF('Auction Log'!$B$3:$B$300,$A861)&gt;0,"Sold","Available"))</f>
        <v>Available</v>
      </c>
      <c r="AB861" s="12" t="str">
        <f t="array" ref="AB861">IF($A861="","",IFERROR(XLOOKUP($A861,'Auction Log'!$B$3:$B$300,'Auction Log'!$G$3:$G$300,""),""))</f>
        <v/>
      </c>
      <c r="AC861" s="12" t="str">
        <f t="array" ref="AC861">IF($A861="","",IFERROR(XLOOKUP($A861,'Auction Log'!$B$3:$B$300,'Auction Log'!$F$3:$F$300,""),""))</f>
        <v/>
      </c>
      <c r="AD861" s="12">
        <f t="array" ref="AD861">IF($A861="","",ROUND($Y861*XLOOKUP($F861,Settings!$I$15:$I$20,Settings!$K$15:$K$20,0.4),0))</f>
        <v>0</v>
      </c>
      <c r="AE861" s="12">
        <f t="array" ref="AE861">IF($A861="","",ROUND($Y861*XLOOKUP($F861,Settings!$I$15:$I$20,Settings!$L$15:$L$20,0.8),0))</f>
        <v>1</v>
      </c>
      <c r="AF861" s="12">
        <f t="array" ref="AF861">IF($A861="","",ROUND($Y861*XLOOKUP($F861,Settings!$I$15:$I$20,Settings!$M$15:$M$20,1),0))</f>
        <v>1</v>
      </c>
      <c r="AG861" s="12">
        <f t="array" ref="AG861">IF($A861="","",ROUND($Y861*XLOOKUP($F861,Settings!$I$15:$I$20,Settings!$N$15:$N$20,1.1),0))</f>
        <v>1</v>
      </c>
      <c r="AH861" s="12">
        <f t="array" ref="AH861">IF($A861="","",ROUND($Y861*XLOOKUP($F861,Settings!$I$15:$I$20,Settings!$O$15:$O$20,1.1)*Settings!$J$7,0))</f>
        <v>1</v>
      </c>
      <c r="AI861" s="12">
        <f t="array" ref="AI861">IF($A861="","",IF($AA861="Sold","",MIN($AH861,IFERROR(XLOOKUP(Settings!$B$12,Managers!$B$4:$B$15,Managers!$H$4:$H$15),$AH861))))</f>
        <v>1</v>
      </c>
      <c r="AJ861" s="12" t="str">
        <f t="shared" si="3"/>
        <v>Recommended</v>
      </c>
      <c r="AK861" s="12">
        <f t="shared" si="4"/>
        <v>26</v>
      </c>
      <c r="AL861" s="12" t="str">
        <f t="shared" si="5"/>
        <v/>
      </c>
    </row>
    <row r="862" ht="15.75" customHeight="1">
      <c r="A862" s="10" t="s">
        <v>2003</v>
      </c>
      <c r="B862" s="10" t="s">
        <v>2004</v>
      </c>
      <c r="C862" s="10" t="s">
        <v>226</v>
      </c>
      <c r="D862" s="10" t="s">
        <v>118</v>
      </c>
      <c r="E862" s="10" t="s">
        <v>118</v>
      </c>
      <c r="F862" s="10" t="s">
        <v>117</v>
      </c>
      <c r="G862" s="10">
        <v>5.0</v>
      </c>
      <c r="H862" s="10">
        <v>7.0</v>
      </c>
      <c r="I862" s="10" t="s">
        <v>2140</v>
      </c>
      <c r="J862" s="10" t="s">
        <v>2136</v>
      </c>
      <c r="K862" s="10"/>
      <c r="L862" s="10">
        <v>0.0</v>
      </c>
      <c r="M862" s="10">
        <v>0.0</v>
      </c>
      <c r="N862" s="10"/>
      <c r="O862" s="10"/>
      <c r="P862" s="12">
        <f>IF($A862="","",IFERROR((IF($O862="",0,$O862)*Settings!$J$4+IF($L862="",0,$L862)*Settings!$J$5+IF($N862="",0,$N862)*Settings!$J$6)/(IF($O862="",0,Settings!$J$4)+IF($L862="",0,Settings!$J$5)+IF($N862="",0,Settings!$J$6)),0))</f>
        <v>0</v>
      </c>
      <c r="Q862" s="12">
        <f t="array" ref="Q862">IF($A862="","",XLOOKUP($E862,Settings!$A$19:$A$22,Settings!$G$19:$G$22,0))</f>
        <v>196.25</v>
      </c>
      <c r="R862" s="12">
        <f t="shared" si="1"/>
        <v>0</v>
      </c>
      <c r="S862" s="12">
        <f>IF($A862="","",IF($R862&lt;=0,1,1+$R862/SUMIF($R$4:$R$923,"&gt;0",$R$4:$R$923)*(Settings!$B$5*(Settings!$B$6-Settings!$B$7))))</f>
        <v>1</v>
      </c>
      <c r="T862" s="12">
        <f t="array" ref="T862">IF($A862="","",XLOOKUP($F862,Settings!$I$15:$I$20,Settings!$J$15:$J$20,1))</f>
        <v>0.75</v>
      </c>
      <c r="U862" s="12">
        <f>IF($A862="","",1+(($G862-5)/5)*Settings!$J$8)</f>
        <v>1</v>
      </c>
      <c r="V862" s="12">
        <f>IF($A862="","",1+(($H862-5)/5)*Settings!$J$9)</f>
        <v>1.06</v>
      </c>
      <c r="W862" s="12">
        <f t="array" ref="W862">IF($A862="","",XLOOKUP($J862,Lists!$C$3:$C$7,Lists!$D$3:$D$7,1))</f>
        <v>1</v>
      </c>
      <c r="X862" s="12">
        <f>IF($A862="","",IF($I862="Yes",Settings!$J$10,1))</f>
        <v>1</v>
      </c>
      <c r="Y862" s="12">
        <f t="shared" si="2"/>
        <v>1</v>
      </c>
      <c r="Z862" s="12">
        <f>IF($A862="","",IFERROR(ROUND(AVERAGEIFS('Historical Drafts'!$G$4:$G$300,'Historical Drafts'!$D$4:$D$300,$E862,'Historical Drafts'!$J$4:$J$300,"&gt;="&amp;$L862*0.85,'Historical Drafts'!$J$4:$J$300,"&lt;="&amp;$L862*1.15),0),$Y862))</f>
        <v>1</v>
      </c>
      <c r="AA862" s="12" t="str">
        <f>IF($A862="","",IF(COUNTIF('Auction Log'!$B$3:$B$300,$A862)&gt;0,"Sold","Available"))</f>
        <v>Available</v>
      </c>
      <c r="AB862" s="12" t="str">
        <f t="array" ref="AB862">IF($A862="","",IFERROR(XLOOKUP($A862,'Auction Log'!$B$3:$B$300,'Auction Log'!$G$3:$G$300,""),""))</f>
        <v/>
      </c>
      <c r="AC862" s="12" t="str">
        <f t="array" ref="AC862">IF($A862="","",IFERROR(XLOOKUP($A862,'Auction Log'!$B$3:$B$300,'Auction Log'!$F$3:$F$300,""),""))</f>
        <v/>
      </c>
      <c r="AD862" s="12">
        <f t="array" ref="AD862">IF($A862="","",ROUND($Y862*XLOOKUP($F862,Settings!$I$15:$I$20,Settings!$K$15:$K$20,0.4),0))</f>
        <v>0</v>
      </c>
      <c r="AE862" s="12">
        <f t="array" ref="AE862">IF($A862="","",ROUND($Y862*XLOOKUP($F862,Settings!$I$15:$I$20,Settings!$L$15:$L$20,0.8),0))</f>
        <v>1</v>
      </c>
      <c r="AF862" s="12">
        <f t="array" ref="AF862">IF($A862="","",ROUND($Y862*XLOOKUP($F862,Settings!$I$15:$I$20,Settings!$M$15:$M$20,1),0))</f>
        <v>1</v>
      </c>
      <c r="AG862" s="12">
        <f t="array" ref="AG862">IF($A862="","",ROUND($Y862*XLOOKUP($F862,Settings!$I$15:$I$20,Settings!$N$15:$N$20,1.1),0))</f>
        <v>1</v>
      </c>
      <c r="AH862" s="12">
        <f t="array" ref="AH862">IF($A862="","",ROUND($Y862*XLOOKUP($F862,Settings!$I$15:$I$20,Settings!$O$15:$O$20,1.1)*Settings!$J$7,0))</f>
        <v>1</v>
      </c>
      <c r="AI862" s="12">
        <f t="array" ref="AI862">IF($A862="","",IF($AA862="Sold","",MIN($AH862,IFERROR(XLOOKUP(Settings!$B$12,Managers!$B$4:$B$15,Managers!$H$4:$H$15),$AH862))))</f>
        <v>1</v>
      </c>
      <c r="AJ862" s="12" t="str">
        <f t="shared" si="3"/>
        <v>Recommended</v>
      </c>
      <c r="AK862" s="12">
        <f t="shared" si="4"/>
        <v>26</v>
      </c>
      <c r="AL862" s="12" t="str">
        <f t="shared" si="5"/>
        <v/>
      </c>
    </row>
    <row r="863" ht="15.75" customHeight="1">
      <c r="A863" s="10" t="s">
        <v>2005</v>
      </c>
      <c r="B863" s="10" t="s">
        <v>2006</v>
      </c>
      <c r="C863" s="10" t="s">
        <v>231</v>
      </c>
      <c r="D863" s="10" t="s">
        <v>118</v>
      </c>
      <c r="E863" s="10" t="s">
        <v>118</v>
      </c>
      <c r="F863" s="10" t="s">
        <v>117</v>
      </c>
      <c r="G863" s="10">
        <v>5.0</v>
      </c>
      <c r="H863" s="10">
        <v>7.0</v>
      </c>
      <c r="I863" s="10" t="s">
        <v>2140</v>
      </c>
      <c r="J863" s="10" t="s">
        <v>2136</v>
      </c>
      <c r="K863" s="10"/>
      <c r="L863" s="10">
        <v>0.0</v>
      </c>
      <c r="M863" s="10">
        <v>0.0</v>
      </c>
      <c r="N863" s="10"/>
      <c r="O863" s="10"/>
      <c r="P863" s="12">
        <f>IF($A863="","",IFERROR((IF($O863="",0,$O863)*Settings!$J$4+IF($L863="",0,$L863)*Settings!$J$5+IF($N863="",0,$N863)*Settings!$J$6)/(IF($O863="",0,Settings!$J$4)+IF($L863="",0,Settings!$J$5)+IF($N863="",0,Settings!$J$6)),0))</f>
        <v>0</v>
      </c>
      <c r="Q863" s="12">
        <f t="array" ref="Q863">IF($A863="","",XLOOKUP($E863,Settings!$A$19:$A$22,Settings!$G$19:$G$22,0))</f>
        <v>196.25</v>
      </c>
      <c r="R863" s="12">
        <f t="shared" si="1"/>
        <v>0</v>
      </c>
      <c r="S863" s="12">
        <f>IF($A863="","",IF($R863&lt;=0,1,1+$R863/SUMIF($R$4:$R$923,"&gt;0",$R$4:$R$923)*(Settings!$B$5*(Settings!$B$6-Settings!$B$7))))</f>
        <v>1</v>
      </c>
      <c r="T863" s="12">
        <f t="array" ref="T863">IF($A863="","",XLOOKUP($F863,Settings!$I$15:$I$20,Settings!$J$15:$J$20,1))</f>
        <v>0.75</v>
      </c>
      <c r="U863" s="12">
        <f>IF($A863="","",1+(($G863-5)/5)*Settings!$J$8)</f>
        <v>1</v>
      </c>
      <c r="V863" s="12">
        <f>IF($A863="","",1+(($H863-5)/5)*Settings!$J$9)</f>
        <v>1.06</v>
      </c>
      <c r="W863" s="12">
        <f t="array" ref="W863">IF($A863="","",XLOOKUP($J863,Lists!$C$3:$C$7,Lists!$D$3:$D$7,1))</f>
        <v>1</v>
      </c>
      <c r="X863" s="12">
        <f>IF($A863="","",IF($I863="Yes",Settings!$J$10,1))</f>
        <v>1</v>
      </c>
      <c r="Y863" s="12">
        <f t="shared" si="2"/>
        <v>1</v>
      </c>
      <c r="Z863" s="12">
        <f>IF($A863="","",IFERROR(ROUND(AVERAGEIFS('Historical Drafts'!$G$4:$G$300,'Historical Drafts'!$D$4:$D$300,$E863,'Historical Drafts'!$J$4:$J$300,"&gt;="&amp;$L863*0.85,'Historical Drafts'!$J$4:$J$300,"&lt;="&amp;$L863*1.15),0),$Y863))</f>
        <v>1</v>
      </c>
      <c r="AA863" s="12" t="str">
        <f>IF($A863="","",IF(COUNTIF('Auction Log'!$B$3:$B$300,$A863)&gt;0,"Sold","Available"))</f>
        <v>Available</v>
      </c>
      <c r="AB863" s="12" t="str">
        <f t="array" ref="AB863">IF($A863="","",IFERROR(XLOOKUP($A863,'Auction Log'!$B$3:$B$300,'Auction Log'!$G$3:$G$300,""),""))</f>
        <v/>
      </c>
      <c r="AC863" s="12" t="str">
        <f t="array" ref="AC863">IF($A863="","",IFERROR(XLOOKUP($A863,'Auction Log'!$B$3:$B$300,'Auction Log'!$F$3:$F$300,""),""))</f>
        <v/>
      </c>
      <c r="AD863" s="12">
        <f t="array" ref="AD863">IF($A863="","",ROUND($Y863*XLOOKUP($F863,Settings!$I$15:$I$20,Settings!$K$15:$K$20,0.4),0))</f>
        <v>0</v>
      </c>
      <c r="AE863" s="12">
        <f t="array" ref="AE863">IF($A863="","",ROUND($Y863*XLOOKUP($F863,Settings!$I$15:$I$20,Settings!$L$15:$L$20,0.8),0))</f>
        <v>1</v>
      </c>
      <c r="AF863" s="12">
        <f t="array" ref="AF863">IF($A863="","",ROUND($Y863*XLOOKUP($F863,Settings!$I$15:$I$20,Settings!$M$15:$M$20,1),0))</f>
        <v>1</v>
      </c>
      <c r="AG863" s="12">
        <f t="array" ref="AG863">IF($A863="","",ROUND($Y863*XLOOKUP($F863,Settings!$I$15:$I$20,Settings!$N$15:$N$20,1.1),0))</f>
        <v>1</v>
      </c>
      <c r="AH863" s="12">
        <f t="array" ref="AH863">IF($A863="","",ROUND($Y863*XLOOKUP($F863,Settings!$I$15:$I$20,Settings!$O$15:$O$20,1.1)*Settings!$J$7,0))</f>
        <v>1</v>
      </c>
      <c r="AI863" s="12">
        <f t="array" ref="AI863">IF($A863="","",IF($AA863="Sold","",MIN($AH863,IFERROR(XLOOKUP(Settings!$B$12,Managers!$B$4:$B$15,Managers!$H$4:$H$15),$AH863))))</f>
        <v>1</v>
      </c>
      <c r="AJ863" s="12" t="str">
        <f t="shared" si="3"/>
        <v>Recommended</v>
      </c>
      <c r="AK863" s="12">
        <f t="shared" si="4"/>
        <v>26</v>
      </c>
      <c r="AL863" s="12" t="str">
        <f t="shared" si="5"/>
        <v/>
      </c>
    </row>
    <row r="864" ht="15.75" customHeight="1">
      <c r="A864" s="10" t="s">
        <v>2007</v>
      </c>
      <c r="B864" s="10" t="s">
        <v>2008</v>
      </c>
      <c r="C864" s="10" t="s">
        <v>257</v>
      </c>
      <c r="D864" s="10" t="s">
        <v>118</v>
      </c>
      <c r="E864" s="10" t="s">
        <v>118</v>
      </c>
      <c r="F864" s="10" t="s">
        <v>117</v>
      </c>
      <c r="G864" s="10">
        <v>5.0</v>
      </c>
      <c r="H864" s="10">
        <v>7.0</v>
      </c>
      <c r="I864" s="10" t="s">
        <v>2140</v>
      </c>
      <c r="J864" s="10" t="s">
        <v>2136</v>
      </c>
      <c r="K864" s="10"/>
      <c r="L864" s="10">
        <v>0.0</v>
      </c>
      <c r="M864" s="10">
        <v>0.0</v>
      </c>
      <c r="N864" s="10"/>
      <c r="O864" s="10"/>
      <c r="P864" s="12">
        <f>IF($A864="","",IFERROR((IF($O864="",0,$O864)*Settings!$J$4+IF($L864="",0,$L864)*Settings!$J$5+IF($N864="",0,$N864)*Settings!$J$6)/(IF($O864="",0,Settings!$J$4)+IF($L864="",0,Settings!$J$5)+IF($N864="",0,Settings!$J$6)),0))</f>
        <v>0</v>
      </c>
      <c r="Q864" s="12">
        <f t="array" ref="Q864">IF($A864="","",XLOOKUP($E864,Settings!$A$19:$A$22,Settings!$G$19:$G$22,0))</f>
        <v>196.25</v>
      </c>
      <c r="R864" s="12">
        <f t="shared" si="1"/>
        <v>0</v>
      </c>
      <c r="S864" s="12">
        <f>IF($A864="","",IF($R864&lt;=0,1,1+$R864/SUMIF($R$4:$R$923,"&gt;0",$R$4:$R$923)*(Settings!$B$5*(Settings!$B$6-Settings!$B$7))))</f>
        <v>1</v>
      </c>
      <c r="T864" s="12">
        <f t="array" ref="T864">IF($A864="","",XLOOKUP($F864,Settings!$I$15:$I$20,Settings!$J$15:$J$20,1))</f>
        <v>0.75</v>
      </c>
      <c r="U864" s="12">
        <f>IF($A864="","",1+(($G864-5)/5)*Settings!$J$8)</f>
        <v>1</v>
      </c>
      <c r="V864" s="12">
        <f>IF($A864="","",1+(($H864-5)/5)*Settings!$J$9)</f>
        <v>1.06</v>
      </c>
      <c r="W864" s="12">
        <f t="array" ref="W864">IF($A864="","",XLOOKUP($J864,Lists!$C$3:$C$7,Lists!$D$3:$D$7,1))</f>
        <v>1</v>
      </c>
      <c r="X864" s="12">
        <f>IF($A864="","",IF($I864="Yes",Settings!$J$10,1))</f>
        <v>1</v>
      </c>
      <c r="Y864" s="12">
        <f t="shared" si="2"/>
        <v>1</v>
      </c>
      <c r="Z864" s="12">
        <f>IF($A864="","",IFERROR(ROUND(AVERAGEIFS('Historical Drafts'!$G$4:$G$300,'Historical Drafts'!$D$4:$D$300,$E864,'Historical Drafts'!$J$4:$J$300,"&gt;="&amp;$L864*0.85,'Historical Drafts'!$J$4:$J$300,"&lt;="&amp;$L864*1.15),0),$Y864))</f>
        <v>1</v>
      </c>
      <c r="AA864" s="12" t="str">
        <f>IF($A864="","",IF(COUNTIF('Auction Log'!$B$3:$B$300,$A864)&gt;0,"Sold","Available"))</f>
        <v>Available</v>
      </c>
      <c r="AB864" s="12" t="str">
        <f t="array" ref="AB864">IF($A864="","",IFERROR(XLOOKUP($A864,'Auction Log'!$B$3:$B$300,'Auction Log'!$G$3:$G$300,""),""))</f>
        <v/>
      </c>
      <c r="AC864" s="12" t="str">
        <f t="array" ref="AC864">IF($A864="","",IFERROR(XLOOKUP($A864,'Auction Log'!$B$3:$B$300,'Auction Log'!$F$3:$F$300,""),""))</f>
        <v/>
      </c>
      <c r="AD864" s="12">
        <f t="array" ref="AD864">IF($A864="","",ROUND($Y864*XLOOKUP($F864,Settings!$I$15:$I$20,Settings!$K$15:$K$20,0.4),0))</f>
        <v>0</v>
      </c>
      <c r="AE864" s="12">
        <f t="array" ref="AE864">IF($A864="","",ROUND($Y864*XLOOKUP($F864,Settings!$I$15:$I$20,Settings!$L$15:$L$20,0.8),0))</f>
        <v>1</v>
      </c>
      <c r="AF864" s="12">
        <f t="array" ref="AF864">IF($A864="","",ROUND($Y864*XLOOKUP($F864,Settings!$I$15:$I$20,Settings!$M$15:$M$20,1),0))</f>
        <v>1</v>
      </c>
      <c r="AG864" s="12">
        <f t="array" ref="AG864">IF($A864="","",ROUND($Y864*XLOOKUP($F864,Settings!$I$15:$I$20,Settings!$N$15:$N$20,1.1),0))</f>
        <v>1</v>
      </c>
      <c r="AH864" s="12">
        <f t="array" ref="AH864">IF($A864="","",ROUND($Y864*XLOOKUP($F864,Settings!$I$15:$I$20,Settings!$O$15:$O$20,1.1)*Settings!$J$7,0))</f>
        <v>1</v>
      </c>
      <c r="AI864" s="12">
        <f t="array" ref="AI864">IF($A864="","",IF($AA864="Sold","",MIN($AH864,IFERROR(XLOOKUP(Settings!$B$12,Managers!$B$4:$B$15,Managers!$H$4:$H$15),$AH864))))</f>
        <v>1</v>
      </c>
      <c r="AJ864" s="12" t="str">
        <f t="shared" si="3"/>
        <v>Recommended</v>
      </c>
      <c r="AK864" s="12">
        <f t="shared" si="4"/>
        <v>26</v>
      </c>
      <c r="AL864" s="12" t="str">
        <f t="shared" si="5"/>
        <v/>
      </c>
    </row>
    <row r="865" ht="15.75" customHeight="1">
      <c r="A865" s="10" t="s">
        <v>2009</v>
      </c>
      <c r="B865" s="10" t="s">
        <v>2010</v>
      </c>
      <c r="C865" s="10" t="s">
        <v>236</v>
      </c>
      <c r="D865" s="10" t="s">
        <v>118</v>
      </c>
      <c r="E865" s="10" t="s">
        <v>118</v>
      </c>
      <c r="F865" s="10" t="s">
        <v>117</v>
      </c>
      <c r="G865" s="10">
        <v>5.0</v>
      </c>
      <c r="H865" s="10">
        <v>7.0</v>
      </c>
      <c r="I865" s="10" t="s">
        <v>2140</v>
      </c>
      <c r="J865" s="10" t="s">
        <v>2136</v>
      </c>
      <c r="K865" s="10"/>
      <c r="L865" s="10">
        <v>0.0</v>
      </c>
      <c r="M865" s="10">
        <v>0.0</v>
      </c>
      <c r="N865" s="10"/>
      <c r="O865" s="10"/>
      <c r="P865" s="12">
        <f>IF($A865="","",IFERROR((IF($O865="",0,$O865)*Settings!$J$4+IF($L865="",0,$L865)*Settings!$J$5+IF($N865="",0,$N865)*Settings!$J$6)/(IF($O865="",0,Settings!$J$4)+IF($L865="",0,Settings!$J$5)+IF($N865="",0,Settings!$J$6)),0))</f>
        <v>0</v>
      </c>
      <c r="Q865" s="12">
        <f t="array" ref="Q865">IF($A865="","",XLOOKUP($E865,Settings!$A$19:$A$22,Settings!$G$19:$G$22,0))</f>
        <v>196.25</v>
      </c>
      <c r="R865" s="12">
        <f t="shared" si="1"/>
        <v>0</v>
      </c>
      <c r="S865" s="12">
        <f>IF($A865="","",IF($R865&lt;=0,1,1+$R865/SUMIF($R$4:$R$923,"&gt;0",$R$4:$R$923)*(Settings!$B$5*(Settings!$B$6-Settings!$B$7))))</f>
        <v>1</v>
      </c>
      <c r="T865" s="12">
        <f t="array" ref="T865">IF($A865="","",XLOOKUP($F865,Settings!$I$15:$I$20,Settings!$J$15:$J$20,1))</f>
        <v>0.75</v>
      </c>
      <c r="U865" s="12">
        <f>IF($A865="","",1+(($G865-5)/5)*Settings!$J$8)</f>
        <v>1</v>
      </c>
      <c r="V865" s="12">
        <f>IF($A865="","",1+(($H865-5)/5)*Settings!$J$9)</f>
        <v>1.06</v>
      </c>
      <c r="W865" s="12">
        <f t="array" ref="W865">IF($A865="","",XLOOKUP($J865,Lists!$C$3:$C$7,Lists!$D$3:$D$7,1))</f>
        <v>1</v>
      </c>
      <c r="X865" s="12">
        <f>IF($A865="","",IF($I865="Yes",Settings!$J$10,1))</f>
        <v>1</v>
      </c>
      <c r="Y865" s="12">
        <f t="shared" si="2"/>
        <v>1</v>
      </c>
      <c r="Z865" s="12">
        <f>IF($A865="","",IFERROR(ROUND(AVERAGEIFS('Historical Drafts'!$G$4:$G$300,'Historical Drafts'!$D$4:$D$300,$E865,'Historical Drafts'!$J$4:$J$300,"&gt;="&amp;$L865*0.85,'Historical Drafts'!$J$4:$J$300,"&lt;="&amp;$L865*1.15),0),$Y865))</f>
        <v>1</v>
      </c>
      <c r="AA865" s="12" t="str">
        <f>IF($A865="","",IF(COUNTIF('Auction Log'!$B$3:$B$300,$A865)&gt;0,"Sold","Available"))</f>
        <v>Available</v>
      </c>
      <c r="AB865" s="12" t="str">
        <f t="array" ref="AB865">IF($A865="","",IFERROR(XLOOKUP($A865,'Auction Log'!$B$3:$B$300,'Auction Log'!$G$3:$G$300,""),""))</f>
        <v/>
      </c>
      <c r="AC865" s="12" t="str">
        <f t="array" ref="AC865">IF($A865="","",IFERROR(XLOOKUP($A865,'Auction Log'!$B$3:$B$300,'Auction Log'!$F$3:$F$300,""),""))</f>
        <v/>
      </c>
      <c r="AD865" s="12">
        <f t="array" ref="AD865">IF($A865="","",ROUND($Y865*XLOOKUP($F865,Settings!$I$15:$I$20,Settings!$K$15:$K$20,0.4),0))</f>
        <v>0</v>
      </c>
      <c r="AE865" s="12">
        <f t="array" ref="AE865">IF($A865="","",ROUND($Y865*XLOOKUP($F865,Settings!$I$15:$I$20,Settings!$L$15:$L$20,0.8),0))</f>
        <v>1</v>
      </c>
      <c r="AF865" s="12">
        <f t="array" ref="AF865">IF($A865="","",ROUND($Y865*XLOOKUP($F865,Settings!$I$15:$I$20,Settings!$M$15:$M$20,1),0))</f>
        <v>1</v>
      </c>
      <c r="AG865" s="12">
        <f t="array" ref="AG865">IF($A865="","",ROUND($Y865*XLOOKUP($F865,Settings!$I$15:$I$20,Settings!$N$15:$N$20,1.1),0))</f>
        <v>1</v>
      </c>
      <c r="AH865" s="12">
        <f t="array" ref="AH865">IF($A865="","",ROUND($Y865*XLOOKUP($F865,Settings!$I$15:$I$20,Settings!$O$15:$O$20,1.1)*Settings!$J$7,0))</f>
        <v>1</v>
      </c>
      <c r="AI865" s="12">
        <f t="array" ref="AI865">IF($A865="","",IF($AA865="Sold","",MIN($AH865,IFERROR(XLOOKUP(Settings!$B$12,Managers!$B$4:$B$15,Managers!$H$4:$H$15),$AH865))))</f>
        <v>1</v>
      </c>
      <c r="AJ865" s="12" t="str">
        <f t="shared" si="3"/>
        <v>Recommended</v>
      </c>
      <c r="AK865" s="12">
        <f t="shared" si="4"/>
        <v>26</v>
      </c>
      <c r="AL865" s="12" t="str">
        <f t="shared" si="5"/>
        <v/>
      </c>
    </row>
    <row r="866" ht="15.75" customHeight="1">
      <c r="A866" s="10" t="s">
        <v>2011</v>
      </c>
      <c r="B866" s="10" t="s">
        <v>2012</v>
      </c>
      <c r="C866" s="10" t="s">
        <v>226</v>
      </c>
      <c r="D866" s="10" t="s">
        <v>115</v>
      </c>
      <c r="E866" s="10" t="s">
        <v>115</v>
      </c>
      <c r="F866" s="10" t="s">
        <v>117</v>
      </c>
      <c r="G866" s="10">
        <v>5.0</v>
      </c>
      <c r="H866" s="10">
        <v>7.0</v>
      </c>
      <c r="I866" s="10" t="s">
        <v>2140</v>
      </c>
      <c r="J866" s="10" t="s">
        <v>2136</v>
      </c>
      <c r="K866" s="10"/>
      <c r="L866" s="10">
        <v>0.0</v>
      </c>
      <c r="M866" s="10">
        <v>0.0</v>
      </c>
      <c r="N866" s="10"/>
      <c r="O866" s="10"/>
      <c r="P866" s="12">
        <f>IF($A866="","",IFERROR((IF($O866="",0,$O866)*Settings!$J$4+IF($L866="",0,$L866)*Settings!$J$5+IF($N866="",0,$N866)*Settings!$J$6)/(IF($O866="",0,Settings!$J$4)+IF($L866="",0,Settings!$J$5)+IF($N866="",0,Settings!$J$6)),0))</f>
        <v>0</v>
      </c>
      <c r="Q866" s="12">
        <f t="array" ref="Q866">IF($A866="","",XLOOKUP($E866,Settings!$A$19:$A$22,Settings!$G$19:$G$22,0))</f>
        <v>249.25</v>
      </c>
      <c r="R866" s="12">
        <f t="shared" si="1"/>
        <v>0</v>
      </c>
      <c r="S866" s="12">
        <f>IF($A866="","",IF($R866&lt;=0,1,1+$R866/SUMIF($R$4:$R$923,"&gt;0",$R$4:$R$923)*(Settings!$B$5*(Settings!$B$6-Settings!$B$7))))</f>
        <v>1</v>
      </c>
      <c r="T866" s="12">
        <f t="array" ref="T866">IF($A866="","",XLOOKUP($F866,Settings!$I$15:$I$20,Settings!$J$15:$J$20,1))</f>
        <v>0.75</v>
      </c>
      <c r="U866" s="12">
        <f>IF($A866="","",1+(($G866-5)/5)*Settings!$J$8)</f>
        <v>1</v>
      </c>
      <c r="V866" s="12">
        <f>IF($A866="","",1+(($H866-5)/5)*Settings!$J$9)</f>
        <v>1.06</v>
      </c>
      <c r="W866" s="12">
        <f t="array" ref="W866">IF($A866="","",XLOOKUP($J866,Lists!$C$3:$C$7,Lists!$D$3:$D$7,1))</f>
        <v>1</v>
      </c>
      <c r="X866" s="12">
        <f>IF($A866="","",IF($I866="Yes",Settings!$J$10,1))</f>
        <v>1</v>
      </c>
      <c r="Y866" s="12">
        <f t="shared" si="2"/>
        <v>1</v>
      </c>
      <c r="Z866" s="12">
        <f>IF($A866="","",IFERROR(ROUND(AVERAGEIFS('Historical Drafts'!$G$4:$G$300,'Historical Drafts'!$D$4:$D$300,$E866,'Historical Drafts'!$J$4:$J$300,"&gt;="&amp;$L866*0.85,'Historical Drafts'!$J$4:$J$300,"&lt;="&amp;$L866*1.15),0),$Y866))</f>
        <v>1</v>
      </c>
      <c r="AA866" s="12" t="str">
        <f>IF($A866="","",IF(COUNTIF('Auction Log'!$B$3:$B$300,$A866)&gt;0,"Sold","Available"))</f>
        <v>Available</v>
      </c>
      <c r="AB866" s="12" t="str">
        <f t="array" ref="AB866">IF($A866="","",IFERROR(XLOOKUP($A866,'Auction Log'!$B$3:$B$300,'Auction Log'!$G$3:$G$300,""),""))</f>
        <v/>
      </c>
      <c r="AC866" s="12" t="str">
        <f t="array" ref="AC866">IF($A866="","",IFERROR(XLOOKUP($A866,'Auction Log'!$B$3:$B$300,'Auction Log'!$F$3:$F$300,""),""))</f>
        <v/>
      </c>
      <c r="AD866" s="12">
        <f t="array" ref="AD866">IF($A866="","",ROUND($Y866*XLOOKUP($F866,Settings!$I$15:$I$20,Settings!$K$15:$K$20,0.4),0))</f>
        <v>0</v>
      </c>
      <c r="AE866" s="12">
        <f t="array" ref="AE866">IF($A866="","",ROUND($Y866*XLOOKUP($F866,Settings!$I$15:$I$20,Settings!$L$15:$L$20,0.8),0))</f>
        <v>1</v>
      </c>
      <c r="AF866" s="12">
        <f t="array" ref="AF866">IF($A866="","",ROUND($Y866*XLOOKUP($F866,Settings!$I$15:$I$20,Settings!$M$15:$M$20,1),0))</f>
        <v>1</v>
      </c>
      <c r="AG866" s="12">
        <f t="array" ref="AG866">IF($A866="","",ROUND($Y866*XLOOKUP($F866,Settings!$I$15:$I$20,Settings!$N$15:$N$20,1.1),0))</f>
        <v>1</v>
      </c>
      <c r="AH866" s="12">
        <f t="array" ref="AH866">IF($A866="","",ROUND($Y866*XLOOKUP($F866,Settings!$I$15:$I$20,Settings!$O$15:$O$20,1.1)*Settings!$J$7,0))</f>
        <v>1</v>
      </c>
      <c r="AI866" s="12">
        <f t="array" ref="AI866">IF($A866="","",IF($AA866="Sold","",MIN($AH866,IFERROR(XLOOKUP(Settings!$B$12,Managers!$B$4:$B$15,Managers!$H$4:$H$15),$AH866))))</f>
        <v>1</v>
      </c>
      <c r="AJ866" s="12" t="str">
        <f t="shared" si="3"/>
        <v>Recommended</v>
      </c>
      <c r="AK866" s="12">
        <f t="shared" si="4"/>
        <v>26</v>
      </c>
      <c r="AL866" s="12" t="str">
        <f t="shared" si="5"/>
        <v/>
      </c>
    </row>
    <row r="867" ht="15.75" customHeight="1">
      <c r="A867" s="10" t="s">
        <v>2013</v>
      </c>
      <c r="B867" s="10" t="s">
        <v>2014</v>
      </c>
      <c r="C867" s="10" t="s">
        <v>243</v>
      </c>
      <c r="D867" s="10" t="s">
        <v>123</v>
      </c>
      <c r="E867" s="10" t="s">
        <v>123</v>
      </c>
      <c r="F867" s="10" t="s">
        <v>117</v>
      </c>
      <c r="G867" s="10">
        <v>5.0</v>
      </c>
      <c r="H867" s="10">
        <v>7.0</v>
      </c>
      <c r="I867" s="10" t="s">
        <v>2140</v>
      </c>
      <c r="J867" s="10" t="s">
        <v>2136</v>
      </c>
      <c r="K867" s="10"/>
      <c r="L867" s="10">
        <v>0.0</v>
      </c>
      <c r="M867" s="10">
        <v>0.0</v>
      </c>
      <c r="N867" s="10"/>
      <c r="O867" s="10"/>
      <c r="P867" s="12">
        <f>IF($A867="","",IFERROR((IF($O867="",0,$O867)*Settings!$J$4+IF($L867="",0,$L867)*Settings!$J$5+IF($N867="",0,$N867)*Settings!$J$6)/(IF($O867="",0,Settings!$J$4)+IF($L867="",0,Settings!$J$5)+IF($N867="",0,Settings!$J$6)),0))</f>
        <v>0</v>
      </c>
      <c r="Q867" s="12">
        <f t="array" ref="Q867">IF($A867="","",XLOOKUP($E867,Settings!$A$19:$A$22,Settings!$G$19:$G$22,0))</f>
        <v>203</v>
      </c>
      <c r="R867" s="12">
        <f t="shared" si="1"/>
        <v>0</v>
      </c>
      <c r="S867" s="12">
        <f>IF($A867="","",IF($R867&lt;=0,1,1+$R867/SUMIF($R$4:$R$923,"&gt;0",$R$4:$R$923)*(Settings!$B$5*(Settings!$B$6-Settings!$B$7))))</f>
        <v>1</v>
      </c>
      <c r="T867" s="12">
        <f t="array" ref="T867">IF($A867="","",XLOOKUP($F867,Settings!$I$15:$I$20,Settings!$J$15:$J$20,1))</f>
        <v>0.75</v>
      </c>
      <c r="U867" s="12">
        <f>IF($A867="","",1+(($G867-5)/5)*Settings!$J$8)</f>
        <v>1</v>
      </c>
      <c r="V867" s="12">
        <f>IF($A867="","",1+(($H867-5)/5)*Settings!$J$9)</f>
        <v>1.06</v>
      </c>
      <c r="W867" s="12">
        <f t="array" ref="W867">IF($A867="","",XLOOKUP($J867,Lists!$C$3:$C$7,Lists!$D$3:$D$7,1))</f>
        <v>1</v>
      </c>
      <c r="X867" s="12">
        <f>IF($A867="","",IF($I867="Yes",Settings!$J$10,1))</f>
        <v>1</v>
      </c>
      <c r="Y867" s="12">
        <f t="shared" si="2"/>
        <v>1</v>
      </c>
      <c r="Z867" s="12">
        <f>IF($A867="","",IFERROR(ROUND(AVERAGEIFS('Historical Drafts'!$G$4:$G$300,'Historical Drafts'!$D$4:$D$300,$E867,'Historical Drafts'!$J$4:$J$300,"&gt;="&amp;$L867*0.85,'Historical Drafts'!$J$4:$J$300,"&lt;="&amp;$L867*1.15),0),$Y867))</f>
        <v>3</v>
      </c>
      <c r="AA867" s="12" t="str">
        <f>IF($A867="","",IF(COUNTIF('Auction Log'!$B$3:$B$300,$A867)&gt;0,"Sold","Available"))</f>
        <v>Available</v>
      </c>
      <c r="AB867" s="12" t="str">
        <f t="array" ref="AB867">IF($A867="","",IFERROR(XLOOKUP($A867,'Auction Log'!$B$3:$B$300,'Auction Log'!$G$3:$G$300,""),""))</f>
        <v/>
      </c>
      <c r="AC867" s="12" t="str">
        <f t="array" ref="AC867">IF($A867="","",IFERROR(XLOOKUP($A867,'Auction Log'!$B$3:$B$300,'Auction Log'!$F$3:$F$300,""),""))</f>
        <v/>
      </c>
      <c r="AD867" s="12">
        <f t="array" ref="AD867">IF($A867="","",ROUND($Y867*XLOOKUP($F867,Settings!$I$15:$I$20,Settings!$K$15:$K$20,0.4),0))</f>
        <v>0</v>
      </c>
      <c r="AE867" s="12">
        <f t="array" ref="AE867">IF($A867="","",ROUND($Y867*XLOOKUP($F867,Settings!$I$15:$I$20,Settings!$L$15:$L$20,0.8),0))</f>
        <v>1</v>
      </c>
      <c r="AF867" s="12">
        <f t="array" ref="AF867">IF($A867="","",ROUND($Y867*XLOOKUP($F867,Settings!$I$15:$I$20,Settings!$M$15:$M$20,1),0))</f>
        <v>1</v>
      </c>
      <c r="AG867" s="12">
        <f t="array" ref="AG867">IF($A867="","",ROUND($Y867*XLOOKUP($F867,Settings!$I$15:$I$20,Settings!$N$15:$N$20,1.1),0))</f>
        <v>1</v>
      </c>
      <c r="AH867" s="12">
        <f t="array" ref="AH867">IF($A867="","",ROUND($Y867*XLOOKUP($F867,Settings!$I$15:$I$20,Settings!$O$15:$O$20,1.1)*Settings!$J$7,0))</f>
        <v>1</v>
      </c>
      <c r="AI867" s="12">
        <f t="array" ref="AI867">IF($A867="","",IF($AA867="Sold","",MIN($AH867,IFERROR(XLOOKUP(Settings!$B$12,Managers!$B$4:$B$15,Managers!$H$4:$H$15),$AH867))))</f>
        <v>1</v>
      </c>
      <c r="AJ867" s="12" t="str">
        <f t="shared" si="3"/>
        <v>Budget Drainer</v>
      </c>
      <c r="AK867" s="12">
        <f t="shared" si="4"/>
        <v>28</v>
      </c>
      <c r="AL867" s="12" t="str">
        <f t="shared" si="5"/>
        <v/>
      </c>
    </row>
    <row r="868" ht="15.75" customHeight="1">
      <c r="A868" s="10" t="s">
        <v>2015</v>
      </c>
      <c r="B868" s="10" t="s">
        <v>2016</v>
      </c>
      <c r="C868" s="10" t="s">
        <v>185</v>
      </c>
      <c r="D868" s="10" t="s">
        <v>121</v>
      </c>
      <c r="E868" s="10" t="s">
        <v>121</v>
      </c>
      <c r="F868" s="10" t="s">
        <v>117</v>
      </c>
      <c r="G868" s="10">
        <v>5.0</v>
      </c>
      <c r="H868" s="10">
        <v>7.0</v>
      </c>
      <c r="I868" s="10" t="s">
        <v>2140</v>
      </c>
      <c r="J868" s="10" t="s">
        <v>2136</v>
      </c>
      <c r="K868" s="10"/>
      <c r="L868" s="10">
        <v>0.0</v>
      </c>
      <c r="M868" s="10">
        <v>0.0</v>
      </c>
      <c r="N868" s="10"/>
      <c r="O868" s="10"/>
      <c r="P868" s="12">
        <f>IF($A868="","",IFERROR((IF($O868="",0,$O868)*Settings!$J$4+IF($L868="",0,$L868)*Settings!$J$5+IF($N868="",0,$N868)*Settings!$J$6)/(IF($O868="",0,Settings!$J$4)+IF($L868="",0,Settings!$J$5)+IF($N868="",0,Settings!$J$6)),0))</f>
        <v>0</v>
      </c>
      <c r="Q868" s="12">
        <f t="array" ref="Q868">IF($A868="","",XLOOKUP($E868,Settings!$A$19:$A$22,Settings!$G$19:$G$22,0))</f>
        <v>206</v>
      </c>
      <c r="R868" s="12">
        <f t="shared" si="1"/>
        <v>0</v>
      </c>
      <c r="S868" s="12">
        <f>IF($A868="","",IF($R868&lt;=0,1,1+$R868/SUMIF($R$4:$R$923,"&gt;0",$R$4:$R$923)*(Settings!$B$5*(Settings!$B$6-Settings!$B$7))))</f>
        <v>1</v>
      </c>
      <c r="T868" s="12">
        <f t="array" ref="T868">IF($A868="","",XLOOKUP($F868,Settings!$I$15:$I$20,Settings!$J$15:$J$20,1))</f>
        <v>0.75</v>
      </c>
      <c r="U868" s="12">
        <f>IF($A868="","",1+(($G868-5)/5)*Settings!$J$8)</f>
        <v>1</v>
      </c>
      <c r="V868" s="12">
        <f>IF($A868="","",1+(($H868-5)/5)*Settings!$J$9)</f>
        <v>1.06</v>
      </c>
      <c r="W868" s="12">
        <f t="array" ref="W868">IF($A868="","",XLOOKUP($J868,Lists!$C$3:$C$7,Lists!$D$3:$D$7,1))</f>
        <v>1</v>
      </c>
      <c r="X868" s="12">
        <f>IF($A868="","",IF($I868="Yes",Settings!$J$10,1))</f>
        <v>1</v>
      </c>
      <c r="Y868" s="12">
        <f t="shared" si="2"/>
        <v>1</v>
      </c>
      <c r="Z868" s="12">
        <f>IF($A868="","",IFERROR(ROUND(AVERAGEIFS('Historical Drafts'!$G$4:$G$300,'Historical Drafts'!$D$4:$D$300,$E868,'Historical Drafts'!$J$4:$J$300,"&gt;="&amp;$L868*0.85,'Historical Drafts'!$J$4:$J$300,"&lt;="&amp;$L868*1.15),0),$Y868))</f>
        <v>3</v>
      </c>
      <c r="AA868" s="12" t="str">
        <f>IF($A868="","",IF(COUNTIF('Auction Log'!$B$3:$B$300,$A868)&gt;0,"Sold","Available"))</f>
        <v>Available</v>
      </c>
      <c r="AB868" s="12" t="str">
        <f t="array" ref="AB868">IF($A868="","",IFERROR(XLOOKUP($A868,'Auction Log'!$B$3:$B$300,'Auction Log'!$G$3:$G$300,""),""))</f>
        <v/>
      </c>
      <c r="AC868" s="12" t="str">
        <f t="array" ref="AC868">IF($A868="","",IFERROR(XLOOKUP($A868,'Auction Log'!$B$3:$B$300,'Auction Log'!$F$3:$F$300,""),""))</f>
        <v/>
      </c>
      <c r="AD868" s="12">
        <f t="array" ref="AD868">IF($A868="","",ROUND($Y868*XLOOKUP($F868,Settings!$I$15:$I$20,Settings!$K$15:$K$20,0.4),0))</f>
        <v>0</v>
      </c>
      <c r="AE868" s="12">
        <f t="array" ref="AE868">IF($A868="","",ROUND($Y868*XLOOKUP($F868,Settings!$I$15:$I$20,Settings!$L$15:$L$20,0.8),0))</f>
        <v>1</v>
      </c>
      <c r="AF868" s="12">
        <f t="array" ref="AF868">IF($A868="","",ROUND($Y868*XLOOKUP($F868,Settings!$I$15:$I$20,Settings!$M$15:$M$20,1),0))</f>
        <v>1</v>
      </c>
      <c r="AG868" s="12">
        <f t="array" ref="AG868">IF($A868="","",ROUND($Y868*XLOOKUP($F868,Settings!$I$15:$I$20,Settings!$N$15:$N$20,1.1),0))</f>
        <v>1</v>
      </c>
      <c r="AH868" s="12">
        <f t="array" ref="AH868">IF($A868="","",ROUND($Y868*XLOOKUP($F868,Settings!$I$15:$I$20,Settings!$O$15:$O$20,1.1)*Settings!$J$7,0))</f>
        <v>1</v>
      </c>
      <c r="AI868" s="12">
        <f t="array" ref="AI868">IF($A868="","",IF($AA868="Sold","",MIN($AH868,IFERROR(XLOOKUP(Settings!$B$12,Managers!$B$4:$B$15,Managers!$H$4:$H$15),$AH868))))</f>
        <v>1</v>
      </c>
      <c r="AJ868" s="12" t="str">
        <f t="shared" si="3"/>
        <v>Budget Drainer</v>
      </c>
      <c r="AK868" s="12">
        <f t="shared" si="4"/>
        <v>28</v>
      </c>
      <c r="AL868" s="12" t="str">
        <f t="shared" si="5"/>
        <v/>
      </c>
    </row>
    <row r="869" ht="15.75" customHeight="1">
      <c r="A869" s="10" t="s">
        <v>2017</v>
      </c>
      <c r="B869" s="10" t="s">
        <v>2018</v>
      </c>
      <c r="C869" s="10" t="s">
        <v>257</v>
      </c>
      <c r="D869" s="10" t="s">
        <v>115</v>
      </c>
      <c r="E869" s="10" t="s">
        <v>115</v>
      </c>
      <c r="F869" s="10" t="s">
        <v>117</v>
      </c>
      <c r="G869" s="10">
        <v>5.0</v>
      </c>
      <c r="H869" s="10">
        <v>7.0</v>
      </c>
      <c r="I869" s="10" t="s">
        <v>2140</v>
      </c>
      <c r="J869" s="10" t="s">
        <v>2136</v>
      </c>
      <c r="K869" s="10"/>
      <c r="L869" s="10">
        <v>0.0</v>
      </c>
      <c r="M869" s="10">
        <v>0.0</v>
      </c>
      <c r="N869" s="10"/>
      <c r="O869" s="10"/>
      <c r="P869" s="12">
        <f>IF($A869="","",IFERROR((IF($O869="",0,$O869)*Settings!$J$4+IF($L869="",0,$L869)*Settings!$J$5+IF($N869="",0,$N869)*Settings!$J$6)/(IF($O869="",0,Settings!$J$4)+IF($L869="",0,Settings!$J$5)+IF($N869="",0,Settings!$J$6)),0))</f>
        <v>0</v>
      </c>
      <c r="Q869" s="12">
        <f t="array" ref="Q869">IF($A869="","",XLOOKUP($E869,Settings!$A$19:$A$22,Settings!$G$19:$G$22,0))</f>
        <v>249.25</v>
      </c>
      <c r="R869" s="12">
        <f t="shared" si="1"/>
        <v>0</v>
      </c>
      <c r="S869" s="12">
        <f>IF($A869="","",IF($R869&lt;=0,1,1+$R869/SUMIF($R$4:$R$923,"&gt;0",$R$4:$R$923)*(Settings!$B$5*(Settings!$B$6-Settings!$B$7))))</f>
        <v>1</v>
      </c>
      <c r="T869" s="12">
        <f t="array" ref="T869">IF($A869="","",XLOOKUP($F869,Settings!$I$15:$I$20,Settings!$J$15:$J$20,1))</f>
        <v>0.75</v>
      </c>
      <c r="U869" s="12">
        <f>IF($A869="","",1+(($G869-5)/5)*Settings!$J$8)</f>
        <v>1</v>
      </c>
      <c r="V869" s="12">
        <f>IF($A869="","",1+(($H869-5)/5)*Settings!$J$9)</f>
        <v>1.06</v>
      </c>
      <c r="W869" s="12">
        <f t="array" ref="W869">IF($A869="","",XLOOKUP($J869,Lists!$C$3:$C$7,Lists!$D$3:$D$7,1))</f>
        <v>1</v>
      </c>
      <c r="X869" s="12">
        <f>IF($A869="","",IF($I869="Yes",Settings!$J$10,1))</f>
        <v>1</v>
      </c>
      <c r="Y869" s="12">
        <f t="shared" si="2"/>
        <v>1</v>
      </c>
      <c r="Z869" s="12">
        <f>IF($A869="","",IFERROR(ROUND(AVERAGEIFS('Historical Drafts'!$G$4:$G$300,'Historical Drafts'!$D$4:$D$300,$E869,'Historical Drafts'!$J$4:$J$300,"&gt;="&amp;$L869*0.85,'Historical Drafts'!$J$4:$J$300,"&lt;="&amp;$L869*1.15),0),$Y869))</f>
        <v>1</v>
      </c>
      <c r="AA869" s="12" t="str">
        <f>IF($A869="","",IF(COUNTIF('Auction Log'!$B$3:$B$300,$A869)&gt;0,"Sold","Available"))</f>
        <v>Available</v>
      </c>
      <c r="AB869" s="12" t="str">
        <f t="array" ref="AB869">IF($A869="","",IFERROR(XLOOKUP($A869,'Auction Log'!$B$3:$B$300,'Auction Log'!$G$3:$G$300,""),""))</f>
        <v/>
      </c>
      <c r="AC869" s="12" t="str">
        <f t="array" ref="AC869">IF($A869="","",IFERROR(XLOOKUP($A869,'Auction Log'!$B$3:$B$300,'Auction Log'!$F$3:$F$300,""),""))</f>
        <v/>
      </c>
      <c r="AD869" s="12">
        <f t="array" ref="AD869">IF($A869="","",ROUND($Y869*XLOOKUP($F869,Settings!$I$15:$I$20,Settings!$K$15:$K$20,0.4),0))</f>
        <v>0</v>
      </c>
      <c r="AE869" s="12">
        <f t="array" ref="AE869">IF($A869="","",ROUND($Y869*XLOOKUP($F869,Settings!$I$15:$I$20,Settings!$L$15:$L$20,0.8),0))</f>
        <v>1</v>
      </c>
      <c r="AF869" s="12">
        <f t="array" ref="AF869">IF($A869="","",ROUND($Y869*XLOOKUP($F869,Settings!$I$15:$I$20,Settings!$M$15:$M$20,1),0))</f>
        <v>1</v>
      </c>
      <c r="AG869" s="12">
        <f t="array" ref="AG869">IF($A869="","",ROUND($Y869*XLOOKUP($F869,Settings!$I$15:$I$20,Settings!$N$15:$N$20,1.1),0))</f>
        <v>1</v>
      </c>
      <c r="AH869" s="12">
        <f t="array" ref="AH869">IF($A869="","",ROUND($Y869*XLOOKUP($F869,Settings!$I$15:$I$20,Settings!$O$15:$O$20,1.1)*Settings!$J$7,0))</f>
        <v>1</v>
      </c>
      <c r="AI869" s="12">
        <f t="array" ref="AI869">IF($A869="","",IF($AA869="Sold","",MIN($AH869,IFERROR(XLOOKUP(Settings!$B$12,Managers!$B$4:$B$15,Managers!$H$4:$H$15),$AH869))))</f>
        <v>1</v>
      </c>
      <c r="AJ869" s="12" t="str">
        <f t="shared" si="3"/>
        <v>Recommended</v>
      </c>
      <c r="AK869" s="12">
        <f t="shared" si="4"/>
        <v>26</v>
      </c>
      <c r="AL869" s="12" t="str">
        <f t="shared" si="5"/>
        <v/>
      </c>
    </row>
    <row r="870" ht="15.75" customHeight="1">
      <c r="A870" s="10" t="s">
        <v>2019</v>
      </c>
      <c r="B870" s="10" t="s">
        <v>2020</v>
      </c>
      <c r="C870" s="10" t="s">
        <v>327</v>
      </c>
      <c r="D870" s="10" t="s">
        <v>121</v>
      </c>
      <c r="E870" s="10" t="s">
        <v>121</v>
      </c>
      <c r="F870" s="10" t="s">
        <v>117</v>
      </c>
      <c r="G870" s="10">
        <v>5.0</v>
      </c>
      <c r="H870" s="10">
        <v>7.0</v>
      </c>
      <c r="I870" s="10" t="s">
        <v>2140</v>
      </c>
      <c r="J870" s="10" t="s">
        <v>2136</v>
      </c>
      <c r="K870" s="10"/>
      <c r="L870" s="10">
        <v>0.0</v>
      </c>
      <c r="M870" s="10">
        <v>0.0</v>
      </c>
      <c r="N870" s="10"/>
      <c r="O870" s="10"/>
      <c r="P870" s="12">
        <f>IF($A870="","",IFERROR((IF($O870="",0,$O870)*Settings!$J$4+IF($L870="",0,$L870)*Settings!$J$5+IF($N870="",0,$N870)*Settings!$J$6)/(IF($O870="",0,Settings!$J$4)+IF($L870="",0,Settings!$J$5)+IF($N870="",0,Settings!$J$6)),0))</f>
        <v>0</v>
      </c>
      <c r="Q870" s="12">
        <f t="array" ref="Q870">IF($A870="","",XLOOKUP($E870,Settings!$A$19:$A$22,Settings!$G$19:$G$22,0))</f>
        <v>206</v>
      </c>
      <c r="R870" s="12">
        <f t="shared" si="1"/>
        <v>0</v>
      </c>
      <c r="S870" s="12">
        <f>IF($A870="","",IF($R870&lt;=0,1,1+$R870/SUMIF($R$4:$R$923,"&gt;0",$R$4:$R$923)*(Settings!$B$5*(Settings!$B$6-Settings!$B$7))))</f>
        <v>1</v>
      </c>
      <c r="T870" s="12">
        <f t="array" ref="T870">IF($A870="","",XLOOKUP($F870,Settings!$I$15:$I$20,Settings!$J$15:$J$20,1))</f>
        <v>0.75</v>
      </c>
      <c r="U870" s="12">
        <f>IF($A870="","",1+(($G870-5)/5)*Settings!$J$8)</f>
        <v>1</v>
      </c>
      <c r="V870" s="12">
        <f>IF($A870="","",1+(($H870-5)/5)*Settings!$J$9)</f>
        <v>1.06</v>
      </c>
      <c r="W870" s="12">
        <f t="array" ref="W870">IF($A870="","",XLOOKUP($J870,Lists!$C$3:$C$7,Lists!$D$3:$D$7,1))</f>
        <v>1</v>
      </c>
      <c r="X870" s="12">
        <f>IF($A870="","",IF($I870="Yes",Settings!$J$10,1))</f>
        <v>1</v>
      </c>
      <c r="Y870" s="12">
        <f t="shared" si="2"/>
        <v>1</v>
      </c>
      <c r="Z870" s="12">
        <f>IF($A870="","",IFERROR(ROUND(AVERAGEIFS('Historical Drafts'!$G$4:$G$300,'Historical Drafts'!$D$4:$D$300,$E870,'Historical Drafts'!$J$4:$J$300,"&gt;="&amp;$L870*0.85,'Historical Drafts'!$J$4:$J$300,"&lt;="&amp;$L870*1.15),0),$Y870))</f>
        <v>3</v>
      </c>
      <c r="AA870" s="12" t="str">
        <f>IF($A870="","",IF(COUNTIF('Auction Log'!$B$3:$B$300,$A870)&gt;0,"Sold","Available"))</f>
        <v>Available</v>
      </c>
      <c r="AB870" s="12" t="str">
        <f t="array" ref="AB870">IF($A870="","",IFERROR(XLOOKUP($A870,'Auction Log'!$B$3:$B$300,'Auction Log'!$G$3:$G$300,""),""))</f>
        <v/>
      </c>
      <c r="AC870" s="12" t="str">
        <f t="array" ref="AC870">IF($A870="","",IFERROR(XLOOKUP($A870,'Auction Log'!$B$3:$B$300,'Auction Log'!$F$3:$F$300,""),""))</f>
        <v/>
      </c>
      <c r="AD870" s="12">
        <f t="array" ref="AD870">IF($A870="","",ROUND($Y870*XLOOKUP($F870,Settings!$I$15:$I$20,Settings!$K$15:$K$20,0.4),0))</f>
        <v>0</v>
      </c>
      <c r="AE870" s="12">
        <f t="array" ref="AE870">IF($A870="","",ROUND($Y870*XLOOKUP($F870,Settings!$I$15:$I$20,Settings!$L$15:$L$20,0.8),0))</f>
        <v>1</v>
      </c>
      <c r="AF870" s="12">
        <f t="array" ref="AF870">IF($A870="","",ROUND($Y870*XLOOKUP($F870,Settings!$I$15:$I$20,Settings!$M$15:$M$20,1),0))</f>
        <v>1</v>
      </c>
      <c r="AG870" s="12">
        <f t="array" ref="AG870">IF($A870="","",ROUND($Y870*XLOOKUP($F870,Settings!$I$15:$I$20,Settings!$N$15:$N$20,1.1),0))</f>
        <v>1</v>
      </c>
      <c r="AH870" s="12">
        <f t="array" ref="AH870">IF($A870="","",ROUND($Y870*XLOOKUP($F870,Settings!$I$15:$I$20,Settings!$O$15:$O$20,1.1)*Settings!$J$7,0))</f>
        <v>1</v>
      </c>
      <c r="AI870" s="12">
        <f t="array" ref="AI870">IF($A870="","",IF($AA870="Sold","",MIN($AH870,IFERROR(XLOOKUP(Settings!$B$12,Managers!$B$4:$B$15,Managers!$H$4:$H$15),$AH870))))</f>
        <v>1</v>
      </c>
      <c r="AJ870" s="12" t="str">
        <f t="shared" si="3"/>
        <v>Budget Drainer</v>
      </c>
      <c r="AK870" s="12">
        <f t="shared" si="4"/>
        <v>28</v>
      </c>
      <c r="AL870" s="12" t="str">
        <f t="shared" si="5"/>
        <v/>
      </c>
    </row>
    <row r="871" ht="15.75" customHeight="1">
      <c r="A871" s="10" t="s">
        <v>2021</v>
      </c>
      <c r="B871" s="10" t="s">
        <v>2022</v>
      </c>
      <c r="C871" s="10" t="s">
        <v>314</v>
      </c>
      <c r="D871" s="10" t="s">
        <v>118</v>
      </c>
      <c r="E871" s="10" t="s">
        <v>118</v>
      </c>
      <c r="F871" s="10" t="s">
        <v>117</v>
      </c>
      <c r="G871" s="10">
        <v>5.0</v>
      </c>
      <c r="H871" s="10">
        <v>7.0</v>
      </c>
      <c r="I871" s="10" t="s">
        <v>2140</v>
      </c>
      <c r="J871" s="10" t="s">
        <v>2136</v>
      </c>
      <c r="K871" s="10"/>
      <c r="L871" s="10">
        <v>0.0</v>
      </c>
      <c r="M871" s="10">
        <v>0.0</v>
      </c>
      <c r="N871" s="10"/>
      <c r="O871" s="10"/>
      <c r="P871" s="12">
        <f>IF($A871="","",IFERROR((IF($O871="",0,$O871)*Settings!$J$4+IF($L871="",0,$L871)*Settings!$J$5+IF($N871="",0,$N871)*Settings!$J$6)/(IF($O871="",0,Settings!$J$4)+IF($L871="",0,Settings!$J$5)+IF($N871="",0,Settings!$J$6)),0))</f>
        <v>0</v>
      </c>
      <c r="Q871" s="12">
        <f t="array" ref="Q871">IF($A871="","",XLOOKUP($E871,Settings!$A$19:$A$22,Settings!$G$19:$G$22,0))</f>
        <v>196.25</v>
      </c>
      <c r="R871" s="12">
        <f t="shared" si="1"/>
        <v>0</v>
      </c>
      <c r="S871" s="12">
        <f>IF($A871="","",IF($R871&lt;=0,1,1+$R871/SUMIF($R$4:$R$923,"&gt;0",$R$4:$R$923)*(Settings!$B$5*(Settings!$B$6-Settings!$B$7))))</f>
        <v>1</v>
      </c>
      <c r="T871" s="12">
        <f t="array" ref="T871">IF($A871="","",XLOOKUP($F871,Settings!$I$15:$I$20,Settings!$J$15:$J$20,1))</f>
        <v>0.75</v>
      </c>
      <c r="U871" s="12">
        <f>IF($A871="","",1+(($G871-5)/5)*Settings!$J$8)</f>
        <v>1</v>
      </c>
      <c r="V871" s="12">
        <f>IF($A871="","",1+(($H871-5)/5)*Settings!$J$9)</f>
        <v>1.06</v>
      </c>
      <c r="W871" s="12">
        <f t="array" ref="W871">IF($A871="","",XLOOKUP($J871,Lists!$C$3:$C$7,Lists!$D$3:$D$7,1))</f>
        <v>1</v>
      </c>
      <c r="X871" s="12">
        <f>IF($A871="","",IF($I871="Yes",Settings!$J$10,1))</f>
        <v>1</v>
      </c>
      <c r="Y871" s="12">
        <f t="shared" si="2"/>
        <v>1</v>
      </c>
      <c r="Z871" s="12">
        <f>IF($A871="","",IFERROR(ROUND(AVERAGEIFS('Historical Drafts'!$G$4:$G$300,'Historical Drafts'!$D$4:$D$300,$E871,'Historical Drafts'!$J$4:$J$300,"&gt;="&amp;$L871*0.85,'Historical Drafts'!$J$4:$J$300,"&lt;="&amp;$L871*1.15),0),$Y871))</f>
        <v>1</v>
      </c>
      <c r="AA871" s="12" t="str">
        <f>IF($A871="","",IF(COUNTIF('Auction Log'!$B$3:$B$300,$A871)&gt;0,"Sold","Available"))</f>
        <v>Available</v>
      </c>
      <c r="AB871" s="12" t="str">
        <f t="array" ref="AB871">IF($A871="","",IFERROR(XLOOKUP($A871,'Auction Log'!$B$3:$B$300,'Auction Log'!$G$3:$G$300,""),""))</f>
        <v/>
      </c>
      <c r="AC871" s="12" t="str">
        <f t="array" ref="AC871">IF($A871="","",IFERROR(XLOOKUP($A871,'Auction Log'!$B$3:$B$300,'Auction Log'!$F$3:$F$300,""),""))</f>
        <v/>
      </c>
      <c r="AD871" s="12">
        <f t="array" ref="AD871">IF($A871="","",ROUND($Y871*XLOOKUP($F871,Settings!$I$15:$I$20,Settings!$K$15:$K$20,0.4),0))</f>
        <v>0</v>
      </c>
      <c r="AE871" s="12">
        <f t="array" ref="AE871">IF($A871="","",ROUND($Y871*XLOOKUP($F871,Settings!$I$15:$I$20,Settings!$L$15:$L$20,0.8),0))</f>
        <v>1</v>
      </c>
      <c r="AF871" s="12">
        <f t="array" ref="AF871">IF($A871="","",ROUND($Y871*XLOOKUP($F871,Settings!$I$15:$I$20,Settings!$M$15:$M$20,1),0))</f>
        <v>1</v>
      </c>
      <c r="AG871" s="12">
        <f t="array" ref="AG871">IF($A871="","",ROUND($Y871*XLOOKUP($F871,Settings!$I$15:$I$20,Settings!$N$15:$N$20,1.1),0))</f>
        <v>1</v>
      </c>
      <c r="AH871" s="12">
        <f t="array" ref="AH871">IF($A871="","",ROUND($Y871*XLOOKUP($F871,Settings!$I$15:$I$20,Settings!$O$15:$O$20,1.1)*Settings!$J$7,0))</f>
        <v>1</v>
      </c>
      <c r="AI871" s="12">
        <f t="array" ref="AI871">IF($A871="","",IF($AA871="Sold","",MIN($AH871,IFERROR(XLOOKUP(Settings!$B$12,Managers!$B$4:$B$15,Managers!$H$4:$H$15),$AH871))))</f>
        <v>1</v>
      </c>
      <c r="AJ871" s="12" t="str">
        <f t="shared" si="3"/>
        <v>Recommended</v>
      </c>
      <c r="AK871" s="12">
        <f t="shared" si="4"/>
        <v>26</v>
      </c>
      <c r="AL871" s="12" t="str">
        <f t="shared" si="5"/>
        <v/>
      </c>
    </row>
    <row r="872" ht="15.75" customHeight="1">
      <c r="A872" s="10" t="s">
        <v>2023</v>
      </c>
      <c r="B872" s="10" t="s">
        <v>2024</v>
      </c>
      <c r="C872" s="10" t="s">
        <v>177</v>
      </c>
      <c r="D872" s="10" t="s">
        <v>118</v>
      </c>
      <c r="E872" s="10" t="s">
        <v>118</v>
      </c>
      <c r="F872" s="10" t="s">
        <v>117</v>
      </c>
      <c r="G872" s="10">
        <v>5.0</v>
      </c>
      <c r="H872" s="10">
        <v>7.0</v>
      </c>
      <c r="I872" s="10" t="s">
        <v>2140</v>
      </c>
      <c r="J872" s="10" t="s">
        <v>2136</v>
      </c>
      <c r="K872" s="10"/>
      <c r="L872" s="10">
        <v>0.0</v>
      </c>
      <c r="M872" s="10">
        <v>0.0</v>
      </c>
      <c r="N872" s="10"/>
      <c r="O872" s="10"/>
      <c r="P872" s="12">
        <f>IF($A872="","",IFERROR((IF($O872="",0,$O872)*Settings!$J$4+IF($L872="",0,$L872)*Settings!$J$5+IF($N872="",0,$N872)*Settings!$J$6)/(IF($O872="",0,Settings!$J$4)+IF($L872="",0,Settings!$J$5)+IF($N872="",0,Settings!$J$6)),0))</f>
        <v>0</v>
      </c>
      <c r="Q872" s="12">
        <f t="array" ref="Q872">IF($A872="","",XLOOKUP($E872,Settings!$A$19:$A$22,Settings!$G$19:$G$22,0))</f>
        <v>196.25</v>
      </c>
      <c r="R872" s="12">
        <f t="shared" si="1"/>
        <v>0</v>
      </c>
      <c r="S872" s="12">
        <f>IF($A872="","",IF($R872&lt;=0,1,1+$R872/SUMIF($R$4:$R$923,"&gt;0",$R$4:$R$923)*(Settings!$B$5*(Settings!$B$6-Settings!$B$7))))</f>
        <v>1</v>
      </c>
      <c r="T872" s="12">
        <f t="array" ref="T872">IF($A872="","",XLOOKUP($F872,Settings!$I$15:$I$20,Settings!$J$15:$J$20,1))</f>
        <v>0.75</v>
      </c>
      <c r="U872" s="12">
        <f>IF($A872="","",1+(($G872-5)/5)*Settings!$J$8)</f>
        <v>1</v>
      </c>
      <c r="V872" s="12">
        <f>IF($A872="","",1+(($H872-5)/5)*Settings!$J$9)</f>
        <v>1.06</v>
      </c>
      <c r="W872" s="12">
        <f t="array" ref="W872">IF($A872="","",XLOOKUP($J872,Lists!$C$3:$C$7,Lists!$D$3:$D$7,1))</f>
        <v>1</v>
      </c>
      <c r="X872" s="12">
        <f>IF($A872="","",IF($I872="Yes",Settings!$J$10,1))</f>
        <v>1</v>
      </c>
      <c r="Y872" s="12">
        <f t="shared" si="2"/>
        <v>1</v>
      </c>
      <c r="Z872" s="12">
        <f>IF($A872="","",IFERROR(ROUND(AVERAGEIFS('Historical Drafts'!$G$4:$G$300,'Historical Drafts'!$D$4:$D$300,$E872,'Historical Drafts'!$J$4:$J$300,"&gt;="&amp;$L872*0.85,'Historical Drafts'!$J$4:$J$300,"&lt;="&amp;$L872*1.15),0),$Y872))</f>
        <v>1</v>
      </c>
      <c r="AA872" s="12" t="str">
        <f>IF($A872="","",IF(COUNTIF('Auction Log'!$B$3:$B$300,$A872)&gt;0,"Sold","Available"))</f>
        <v>Available</v>
      </c>
      <c r="AB872" s="12" t="str">
        <f t="array" ref="AB872">IF($A872="","",IFERROR(XLOOKUP($A872,'Auction Log'!$B$3:$B$300,'Auction Log'!$G$3:$G$300,""),""))</f>
        <v/>
      </c>
      <c r="AC872" s="12" t="str">
        <f t="array" ref="AC872">IF($A872="","",IFERROR(XLOOKUP($A872,'Auction Log'!$B$3:$B$300,'Auction Log'!$F$3:$F$300,""),""))</f>
        <v/>
      </c>
      <c r="AD872" s="12">
        <f t="array" ref="AD872">IF($A872="","",ROUND($Y872*XLOOKUP($F872,Settings!$I$15:$I$20,Settings!$K$15:$K$20,0.4),0))</f>
        <v>0</v>
      </c>
      <c r="AE872" s="12">
        <f t="array" ref="AE872">IF($A872="","",ROUND($Y872*XLOOKUP($F872,Settings!$I$15:$I$20,Settings!$L$15:$L$20,0.8),0))</f>
        <v>1</v>
      </c>
      <c r="AF872" s="12">
        <f t="array" ref="AF872">IF($A872="","",ROUND($Y872*XLOOKUP($F872,Settings!$I$15:$I$20,Settings!$M$15:$M$20,1),0))</f>
        <v>1</v>
      </c>
      <c r="AG872" s="12">
        <f t="array" ref="AG872">IF($A872="","",ROUND($Y872*XLOOKUP($F872,Settings!$I$15:$I$20,Settings!$N$15:$N$20,1.1),0))</f>
        <v>1</v>
      </c>
      <c r="AH872" s="12">
        <f t="array" ref="AH872">IF($A872="","",ROUND($Y872*XLOOKUP($F872,Settings!$I$15:$I$20,Settings!$O$15:$O$20,1.1)*Settings!$J$7,0))</f>
        <v>1</v>
      </c>
      <c r="AI872" s="12">
        <f t="array" ref="AI872">IF($A872="","",IF($AA872="Sold","",MIN($AH872,IFERROR(XLOOKUP(Settings!$B$12,Managers!$B$4:$B$15,Managers!$H$4:$H$15),$AH872))))</f>
        <v>1</v>
      </c>
      <c r="AJ872" s="12" t="str">
        <f t="shared" si="3"/>
        <v>Recommended</v>
      </c>
      <c r="AK872" s="12">
        <f t="shared" si="4"/>
        <v>26</v>
      </c>
      <c r="AL872" s="12" t="str">
        <f t="shared" si="5"/>
        <v/>
      </c>
    </row>
    <row r="873" ht="15.75" customHeight="1">
      <c r="A873" s="10" t="s">
        <v>2025</v>
      </c>
      <c r="B873" s="10" t="s">
        <v>2026</v>
      </c>
      <c r="C873" s="10" t="s">
        <v>236</v>
      </c>
      <c r="D873" s="10" t="s">
        <v>115</v>
      </c>
      <c r="E873" s="10" t="s">
        <v>115</v>
      </c>
      <c r="F873" s="10" t="s">
        <v>117</v>
      </c>
      <c r="G873" s="10">
        <v>5.0</v>
      </c>
      <c r="H873" s="10">
        <v>7.0</v>
      </c>
      <c r="I873" s="10" t="s">
        <v>2140</v>
      </c>
      <c r="J873" s="10" t="s">
        <v>2136</v>
      </c>
      <c r="K873" s="10"/>
      <c r="L873" s="10">
        <v>0.0</v>
      </c>
      <c r="M873" s="10">
        <v>0.0</v>
      </c>
      <c r="N873" s="10"/>
      <c r="O873" s="10"/>
      <c r="P873" s="12">
        <f>IF($A873="","",IFERROR((IF($O873="",0,$O873)*Settings!$J$4+IF($L873="",0,$L873)*Settings!$J$5+IF($N873="",0,$N873)*Settings!$J$6)/(IF($O873="",0,Settings!$J$4)+IF($L873="",0,Settings!$J$5)+IF($N873="",0,Settings!$J$6)),0))</f>
        <v>0</v>
      </c>
      <c r="Q873" s="12">
        <f t="array" ref="Q873">IF($A873="","",XLOOKUP($E873,Settings!$A$19:$A$22,Settings!$G$19:$G$22,0))</f>
        <v>249.25</v>
      </c>
      <c r="R873" s="12">
        <f t="shared" si="1"/>
        <v>0</v>
      </c>
      <c r="S873" s="12">
        <f>IF($A873="","",IF($R873&lt;=0,1,1+$R873/SUMIF($R$4:$R$923,"&gt;0",$R$4:$R$923)*(Settings!$B$5*(Settings!$B$6-Settings!$B$7))))</f>
        <v>1</v>
      </c>
      <c r="T873" s="12">
        <f t="array" ref="T873">IF($A873="","",XLOOKUP($F873,Settings!$I$15:$I$20,Settings!$J$15:$J$20,1))</f>
        <v>0.75</v>
      </c>
      <c r="U873" s="12">
        <f>IF($A873="","",1+(($G873-5)/5)*Settings!$J$8)</f>
        <v>1</v>
      </c>
      <c r="V873" s="12">
        <f>IF($A873="","",1+(($H873-5)/5)*Settings!$J$9)</f>
        <v>1.06</v>
      </c>
      <c r="W873" s="12">
        <f t="array" ref="W873">IF($A873="","",XLOOKUP($J873,Lists!$C$3:$C$7,Lists!$D$3:$D$7,1))</f>
        <v>1</v>
      </c>
      <c r="X873" s="12">
        <f>IF($A873="","",IF($I873="Yes",Settings!$J$10,1))</f>
        <v>1</v>
      </c>
      <c r="Y873" s="12">
        <f t="shared" si="2"/>
        <v>1</v>
      </c>
      <c r="Z873" s="12">
        <f>IF($A873="","",IFERROR(ROUND(AVERAGEIFS('Historical Drafts'!$G$4:$G$300,'Historical Drafts'!$D$4:$D$300,$E873,'Historical Drafts'!$J$4:$J$300,"&gt;="&amp;$L873*0.85,'Historical Drafts'!$J$4:$J$300,"&lt;="&amp;$L873*1.15),0),$Y873))</f>
        <v>1</v>
      </c>
      <c r="AA873" s="12" t="str">
        <f>IF($A873="","",IF(COUNTIF('Auction Log'!$B$3:$B$300,$A873)&gt;0,"Sold","Available"))</f>
        <v>Available</v>
      </c>
      <c r="AB873" s="12" t="str">
        <f t="array" ref="AB873">IF($A873="","",IFERROR(XLOOKUP($A873,'Auction Log'!$B$3:$B$300,'Auction Log'!$G$3:$G$300,""),""))</f>
        <v/>
      </c>
      <c r="AC873" s="12" t="str">
        <f t="array" ref="AC873">IF($A873="","",IFERROR(XLOOKUP($A873,'Auction Log'!$B$3:$B$300,'Auction Log'!$F$3:$F$300,""),""))</f>
        <v/>
      </c>
      <c r="AD873" s="12">
        <f t="array" ref="AD873">IF($A873="","",ROUND($Y873*XLOOKUP($F873,Settings!$I$15:$I$20,Settings!$K$15:$K$20,0.4),0))</f>
        <v>0</v>
      </c>
      <c r="AE873" s="12">
        <f t="array" ref="AE873">IF($A873="","",ROUND($Y873*XLOOKUP($F873,Settings!$I$15:$I$20,Settings!$L$15:$L$20,0.8),0))</f>
        <v>1</v>
      </c>
      <c r="AF873" s="12">
        <f t="array" ref="AF873">IF($A873="","",ROUND($Y873*XLOOKUP($F873,Settings!$I$15:$I$20,Settings!$M$15:$M$20,1),0))</f>
        <v>1</v>
      </c>
      <c r="AG873" s="12">
        <f t="array" ref="AG873">IF($A873="","",ROUND($Y873*XLOOKUP($F873,Settings!$I$15:$I$20,Settings!$N$15:$N$20,1.1),0))</f>
        <v>1</v>
      </c>
      <c r="AH873" s="12">
        <f t="array" ref="AH873">IF($A873="","",ROUND($Y873*XLOOKUP($F873,Settings!$I$15:$I$20,Settings!$O$15:$O$20,1.1)*Settings!$J$7,0))</f>
        <v>1</v>
      </c>
      <c r="AI873" s="12">
        <f t="array" ref="AI873">IF($A873="","",IF($AA873="Sold","",MIN($AH873,IFERROR(XLOOKUP(Settings!$B$12,Managers!$B$4:$B$15,Managers!$H$4:$H$15),$AH873))))</f>
        <v>1</v>
      </c>
      <c r="AJ873" s="12" t="str">
        <f t="shared" si="3"/>
        <v>Recommended</v>
      </c>
      <c r="AK873" s="12">
        <f t="shared" si="4"/>
        <v>26</v>
      </c>
      <c r="AL873" s="12" t="str">
        <f t="shared" si="5"/>
        <v/>
      </c>
    </row>
    <row r="874" ht="15.75" customHeight="1">
      <c r="A874" s="10" t="s">
        <v>2027</v>
      </c>
      <c r="B874" s="10" t="s">
        <v>2028</v>
      </c>
      <c r="C874" s="10" t="s">
        <v>314</v>
      </c>
      <c r="D874" s="10" t="s">
        <v>123</v>
      </c>
      <c r="E874" s="10" t="s">
        <v>123</v>
      </c>
      <c r="F874" s="10" t="s">
        <v>117</v>
      </c>
      <c r="G874" s="10">
        <v>5.0</v>
      </c>
      <c r="H874" s="10">
        <v>7.0</v>
      </c>
      <c r="I874" s="10" t="s">
        <v>2140</v>
      </c>
      <c r="J874" s="10" t="s">
        <v>2136</v>
      </c>
      <c r="K874" s="10"/>
      <c r="L874" s="10">
        <v>0.0</v>
      </c>
      <c r="M874" s="10">
        <v>0.0</v>
      </c>
      <c r="N874" s="10"/>
      <c r="O874" s="10"/>
      <c r="P874" s="12">
        <f>IF($A874="","",IFERROR((IF($O874="",0,$O874)*Settings!$J$4+IF($L874="",0,$L874)*Settings!$J$5+IF($N874="",0,$N874)*Settings!$J$6)/(IF($O874="",0,Settings!$J$4)+IF($L874="",0,Settings!$J$5)+IF($N874="",0,Settings!$J$6)),0))</f>
        <v>0</v>
      </c>
      <c r="Q874" s="12">
        <f t="array" ref="Q874">IF($A874="","",XLOOKUP($E874,Settings!$A$19:$A$22,Settings!$G$19:$G$22,0))</f>
        <v>203</v>
      </c>
      <c r="R874" s="12">
        <f t="shared" si="1"/>
        <v>0</v>
      </c>
      <c r="S874" s="12">
        <f>IF($A874="","",IF($R874&lt;=0,1,1+$R874/SUMIF($R$4:$R$923,"&gt;0",$R$4:$R$923)*(Settings!$B$5*(Settings!$B$6-Settings!$B$7))))</f>
        <v>1</v>
      </c>
      <c r="T874" s="12">
        <f t="array" ref="T874">IF($A874="","",XLOOKUP($F874,Settings!$I$15:$I$20,Settings!$J$15:$J$20,1))</f>
        <v>0.75</v>
      </c>
      <c r="U874" s="12">
        <f>IF($A874="","",1+(($G874-5)/5)*Settings!$J$8)</f>
        <v>1</v>
      </c>
      <c r="V874" s="12">
        <f>IF($A874="","",1+(($H874-5)/5)*Settings!$J$9)</f>
        <v>1.06</v>
      </c>
      <c r="W874" s="12">
        <f t="array" ref="W874">IF($A874="","",XLOOKUP($J874,Lists!$C$3:$C$7,Lists!$D$3:$D$7,1))</f>
        <v>1</v>
      </c>
      <c r="X874" s="12">
        <f>IF($A874="","",IF($I874="Yes",Settings!$J$10,1))</f>
        <v>1</v>
      </c>
      <c r="Y874" s="12">
        <f t="shared" si="2"/>
        <v>1</v>
      </c>
      <c r="Z874" s="12">
        <f>IF($A874="","",IFERROR(ROUND(AVERAGEIFS('Historical Drafts'!$G$4:$G$300,'Historical Drafts'!$D$4:$D$300,$E874,'Historical Drafts'!$J$4:$J$300,"&gt;="&amp;$L874*0.85,'Historical Drafts'!$J$4:$J$300,"&lt;="&amp;$L874*1.15),0),$Y874))</f>
        <v>3</v>
      </c>
      <c r="AA874" s="12" t="str">
        <f>IF($A874="","",IF(COUNTIF('Auction Log'!$B$3:$B$300,$A874)&gt;0,"Sold","Available"))</f>
        <v>Available</v>
      </c>
      <c r="AB874" s="12" t="str">
        <f t="array" ref="AB874">IF($A874="","",IFERROR(XLOOKUP($A874,'Auction Log'!$B$3:$B$300,'Auction Log'!$G$3:$G$300,""),""))</f>
        <v/>
      </c>
      <c r="AC874" s="12" t="str">
        <f t="array" ref="AC874">IF($A874="","",IFERROR(XLOOKUP($A874,'Auction Log'!$B$3:$B$300,'Auction Log'!$F$3:$F$300,""),""))</f>
        <v/>
      </c>
      <c r="AD874" s="12">
        <f t="array" ref="AD874">IF($A874="","",ROUND($Y874*XLOOKUP($F874,Settings!$I$15:$I$20,Settings!$K$15:$K$20,0.4),0))</f>
        <v>0</v>
      </c>
      <c r="AE874" s="12">
        <f t="array" ref="AE874">IF($A874="","",ROUND($Y874*XLOOKUP($F874,Settings!$I$15:$I$20,Settings!$L$15:$L$20,0.8),0))</f>
        <v>1</v>
      </c>
      <c r="AF874" s="12">
        <f t="array" ref="AF874">IF($A874="","",ROUND($Y874*XLOOKUP($F874,Settings!$I$15:$I$20,Settings!$M$15:$M$20,1),0))</f>
        <v>1</v>
      </c>
      <c r="AG874" s="12">
        <f t="array" ref="AG874">IF($A874="","",ROUND($Y874*XLOOKUP($F874,Settings!$I$15:$I$20,Settings!$N$15:$N$20,1.1),0))</f>
        <v>1</v>
      </c>
      <c r="AH874" s="12">
        <f t="array" ref="AH874">IF($A874="","",ROUND($Y874*XLOOKUP($F874,Settings!$I$15:$I$20,Settings!$O$15:$O$20,1.1)*Settings!$J$7,0))</f>
        <v>1</v>
      </c>
      <c r="AI874" s="12">
        <f t="array" ref="AI874">IF($A874="","",IF($AA874="Sold","",MIN($AH874,IFERROR(XLOOKUP(Settings!$B$12,Managers!$B$4:$B$15,Managers!$H$4:$H$15),$AH874))))</f>
        <v>1</v>
      </c>
      <c r="AJ874" s="12" t="str">
        <f t="shared" si="3"/>
        <v>Budget Drainer</v>
      </c>
      <c r="AK874" s="12">
        <f t="shared" si="4"/>
        <v>28</v>
      </c>
      <c r="AL874" s="12" t="str">
        <f t="shared" si="5"/>
        <v/>
      </c>
    </row>
    <row r="875" ht="15.75" customHeight="1">
      <c r="A875" s="10" t="s">
        <v>2029</v>
      </c>
      <c r="B875" s="10" t="s">
        <v>2030</v>
      </c>
      <c r="C875" s="10" t="s">
        <v>566</v>
      </c>
      <c r="D875" s="10" t="s">
        <v>123</v>
      </c>
      <c r="E875" s="10" t="s">
        <v>123</v>
      </c>
      <c r="F875" s="10" t="s">
        <v>117</v>
      </c>
      <c r="G875" s="10">
        <v>5.0</v>
      </c>
      <c r="H875" s="10">
        <v>7.0</v>
      </c>
      <c r="I875" s="10" t="s">
        <v>2140</v>
      </c>
      <c r="J875" s="10" t="s">
        <v>2136</v>
      </c>
      <c r="K875" s="10"/>
      <c r="L875" s="10">
        <v>0.0</v>
      </c>
      <c r="M875" s="10">
        <v>0.0</v>
      </c>
      <c r="N875" s="10"/>
      <c r="O875" s="10"/>
      <c r="P875" s="12">
        <f>IF($A875="","",IFERROR((IF($O875="",0,$O875)*Settings!$J$4+IF($L875="",0,$L875)*Settings!$J$5+IF($N875="",0,$N875)*Settings!$J$6)/(IF($O875="",0,Settings!$J$4)+IF($L875="",0,Settings!$J$5)+IF($N875="",0,Settings!$J$6)),0))</f>
        <v>0</v>
      </c>
      <c r="Q875" s="12">
        <f t="array" ref="Q875">IF($A875="","",XLOOKUP($E875,Settings!$A$19:$A$22,Settings!$G$19:$G$22,0))</f>
        <v>203</v>
      </c>
      <c r="R875" s="12">
        <f t="shared" si="1"/>
        <v>0</v>
      </c>
      <c r="S875" s="12">
        <f>IF($A875="","",IF($R875&lt;=0,1,1+$R875/SUMIF($R$4:$R$923,"&gt;0",$R$4:$R$923)*(Settings!$B$5*(Settings!$B$6-Settings!$B$7))))</f>
        <v>1</v>
      </c>
      <c r="T875" s="12">
        <f t="array" ref="T875">IF($A875="","",XLOOKUP($F875,Settings!$I$15:$I$20,Settings!$J$15:$J$20,1))</f>
        <v>0.75</v>
      </c>
      <c r="U875" s="12">
        <f>IF($A875="","",1+(($G875-5)/5)*Settings!$J$8)</f>
        <v>1</v>
      </c>
      <c r="V875" s="12">
        <f>IF($A875="","",1+(($H875-5)/5)*Settings!$J$9)</f>
        <v>1.06</v>
      </c>
      <c r="W875" s="12">
        <f t="array" ref="W875">IF($A875="","",XLOOKUP($J875,Lists!$C$3:$C$7,Lists!$D$3:$D$7,1))</f>
        <v>1</v>
      </c>
      <c r="X875" s="12">
        <f>IF($A875="","",IF($I875="Yes",Settings!$J$10,1))</f>
        <v>1</v>
      </c>
      <c r="Y875" s="12">
        <f t="shared" si="2"/>
        <v>1</v>
      </c>
      <c r="Z875" s="12">
        <f>IF($A875="","",IFERROR(ROUND(AVERAGEIFS('Historical Drafts'!$G$4:$G$300,'Historical Drafts'!$D$4:$D$300,$E875,'Historical Drafts'!$J$4:$J$300,"&gt;="&amp;$L875*0.85,'Historical Drafts'!$J$4:$J$300,"&lt;="&amp;$L875*1.15),0),$Y875))</f>
        <v>3</v>
      </c>
      <c r="AA875" s="12" t="str">
        <f>IF($A875="","",IF(COUNTIF('Auction Log'!$B$3:$B$300,$A875)&gt;0,"Sold","Available"))</f>
        <v>Available</v>
      </c>
      <c r="AB875" s="12" t="str">
        <f t="array" ref="AB875">IF($A875="","",IFERROR(XLOOKUP($A875,'Auction Log'!$B$3:$B$300,'Auction Log'!$G$3:$G$300,""),""))</f>
        <v/>
      </c>
      <c r="AC875" s="12" t="str">
        <f t="array" ref="AC875">IF($A875="","",IFERROR(XLOOKUP($A875,'Auction Log'!$B$3:$B$300,'Auction Log'!$F$3:$F$300,""),""))</f>
        <v/>
      </c>
      <c r="AD875" s="12">
        <f t="array" ref="AD875">IF($A875="","",ROUND($Y875*XLOOKUP($F875,Settings!$I$15:$I$20,Settings!$K$15:$K$20,0.4),0))</f>
        <v>0</v>
      </c>
      <c r="AE875" s="12">
        <f t="array" ref="AE875">IF($A875="","",ROUND($Y875*XLOOKUP($F875,Settings!$I$15:$I$20,Settings!$L$15:$L$20,0.8),0))</f>
        <v>1</v>
      </c>
      <c r="AF875" s="12">
        <f t="array" ref="AF875">IF($A875="","",ROUND($Y875*XLOOKUP($F875,Settings!$I$15:$I$20,Settings!$M$15:$M$20,1),0))</f>
        <v>1</v>
      </c>
      <c r="AG875" s="12">
        <f t="array" ref="AG875">IF($A875="","",ROUND($Y875*XLOOKUP($F875,Settings!$I$15:$I$20,Settings!$N$15:$N$20,1.1),0))</f>
        <v>1</v>
      </c>
      <c r="AH875" s="12">
        <f t="array" ref="AH875">IF($A875="","",ROUND($Y875*XLOOKUP($F875,Settings!$I$15:$I$20,Settings!$O$15:$O$20,1.1)*Settings!$J$7,0))</f>
        <v>1</v>
      </c>
      <c r="AI875" s="12">
        <f t="array" ref="AI875">IF($A875="","",IF($AA875="Sold","",MIN($AH875,IFERROR(XLOOKUP(Settings!$B$12,Managers!$B$4:$B$15,Managers!$H$4:$H$15),$AH875))))</f>
        <v>1</v>
      </c>
      <c r="AJ875" s="12" t="str">
        <f t="shared" si="3"/>
        <v>Budget Drainer</v>
      </c>
      <c r="AK875" s="12">
        <f t="shared" si="4"/>
        <v>28</v>
      </c>
      <c r="AL875" s="12" t="str">
        <f t="shared" si="5"/>
        <v/>
      </c>
    </row>
    <row r="876" ht="15.75" customHeight="1">
      <c r="A876" s="10" t="s">
        <v>2031</v>
      </c>
      <c r="B876" s="10" t="s">
        <v>2032</v>
      </c>
      <c r="C876" s="10" t="s">
        <v>257</v>
      </c>
      <c r="D876" s="10" t="s">
        <v>115</v>
      </c>
      <c r="E876" s="10" t="s">
        <v>115</v>
      </c>
      <c r="F876" s="10" t="s">
        <v>117</v>
      </c>
      <c r="G876" s="10">
        <v>5.0</v>
      </c>
      <c r="H876" s="10">
        <v>7.0</v>
      </c>
      <c r="I876" s="10" t="s">
        <v>2140</v>
      </c>
      <c r="J876" s="10" t="s">
        <v>2136</v>
      </c>
      <c r="K876" s="10"/>
      <c r="L876" s="10">
        <v>0.0</v>
      </c>
      <c r="M876" s="10">
        <v>0.0</v>
      </c>
      <c r="N876" s="10"/>
      <c r="O876" s="10"/>
      <c r="P876" s="12">
        <f>IF($A876="","",IFERROR((IF($O876="",0,$O876)*Settings!$J$4+IF($L876="",0,$L876)*Settings!$J$5+IF($N876="",0,$N876)*Settings!$J$6)/(IF($O876="",0,Settings!$J$4)+IF($L876="",0,Settings!$J$5)+IF($N876="",0,Settings!$J$6)),0))</f>
        <v>0</v>
      </c>
      <c r="Q876" s="12">
        <f t="array" ref="Q876">IF($A876="","",XLOOKUP($E876,Settings!$A$19:$A$22,Settings!$G$19:$G$22,0))</f>
        <v>249.25</v>
      </c>
      <c r="R876" s="12">
        <f t="shared" si="1"/>
        <v>0</v>
      </c>
      <c r="S876" s="12">
        <f>IF($A876="","",IF($R876&lt;=0,1,1+$R876/SUMIF($R$4:$R$923,"&gt;0",$R$4:$R$923)*(Settings!$B$5*(Settings!$B$6-Settings!$B$7))))</f>
        <v>1</v>
      </c>
      <c r="T876" s="12">
        <f t="array" ref="T876">IF($A876="","",XLOOKUP($F876,Settings!$I$15:$I$20,Settings!$J$15:$J$20,1))</f>
        <v>0.75</v>
      </c>
      <c r="U876" s="12">
        <f>IF($A876="","",1+(($G876-5)/5)*Settings!$J$8)</f>
        <v>1</v>
      </c>
      <c r="V876" s="12">
        <f>IF($A876="","",1+(($H876-5)/5)*Settings!$J$9)</f>
        <v>1.06</v>
      </c>
      <c r="W876" s="12">
        <f t="array" ref="W876">IF($A876="","",XLOOKUP($J876,Lists!$C$3:$C$7,Lists!$D$3:$D$7,1))</f>
        <v>1</v>
      </c>
      <c r="X876" s="12">
        <f>IF($A876="","",IF($I876="Yes",Settings!$J$10,1))</f>
        <v>1</v>
      </c>
      <c r="Y876" s="12">
        <f t="shared" si="2"/>
        <v>1</v>
      </c>
      <c r="Z876" s="12">
        <f>IF($A876="","",IFERROR(ROUND(AVERAGEIFS('Historical Drafts'!$G$4:$G$300,'Historical Drafts'!$D$4:$D$300,$E876,'Historical Drafts'!$J$4:$J$300,"&gt;="&amp;$L876*0.85,'Historical Drafts'!$J$4:$J$300,"&lt;="&amp;$L876*1.15),0),$Y876))</f>
        <v>1</v>
      </c>
      <c r="AA876" s="12" t="str">
        <f>IF($A876="","",IF(COUNTIF('Auction Log'!$B$3:$B$300,$A876)&gt;0,"Sold","Available"))</f>
        <v>Available</v>
      </c>
      <c r="AB876" s="12" t="str">
        <f t="array" ref="AB876">IF($A876="","",IFERROR(XLOOKUP($A876,'Auction Log'!$B$3:$B$300,'Auction Log'!$G$3:$G$300,""),""))</f>
        <v/>
      </c>
      <c r="AC876" s="12" t="str">
        <f t="array" ref="AC876">IF($A876="","",IFERROR(XLOOKUP($A876,'Auction Log'!$B$3:$B$300,'Auction Log'!$F$3:$F$300,""),""))</f>
        <v/>
      </c>
      <c r="AD876" s="12">
        <f t="array" ref="AD876">IF($A876="","",ROUND($Y876*XLOOKUP($F876,Settings!$I$15:$I$20,Settings!$K$15:$K$20,0.4),0))</f>
        <v>0</v>
      </c>
      <c r="AE876" s="12">
        <f t="array" ref="AE876">IF($A876="","",ROUND($Y876*XLOOKUP($F876,Settings!$I$15:$I$20,Settings!$L$15:$L$20,0.8),0))</f>
        <v>1</v>
      </c>
      <c r="AF876" s="12">
        <f t="array" ref="AF876">IF($A876="","",ROUND($Y876*XLOOKUP($F876,Settings!$I$15:$I$20,Settings!$M$15:$M$20,1),0))</f>
        <v>1</v>
      </c>
      <c r="AG876" s="12">
        <f t="array" ref="AG876">IF($A876="","",ROUND($Y876*XLOOKUP($F876,Settings!$I$15:$I$20,Settings!$N$15:$N$20,1.1),0))</f>
        <v>1</v>
      </c>
      <c r="AH876" s="12">
        <f t="array" ref="AH876">IF($A876="","",ROUND($Y876*XLOOKUP($F876,Settings!$I$15:$I$20,Settings!$O$15:$O$20,1.1)*Settings!$J$7,0))</f>
        <v>1</v>
      </c>
      <c r="AI876" s="12">
        <f t="array" ref="AI876">IF($A876="","",IF($AA876="Sold","",MIN($AH876,IFERROR(XLOOKUP(Settings!$B$12,Managers!$B$4:$B$15,Managers!$H$4:$H$15),$AH876))))</f>
        <v>1</v>
      </c>
      <c r="AJ876" s="12" t="str">
        <f t="shared" si="3"/>
        <v>Recommended</v>
      </c>
      <c r="AK876" s="12">
        <f t="shared" si="4"/>
        <v>26</v>
      </c>
      <c r="AL876" s="12" t="str">
        <f t="shared" si="5"/>
        <v/>
      </c>
    </row>
    <row r="877" ht="15.75" customHeight="1">
      <c r="A877" s="10" t="s">
        <v>2033</v>
      </c>
      <c r="B877" s="10" t="s">
        <v>2034</v>
      </c>
      <c r="C877" s="10" t="s">
        <v>221</v>
      </c>
      <c r="D877" s="10" t="s">
        <v>123</v>
      </c>
      <c r="E877" s="10" t="s">
        <v>123</v>
      </c>
      <c r="F877" s="10" t="s">
        <v>117</v>
      </c>
      <c r="G877" s="10">
        <v>5.0</v>
      </c>
      <c r="H877" s="10">
        <v>7.0</v>
      </c>
      <c r="I877" s="10" t="s">
        <v>2140</v>
      </c>
      <c r="J877" s="10" t="s">
        <v>2136</v>
      </c>
      <c r="K877" s="10"/>
      <c r="L877" s="10">
        <v>0.0</v>
      </c>
      <c r="M877" s="10">
        <v>0.0</v>
      </c>
      <c r="N877" s="10"/>
      <c r="O877" s="10"/>
      <c r="P877" s="12">
        <f>IF($A877="","",IFERROR((IF($O877="",0,$O877)*Settings!$J$4+IF($L877="",0,$L877)*Settings!$J$5+IF($N877="",0,$N877)*Settings!$J$6)/(IF($O877="",0,Settings!$J$4)+IF($L877="",0,Settings!$J$5)+IF($N877="",0,Settings!$J$6)),0))</f>
        <v>0</v>
      </c>
      <c r="Q877" s="12">
        <f t="array" ref="Q877">IF($A877="","",XLOOKUP($E877,Settings!$A$19:$A$22,Settings!$G$19:$G$22,0))</f>
        <v>203</v>
      </c>
      <c r="R877" s="12">
        <f t="shared" si="1"/>
        <v>0</v>
      </c>
      <c r="S877" s="12">
        <f>IF($A877="","",IF($R877&lt;=0,1,1+$R877/SUMIF($R$4:$R$923,"&gt;0",$R$4:$R$923)*(Settings!$B$5*(Settings!$B$6-Settings!$B$7))))</f>
        <v>1</v>
      </c>
      <c r="T877" s="12">
        <f t="array" ref="T877">IF($A877="","",XLOOKUP($F877,Settings!$I$15:$I$20,Settings!$J$15:$J$20,1))</f>
        <v>0.75</v>
      </c>
      <c r="U877" s="12">
        <f>IF($A877="","",1+(($G877-5)/5)*Settings!$J$8)</f>
        <v>1</v>
      </c>
      <c r="V877" s="12">
        <f>IF($A877="","",1+(($H877-5)/5)*Settings!$J$9)</f>
        <v>1.06</v>
      </c>
      <c r="W877" s="12">
        <f t="array" ref="W877">IF($A877="","",XLOOKUP($J877,Lists!$C$3:$C$7,Lists!$D$3:$D$7,1))</f>
        <v>1</v>
      </c>
      <c r="X877" s="12">
        <f>IF($A877="","",IF($I877="Yes",Settings!$J$10,1))</f>
        <v>1</v>
      </c>
      <c r="Y877" s="12">
        <f t="shared" si="2"/>
        <v>1</v>
      </c>
      <c r="Z877" s="12">
        <f>IF($A877="","",IFERROR(ROUND(AVERAGEIFS('Historical Drafts'!$G$4:$G$300,'Historical Drafts'!$D$4:$D$300,$E877,'Historical Drafts'!$J$4:$J$300,"&gt;="&amp;$L877*0.85,'Historical Drafts'!$J$4:$J$300,"&lt;="&amp;$L877*1.15),0),$Y877))</f>
        <v>3</v>
      </c>
      <c r="AA877" s="12" t="str">
        <f>IF($A877="","",IF(COUNTIF('Auction Log'!$B$3:$B$300,$A877)&gt;0,"Sold","Available"))</f>
        <v>Available</v>
      </c>
      <c r="AB877" s="12" t="str">
        <f t="array" ref="AB877">IF($A877="","",IFERROR(XLOOKUP($A877,'Auction Log'!$B$3:$B$300,'Auction Log'!$G$3:$G$300,""),""))</f>
        <v/>
      </c>
      <c r="AC877" s="12" t="str">
        <f t="array" ref="AC877">IF($A877="","",IFERROR(XLOOKUP($A877,'Auction Log'!$B$3:$B$300,'Auction Log'!$F$3:$F$300,""),""))</f>
        <v/>
      </c>
      <c r="AD877" s="12">
        <f t="array" ref="AD877">IF($A877="","",ROUND($Y877*XLOOKUP($F877,Settings!$I$15:$I$20,Settings!$K$15:$K$20,0.4),0))</f>
        <v>0</v>
      </c>
      <c r="AE877" s="12">
        <f t="array" ref="AE877">IF($A877="","",ROUND($Y877*XLOOKUP($F877,Settings!$I$15:$I$20,Settings!$L$15:$L$20,0.8),0))</f>
        <v>1</v>
      </c>
      <c r="AF877" s="12">
        <f t="array" ref="AF877">IF($A877="","",ROUND($Y877*XLOOKUP($F877,Settings!$I$15:$I$20,Settings!$M$15:$M$20,1),0))</f>
        <v>1</v>
      </c>
      <c r="AG877" s="12">
        <f t="array" ref="AG877">IF($A877="","",ROUND($Y877*XLOOKUP($F877,Settings!$I$15:$I$20,Settings!$N$15:$N$20,1.1),0))</f>
        <v>1</v>
      </c>
      <c r="AH877" s="12">
        <f t="array" ref="AH877">IF($A877="","",ROUND($Y877*XLOOKUP($F877,Settings!$I$15:$I$20,Settings!$O$15:$O$20,1.1)*Settings!$J$7,0))</f>
        <v>1</v>
      </c>
      <c r="AI877" s="12">
        <f t="array" ref="AI877">IF($A877="","",IF($AA877="Sold","",MIN($AH877,IFERROR(XLOOKUP(Settings!$B$12,Managers!$B$4:$B$15,Managers!$H$4:$H$15),$AH877))))</f>
        <v>1</v>
      </c>
      <c r="AJ877" s="12" t="str">
        <f t="shared" si="3"/>
        <v>Budget Drainer</v>
      </c>
      <c r="AK877" s="12">
        <f t="shared" si="4"/>
        <v>28</v>
      </c>
      <c r="AL877" s="12" t="str">
        <f t="shared" si="5"/>
        <v/>
      </c>
    </row>
    <row r="878" ht="15.75" customHeight="1">
      <c r="A878" s="10" t="s">
        <v>2035</v>
      </c>
      <c r="B878" s="10" t="s">
        <v>2036</v>
      </c>
      <c r="C878" s="10" t="s">
        <v>191</v>
      </c>
      <c r="D878" s="10" t="s">
        <v>121</v>
      </c>
      <c r="E878" s="10" t="s">
        <v>121</v>
      </c>
      <c r="F878" s="10" t="s">
        <v>117</v>
      </c>
      <c r="G878" s="10">
        <v>5.0</v>
      </c>
      <c r="H878" s="10">
        <v>7.0</v>
      </c>
      <c r="I878" s="10" t="s">
        <v>2140</v>
      </c>
      <c r="J878" s="10" t="s">
        <v>2136</v>
      </c>
      <c r="K878" s="10"/>
      <c r="L878" s="10">
        <v>0.0</v>
      </c>
      <c r="M878" s="10">
        <v>0.0</v>
      </c>
      <c r="N878" s="10"/>
      <c r="O878" s="10"/>
      <c r="P878" s="12">
        <f>IF($A878="","",IFERROR((IF($O878="",0,$O878)*Settings!$J$4+IF($L878="",0,$L878)*Settings!$J$5+IF($N878="",0,$N878)*Settings!$J$6)/(IF($O878="",0,Settings!$J$4)+IF($L878="",0,Settings!$J$5)+IF($N878="",0,Settings!$J$6)),0))</f>
        <v>0</v>
      </c>
      <c r="Q878" s="12">
        <f t="array" ref="Q878">IF($A878="","",XLOOKUP($E878,Settings!$A$19:$A$22,Settings!$G$19:$G$22,0))</f>
        <v>206</v>
      </c>
      <c r="R878" s="12">
        <f t="shared" si="1"/>
        <v>0</v>
      </c>
      <c r="S878" s="12">
        <f>IF($A878="","",IF($R878&lt;=0,1,1+$R878/SUMIF($R$4:$R$923,"&gt;0",$R$4:$R$923)*(Settings!$B$5*(Settings!$B$6-Settings!$B$7))))</f>
        <v>1</v>
      </c>
      <c r="T878" s="12">
        <f t="array" ref="T878">IF($A878="","",XLOOKUP($F878,Settings!$I$15:$I$20,Settings!$J$15:$J$20,1))</f>
        <v>0.75</v>
      </c>
      <c r="U878" s="12">
        <f>IF($A878="","",1+(($G878-5)/5)*Settings!$J$8)</f>
        <v>1</v>
      </c>
      <c r="V878" s="12">
        <f>IF($A878="","",1+(($H878-5)/5)*Settings!$J$9)</f>
        <v>1.06</v>
      </c>
      <c r="W878" s="12">
        <f t="array" ref="W878">IF($A878="","",XLOOKUP($J878,Lists!$C$3:$C$7,Lists!$D$3:$D$7,1))</f>
        <v>1</v>
      </c>
      <c r="X878" s="12">
        <f>IF($A878="","",IF($I878="Yes",Settings!$J$10,1))</f>
        <v>1</v>
      </c>
      <c r="Y878" s="12">
        <f t="shared" si="2"/>
        <v>1</v>
      </c>
      <c r="Z878" s="12">
        <f>IF($A878="","",IFERROR(ROUND(AVERAGEIFS('Historical Drafts'!$G$4:$G$300,'Historical Drafts'!$D$4:$D$300,$E878,'Historical Drafts'!$J$4:$J$300,"&gt;="&amp;$L878*0.85,'Historical Drafts'!$J$4:$J$300,"&lt;="&amp;$L878*1.15),0),$Y878))</f>
        <v>3</v>
      </c>
      <c r="AA878" s="12" t="str">
        <f>IF($A878="","",IF(COUNTIF('Auction Log'!$B$3:$B$300,$A878)&gt;0,"Sold","Available"))</f>
        <v>Available</v>
      </c>
      <c r="AB878" s="12" t="str">
        <f t="array" ref="AB878">IF($A878="","",IFERROR(XLOOKUP($A878,'Auction Log'!$B$3:$B$300,'Auction Log'!$G$3:$G$300,""),""))</f>
        <v/>
      </c>
      <c r="AC878" s="12" t="str">
        <f t="array" ref="AC878">IF($A878="","",IFERROR(XLOOKUP($A878,'Auction Log'!$B$3:$B$300,'Auction Log'!$F$3:$F$300,""),""))</f>
        <v/>
      </c>
      <c r="AD878" s="12">
        <f t="array" ref="AD878">IF($A878="","",ROUND($Y878*XLOOKUP($F878,Settings!$I$15:$I$20,Settings!$K$15:$K$20,0.4),0))</f>
        <v>0</v>
      </c>
      <c r="AE878" s="12">
        <f t="array" ref="AE878">IF($A878="","",ROUND($Y878*XLOOKUP($F878,Settings!$I$15:$I$20,Settings!$L$15:$L$20,0.8),0))</f>
        <v>1</v>
      </c>
      <c r="AF878" s="12">
        <f t="array" ref="AF878">IF($A878="","",ROUND($Y878*XLOOKUP($F878,Settings!$I$15:$I$20,Settings!$M$15:$M$20,1),0))</f>
        <v>1</v>
      </c>
      <c r="AG878" s="12">
        <f t="array" ref="AG878">IF($A878="","",ROUND($Y878*XLOOKUP($F878,Settings!$I$15:$I$20,Settings!$N$15:$N$20,1.1),0))</f>
        <v>1</v>
      </c>
      <c r="AH878" s="12">
        <f t="array" ref="AH878">IF($A878="","",ROUND($Y878*XLOOKUP($F878,Settings!$I$15:$I$20,Settings!$O$15:$O$20,1.1)*Settings!$J$7,0))</f>
        <v>1</v>
      </c>
      <c r="AI878" s="12">
        <f t="array" ref="AI878">IF($A878="","",IF($AA878="Sold","",MIN($AH878,IFERROR(XLOOKUP(Settings!$B$12,Managers!$B$4:$B$15,Managers!$H$4:$H$15),$AH878))))</f>
        <v>1</v>
      </c>
      <c r="AJ878" s="12" t="str">
        <f t="shared" si="3"/>
        <v>Budget Drainer</v>
      </c>
      <c r="AK878" s="12">
        <f t="shared" si="4"/>
        <v>28</v>
      </c>
      <c r="AL878" s="12" t="str">
        <f t="shared" si="5"/>
        <v/>
      </c>
    </row>
    <row r="879" ht="15.75" customHeight="1">
      <c r="A879" s="10" t="s">
        <v>2037</v>
      </c>
      <c r="B879" s="10" t="s">
        <v>2038</v>
      </c>
      <c r="C879" s="10" t="s">
        <v>226</v>
      </c>
      <c r="D879" s="10" t="s">
        <v>115</v>
      </c>
      <c r="E879" s="10" t="s">
        <v>115</v>
      </c>
      <c r="F879" s="10" t="s">
        <v>117</v>
      </c>
      <c r="G879" s="10">
        <v>5.0</v>
      </c>
      <c r="H879" s="10">
        <v>7.0</v>
      </c>
      <c r="I879" s="10" t="s">
        <v>2140</v>
      </c>
      <c r="J879" s="10" t="s">
        <v>2136</v>
      </c>
      <c r="K879" s="10"/>
      <c r="L879" s="10">
        <v>0.0</v>
      </c>
      <c r="M879" s="10">
        <v>0.0</v>
      </c>
      <c r="N879" s="10"/>
      <c r="O879" s="10"/>
      <c r="P879" s="12">
        <f>IF($A879="","",IFERROR((IF($O879="",0,$O879)*Settings!$J$4+IF($L879="",0,$L879)*Settings!$J$5+IF($N879="",0,$N879)*Settings!$J$6)/(IF($O879="",0,Settings!$J$4)+IF($L879="",0,Settings!$J$5)+IF($N879="",0,Settings!$J$6)),0))</f>
        <v>0</v>
      </c>
      <c r="Q879" s="12">
        <f t="array" ref="Q879">IF($A879="","",XLOOKUP($E879,Settings!$A$19:$A$22,Settings!$G$19:$G$22,0))</f>
        <v>249.25</v>
      </c>
      <c r="R879" s="12">
        <f t="shared" si="1"/>
        <v>0</v>
      </c>
      <c r="S879" s="12">
        <f>IF($A879="","",IF($R879&lt;=0,1,1+$R879/SUMIF($R$4:$R$923,"&gt;0",$R$4:$R$923)*(Settings!$B$5*(Settings!$B$6-Settings!$B$7))))</f>
        <v>1</v>
      </c>
      <c r="T879" s="12">
        <f t="array" ref="T879">IF($A879="","",XLOOKUP($F879,Settings!$I$15:$I$20,Settings!$J$15:$J$20,1))</f>
        <v>0.75</v>
      </c>
      <c r="U879" s="12">
        <f>IF($A879="","",1+(($G879-5)/5)*Settings!$J$8)</f>
        <v>1</v>
      </c>
      <c r="V879" s="12">
        <f>IF($A879="","",1+(($H879-5)/5)*Settings!$J$9)</f>
        <v>1.06</v>
      </c>
      <c r="W879" s="12">
        <f t="array" ref="W879">IF($A879="","",XLOOKUP($J879,Lists!$C$3:$C$7,Lists!$D$3:$D$7,1))</f>
        <v>1</v>
      </c>
      <c r="X879" s="12">
        <f>IF($A879="","",IF($I879="Yes",Settings!$J$10,1))</f>
        <v>1</v>
      </c>
      <c r="Y879" s="12">
        <f t="shared" si="2"/>
        <v>1</v>
      </c>
      <c r="Z879" s="12">
        <f>IF($A879="","",IFERROR(ROUND(AVERAGEIFS('Historical Drafts'!$G$4:$G$300,'Historical Drafts'!$D$4:$D$300,$E879,'Historical Drafts'!$J$4:$J$300,"&gt;="&amp;$L879*0.85,'Historical Drafts'!$J$4:$J$300,"&lt;="&amp;$L879*1.15),0),$Y879))</f>
        <v>1</v>
      </c>
      <c r="AA879" s="12" t="str">
        <f>IF($A879="","",IF(COUNTIF('Auction Log'!$B$3:$B$300,$A879)&gt;0,"Sold","Available"))</f>
        <v>Available</v>
      </c>
      <c r="AB879" s="12" t="str">
        <f t="array" ref="AB879">IF($A879="","",IFERROR(XLOOKUP($A879,'Auction Log'!$B$3:$B$300,'Auction Log'!$G$3:$G$300,""),""))</f>
        <v/>
      </c>
      <c r="AC879" s="12" t="str">
        <f t="array" ref="AC879">IF($A879="","",IFERROR(XLOOKUP($A879,'Auction Log'!$B$3:$B$300,'Auction Log'!$F$3:$F$300,""),""))</f>
        <v/>
      </c>
      <c r="AD879" s="12">
        <f t="array" ref="AD879">IF($A879="","",ROUND($Y879*XLOOKUP($F879,Settings!$I$15:$I$20,Settings!$K$15:$K$20,0.4),0))</f>
        <v>0</v>
      </c>
      <c r="AE879" s="12">
        <f t="array" ref="AE879">IF($A879="","",ROUND($Y879*XLOOKUP($F879,Settings!$I$15:$I$20,Settings!$L$15:$L$20,0.8),0))</f>
        <v>1</v>
      </c>
      <c r="AF879" s="12">
        <f t="array" ref="AF879">IF($A879="","",ROUND($Y879*XLOOKUP($F879,Settings!$I$15:$I$20,Settings!$M$15:$M$20,1),0))</f>
        <v>1</v>
      </c>
      <c r="AG879" s="12">
        <f t="array" ref="AG879">IF($A879="","",ROUND($Y879*XLOOKUP($F879,Settings!$I$15:$I$20,Settings!$N$15:$N$20,1.1),0))</f>
        <v>1</v>
      </c>
      <c r="AH879" s="12">
        <f t="array" ref="AH879">IF($A879="","",ROUND($Y879*XLOOKUP($F879,Settings!$I$15:$I$20,Settings!$O$15:$O$20,1.1)*Settings!$J$7,0))</f>
        <v>1</v>
      </c>
      <c r="AI879" s="12">
        <f t="array" ref="AI879">IF($A879="","",IF($AA879="Sold","",MIN($AH879,IFERROR(XLOOKUP(Settings!$B$12,Managers!$B$4:$B$15,Managers!$H$4:$H$15),$AH879))))</f>
        <v>1</v>
      </c>
      <c r="AJ879" s="12" t="str">
        <f t="shared" si="3"/>
        <v>Recommended</v>
      </c>
      <c r="AK879" s="12">
        <f t="shared" si="4"/>
        <v>26</v>
      </c>
      <c r="AL879" s="12" t="str">
        <f t="shared" si="5"/>
        <v/>
      </c>
    </row>
    <row r="880" ht="15.75" customHeight="1">
      <c r="A880" s="10" t="s">
        <v>2039</v>
      </c>
      <c r="B880" s="10" t="s">
        <v>2040</v>
      </c>
      <c r="C880" s="10" t="s">
        <v>243</v>
      </c>
      <c r="D880" s="10" t="s">
        <v>118</v>
      </c>
      <c r="E880" s="10" t="s">
        <v>118</v>
      </c>
      <c r="F880" s="10" t="s">
        <v>117</v>
      </c>
      <c r="G880" s="10">
        <v>5.0</v>
      </c>
      <c r="H880" s="10">
        <v>7.0</v>
      </c>
      <c r="I880" s="10" t="s">
        <v>2140</v>
      </c>
      <c r="J880" s="10" t="s">
        <v>2136</v>
      </c>
      <c r="K880" s="10"/>
      <c r="L880" s="10">
        <v>0.0</v>
      </c>
      <c r="M880" s="10">
        <v>0.0</v>
      </c>
      <c r="N880" s="10"/>
      <c r="O880" s="10"/>
      <c r="P880" s="12">
        <f>IF($A880="","",IFERROR((IF($O880="",0,$O880)*Settings!$J$4+IF($L880="",0,$L880)*Settings!$J$5+IF($N880="",0,$N880)*Settings!$J$6)/(IF($O880="",0,Settings!$J$4)+IF($L880="",0,Settings!$J$5)+IF($N880="",0,Settings!$J$6)),0))</f>
        <v>0</v>
      </c>
      <c r="Q880" s="12">
        <f t="array" ref="Q880">IF($A880="","",XLOOKUP($E880,Settings!$A$19:$A$22,Settings!$G$19:$G$22,0))</f>
        <v>196.25</v>
      </c>
      <c r="R880" s="12">
        <f t="shared" si="1"/>
        <v>0</v>
      </c>
      <c r="S880" s="12">
        <f>IF($A880="","",IF($R880&lt;=0,1,1+$R880/SUMIF($R$4:$R$923,"&gt;0",$R$4:$R$923)*(Settings!$B$5*(Settings!$B$6-Settings!$B$7))))</f>
        <v>1</v>
      </c>
      <c r="T880" s="12">
        <f t="array" ref="T880">IF($A880="","",XLOOKUP($F880,Settings!$I$15:$I$20,Settings!$J$15:$J$20,1))</f>
        <v>0.75</v>
      </c>
      <c r="U880" s="12">
        <f>IF($A880="","",1+(($G880-5)/5)*Settings!$J$8)</f>
        <v>1</v>
      </c>
      <c r="V880" s="12">
        <f>IF($A880="","",1+(($H880-5)/5)*Settings!$J$9)</f>
        <v>1.06</v>
      </c>
      <c r="W880" s="12">
        <f t="array" ref="W880">IF($A880="","",XLOOKUP($J880,Lists!$C$3:$C$7,Lists!$D$3:$D$7,1))</f>
        <v>1</v>
      </c>
      <c r="X880" s="12">
        <f>IF($A880="","",IF($I880="Yes",Settings!$J$10,1))</f>
        <v>1</v>
      </c>
      <c r="Y880" s="12">
        <f t="shared" si="2"/>
        <v>1</v>
      </c>
      <c r="Z880" s="12">
        <f>IF($A880="","",IFERROR(ROUND(AVERAGEIFS('Historical Drafts'!$G$4:$G$300,'Historical Drafts'!$D$4:$D$300,$E880,'Historical Drafts'!$J$4:$J$300,"&gt;="&amp;$L880*0.85,'Historical Drafts'!$J$4:$J$300,"&lt;="&amp;$L880*1.15),0),$Y880))</f>
        <v>1</v>
      </c>
      <c r="AA880" s="12" t="str">
        <f>IF($A880="","",IF(COUNTIF('Auction Log'!$B$3:$B$300,$A880)&gt;0,"Sold","Available"))</f>
        <v>Available</v>
      </c>
      <c r="AB880" s="12" t="str">
        <f t="array" ref="AB880">IF($A880="","",IFERROR(XLOOKUP($A880,'Auction Log'!$B$3:$B$300,'Auction Log'!$G$3:$G$300,""),""))</f>
        <v/>
      </c>
      <c r="AC880" s="12" t="str">
        <f t="array" ref="AC880">IF($A880="","",IFERROR(XLOOKUP($A880,'Auction Log'!$B$3:$B$300,'Auction Log'!$F$3:$F$300,""),""))</f>
        <v/>
      </c>
      <c r="AD880" s="12">
        <f t="array" ref="AD880">IF($A880="","",ROUND($Y880*XLOOKUP($F880,Settings!$I$15:$I$20,Settings!$K$15:$K$20,0.4),0))</f>
        <v>0</v>
      </c>
      <c r="AE880" s="12">
        <f t="array" ref="AE880">IF($A880="","",ROUND($Y880*XLOOKUP($F880,Settings!$I$15:$I$20,Settings!$L$15:$L$20,0.8),0))</f>
        <v>1</v>
      </c>
      <c r="AF880" s="12">
        <f t="array" ref="AF880">IF($A880="","",ROUND($Y880*XLOOKUP($F880,Settings!$I$15:$I$20,Settings!$M$15:$M$20,1),0))</f>
        <v>1</v>
      </c>
      <c r="AG880" s="12">
        <f t="array" ref="AG880">IF($A880="","",ROUND($Y880*XLOOKUP($F880,Settings!$I$15:$I$20,Settings!$N$15:$N$20,1.1),0))</f>
        <v>1</v>
      </c>
      <c r="AH880" s="12">
        <f t="array" ref="AH880">IF($A880="","",ROUND($Y880*XLOOKUP($F880,Settings!$I$15:$I$20,Settings!$O$15:$O$20,1.1)*Settings!$J$7,0))</f>
        <v>1</v>
      </c>
      <c r="AI880" s="12">
        <f t="array" ref="AI880">IF($A880="","",IF($AA880="Sold","",MIN($AH880,IFERROR(XLOOKUP(Settings!$B$12,Managers!$B$4:$B$15,Managers!$H$4:$H$15),$AH880))))</f>
        <v>1</v>
      </c>
      <c r="AJ880" s="12" t="str">
        <f t="shared" si="3"/>
        <v>Recommended</v>
      </c>
      <c r="AK880" s="12">
        <f t="shared" si="4"/>
        <v>26</v>
      </c>
      <c r="AL880" s="12" t="str">
        <f t="shared" si="5"/>
        <v/>
      </c>
    </row>
    <row r="881" ht="15.75" customHeight="1">
      <c r="A881" s="10" t="s">
        <v>2041</v>
      </c>
      <c r="B881" s="10" t="s">
        <v>2042</v>
      </c>
      <c r="C881" s="10" t="s">
        <v>188</v>
      </c>
      <c r="D881" s="10" t="s">
        <v>121</v>
      </c>
      <c r="E881" s="10" t="s">
        <v>121</v>
      </c>
      <c r="F881" s="10" t="s">
        <v>117</v>
      </c>
      <c r="G881" s="10">
        <v>5.0</v>
      </c>
      <c r="H881" s="10">
        <v>7.0</v>
      </c>
      <c r="I881" s="10" t="s">
        <v>2140</v>
      </c>
      <c r="J881" s="10" t="s">
        <v>2136</v>
      </c>
      <c r="K881" s="10"/>
      <c r="L881" s="10">
        <v>0.0</v>
      </c>
      <c r="M881" s="10">
        <v>0.0</v>
      </c>
      <c r="N881" s="10"/>
      <c r="O881" s="10"/>
      <c r="P881" s="12">
        <f>IF($A881="","",IFERROR((IF($O881="",0,$O881)*Settings!$J$4+IF($L881="",0,$L881)*Settings!$J$5+IF($N881="",0,$N881)*Settings!$J$6)/(IF($O881="",0,Settings!$J$4)+IF($L881="",0,Settings!$J$5)+IF($N881="",0,Settings!$J$6)),0))</f>
        <v>0</v>
      </c>
      <c r="Q881" s="12">
        <f t="array" ref="Q881">IF($A881="","",XLOOKUP($E881,Settings!$A$19:$A$22,Settings!$G$19:$G$22,0))</f>
        <v>206</v>
      </c>
      <c r="R881" s="12">
        <f t="shared" si="1"/>
        <v>0</v>
      </c>
      <c r="S881" s="12">
        <f>IF($A881="","",IF($R881&lt;=0,1,1+$R881/SUMIF($R$4:$R$923,"&gt;0",$R$4:$R$923)*(Settings!$B$5*(Settings!$B$6-Settings!$B$7))))</f>
        <v>1</v>
      </c>
      <c r="T881" s="12">
        <f t="array" ref="T881">IF($A881="","",XLOOKUP($F881,Settings!$I$15:$I$20,Settings!$J$15:$J$20,1))</f>
        <v>0.75</v>
      </c>
      <c r="U881" s="12">
        <f>IF($A881="","",1+(($G881-5)/5)*Settings!$J$8)</f>
        <v>1</v>
      </c>
      <c r="V881" s="12">
        <f>IF($A881="","",1+(($H881-5)/5)*Settings!$J$9)</f>
        <v>1.06</v>
      </c>
      <c r="W881" s="12">
        <f t="array" ref="W881">IF($A881="","",XLOOKUP($J881,Lists!$C$3:$C$7,Lists!$D$3:$D$7,1))</f>
        <v>1</v>
      </c>
      <c r="X881" s="12">
        <f>IF($A881="","",IF($I881="Yes",Settings!$J$10,1))</f>
        <v>1</v>
      </c>
      <c r="Y881" s="12">
        <f t="shared" si="2"/>
        <v>1</v>
      </c>
      <c r="Z881" s="12">
        <f>IF($A881="","",IFERROR(ROUND(AVERAGEIFS('Historical Drafts'!$G$4:$G$300,'Historical Drafts'!$D$4:$D$300,$E881,'Historical Drafts'!$J$4:$J$300,"&gt;="&amp;$L881*0.85,'Historical Drafts'!$J$4:$J$300,"&lt;="&amp;$L881*1.15),0),$Y881))</f>
        <v>3</v>
      </c>
      <c r="AA881" s="12" t="str">
        <f>IF($A881="","",IF(COUNTIF('Auction Log'!$B$3:$B$300,$A881)&gt;0,"Sold","Available"))</f>
        <v>Available</v>
      </c>
      <c r="AB881" s="12" t="str">
        <f t="array" ref="AB881">IF($A881="","",IFERROR(XLOOKUP($A881,'Auction Log'!$B$3:$B$300,'Auction Log'!$G$3:$G$300,""),""))</f>
        <v/>
      </c>
      <c r="AC881" s="12" t="str">
        <f t="array" ref="AC881">IF($A881="","",IFERROR(XLOOKUP($A881,'Auction Log'!$B$3:$B$300,'Auction Log'!$F$3:$F$300,""),""))</f>
        <v/>
      </c>
      <c r="AD881" s="12">
        <f t="array" ref="AD881">IF($A881="","",ROUND($Y881*XLOOKUP($F881,Settings!$I$15:$I$20,Settings!$K$15:$K$20,0.4),0))</f>
        <v>0</v>
      </c>
      <c r="AE881" s="12">
        <f t="array" ref="AE881">IF($A881="","",ROUND($Y881*XLOOKUP($F881,Settings!$I$15:$I$20,Settings!$L$15:$L$20,0.8),0))</f>
        <v>1</v>
      </c>
      <c r="AF881" s="12">
        <f t="array" ref="AF881">IF($A881="","",ROUND($Y881*XLOOKUP($F881,Settings!$I$15:$I$20,Settings!$M$15:$M$20,1),0))</f>
        <v>1</v>
      </c>
      <c r="AG881" s="12">
        <f t="array" ref="AG881">IF($A881="","",ROUND($Y881*XLOOKUP($F881,Settings!$I$15:$I$20,Settings!$N$15:$N$20,1.1),0))</f>
        <v>1</v>
      </c>
      <c r="AH881" s="12">
        <f t="array" ref="AH881">IF($A881="","",ROUND($Y881*XLOOKUP($F881,Settings!$I$15:$I$20,Settings!$O$15:$O$20,1.1)*Settings!$J$7,0))</f>
        <v>1</v>
      </c>
      <c r="AI881" s="12">
        <f t="array" ref="AI881">IF($A881="","",IF($AA881="Sold","",MIN($AH881,IFERROR(XLOOKUP(Settings!$B$12,Managers!$B$4:$B$15,Managers!$H$4:$H$15),$AH881))))</f>
        <v>1</v>
      </c>
      <c r="AJ881" s="12" t="str">
        <f t="shared" si="3"/>
        <v>Budget Drainer</v>
      </c>
      <c r="AK881" s="12">
        <f t="shared" si="4"/>
        <v>28</v>
      </c>
      <c r="AL881" s="12" t="str">
        <f t="shared" si="5"/>
        <v/>
      </c>
    </row>
    <row r="882" ht="15.75" customHeight="1">
      <c r="A882" s="10" t="s">
        <v>2043</v>
      </c>
      <c r="B882" s="10" t="s">
        <v>2044</v>
      </c>
      <c r="C882" s="10" t="s">
        <v>231</v>
      </c>
      <c r="D882" s="10" t="s">
        <v>123</v>
      </c>
      <c r="E882" s="10" t="s">
        <v>123</v>
      </c>
      <c r="F882" s="10" t="s">
        <v>117</v>
      </c>
      <c r="G882" s="10">
        <v>5.0</v>
      </c>
      <c r="H882" s="10">
        <v>7.0</v>
      </c>
      <c r="I882" s="10" t="s">
        <v>2140</v>
      </c>
      <c r="J882" s="10" t="s">
        <v>2136</v>
      </c>
      <c r="K882" s="10"/>
      <c r="L882" s="10">
        <v>0.0</v>
      </c>
      <c r="M882" s="10">
        <v>0.0</v>
      </c>
      <c r="N882" s="10"/>
      <c r="O882" s="10"/>
      <c r="P882" s="12">
        <f>IF($A882="","",IFERROR((IF($O882="",0,$O882)*Settings!$J$4+IF($L882="",0,$L882)*Settings!$J$5+IF($N882="",0,$N882)*Settings!$J$6)/(IF($O882="",0,Settings!$J$4)+IF($L882="",0,Settings!$J$5)+IF($N882="",0,Settings!$J$6)),0))</f>
        <v>0</v>
      </c>
      <c r="Q882" s="12">
        <f t="array" ref="Q882">IF($A882="","",XLOOKUP($E882,Settings!$A$19:$A$22,Settings!$G$19:$G$22,0))</f>
        <v>203</v>
      </c>
      <c r="R882" s="12">
        <f t="shared" si="1"/>
        <v>0</v>
      </c>
      <c r="S882" s="12">
        <f>IF($A882="","",IF($R882&lt;=0,1,1+$R882/SUMIF($R$4:$R$923,"&gt;0",$R$4:$R$923)*(Settings!$B$5*(Settings!$B$6-Settings!$B$7))))</f>
        <v>1</v>
      </c>
      <c r="T882" s="12">
        <f t="array" ref="T882">IF($A882="","",XLOOKUP($F882,Settings!$I$15:$I$20,Settings!$J$15:$J$20,1))</f>
        <v>0.75</v>
      </c>
      <c r="U882" s="12">
        <f>IF($A882="","",1+(($G882-5)/5)*Settings!$J$8)</f>
        <v>1</v>
      </c>
      <c r="V882" s="12">
        <f>IF($A882="","",1+(($H882-5)/5)*Settings!$J$9)</f>
        <v>1.06</v>
      </c>
      <c r="W882" s="12">
        <f t="array" ref="W882">IF($A882="","",XLOOKUP($J882,Lists!$C$3:$C$7,Lists!$D$3:$D$7,1))</f>
        <v>1</v>
      </c>
      <c r="X882" s="12">
        <f>IF($A882="","",IF($I882="Yes",Settings!$J$10,1))</f>
        <v>1</v>
      </c>
      <c r="Y882" s="12">
        <f t="shared" si="2"/>
        <v>1</v>
      </c>
      <c r="Z882" s="12">
        <f>IF($A882="","",IFERROR(ROUND(AVERAGEIFS('Historical Drafts'!$G$4:$G$300,'Historical Drafts'!$D$4:$D$300,$E882,'Historical Drafts'!$J$4:$J$300,"&gt;="&amp;$L882*0.85,'Historical Drafts'!$J$4:$J$300,"&lt;="&amp;$L882*1.15),0),$Y882))</f>
        <v>3</v>
      </c>
      <c r="AA882" s="12" t="str">
        <f>IF($A882="","",IF(COUNTIF('Auction Log'!$B$3:$B$300,$A882)&gt;0,"Sold","Available"))</f>
        <v>Available</v>
      </c>
      <c r="AB882" s="12" t="str">
        <f t="array" ref="AB882">IF($A882="","",IFERROR(XLOOKUP($A882,'Auction Log'!$B$3:$B$300,'Auction Log'!$G$3:$G$300,""),""))</f>
        <v/>
      </c>
      <c r="AC882" s="12" t="str">
        <f t="array" ref="AC882">IF($A882="","",IFERROR(XLOOKUP($A882,'Auction Log'!$B$3:$B$300,'Auction Log'!$F$3:$F$300,""),""))</f>
        <v/>
      </c>
      <c r="AD882" s="12">
        <f t="array" ref="AD882">IF($A882="","",ROUND($Y882*XLOOKUP($F882,Settings!$I$15:$I$20,Settings!$K$15:$K$20,0.4),0))</f>
        <v>0</v>
      </c>
      <c r="AE882" s="12">
        <f t="array" ref="AE882">IF($A882="","",ROUND($Y882*XLOOKUP($F882,Settings!$I$15:$I$20,Settings!$L$15:$L$20,0.8),0))</f>
        <v>1</v>
      </c>
      <c r="AF882" s="12">
        <f t="array" ref="AF882">IF($A882="","",ROUND($Y882*XLOOKUP($F882,Settings!$I$15:$I$20,Settings!$M$15:$M$20,1),0))</f>
        <v>1</v>
      </c>
      <c r="AG882" s="12">
        <f t="array" ref="AG882">IF($A882="","",ROUND($Y882*XLOOKUP($F882,Settings!$I$15:$I$20,Settings!$N$15:$N$20,1.1),0))</f>
        <v>1</v>
      </c>
      <c r="AH882" s="12">
        <f t="array" ref="AH882">IF($A882="","",ROUND($Y882*XLOOKUP($F882,Settings!$I$15:$I$20,Settings!$O$15:$O$20,1.1)*Settings!$J$7,0))</f>
        <v>1</v>
      </c>
      <c r="AI882" s="12">
        <f t="array" ref="AI882">IF($A882="","",IF($AA882="Sold","",MIN($AH882,IFERROR(XLOOKUP(Settings!$B$12,Managers!$B$4:$B$15,Managers!$H$4:$H$15),$AH882))))</f>
        <v>1</v>
      </c>
      <c r="AJ882" s="12" t="str">
        <f t="shared" si="3"/>
        <v>Budget Drainer</v>
      </c>
      <c r="AK882" s="12">
        <f t="shared" si="4"/>
        <v>28</v>
      </c>
      <c r="AL882" s="12" t="str">
        <f t="shared" si="5"/>
        <v/>
      </c>
    </row>
    <row r="883" ht="15.75" customHeight="1">
      <c r="A883" s="10" t="s">
        <v>2045</v>
      </c>
      <c r="B883" s="10" t="s">
        <v>2046</v>
      </c>
      <c r="C883" s="10" t="s">
        <v>231</v>
      </c>
      <c r="D883" s="10" t="s">
        <v>118</v>
      </c>
      <c r="E883" s="10" t="s">
        <v>118</v>
      </c>
      <c r="F883" s="10" t="s">
        <v>117</v>
      </c>
      <c r="G883" s="10">
        <v>5.0</v>
      </c>
      <c r="H883" s="10">
        <v>7.0</v>
      </c>
      <c r="I883" s="10" t="s">
        <v>2140</v>
      </c>
      <c r="J883" s="10" t="s">
        <v>2136</v>
      </c>
      <c r="K883" s="10"/>
      <c r="L883" s="10">
        <v>0.0</v>
      </c>
      <c r="M883" s="10">
        <v>0.0</v>
      </c>
      <c r="N883" s="10"/>
      <c r="O883" s="10"/>
      <c r="P883" s="12">
        <f>IF($A883="","",IFERROR((IF($O883="",0,$O883)*Settings!$J$4+IF($L883="",0,$L883)*Settings!$J$5+IF($N883="",0,$N883)*Settings!$J$6)/(IF($O883="",0,Settings!$J$4)+IF($L883="",0,Settings!$J$5)+IF($N883="",0,Settings!$J$6)),0))</f>
        <v>0</v>
      </c>
      <c r="Q883" s="12">
        <f t="array" ref="Q883">IF($A883="","",XLOOKUP($E883,Settings!$A$19:$A$22,Settings!$G$19:$G$22,0))</f>
        <v>196.25</v>
      </c>
      <c r="R883" s="12">
        <f t="shared" si="1"/>
        <v>0</v>
      </c>
      <c r="S883" s="12">
        <f>IF($A883="","",IF($R883&lt;=0,1,1+$R883/SUMIF($R$4:$R$923,"&gt;0",$R$4:$R$923)*(Settings!$B$5*(Settings!$B$6-Settings!$B$7))))</f>
        <v>1</v>
      </c>
      <c r="T883" s="12">
        <f t="array" ref="T883">IF($A883="","",XLOOKUP($F883,Settings!$I$15:$I$20,Settings!$J$15:$J$20,1))</f>
        <v>0.75</v>
      </c>
      <c r="U883" s="12">
        <f>IF($A883="","",1+(($G883-5)/5)*Settings!$J$8)</f>
        <v>1</v>
      </c>
      <c r="V883" s="12">
        <f>IF($A883="","",1+(($H883-5)/5)*Settings!$J$9)</f>
        <v>1.06</v>
      </c>
      <c r="W883" s="12">
        <f t="array" ref="W883">IF($A883="","",XLOOKUP($J883,Lists!$C$3:$C$7,Lists!$D$3:$D$7,1))</f>
        <v>1</v>
      </c>
      <c r="X883" s="12">
        <f>IF($A883="","",IF($I883="Yes",Settings!$J$10,1))</f>
        <v>1</v>
      </c>
      <c r="Y883" s="12">
        <f t="shared" si="2"/>
        <v>1</v>
      </c>
      <c r="Z883" s="12">
        <f>IF($A883="","",IFERROR(ROUND(AVERAGEIFS('Historical Drafts'!$G$4:$G$300,'Historical Drafts'!$D$4:$D$300,$E883,'Historical Drafts'!$J$4:$J$300,"&gt;="&amp;$L883*0.85,'Historical Drafts'!$J$4:$J$300,"&lt;="&amp;$L883*1.15),0),$Y883))</f>
        <v>1</v>
      </c>
      <c r="AA883" s="12" t="str">
        <f>IF($A883="","",IF(COUNTIF('Auction Log'!$B$3:$B$300,$A883)&gt;0,"Sold","Available"))</f>
        <v>Available</v>
      </c>
      <c r="AB883" s="12" t="str">
        <f t="array" ref="AB883">IF($A883="","",IFERROR(XLOOKUP($A883,'Auction Log'!$B$3:$B$300,'Auction Log'!$G$3:$G$300,""),""))</f>
        <v/>
      </c>
      <c r="AC883" s="12" t="str">
        <f t="array" ref="AC883">IF($A883="","",IFERROR(XLOOKUP($A883,'Auction Log'!$B$3:$B$300,'Auction Log'!$F$3:$F$300,""),""))</f>
        <v/>
      </c>
      <c r="AD883" s="12">
        <f t="array" ref="AD883">IF($A883="","",ROUND($Y883*XLOOKUP($F883,Settings!$I$15:$I$20,Settings!$K$15:$K$20,0.4),0))</f>
        <v>0</v>
      </c>
      <c r="AE883" s="12">
        <f t="array" ref="AE883">IF($A883="","",ROUND($Y883*XLOOKUP($F883,Settings!$I$15:$I$20,Settings!$L$15:$L$20,0.8),0))</f>
        <v>1</v>
      </c>
      <c r="AF883" s="12">
        <f t="array" ref="AF883">IF($A883="","",ROUND($Y883*XLOOKUP($F883,Settings!$I$15:$I$20,Settings!$M$15:$M$20,1),0))</f>
        <v>1</v>
      </c>
      <c r="AG883" s="12">
        <f t="array" ref="AG883">IF($A883="","",ROUND($Y883*XLOOKUP($F883,Settings!$I$15:$I$20,Settings!$N$15:$N$20,1.1),0))</f>
        <v>1</v>
      </c>
      <c r="AH883" s="12">
        <f t="array" ref="AH883">IF($A883="","",ROUND($Y883*XLOOKUP($F883,Settings!$I$15:$I$20,Settings!$O$15:$O$20,1.1)*Settings!$J$7,0))</f>
        <v>1</v>
      </c>
      <c r="AI883" s="12">
        <f t="array" ref="AI883">IF($A883="","",IF($AA883="Sold","",MIN($AH883,IFERROR(XLOOKUP(Settings!$B$12,Managers!$B$4:$B$15,Managers!$H$4:$H$15),$AH883))))</f>
        <v>1</v>
      </c>
      <c r="AJ883" s="12" t="str">
        <f t="shared" si="3"/>
        <v>Recommended</v>
      </c>
      <c r="AK883" s="12">
        <f t="shared" si="4"/>
        <v>26</v>
      </c>
      <c r="AL883" s="12" t="str">
        <f t="shared" si="5"/>
        <v/>
      </c>
    </row>
    <row r="884" ht="15.75" customHeight="1">
      <c r="A884" s="10" t="s">
        <v>2047</v>
      </c>
      <c r="B884" s="10" t="s">
        <v>2048</v>
      </c>
      <c r="C884" s="10" t="s">
        <v>257</v>
      </c>
      <c r="D884" s="10" t="s">
        <v>118</v>
      </c>
      <c r="E884" s="10" t="s">
        <v>118</v>
      </c>
      <c r="F884" s="10" t="s">
        <v>117</v>
      </c>
      <c r="G884" s="10">
        <v>5.0</v>
      </c>
      <c r="H884" s="10">
        <v>7.0</v>
      </c>
      <c r="I884" s="10" t="s">
        <v>2140</v>
      </c>
      <c r="J884" s="10" t="s">
        <v>2136</v>
      </c>
      <c r="K884" s="10"/>
      <c r="L884" s="10">
        <v>0.0</v>
      </c>
      <c r="M884" s="10">
        <v>0.0</v>
      </c>
      <c r="N884" s="10"/>
      <c r="O884" s="10"/>
      <c r="P884" s="12">
        <f>IF($A884="","",IFERROR((IF($O884="",0,$O884)*Settings!$J$4+IF($L884="",0,$L884)*Settings!$J$5+IF($N884="",0,$N884)*Settings!$J$6)/(IF($O884="",0,Settings!$J$4)+IF($L884="",0,Settings!$J$5)+IF($N884="",0,Settings!$J$6)),0))</f>
        <v>0</v>
      </c>
      <c r="Q884" s="12">
        <f t="array" ref="Q884">IF($A884="","",XLOOKUP($E884,Settings!$A$19:$A$22,Settings!$G$19:$G$22,0))</f>
        <v>196.25</v>
      </c>
      <c r="R884" s="12">
        <f t="shared" si="1"/>
        <v>0</v>
      </c>
      <c r="S884" s="12">
        <f>IF($A884="","",IF($R884&lt;=0,1,1+$R884/SUMIF($R$4:$R$923,"&gt;0",$R$4:$R$923)*(Settings!$B$5*(Settings!$B$6-Settings!$B$7))))</f>
        <v>1</v>
      </c>
      <c r="T884" s="12">
        <f t="array" ref="T884">IF($A884="","",XLOOKUP($F884,Settings!$I$15:$I$20,Settings!$J$15:$J$20,1))</f>
        <v>0.75</v>
      </c>
      <c r="U884" s="12">
        <f>IF($A884="","",1+(($G884-5)/5)*Settings!$J$8)</f>
        <v>1</v>
      </c>
      <c r="V884" s="12">
        <f>IF($A884="","",1+(($H884-5)/5)*Settings!$J$9)</f>
        <v>1.06</v>
      </c>
      <c r="W884" s="12">
        <f t="array" ref="W884">IF($A884="","",XLOOKUP($J884,Lists!$C$3:$C$7,Lists!$D$3:$D$7,1))</f>
        <v>1</v>
      </c>
      <c r="X884" s="12">
        <f>IF($A884="","",IF($I884="Yes",Settings!$J$10,1))</f>
        <v>1</v>
      </c>
      <c r="Y884" s="12">
        <f t="shared" si="2"/>
        <v>1</v>
      </c>
      <c r="Z884" s="12">
        <f>IF($A884="","",IFERROR(ROUND(AVERAGEIFS('Historical Drafts'!$G$4:$G$300,'Historical Drafts'!$D$4:$D$300,$E884,'Historical Drafts'!$J$4:$J$300,"&gt;="&amp;$L884*0.85,'Historical Drafts'!$J$4:$J$300,"&lt;="&amp;$L884*1.15),0),$Y884))</f>
        <v>1</v>
      </c>
      <c r="AA884" s="12" t="str">
        <f>IF($A884="","",IF(COUNTIF('Auction Log'!$B$3:$B$300,$A884)&gt;0,"Sold","Available"))</f>
        <v>Available</v>
      </c>
      <c r="AB884" s="12" t="str">
        <f t="array" ref="AB884">IF($A884="","",IFERROR(XLOOKUP($A884,'Auction Log'!$B$3:$B$300,'Auction Log'!$G$3:$G$300,""),""))</f>
        <v/>
      </c>
      <c r="AC884" s="12" t="str">
        <f t="array" ref="AC884">IF($A884="","",IFERROR(XLOOKUP($A884,'Auction Log'!$B$3:$B$300,'Auction Log'!$F$3:$F$300,""),""))</f>
        <v/>
      </c>
      <c r="AD884" s="12">
        <f t="array" ref="AD884">IF($A884="","",ROUND($Y884*XLOOKUP($F884,Settings!$I$15:$I$20,Settings!$K$15:$K$20,0.4),0))</f>
        <v>0</v>
      </c>
      <c r="AE884" s="12">
        <f t="array" ref="AE884">IF($A884="","",ROUND($Y884*XLOOKUP($F884,Settings!$I$15:$I$20,Settings!$L$15:$L$20,0.8),0))</f>
        <v>1</v>
      </c>
      <c r="AF884" s="12">
        <f t="array" ref="AF884">IF($A884="","",ROUND($Y884*XLOOKUP($F884,Settings!$I$15:$I$20,Settings!$M$15:$M$20,1),0))</f>
        <v>1</v>
      </c>
      <c r="AG884" s="12">
        <f t="array" ref="AG884">IF($A884="","",ROUND($Y884*XLOOKUP($F884,Settings!$I$15:$I$20,Settings!$N$15:$N$20,1.1),0))</f>
        <v>1</v>
      </c>
      <c r="AH884" s="12">
        <f t="array" ref="AH884">IF($A884="","",ROUND($Y884*XLOOKUP($F884,Settings!$I$15:$I$20,Settings!$O$15:$O$20,1.1)*Settings!$J$7,0))</f>
        <v>1</v>
      </c>
      <c r="AI884" s="12">
        <f t="array" ref="AI884">IF($A884="","",IF($AA884="Sold","",MIN($AH884,IFERROR(XLOOKUP(Settings!$B$12,Managers!$B$4:$B$15,Managers!$H$4:$H$15),$AH884))))</f>
        <v>1</v>
      </c>
      <c r="AJ884" s="12" t="str">
        <f t="shared" si="3"/>
        <v>Recommended</v>
      </c>
      <c r="AK884" s="12">
        <f t="shared" si="4"/>
        <v>26</v>
      </c>
      <c r="AL884" s="12" t="str">
        <f t="shared" si="5"/>
        <v/>
      </c>
    </row>
    <row r="885" ht="15.75" customHeight="1">
      <c r="A885" s="10" t="s">
        <v>2049</v>
      </c>
      <c r="B885" s="10" t="s">
        <v>2050</v>
      </c>
      <c r="C885" s="10" t="s">
        <v>185</v>
      </c>
      <c r="D885" s="10" t="s">
        <v>123</v>
      </c>
      <c r="E885" s="10" t="s">
        <v>123</v>
      </c>
      <c r="F885" s="10" t="s">
        <v>117</v>
      </c>
      <c r="G885" s="10">
        <v>5.0</v>
      </c>
      <c r="H885" s="10">
        <v>7.0</v>
      </c>
      <c r="I885" s="10" t="s">
        <v>2140</v>
      </c>
      <c r="J885" s="10" t="s">
        <v>2136</v>
      </c>
      <c r="K885" s="10"/>
      <c r="L885" s="10">
        <v>0.0</v>
      </c>
      <c r="M885" s="10">
        <v>0.0</v>
      </c>
      <c r="N885" s="10"/>
      <c r="O885" s="10"/>
      <c r="P885" s="12">
        <f>IF($A885="","",IFERROR((IF($O885="",0,$O885)*Settings!$J$4+IF($L885="",0,$L885)*Settings!$J$5+IF($N885="",0,$N885)*Settings!$J$6)/(IF($O885="",0,Settings!$J$4)+IF($L885="",0,Settings!$J$5)+IF($N885="",0,Settings!$J$6)),0))</f>
        <v>0</v>
      </c>
      <c r="Q885" s="12">
        <f t="array" ref="Q885">IF($A885="","",XLOOKUP($E885,Settings!$A$19:$A$22,Settings!$G$19:$G$22,0))</f>
        <v>203</v>
      </c>
      <c r="R885" s="12">
        <f t="shared" si="1"/>
        <v>0</v>
      </c>
      <c r="S885" s="12">
        <f>IF($A885="","",IF($R885&lt;=0,1,1+$R885/SUMIF($R$4:$R$923,"&gt;0",$R$4:$R$923)*(Settings!$B$5*(Settings!$B$6-Settings!$B$7))))</f>
        <v>1</v>
      </c>
      <c r="T885" s="12">
        <f t="array" ref="T885">IF($A885="","",XLOOKUP($F885,Settings!$I$15:$I$20,Settings!$J$15:$J$20,1))</f>
        <v>0.75</v>
      </c>
      <c r="U885" s="12">
        <f>IF($A885="","",1+(($G885-5)/5)*Settings!$J$8)</f>
        <v>1</v>
      </c>
      <c r="V885" s="12">
        <f>IF($A885="","",1+(($H885-5)/5)*Settings!$J$9)</f>
        <v>1.06</v>
      </c>
      <c r="W885" s="12">
        <f t="array" ref="W885">IF($A885="","",XLOOKUP($J885,Lists!$C$3:$C$7,Lists!$D$3:$D$7,1))</f>
        <v>1</v>
      </c>
      <c r="X885" s="12">
        <f>IF($A885="","",IF($I885="Yes",Settings!$J$10,1))</f>
        <v>1</v>
      </c>
      <c r="Y885" s="12">
        <f t="shared" si="2"/>
        <v>1</v>
      </c>
      <c r="Z885" s="12">
        <f>IF($A885="","",IFERROR(ROUND(AVERAGEIFS('Historical Drafts'!$G$4:$G$300,'Historical Drafts'!$D$4:$D$300,$E885,'Historical Drafts'!$J$4:$J$300,"&gt;="&amp;$L885*0.85,'Historical Drafts'!$J$4:$J$300,"&lt;="&amp;$L885*1.15),0),$Y885))</f>
        <v>3</v>
      </c>
      <c r="AA885" s="12" t="str">
        <f>IF($A885="","",IF(COUNTIF('Auction Log'!$B$3:$B$300,$A885)&gt;0,"Sold","Available"))</f>
        <v>Available</v>
      </c>
      <c r="AB885" s="12" t="str">
        <f t="array" ref="AB885">IF($A885="","",IFERROR(XLOOKUP($A885,'Auction Log'!$B$3:$B$300,'Auction Log'!$G$3:$G$300,""),""))</f>
        <v/>
      </c>
      <c r="AC885" s="12" t="str">
        <f t="array" ref="AC885">IF($A885="","",IFERROR(XLOOKUP($A885,'Auction Log'!$B$3:$B$300,'Auction Log'!$F$3:$F$300,""),""))</f>
        <v/>
      </c>
      <c r="AD885" s="12">
        <f t="array" ref="AD885">IF($A885="","",ROUND($Y885*XLOOKUP($F885,Settings!$I$15:$I$20,Settings!$K$15:$K$20,0.4),0))</f>
        <v>0</v>
      </c>
      <c r="AE885" s="12">
        <f t="array" ref="AE885">IF($A885="","",ROUND($Y885*XLOOKUP($F885,Settings!$I$15:$I$20,Settings!$L$15:$L$20,0.8),0))</f>
        <v>1</v>
      </c>
      <c r="AF885" s="12">
        <f t="array" ref="AF885">IF($A885="","",ROUND($Y885*XLOOKUP($F885,Settings!$I$15:$I$20,Settings!$M$15:$M$20,1),0))</f>
        <v>1</v>
      </c>
      <c r="AG885" s="12">
        <f t="array" ref="AG885">IF($A885="","",ROUND($Y885*XLOOKUP($F885,Settings!$I$15:$I$20,Settings!$N$15:$N$20,1.1),0))</f>
        <v>1</v>
      </c>
      <c r="AH885" s="12">
        <f t="array" ref="AH885">IF($A885="","",ROUND($Y885*XLOOKUP($F885,Settings!$I$15:$I$20,Settings!$O$15:$O$20,1.1)*Settings!$J$7,0))</f>
        <v>1</v>
      </c>
      <c r="AI885" s="12">
        <f t="array" ref="AI885">IF($A885="","",IF($AA885="Sold","",MIN($AH885,IFERROR(XLOOKUP(Settings!$B$12,Managers!$B$4:$B$15,Managers!$H$4:$H$15),$AH885))))</f>
        <v>1</v>
      </c>
      <c r="AJ885" s="12" t="str">
        <f t="shared" si="3"/>
        <v>Budget Drainer</v>
      </c>
      <c r="AK885" s="12">
        <f t="shared" si="4"/>
        <v>28</v>
      </c>
      <c r="AL885" s="12" t="str">
        <f t="shared" si="5"/>
        <v/>
      </c>
    </row>
    <row r="886" ht="15.75" customHeight="1">
      <c r="A886" s="10" t="s">
        <v>2051</v>
      </c>
      <c r="B886" s="10" t="s">
        <v>2052</v>
      </c>
      <c r="C886" s="10" t="s">
        <v>226</v>
      </c>
      <c r="D886" s="10" t="s">
        <v>121</v>
      </c>
      <c r="E886" s="10" t="s">
        <v>121</v>
      </c>
      <c r="F886" s="10" t="s">
        <v>117</v>
      </c>
      <c r="G886" s="10">
        <v>5.0</v>
      </c>
      <c r="H886" s="10">
        <v>7.0</v>
      </c>
      <c r="I886" s="10" t="s">
        <v>2140</v>
      </c>
      <c r="J886" s="10" t="s">
        <v>2136</v>
      </c>
      <c r="K886" s="10"/>
      <c r="L886" s="10">
        <v>0.0</v>
      </c>
      <c r="M886" s="10">
        <v>0.0</v>
      </c>
      <c r="N886" s="10"/>
      <c r="O886" s="10"/>
      <c r="P886" s="12">
        <f>IF($A886="","",IFERROR((IF($O886="",0,$O886)*Settings!$J$4+IF($L886="",0,$L886)*Settings!$J$5+IF($N886="",0,$N886)*Settings!$J$6)/(IF($O886="",0,Settings!$J$4)+IF($L886="",0,Settings!$J$5)+IF($N886="",0,Settings!$J$6)),0))</f>
        <v>0</v>
      </c>
      <c r="Q886" s="12">
        <f t="array" ref="Q886">IF($A886="","",XLOOKUP($E886,Settings!$A$19:$A$22,Settings!$G$19:$G$22,0))</f>
        <v>206</v>
      </c>
      <c r="R886" s="12">
        <f t="shared" si="1"/>
        <v>0</v>
      </c>
      <c r="S886" s="12">
        <f>IF($A886="","",IF($R886&lt;=0,1,1+$R886/SUMIF($R$4:$R$923,"&gt;0",$R$4:$R$923)*(Settings!$B$5*(Settings!$B$6-Settings!$B$7))))</f>
        <v>1</v>
      </c>
      <c r="T886" s="12">
        <f t="array" ref="T886">IF($A886="","",XLOOKUP($F886,Settings!$I$15:$I$20,Settings!$J$15:$J$20,1))</f>
        <v>0.75</v>
      </c>
      <c r="U886" s="12">
        <f>IF($A886="","",1+(($G886-5)/5)*Settings!$J$8)</f>
        <v>1</v>
      </c>
      <c r="V886" s="12">
        <f>IF($A886="","",1+(($H886-5)/5)*Settings!$J$9)</f>
        <v>1.06</v>
      </c>
      <c r="W886" s="12">
        <f t="array" ref="W886">IF($A886="","",XLOOKUP($J886,Lists!$C$3:$C$7,Lists!$D$3:$D$7,1))</f>
        <v>1</v>
      </c>
      <c r="X886" s="12">
        <f>IF($A886="","",IF($I886="Yes",Settings!$J$10,1))</f>
        <v>1</v>
      </c>
      <c r="Y886" s="12">
        <f t="shared" si="2"/>
        <v>1</v>
      </c>
      <c r="Z886" s="12">
        <f>IF($A886="","",IFERROR(ROUND(AVERAGEIFS('Historical Drafts'!$G$4:$G$300,'Historical Drafts'!$D$4:$D$300,$E886,'Historical Drafts'!$J$4:$J$300,"&gt;="&amp;$L886*0.85,'Historical Drafts'!$J$4:$J$300,"&lt;="&amp;$L886*1.15),0),$Y886))</f>
        <v>3</v>
      </c>
      <c r="AA886" s="12" t="str">
        <f>IF($A886="","",IF(COUNTIF('Auction Log'!$B$3:$B$300,$A886)&gt;0,"Sold","Available"))</f>
        <v>Available</v>
      </c>
      <c r="AB886" s="12" t="str">
        <f t="array" ref="AB886">IF($A886="","",IFERROR(XLOOKUP($A886,'Auction Log'!$B$3:$B$300,'Auction Log'!$G$3:$G$300,""),""))</f>
        <v/>
      </c>
      <c r="AC886" s="12" t="str">
        <f t="array" ref="AC886">IF($A886="","",IFERROR(XLOOKUP($A886,'Auction Log'!$B$3:$B$300,'Auction Log'!$F$3:$F$300,""),""))</f>
        <v/>
      </c>
      <c r="AD886" s="12">
        <f t="array" ref="AD886">IF($A886="","",ROUND($Y886*XLOOKUP($F886,Settings!$I$15:$I$20,Settings!$K$15:$K$20,0.4),0))</f>
        <v>0</v>
      </c>
      <c r="AE886" s="12">
        <f t="array" ref="AE886">IF($A886="","",ROUND($Y886*XLOOKUP($F886,Settings!$I$15:$I$20,Settings!$L$15:$L$20,0.8),0))</f>
        <v>1</v>
      </c>
      <c r="AF886" s="12">
        <f t="array" ref="AF886">IF($A886="","",ROUND($Y886*XLOOKUP($F886,Settings!$I$15:$I$20,Settings!$M$15:$M$20,1),0))</f>
        <v>1</v>
      </c>
      <c r="AG886" s="12">
        <f t="array" ref="AG886">IF($A886="","",ROUND($Y886*XLOOKUP($F886,Settings!$I$15:$I$20,Settings!$N$15:$N$20,1.1),0))</f>
        <v>1</v>
      </c>
      <c r="AH886" s="12">
        <f t="array" ref="AH886">IF($A886="","",ROUND($Y886*XLOOKUP($F886,Settings!$I$15:$I$20,Settings!$O$15:$O$20,1.1)*Settings!$J$7,0))</f>
        <v>1</v>
      </c>
      <c r="AI886" s="12">
        <f t="array" ref="AI886">IF($A886="","",IF($AA886="Sold","",MIN($AH886,IFERROR(XLOOKUP(Settings!$B$12,Managers!$B$4:$B$15,Managers!$H$4:$H$15),$AH886))))</f>
        <v>1</v>
      </c>
      <c r="AJ886" s="12" t="str">
        <f t="shared" si="3"/>
        <v>Budget Drainer</v>
      </c>
      <c r="AK886" s="12">
        <f t="shared" si="4"/>
        <v>28</v>
      </c>
      <c r="AL886" s="12" t="str">
        <f t="shared" si="5"/>
        <v/>
      </c>
    </row>
    <row r="887" ht="15.75" customHeight="1">
      <c r="A887" s="10" t="s">
        <v>2053</v>
      </c>
      <c r="B887" s="10" t="s">
        <v>2054</v>
      </c>
      <c r="C887" s="10" t="s">
        <v>236</v>
      </c>
      <c r="D887" s="10" t="s">
        <v>121</v>
      </c>
      <c r="E887" s="10" t="s">
        <v>121</v>
      </c>
      <c r="F887" s="10" t="s">
        <v>117</v>
      </c>
      <c r="G887" s="10">
        <v>5.0</v>
      </c>
      <c r="H887" s="10">
        <v>7.0</v>
      </c>
      <c r="I887" s="10" t="s">
        <v>2140</v>
      </c>
      <c r="J887" s="10" t="s">
        <v>2136</v>
      </c>
      <c r="K887" s="10"/>
      <c r="L887" s="10">
        <v>0.0</v>
      </c>
      <c r="M887" s="10">
        <v>0.0</v>
      </c>
      <c r="N887" s="10"/>
      <c r="O887" s="10"/>
      <c r="P887" s="12">
        <f>IF($A887="","",IFERROR((IF($O887="",0,$O887)*Settings!$J$4+IF($L887="",0,$L887)*Settings!$J$5+IF($N887="",0,$N887)*Settings!$J$6)/(IF($O887="",0,Settings!$J$4)+IF($L887="",0,Settings!$J$5)+IF($N887="",0,Settings!$J$6)),0))</f>
        <v>0</v>
      </c>
      <c r="Q887" s="12">
        <f t="array" ref="Q887">IF($A887="","",XLOOKUP($E887,Settings!$A$19:$A$22,Settings!$G$19:$G$22,0))</f>
        <v>206</v>
      </c>
      <c r="R887" s="12">
        <f t="shared" si="1"/>
        <v>0</v>
      </c>
      <c r="S887" s="12">
        <f>IF($A887="","",IF($R887&lt;=0,1,1+$R887/SUMIF($R$4:$R$923,"&gt;0",$R$4:$R$923)*(Settings!$B$5*(Settings!$B$6-Settings!$B$7))))</f>
        <v>1</v>
      </c>
      <c r="T887" s="12">
        <f t="array" ref="T887">IF($A887="","",XLOOKUP($F887,Settings!$I$15:$I$20,Settings!$J$15:$J$20,1))</f>
        <v>0.75</v>
      </c>
      <c r="U887" s="12">
        <f>IF($A887="","",1+(($G887-5)/5)*Settings!$J$8)</f>
        <v>1</v>
      </c>
      <c r="V887" s="12">
        <f>IF($A887="","",1+(($H887-5)/5)*Settings!$J$9)</f>
        <v>1.06</v>
      </c>
      <c r="W887" s="12">
        <f t="array" ref="W887">IF($A887="","",XLOOKUP($J887,Lists!$C$3:$C$7,Lists!$D$3:$D$7,1))</f>
        <v>1</v>
      </c>
      <c r="X887" s="12">
        <f>IF($A887="","",IF($I887="Yes",Settings!$J$10,1))</f>
        <v>1</v>
      </c>
      <c r="Y887" s="12">
        <f t="shared" si="2"/>
        <v>1</v>
      </c>
      <c r="Z887" s="12">
        <f>IF($A887="","",IFERROR(ROUND(AVERAGEIFS('Historical Drafts'!$G$4:$G$300,'Historical Drafts'!$D$4:$D$300,$E887,'Historical Drafts'!$J$4:$J$300,"&gt;="&amp;$L887*0.85,'Historical Drafts'!$J$4:$J$300,"&lt;="&amp;$L887*1.15),0),$Y887))</f>
        <v>3</v>
      </c>
      <c r="AA887" s="12" t="str">
        <f>IF($A887="","",IF(COUNTIF('Auction Log'!$B$3:$B$300,$A887)&gt;0,"Sold","Available"))</f>
        <v>Available</v>
      </c>
      <c r="AB887" s="12" t="str">
        <f t="array" ref="AB887">IF($A887="","",IFERROR(XLOOKUP($A887,'Auction Log'!$B$3:$B$300,'Auction Log'!$G$3:$G$300,""),""))</f>
        <v/>
      </c>
      <c r="AC887" s="12" t="str">
        <f t="array" ref="AC887">IF($A887="","",IFERROR(XLOOKUP($A887,'Auction Log'!$B$3:$B$300,'Auction Log'!$F$3:$F$300,""),""))</f>
        <v/>
      </c>
      <c r="AD887" s="12">
        <f t="array" ref="AD887">IF($A887="","",ROUND($Y887*XLOOKUP($F887,Settings!$I$15:$I$20,Settings!$K$15:$K$20,0.4),0))</f>
        <v>0</v>
      </c>
      <c r="AE887" s="12">
        <f t="array" ref="AE887">IF($A887="","",ROUND($Y887*XLOOKUP($F887,Settings!$I$15:$I$20,Settings!$L$15:$L$20,0.8),0))</f>
        <v>1</v>
      </c>
      <c r="AF887" s="12">
        <f t="array" ref="AF887">IF($A887="","",ROUND($Y887*XLOOKUP($F887,Settings!$I$15:$I$20,Settings!$M$15:$M$20,1),0))</f>
        <v>1</v>
      </c>
      <c r="AG887" s="12">
        <f t="array" ref="AG887">IF($A887="","",ROUND($Y887*XLOOKUP($F887,Settings!$I$15:$I$20,Settings!$N$15:$N$20,1.1),0))</f>
        <v>1</v>
      </c>
      <c r="AH887" s="12">
        <f t="array" ref="AH887">IF($A887="","",ROUND($Y887*XLOOKUP($F887,Settings!$I$15:$I$20,Settings!$O$15:$O$20,1.1)*Settings!$J$7,0))</f>
        <v>1</v>
      </c>
      <c r="AI887" s="12">
        <f t="array" ref="AI887">IF($A887="","",IF($AA887="Sold","",MIN($AH887,IFERROR(XLOOKUP(Settings!$B$12,Managers!$B$4:$B$15,Managers!$H$4:$H$15),$AH887))))</f>
        <v>1</v>
      </c>
      <c r="AJ887" s="12" t="str">
        <f t="shared" si="3"/>
        <v>Budget Drainer</v>
      </c>
      <c r="AK887" s="12">
        <f t="shared" si="4"/>
        <v>28</v>
      </c>
      <c r="AL887" s="12" t="str">
        <f t="shared" si="5"/>
        <v/>
      </c>
    </row>
    <row r="888" ht="15.75" customHeight="1">
      <c r="A888" s="10" t="s">
        <v>2055</v>
      </c>
      <c r="B888" s="10" t="s">
        <v>2056</v>
      </c>
      <c r="C888" s="10" t="s">
        <v>314</v>
      </c>
      <c r="D888" s="10" t="s">
        <v>121</v>
      </c>
      <c r="E888" s="10" t="s">
        <v>121</v>
      </c>
      <c r="F888" s="10" t="s">
        <v>117</v>
      </c>
      <c r="G888" s="10">
        <v>5.0</v>
      </c>
      <c r="H888" s="10">
        <v>7.0</v>
      </c>
      <c r="I888" s="10" t="s">
        <v>2140</v>
      </c>
      <c r="J888" s="10" t="s">
        <v>2136</v>
      </c>
      <c r="K888" s="10"/>
      <c r="L888" s="10">
        <v>0.0</v>
      </c>
      <c r="M888" s="10">
        <v>0.0</v>
      </c>
      <c r="N888" s="10"/>
      <c r="O888" s="10"/>
      <c r="P888" s="12">
        <f>IF($A888="","",IFERROR((IF($O888="",0,$O888)*Settings!$J$4+IF($L888="",0,$L888)*Settings!$J$5+IF($N888="",0,$N888)*Settings!$J$6)/(IF($O888="",0,Settings!$J$4)+IF($L888="",0,Settings!$J$5)+IF($N888="",0,Settings!$J$6)),0))</f>
        <v>0</v>
      </c>
      <c r="Q888" s="12">
        <f t="array" ref="Q888">IF($A888="","",XLOOKUP($E888,Settings!$A$19:$A$22,Settings!$G$19:$G$22,0))</f>
        <v>206</v>
      </c>
      <c r="R888" s="12">
        <f t="shared" si="1"/>
        <v>0</v>
      </c>
      <c r="S888" s="12">
        <f>IF($A888="","",IF($R888&lt;=0,1,1+$R888/SUMIF($R$4:$R$923,"&gt;0",$R$4:$R$923)*(Settings!$B$5*(Settings!$B$6-Settings!$B$7))))</f>
        <v>1</v>
      </c>
      <c r="T888" s="12">
        <f t="array" ref="T888">IF($A888="","",XLOOKUP($F888,Settings!$I$15:$I$20,Settings!$J$15:$J$20,1))</f>
        <v>0.75</v>
      </c>
      <c r="U888" s="12">
        <f>IF($A888="","",1+(($G888-5)/5)*Settings!$J$8)</f>
        <v>1</v>
      </c>
      <c r="V888" s="12">
        <f>IF($A888="","",1+(($H888-5)/5)*Settings!$J$9)</f>
        <v>1.06</v>
      </c>
      <c r="W888" s="12">
        <f t="array" ref="W888">IF($A888="","",XLOOKUP($J888,Lists!$C$3:$C$7,Lists!$D$3:$D$7,1))</f>
        <v>1</v>
      </c>
      <c r="X888" s="12">
        <f>IF($A888="","",IF($I888="Yes",Settings!$J$10,1))</f>
        <v>1</v>
      </c>
      <c r="Y888" s="12">
        <f t="shared" si="2"/>
        <v>1</v>
      </c>
      <c r="Z888" s="12">
        <f>IF($A888="","",IFERROR(ROUND(AVERAGEIFS('Historical Drafts'!$G$4:$G$300,'Historical Drafts'!$D$4:$D$300,$E888,'Historical Drafts'!$J$4:$J$300,"&gt;="&amp;$L888*0.85,'Historical Drafts'!$J$4:$J$300,"&lt;="&amp;$L888*1.15),0),$Y888))</f>
        <v>3</v>
      </c>
      <c r="AA888" s="12" t="str">
        <f>IF($A888="","",IF(COUNTIF('Auction Log'!$B$3:$B$300,$A888)&gt;0,"Sold","Available"))</f>
        <v>Available</v>
      </c>
      <c r="AB888" s="12" t="str">
        <f t="array" ref="AB888">IF($A888="","",IFERROR(XLOOKUP($A888,'Auction Log'!$B$3:$B$300,'Auction Log'!$G$3:$G$300,""),""))</f>
        <v/>
      </c>
      <c r="AC888" s="12" t="str">
        <f t="array" ref="AC888">IF($A888="","",IFERROR(XLOOKUP($A888,'Auction Log'!$B$3:$B$300,'Auction Log'!$F$3:$F$300,""),""))</f>
        <v/>
      </c>
      <c r="AD888" s="12">
        <f t="array" ref="AD888">IF($A888="","",ROUND($Y888*XLOOKUP($F888,Settings!$I$15:$I$20,Settings!$K$15:$K$20,0.4),0))</f>
        <v>0</v>
      </c>
      <c r="AE888" s="12">
        <f t="array" ref="AE888">IF($A888="","",ROUND($Y888*XLOOKUP($F888,Settings!$I$15:$I$20,Settings!$L$15:$L$20,0.8),0))</f>
        <v>1</v>
      </c>
      <c r="AF888" s="12">
        <f t="array" ref="AF888">IF($A888="","",ROUND($Y888*XLOOKUP($F888,Settings!$I$15:$I$20,Settings!$M$15:$M$20,1),0))</f>
        <v>1</v>
      </c>
      <c r="AG888" s="12">
        <f t="array" ref="AG888">IF($A888="","",ROUND($Y888*XLOOKUP($F888,Settings!$I$15:$I$20,Settings!$N$15:$N$20,1.1),0))</f>
        <v>1</v>
      </c>
      <c r="AH888" s="12">
        <f t="array" ref="AH888">IF($A888="","",ROUND($Y888*XLOOKUP($F888,Settings!$I$15:$I$20,Settings!$O$15:$O$20,1.1)*Settings!$J$7,0))</f>
        <v>1</v>
      </c>
      <c r="AI888" s="12">
        <f t="array" ref="AI888">IF($A888="","",IF($AA888="Sold","",MIN($AH888,IFERROR(XLOOKUP(Settings!$B$12,Managers!$B$4:$B$15,Managers!$H$4:$H$15),$AH888))))</f>
        <v>1</v>
      </c>
      <c r="AJ888" s="12" t="str">
        <f t="shared" si="3"/>
        <v>Budget Drainer</v>
      </c>
      <c r="AK888" s="12">
        <f t="shared" si="4"/>
        <v>28</v>
      </c>
      <c r="AL888" s="12" t="str">
        <f t="shared" si="5"/>
        <v/>
      </c>
    </row>
    <row r="889" ht="15.75" customHeight="1">
      <c r="A889" s="10" t="s">
        <v>2057</v>
      </c>
      <c r="B889" s="10" t="s">
        <v>2058</v>
      </c>
      <c r="C889" s="10" t="s">
        <v>221</v>
      </c>
      <c r="D889" s="10" t="s">
        <v>115</v>
      </c>
      <c r="E889" s="10" t="s">
        <v>115</v>
      </c>
      <c r="F889" s="10" t="s">
        <v>117</v>
      </c>
      <c r="G889" s="10">
        <v>5.0</v>
      </c>
      <c r="H889" s="10">
        <v>7.0</v>
      </c>
      <c r="I889" s="10" t="s">
        <v>2140</v>
      </c>
      <c r="J889" s="10" t="s">
        <v>2136</v>
      </c>
      <c r="K889" s="10"/>
      <c r="L889" s="10">
        <v>0.0</v>
      </c>
      <c r="M889" s="10">
        <v>0.0</v>
      </c>
      <c r="N889" s="10"/>
      <c r="O889" s="10"/>
      <c r="P889" s="12">
        <f>IF($A889="","",IFERROR((IF($O889="",0,$O889)*Settings!$J$4+IF($L889="",0,$L889)*Settings!$J$5+IF($N889="",0,$N889)*Settings!$J$6)/(IF($O889="",0,Settings!$J$4)+IF($L889="",0,Settings!$J$5)+IF($N889="",0,Settings!$J$6)),0))</f>
        <v>0</v>
      </c>
      <c r="Q889" s="12">
        <f t="array" ref="Q889">IF($A889="","",XLOOKUP($E889,Settings!$A$19:$A$22,Settings!$G$19:$G$22,0))</f>
        <v>249.25</v>
      </c>
      <c r="R889" s="12">
        <f t="shared" si="1"/>
        <v>0</v>
      </c>
      <c r="S889" s="12">
        <f>IF($A889="","",IF($R889&lt;=0,1,1+$R889/SUMIF($R$4:$R$923,"&gt;0",$R$4:$R$923)*(Settings!$B$5*(Settings!$B$6-Settings!$B$7))))</f>
        <v>1</v>
      </c>
      <c r="T889" s="12">
        <f t="array" ref="T889">IF($A889="","",XLOOKUP($F889,Settings!$I$15:$I$20,Settings!$J$15:$J$20,1))</f>
        <v>0.75</v>
      </c>
      <c r="U889" s="12">
        <f>IF($A889="","",1+(($G889-5)/5)*Settings!$J$8)</f>
        <v>1</v>
      </c>
      <c r="V889" s="12">
        <f>IF($A889="","",1+(($H889-5)/5)*Settings!$J$9)</f>
        <v>1.06</v>
      </c>
      <c r="W889" s="12">
        <f t="array" ref="W889">IF($A889="","",XLOOKUP($J889,Lists!$C$3:$C$7,Lists!$D$3:$D$7,1))</f>
        <v>1</v>
      </c>
      <c r="X889" s="12">
        <f>IF($A889="","",IF($I889="Yes",Settings!$J$10,1))</f>
        <v>1</v>
      </c>
      <c r="Y889" s="12">
        <f t="shared" si="2"/>
        <v>1</v>
      </c>
      <c r="Z889" s="12">
        <f>IF($A889="","",IFERROR(ROUND(AVERAGEIFS('Historical Drafts'!$G$4:$G$300,'Historical Drafts'!$D$4:$D$300,$E889,'Historical Drafts'!$J$4:$J$300,"&gt;="&amp;$L889*0.85,'Historical Drafts'!$J$4:$J$300,"&lt;="&amp;$L889*1.15),0),$Y889))</f>
        <v>1</v>
      </c>
      <c r="AA889" s="12" t="str">
        <f>IF($A889="","",IF(COUNTIF('Auction Log'!$B$3:$B$300,$A889)&gt;0,"Sold","Available"))</f>
        <v>Available</v>
      </c>
      <c r="AB889" s="12" t="str">
        <f t="array" ref="AB889">IF($A889="","",IFERROR(XLOOKUP($A889,'Auction Log'!$B$3:$B$300,'Auction Log'!$G$3:$G$300,""),""))</f>
        <v/>
      </c>
      <c r="AC889" s="12" t="str">
        <f t="array" ref="AC889">IF($A889="","",IFERROR(XLOOKUP($A889,'Auction Log'!$B$3:$B$300,'Auction Log'!$F$3:$F$300,""),""))</f>
        <v/>
      </c>
      <c r="AD889" s="12">
        <f t="array" ref="AD889">IF($A889="","",ROUND($Y889*XLOOKUP($F889,Settings!$I$15:$I$20,Settings!$K$15:$K$20,0.4),0))</f>
        <v>0</v>
      </c>
      <c r="AE889" s="12">
        <f t="array" ref="AE889">IF($A889="","",ROUND($Y889*XLOOKUP($F889,Settings!$I$15:$I$20,Settings!$L$15:$L$20,0.8),0))</f>
        <v>1</v>
      </c>
      <c r="AF889" s="12">
        <f t="array" ref="AF889">IF($A889="","",ROUND($Y889*XLOOKUP($F889,Settings!$I$15:$I$20,Settings!$M$15:$M$20,1),0))</f>
        <v>1</v>
      </c>
      <c r="AG889" s="12">
        <f t="array" ref="AG889">IF($A889="","",ROUND($Y889*XLOOKUP($F889,Settings!$I$15:$I$20,Settings!$N$15:$N$20,1.1),0))</f>
        <v>1</v>
      </c>
      <c r="AH889" s="12">
        <f t="array" ref="AH889">IF($A889="","",ROUND($Y889*XLOOKUP($F889,Settings!$I$15:$I$20,Settings!$O$15:$O$20,1.1)*Settings!$J$7,0))</f>
        <v>1</v>
      </c>
      <c r="AI889" s="12">
        <f t="array" ref="AI889">IF($A889="","",IF($AA889="Sold","",MIN($AH889,IFERROR(XLOOKUP(Settings!$B$12,Managers!$B$4:$B$15,Managers!$H$4:$H$15),$AH889))))</f>
        <v>1</v>
      </c>
      <c r="AJ889" s="12" t="str">
        <f t="shared" si="3"/>
        <v>Recommended</v>
      </c>
      <c r="AK889" s="12">
        <f t="shared" si="4"/>
        <v>26</v>
      </c>
      <c r="AL889" s="12" t="str">
        <f t="shared" si="5"/>
        <v/>
      </c>
    </row>
    <row r="890" ht="15.75" customHeight="1">
      <c r="A890" s="10" t="s">
        <v>2059</v>
      </c>
      <c r="B890" s="10" t="s">
        <v>2060</v>
      </c>
      <c r="C890" s="10" t="s">
        <v>188</v>
      </c>
      <c r="D890" s="10" t="s">
        <v>118</v>
      </c>
      <c r="E890" s="10" t="s">
        <v>118</v>
      </c>
      <c r="F890" s="10" t="s">
        <v>117</v>
      </c>
      <c r="G890" s="10">
        <v>5.0</v>
      </c>
      <c r="H890" s="10">
        <v>7.0</v>
      </c>
      <c r="I890" s="10" t="s">
        <v>2140</v>
      </c>
      <c r="J890" s="10" t="s">
        <v>2136</v>
      </c>
      <c r="K890" s="10"/>
      <c r="L890" s="10">
        <v>0.0</v>
      </c>
      <c r="M890" s="10">
        <v>0.0</v>
      </c>
      <c r="N890" s="10"/>
      <c r="O890" s="10"/>
      <c r="P890" s="12">
        <f>IF($A890="","",IFERROR((IF($O890="",0,$O890)*Settings!$J$4+IF($L890="",0,$L890)*Settings!$J$5+IF($N890="",0,$N890)*Settings!$J$6)/(IF($O890="",0,Settings!$J$4)+IF($L890="",0,Settings!$J$5)+IF($N890="",0,Settings!$J$6)),0))</f>
        <v>0</v>
      </c>
      <c r="Q890" s="12">
        <f t="array" ref="Q890">IF($A890="","",XLOOKUP($E890,Settings!$A$19:$A$22,Settings!$G$19:$G$22,0))</f>
        <v>196.25</v>
      </c>
      <c r="R890" s="12">
        <f t="shared" si="1"/>
        <v>0</v>
      </c>
      <c r="S890" s="12">
        <f>IF($A890="","",IF($R890&lt;=0,1,1+$R890/SUMIF($R$4:$R$923,"&gt;0",$R$4:$R$923)*(Settings!$B$5*(Settings!$B$6-Settings!$B$7))))</f>
        <v>1</v>
      </c>
      <c r="T890" s="12">
        <f t="array" ref="T890">IF($A890="","",XLOOKUP($F890,Settings!$I$15:$I$20,Settings!$J$15:$J$20,1))</f>
        <v>0.75</v>
      </c>
      <c r="U890" s="12">
        <f>IF($A890="","",1+(($G890-5)/5)*Settings!$J$8)</f>
        <v>1</v>
      </c>
      <c r="V890" s="12">
        <f>IF($A890="","",1+(($H890-5)/5)*Settings!$J$9)</f>
        <v>1.06</v>
      </c>
      <c r="W890" s="12">
        <f t="array" ref="W890">IF($A890="","",XLOOKUP($J890,Lists!$C$3:$C$7,Lists!$D$3:$D$7,1))</f>
        <v>1</v>
      </c>
      <c r="X890" s="12">
        <f>IF($A890="","",IF($I890="Yes",Settings!$J$10,1))</f>
        <v>1</v>
      </c>
      <c r="Y890" s="12">
        <f t="shared" si="2"/>
        <v>1</v>
      </c>
      <c r="Z890" s="12">
        <f>IF($A890="","",IFERROR(ROUND(AVERAGEIFS('Historical Drafts'!$G$4:$G$300,'Historical Drafts'!$D$4:$D$300,$E890,'Historical Drafts'!$J$4:$J$300,"&gt;="&amp;$L890*0.85,'Historical Drafts'!$J$4:$J$300,"&lt;="&amp;$L890*1.15),0),$Y890))</f>
        <v>1</v>
      </c>
      <c r="AA890" s="12" t="str">
        <f>IF($A890="","",IF(COUNTIF('Auction Log'!$B$3:$B$300,$A890)&gt;0,"Sold","Available"))</f>
        <v>Available</v>
      </c>
      <c r="AB890" s="12" t="str">
        <f t="array" ref="AB890">IF($A890="","",IFERROR(XLOOKUP($A890,'Auction Log'!$B$3:$B$300,'Auction Log'!$G$3:$G$300,""),""))</f>
        <v/>
      </c>
      <c r="AC890" s="12" t="str">
        <f t="array" ref="AC890">IF($A890="","",IFERROR(XLOOKUP($A890,'Auction Log'!$B$3:$B$300,'Auction Log'!$F$3:$F$300,""),""))</f>
        <v/>
      </c>
      <c r="AD890" s="12">
        <f t="array" ref="AD890">IF($A890="","",ROUND($Y890*XLOOKUP($F890,Settings!$I$15:$I$20,Settings!$K$15:$K$20,0.4),0))</f>
        <v>0</v>
      </c>
      <c r="AE890" s="12">
        <f t="array" ref="AE890">IF($A890="","",ROUND($Y890*XLOOKUP($F890,Settings!$I$15:$I$20,Settings!$L$15:$L$20,0.8),0))</f>
        <v>1</v>
      </c>
      <c r="AF890" s="12">
        <f t="array" ref="AF890">IF($A890="","",ROUND($Y890*XLOOKUP($F890,Settings!$I$15:$I$20,Settings!$M$15:$M$20,1),0))</f>
        <v>1</v>
      </c>
      <c r="AG890" s="12">
        <f t="array" ref="AG890">IF($A890="","",ROUND($Y890*XLOOKUP($F890,Settings!$I$15:$I$20,Settings!$N$15:$N$20,1.1),0))</f>
        <v>1</v>
      </c>
      <c r="AH890" s="12">
        <f t="array" ref="AH890">IF($A890="","",ROUND($Y890*XLOOKUP($F890,Settings!$I$15:$I$20,Settings!$O$15:$O$20,1.1)*Settings!$J$7,0))</f>
        <v>1</v>
      </c>
      <c r="AI890" s="12">
        <f t="array" ref="AI890">IF($A890="","",IF($AA890="Sold","",MIN($AH890,IFERROR(XLOOKUP(Settings!$B$12,Managers!$B$4:$B$15,Managers!$H$4:$H$15),$AH890))))</f>
        <v>1</v>
      </c>
      <c r="AJ890" s="12" t="str">
        <f t="shared" si="3"/>
        <v>Recommended</v>
      </c>
      <c r="AK890" s="12">
        <f t="shared" si="4"/>
        <v>26</v>
      </c>
      <c r="AL890" s="12" t="str">
        <f t="shared" si="5"/>
        <v/>
      </c>
    </row>
    <row r="891" ht="15.75" customHeight="1">
      <c r="A891" s="10" t="s">
        <v>2061</v>
      </c>
      <c r="B891" s="10" t="s">
        <v>2062</v>
      </c>
      <c r="C891" s="10" t="s">
        <v>285</v>
      </c>
      <c r="D891" s="10" t="s">
        <v>118</v>
      </c>
      <c r="E891" s="10" t="s">
        <v>118</v>
      </c>
      <c r="F891" s="10" t="s">
        <v>117</v>
      </c>
      <c r="G891" s="10">
        <v>5.0</v>
      </c>
      <c r="H891" s="10">
        <v>7.0</v>
      </c>
      <c r="I891" s="10" t="s">
        <v>2140</v>
      </c>
      <c r="J891" s="10" t="s">
        <v>2136</v>
      </c>
      <c r="K891" s="10"/>
      <c r="L891" s="10">
        <v>0.0</v>
      </c>
      <c r="M891" s="10">
        <v>0.0</v>
      </c>
      <c r="N891" s="10"/>
      <c r="O891" s="10"/>
      <c r="P891" s="12">
        <f>IF($A891="","",IFERROR((IF($O891="",0,$O891)*Settings!$J$4+IF($L891="",0,$L891)*Settings!$J$5+IF($N891="",0,$N891)*Settings!$J$6)/(IF($O891="",0,Settings!$J$4)+IF($L891="",0,Settings!$J$5)+IF($N891="",0,Settings!$J$6)),0))</f>
        <v>0</v>
      </c>
      <c r="Q891" s="12">
        <f t="array" ref="Q891">IF($A891="","",XLOOKUP($E891,Settings!$A$19:$A$22,Settings!$G$19:$G$22,0))</f>
        <v>196.25</v>
      </c>
      <c r="R891" s="12">
        <f t="shared" si="1"/>
        <v>0</v>
      </c>
      <c r="S891" s="12">
        <f>IF($A891="","",IF($R891&lt;=0,1,1+$R891/SUMIF($R$4:$R$923,"&gt;0",$R$4:$R$923)*(Settings!$B$5*(Settings!$B$6-Settings!$B$7))))</f>
        <v>1</v>
      </c>
      <c r="T891" s="12">
        <f t="array" ref="T891">IF($A891="","",XLOOKUP($F891,Settings!$I$15:$I$20,Settings!$J$15:$J$20,1))</f>
        <v>0.75</v>
      </c>
      <c r="U891" s="12">
        <f>IF($A891="","",1+(($G891-5)/5)*Settings!$J$8)</f>
        <v>1</v>
      </c>
      <c r="V891" s="12">
        <f>IF($A891="","",1+(($H891-5)/5)*Settings!$J$9)</f>
        <v>1.06</v>
      </c>
      <c r="W891" s="12">
        <f t="array" ref="W891">IF($A891="","",XLOOKUP($J891,Lists!$C$3:$C$7,Lists!$D$3:$D$7,1))</f>
        <v>1</v>
      </c>
      <c r="X891" s="12">
        <f>IF($A891="","",IF($I891="Yes",Settings!$J$10,1))</f>
        <v>1</v>
      </c>
      <c r="Y891" s="12">
        <f t="shared" si="2"/>
        <v>1</v>
      </c>
      <c r="Z891" s="12">
        <f>IF($A891="","",IFERROR(ROUND(AVERAGEIFS('Historical Drafts'!$G$4:$G$300,'Historical Drafts'!$D$4:$D$300,$E891,'Historical Drafts'!$J$4:$J$300,"&gt;="&amp;$L891*0.85,'Historical Drafts'!$J$4:$J$300,"&lt;="&amp;$L891*1.15),0),$Y891))</f>
        <v>1</v>
      </c>
      <c r="AA891" s="12" t="str">
        <f>IF($A891="","",IF(COUNTIF('Auction Log'!$B$3:$B$300,$A891)&gt;0,"Sold","Available"))</f>
        <v>Available</v>
      </c>
      <c r="AB891" s="12" t="str">
        <f t="array" ref="AB891">IF($A891="","",IFERROR(XLOOKUP($A891,'Auction Log'!$B$3:$B$300,'Auction Log'!$G$3:$G$300,""),""))</f>
        <v/>
      </c>
      <c r="AC891" s="12" t="str">
        <f t="array" ref="AC891">IF($A891="","",IFERROR(XLOOKUP($A891,'Auction Log'!$B$3:$B$300,'Auction Log'!$F$3:$F$300,""),""))</f>
        <v/>
      </c>
      <c r="AD891" s="12">
        <f t="array" ref="AD891">IF($A891="","",ROUND($Y891*XLOOKUP($F891,Settings!$I$15:$I$20,Settings!$K$15:$K$20,0.4),0))</f>
        <v>0</v>
      </c>
      <c r="AE891" s="12">
        <f t="array" ref="AE891">IF($A891="","",ROUND($Y891*XLOOKUP($F891,Settings!$I$15:$I$20,Settings!$L$15:$L$20,0.8),0))</f>
        <v>1</v>
      </c>
      <c r="AF891" s="12">
        <f t="array" ref="AF891">IF($A891="","",ROUND($Y891*XLOOKUP($F891,Settings!$I$15:$I$20,Settings!$M$15:$M$20,1),0))</f>
        <v>1</v>
      </c>
      <c r="AG891" s="12">
        <f t="array" ref="AG891">IF($A891="","",ROUND($Y891*XLOOKUP($F891,Settings!$I$15:$I$20,Settings!$N$15:$N$20,1.1),0))</f>
        <v>1</v>
      </c>
      <c r="AH891" s="12">
        <f t="array" ref="AH891">IF($A891="","",ROUND($Y891*XLOOKUP($F891,Settings!$I$15:$I$20,Settings!$O$15:$O$20,1.1)*Settings!$J$7,0))</f>
        <v>1</v>
      </c>
      <c r="AI891" s="12">
        <f t="array" ref="AI891">IF($A891="","",IF($AA891="Sold","",MIN($AH891,IFERROR(XLOOKUP(Settings!$B$12,Managers!$B$4:$B$15,Managers!$H$4:$H$15),$AH891))))</f>
        <v>1</v>
      </c>
      <c r="AJ891" s="12" t="str">
        <f t="shared" si="3"/>
        <v>Recommended</v>
      </c>
      <c r="AK891" s="12">
        <f t="shared" si="4"/>
        <v>26</v>
      </c>
      <c r="AL891" s="12" t="str">
        <f t="shared" si="5"/>
        <v/>
      </c>
    </row>
    <row r="892" ht="15.75" customHeight="1">
      <c r="A892" s="10" t="s">
        <v>2063</v>
      </c>
      <c r="B892" s="10" t="s">
        <v>2064</v>
      </c>
      <c r="C892" s="10" t="s">
        <v>185</v>
      </c>
      <c r="D892" s="10" t="s">
        <v>658</v>
      </c>
      <c r="E892" s="10" t="s">
        <v>658</v>
      </c>
      <c r="F892" s="10" t="s">
        <v>117</v>
      </c>
      <c r="G892" s="10">
        <v>5.0</v>
      </c>
      <c r="H892" s="10">
        <v>7.0</v>
      </c>
      <c r="I892" s="10" t="s">
        <v>2140</v>
      </c>
      <c r="J892" s="10" t="s">
        <v>2136</v>
      </c>
      <c r="K892" s="10"/>
      <c r="L892" s="10">
        <v>0.0</v>
      </c>
      <c r="M892" s="10">
        <v>0.0</v>
      </c>
      <c r="N892" s="10"/>
      <c r="O892" s="10"/>
      <c r="P892" s="12">
        <f>IF($A892="","",IFERROR((IF($O892="",0,$O892)*Settings!$J$4+IF($L892="",0,$L892)*Settings!$J$5+IF($N892="",0,$N892)*Settings!$J$6)/(IF($O892="",0,Settings!$J$4)+IF($L892="",0,Settings!$J$5)+IF($N892="",0,Settings!$J$6)),0))</f>
        <v>0</v>
      </c>
      <c r="Q892" s="12">
        <f t="array" ref="Q892">IF($A892="","",XLOOKUP($E892,Settings!$A$19:$A$22,Settings!$G$19:$G$22,0))</f>
        <v>0</v>
      </c>
      <c r="R892" s="12">
        <f t="shared" si="1"/>
        <v>0</v>
      </c>
      <c r="S892" s="12">
        <f>IF($A892="","",IF($R892&lt;=0,1,1+$R892/SUMIF($R$4:$R$923,"&gt;0",$R$4:$R$923)*(Settings!$B$5*(Settings!$B$6-Settings!$B$7))))</f>
        <v>1</v>
      </c>
      <c r="T892" s="12">
        <f t="array" ref="T892">IF($A892="","",XLOOKUP($F892,Settings!$I$15:$I$20,Settings!$J$15:$J$20,1))</f>
        <v>0.75</v>
      </c>
      <c r="U892" s="12">
        <f>IF($A892="","",1+(($G892-5)/5)*Settings!$J$8)</f>
        <v>1</v>
      </c>
      <c r="V892" s="12">
        <f>IF($A892="","",1+(($H892-5)/5)*Settings!$J$9)</f>
        <v>1.06</v>
      </c>
      <c r="W892" s="12">
        <f t="array" ref="W892">IF($A892="","",XLOOKUP($J892,Lists!$C$3:$C$7,Lists!$D$3:$D$7,1))</f>
        <v>1</v>
      </c>
      <c r="X892" s="12">
        <f>IF($A892="","",IF($I892="Yes",Settings!$J$10,1))</f>
        <v>1</v>
      </c>
      <c r="Y892" s="12">
        <f t="shared" si="2"/>
        <v>1</v>
      </c>
      <c r="Z892" s="12">
        <f>IF($A892="","",IFERROR(ROUND(AVERAGEIFS('Historical Drafts'!$G$4:$G$300,'Historical Drafts'!$D$4:$D$300,$E892,'Historical Drafts'!$J$4:$J$300,"&gt;="&amp;$L892*0.85,'Historical Drafts'!$J$4:$J$300,"&lt;="&amp;$L892*1.15),0),$Y892))</f>
        <v>1</v>
      </c>
      <c r="AA892" s="12" t="str">
        <f>IF($A892="","",IF(COUNTIF('Auction Log'!$B$3:$B$300,$A892)&gt;0,"Sold","Available"))</f>
        <v>Available</v>
      </c>
      <c r="AB892" s="12" t="str">
        <f t="array" ref="AB892">IF($A892="","",IFERROR(XLOOKUP($A892,'Auction Log'!$B$3:$B$300,'Auction Log'!$G$3:$G$300,""),""))</f>
        <v/>
      </c>
      <c r="AC892" s="12" t="str">
        <f t="array" ref="AC892">IF($A892="","",IFERROR(XLOOKUP($A892,'Auction Log'!$B$3:$B$300,'Auction Log'!$F$3:$F$300,""),""))</f>
        <v/>
      </c>
      <c r="AD892" s="12">
        <f t="array" ref="AD892">IF($A892="","",ROUND($Y892*XLOOKUP($F892,Settings!$I$15:$I$20,Settings!$K$15:$K$20,0.4),0))</f>
        <v>0</v>
      </c>
      <c r="AE892" s="12">
        <f t="array" ref="AE892">IF($A892="","",ROUND($Y892*XLOOKUP($F892,Settings!$I$15:$I$20,Settings!$L$15:$L$20,0.8),0))</f>
        <v>1</v>
      </c>
      <c r="AF892" s="12">
        <f t="array" ref="AF892">IF($A892="","",ROUND($Y892*XLOOKUP($F892,Settings!$I$15:$I$20,Settings!$M$15:$M$20,1),0))</f>
        <v>1</v>
      </c>
      <c r="AG892" s="12">
        <f t="array" ref="AG892">IF($A892="","",ROUND($Y892*XLOOKUP($F892,Settings!$I$15:$I$20,Settings!$N$15:$N$20,1.1),0))</f>
        <v>1</v>
      </c>
      <c r="AH892" s="12">
        <f t="array" ref="AH892">IF($A892="","",ROUND($Y892*XLOOKUP($F892,Settings!$I$15:$I$20,Settings!$O$15:$O$20,1.1)*Settings!$J$7,0))</f>
        <v>1</v>
      </c>
      <c r="AI892" s="12">
        <f t="array" ref="AI892">IF($A892="","",IF($AA892="Sold","",MIN($AH892,IFERROR(XLOOKUP(Settings!$B$12,Managers!$B$4:$B$15,Managers!$H$4:$H$15),$AH892))))</f>
        <v>1</v>
      </c>
      <c r="AJ892" s="12" t="str">
        <f t="shared" si="3"/>
        <v>Recommended</v>
      </c>
      <c r="AK892" s="12">
        <f t="shared" si="4"/>
        <v>26</v>
      </c>
      <c r="AL892" s="12" t="str">
        <f t="shared" si="5"/>
        <v/>
      </c>
    </row>
    <row r="893" ht="15.75" customHeight="1">
      <c r="A893" s="10" t="s">
        <v>2065</v>
      </c>
      <c r="B893" s="10" t="s">
        <v>2066</v>
      </c>
      <c r="C893" s="10" t="s">
        <v>177</v>
      </c>
      <c r="D893" s="10" t="s">
        <v>118</v>
      </c>
      <c r="E893" s="10" t="s">
        <v>118</v>
      </c>
      <c r="F893" s="10" t="s">
        <v>117</v>
      </c>
      <c r="G893" s="10">
        <v>5.0</v>
      </c>
      <c r="H893" s="10">
        <v>7.0</v>
      </c>
      <c r="I893" s="10" t="s">
        <v>2140</v>
      </c>
      <c r="J893" s="10" t="s">
        <v>2136</v>
      </c>
      <c r="K893" s="10"/>
      <c r="L893" s="10">
        <v>0.0</v>
      </c>
      <c r="M893" s="10">
        <v>0.0</v>
      </c>
      <c r="N893" s="10"/>
      <c r="O893" s="10"/>
      <c r="P893" s="12">
        <f>IF($A893="","",IFERROR((IF($O893="",0,$O893)*Settings!$J$4+IF($L893="",0,$L893)*Settings!$J$5+IF($N893="",0,$N893)*Settings!$J$6)/(IF($O893="",0,Settings!$J$4)+IF($L893="",0,Settings!$J$5)+IF($N893="",0,Settings!$J$6)),0))</f>
        <v>0</v>
      </c>
      <c r="Q893" s="12">
        <f t="array" ref="Q893">IF($A893="","",XLOOKUP($E893,Settings!$A$19:$A$22,Settings!$G$19:$G$22,0))</f>
        <v>196.25</v>
      </c>
      <c r="R893" s="12">
        <f t="shared" si="1"/>
        <v>0</v>
      </c>
      <c r="S893" s="12">
        <f>IF($A893="","",IF($R893&lt;=0,1,1+$R893/SUMIF($R$4:$R$923,"&gt;0",$R$4:$R$923)*(Settings!$B$5*(Settings!$B$6-Settings!$B$7))))</f>
        <v>1</v>
      </c>
      <c r="T893" s="12">
        <f t="array" ref="T893">IF($A893="","",XLOOKUP($F893,Settings!$I$15:$I$20,Settings!$J$15:$J$20,1))</f>
        <v>0.75</v>
      </c>
      <c r="U893" s="12">
        <f>IF($A893="","",1+(($G893-5)/5)*Settings!$J$8)</f>
        <v>1</v>
      </c>
      <c r="V893" s="12">
        <f>IF($A893="","",1+(($H893-5)/5)*Settings!$J$9)</f>
        <v>1.06</v>
      </c>
      <c r="W893" s="12">
        <f t="array" ref="W893">IF($A893="","",XLOOKUP($J893,Lists!$C$3:$C$7,Lists!$D$3:$D$7,1))</f>
        <v>1</v>
      </c>
      <c r="X893" s="12">
        <f>IF($A893="","",IF($I893="Yes",Settings!$J$10,1))</f>
        <v>1</v>
      </c>
      <c r="Y893" s="12">
        <f t="shared" si="2"/>
        <v>1</v>
      </c>
      <c r="Z893" s="12">
        <f>IF($A893="","",IFERROR(ROUND(AVERAGEIFS('Historical Drafts'!$G$4:$G$300,'Historical Drafts'!$D$4:$D$300,$E893,'Historical Drafts'!$J$4:$J$300,"&gt;="&amp;$L893*0.85,'Historical Drafts'!$J$4:$J$300,"&lt;="&amp;$L893*1.15),0),$Y893))</f>
        <v>1</v>
      </c>
      <c r="AA893" s="12" t="str">
        <f>IF($A893="","",IF(COUNTIF('Auction Log'!$B$3:$B$300,$A893)&gt;0,"Sold","Available"))</f>
        <v>Available</v>
      </c>
      <c r="AB893" s="12" t="str">
        <f t="array" ref="AB893">IF($A893="","",IFERROR(XLOOKUP($A893,'Auction Log'!$B$3:$B$300,'Auction Log'!$G$3:$G$300,""),""))</f>
        <v/>
      </c>
      <c r="AC893" s="12" t="str">
        <f t="array" ref="AC893">IF($A893="","",IFERROR(XLOOKUP($A893,'Auction Log'!$B$3:$B$300,'Auction Log'!$F$3:$F$300,""),""))</f>
        <v/>
      </c>
      <c r="AD893" s="12">
        <f t="array" ref="AD893">IF($A893="","",ROUND($Y893*XLOOKUP($F893,Settings!$I$15:$I$20,Settings!$K$15:$K$20,0.4),0))</f>
        <v>0</v>
      </c>
      <c r="AE893" s="12">
        <f t="array" ref="AE893">IF($A893="","",ROUND($Y893*XLOOKUP($F893,Settings!$I$15:$I$20,Settings!$L$15:$L$20,0.8),0))</f>
        <v>1</v>
      </c>
      <c r="AF893" s="12">
        <f t="array" ref="AF893">IF($A893="","",ROUND($Y893*XLOOKUP($F893,Settings!$I$15:$I$20,Settings!$M$15:$M$20,1),0))</f>
        <v>1</v>
      </c>
      <c r="AG893" s="12">
        <f t="array" ref="AG893">IF($A893="","",ROUND($Y893*XLOOKUP($F893,Settings!$I$15:$I$20,Settings!$N$15:$N$20,1.1),0))</f>
        <v>1</v>
      </c>
      <c r="AH893" s="12">
        <f t="array" ref="AH893">IF($A893="","",ROUND($Y893*XLOOKUP($F893,Settings!$I$15:$I$20,Settings!$O$15:$O$20,1.1)*Settings!$J$7,0))</f>
        <v>1</v>
      </c>
      <c r="AI893" s="12">
        <f t="array" ref="AI893">IF($A893="","",IF($AA893="Sold","",MIN($AH893,IFERROR(XLOOKUP(Settings!$B$12,Managers!$B$4:$B$15,Managers!$H$4:$H$15),$AH893))))</f>
        <v>1</v>
      </c>
      <c r="AJ893" s="12" t="str">
        <f t="shared" si="3"/>
        <v>Recommended</v>
      </c>
      <c r="AK893" s="12">
        <f t="shared" si="4"/>
        <v>26</v>
      </c>
      <c r="AL893" s="12" t="str">
        <f t="shared" si="5"/>
        <v/>
      </c>
    </row>
    <row r="894" ht="15.75" customHeight="1">
      <c r="A894" s="10" t="s">
        <v>2067</v>
      </c>
      <c r="B894" s="10" t="s">
        <v>2068</v>
      </c>
      <c r="C894" s="10" t="s">
        <v>243</v>
      </c>
      <c r="D894" s="10" t="s">
        <v>121</v>
      </c>
      <c r="E894" s="10" t="s">
        <v>121</v>
      </c>
      <c r="F894" s="10" t="s">
        <v>117</v>
      </c>
      <c r="G894" s="10">
        <v>5.0</v>
      </c>
      <c r="H894" s="10">
        <v>7.0</v>
      </c>
      <c r="I894" s="10" t="s">
        <v>2140</v>
      </c>
      <c r="J894" s="10" t="s">
        <v>2136</v>
      </c>
      <c r="K894" s="10"/>
      <c r="L894" s="10">
        <v>0.0</v>
      </c>
      <c r="M894" s="10">
        <v>0.0</v>
      </c>
      <c r="N894" s="10"/>
      <c r="O894" s="10"/>
      <c r="P894" s="12">
        <f>IF($A894="","",IFERROR((IF($O894="",0,$O894)*Settings!$J$4+IF($L894="",0,$L894)*Settings!$J$5+IF($N894="",0,$N894)*Settings!$J$6)/(IF($O894="",0,Settings!$J$4)+IF($L894="",0,Settings!$J$5)+IF($N894="",0,Settings!$J$6)),0))</f>
        <v>0</v>
      </c>
      <c r="Q894" s="12">
        <f t="array" ref="Q894">IF($A894="","",XLOOKUP($E894,Settings!$A$19:$A$22,Settings!$G$19:$G$22,0))</f>
        <v>206</v>
      </c>
      <c r="R894" s="12">
        <f t="shared" si="1"/>
        <v>0</v>
      </c>
      <c r="S894" s="12">
        <f>IF($A894="","",IF($R894&lt;=0,1,1+$R894/SUMIF($R$4:$R$923,"&gt;0",$R$4:$R$923)*(Settings!$B$5*(Settings!$B$6-Settings!$B$7))))</f>
        <v>1</v>
      </c>
      <c r="T894" s="12">
        <f t="array" ref="T894">IF($A894="","",XLOOKUP($F894,Settings!$I$15:$I$20,Settings!$J$15:$J$20,1))</f>
        <v>0.75</v>
      </c>
      <c r="U894" s="12">
        <f>IF($A894="","",1+(($G894-5)/5)*Settings!$J$8)</f>
        <v>1</v>
      </c>
      <c r="V894" s="12">
        <f>IF($A894="","",1+(($H894-5)/5)*Settings!$J$9)</f>
        <v>1.06</v>
      </c>
      <c r="W894" s="12">
        <f t="array" ref="W894">IF($A894="","",XLOOKUP($J894,Lists!$C$3:$C$7,Lists!$D$3:$D$7,1))</f>
        <v>1</v>
      </c>
      <c r="X894" s="12">
        <f>IF($A894="","",IF($I894="Yes",Settings!$J$10,1))</f>
        <v>1</v>
      </c>
      <c r="Y894" s="12">
        <f t="shared" si="2"/>
        <v>1</v>
      </c>
      <c r="Z894" s="12">
        <f>IF($A894="","",IFERROR(ROUND(AVERAGEIFS('Historical Drafts'!$G$4:$G$300,'Historical Drafts'!$D$4:$D$300,$E894,'Historical Drafts'!$J$4:$J$300,"&gt;="&amp;$L894*0.85,'Historical Drafts'!$J$4:$J$300,"&lt;="&amp;$L894*1.15),0),$Y894))</f>
        <v>3</v>
      </c>
      <c r="AA894" s="12" t="str">
        <f>IF($A894="","",IF(COUNTIF('Auction Log'!$B$3:$B$300,$A894)&gt;0,"Sold","Available"))</f>
        <v>Available</v>
      </c>
      <c r="AB894" s="12" t="str">
        <f t="array" ref="AB894">IF($A894="","",IFERROR(XLOOKUP($A894,'Auction Log'!$B$3:$B$300,'Auction Log'!$G$3:$G$300,""),""))</f>
        <v/>
      </c>
      <c r="AC894" s="12" t="str">
        <f t="array" ref="AC894">IF($A894="","",IFERROR(XLOOKUP($A894,'Auction Log'!$B$3:$B$300,'Auction Log'!$F$3:$F$300,""),""))</f>
        <v/>
      </c>
      <c r="AD894" s="12">
        <f t="array" ref="AD894">IF($A894="","",ROUND($Y894*XLOOKUP($F894,Settings!$I$15:$I$20,Settings!$K$15:$K$20,0.4),0))</f>
        <v>0</v>
      </c>
      <c r="AE894" s="12">
        <f t="array" ref="AE894">IF($A894="","",ROUND($Y894*XLOOKUP($F894,Settings!$I$15:$I$20,Settings!$L$15:$L$20,0.8),0))</f>
        <v>1</v>
      </c>
      <c r="AF894" s="12">
        <f t="array" ref="AF894">IF($A894="","",ROUND($Y894*XLOOKUP($F894,Settings!$I$15:$I$20,Settings!$M$15:$M$20,1),0))</f>
        <v>1</v>
      </c>
      <c r="AG894" s="12">
        <f t="array" ref="AG894">IF($A894="","",ROUND($Y894*XLOOKUP($F894,Settings!$I$15:$I$20,Settings!$N$15:$N$20,1.1),0))</f>
        <v>1</v>
      </c>
      <c r="AH894" s="12">
        <f t="array" ref="AH894">IF($A894="","",ROUND($Y894*XLOOKUP($F894,Settings!$I$15:$I$20,Settings!$O$15:$O$20,1.1)*Settings!$J$7,0))</f>
        <v>1</v>
      </c>
      <c r="AI894" s="12">
        <f t="array" ref="AI894">IF($A894="","",IF($AA894="Sold","",MIN($AH894,IFERROR(XLOOKUP(Settings!$B$12,Managers!$B$4:$B$15,Managers!$H$4:$H$15),$AH894))))</f>
        <v>1</v>
      </c>
      <c r="AJ894" s="12" t="str">
        <f t="shared" si="3"/>
        <v>Budget Drainer</v>
      </c>
      <c r="AK894" s="12">
        <f t="shared" si="4"/>
        <v>28</v>
      </c>
      <c r="AL894" s="12" t="str">
        <f t="shared" si="5"/>
        <v/>
      </c>
    </row>
    <row r="895" ht="15.75" customHeight="1">
      <c r="A895" s="10" t="s">
        <v>2069</v>
      </c>
      <c r="B895" s="10" t="s">
        <v>2070</v>
      </c>
      <c r="C895" s="10" t="s">
        <v>236</v>
      </c>
      <c r="D895" s="10" t="s">
        <v>115</v>
      </c>
      <c r="E895" s="10" t="s">
        <v>115</v>
      </c>
      <c r="F895" s="10" t="s">
        <v>117</v>
      </c>
      <c r="G895" s="10">
        <v>5.0</v>
      </c>
      <c r="H895" s="10">
        <v>7.0</v>
      </c>
      <c r="I895" s="10" t="s">
        <v>2140</v>
      </c>
      <c r="J895" s="10" t="s">
        <v>2136</v>
      </c>
      <c r="K895" s="10"/>
      <c r="L895" s="10">
        <v>0.0</v>
      </c>
      <c r="M895" s="10">
        <v>0.0</v>
      </c>
      <c r="N895" s="10"/>
      <c r="O895" s="10"/>
      <c r="P895" s="12">
        <f>IF($A895="","",IFERROR((IF($O895="",0,$O895)*Settings!$J$4+IF($L895="",0,$L895)*Settings!$J$5+IF($N895="",0,$N895)*Settings!$J$6)/(IF($O895="",0,Settings!$J$4)+IF($L895="",0,Settings!$J$5)+IF($N895="",0,Settings!$J$6)),0))</f>
        <v>0</v>
      </c>
      <c r="Q895" s="12">
        <f t="array" ref="Q895">IF($A895="","",XLOOKUP($E895,Settings!$A$19:$A$22,Settings!$G$19:$G$22,0))</f>
        <v>249.25</v>
      </c>
      <c r="R895" s="12">
        <f t="shared" si="1"/>
        <v>0</v>
      </c>
      <c r="S895" s="12">
        <f>IF($A895="","",IF($R895&lt;=0,1,1+$R895/SUMIF($R$4:$R$923,"&gt;0",$R$4:$R$923)*(Settings!$B$5*(Settings!$B$6-Settings!$B$7))))</f>
        <v>1</v>
      </c>
      <c r="T895" s="12">
        <f t="array" ref="T895">IF($A895="","",XLOOKUP($F895,Settings!$I$15:$I$20,Settings!$J$15:$J$20,1))</f>
        <v>0.75</v>
      </c>
      <c r="U895" s="12">
        <f>IF($A895="","",1+(($G895-5)/5)*Settings!$J$8)</f>
        <v>1</v>
      </c>
      <c r="V895" s="12">
        <f>IF($A895="","",1+(($H895-5)/5)*Settings!$J$9)</f>
        <v>1.06</v>
      </c>
      <c r="W895" s="12">
        <f t="array" ref="W895">IF($A895="","",XLOOKUP($J895,Lists!$C$3:$C$7,Lists!$D$3:$D$7,1))</f>
        <v>1</v>
      </c>
      <c r="X895" s="12">
        <f>IF($A895="","",IF($I895="Yes",Settings!$J$10,1))</f>
        <v>1</v>
      </c>
      <c r="Y895" s="12">
        <f t="shared" si="2"/>
        <v>1</v>
      </c>
      <c r="Z895" s="12">
        <f>IF($A895="","",IFERROR(ROUND(AVERAGEIFS('Historical Drafts'!$G$4:$G$300,'Historical Drafts'!$D$4:$D$300,$E895,'Historical Drafts'!$J$4:$J$300,"&gt;="&amp;$L895*0.85,'Historical Drafts'!$J$4:$J$300,"&lt;="&amp;$L895*1.15),0),$Y895))</f>
        <v>1</v>
      </c>
      <c r="AA895" s="12" t="str">
        <f>IF($A895="","",IF(COUNTIF('Auction Log'!$B$3:$B$300,$A895)&gt;0,"Sold","Available"))</f>
        <v>Available</v>
      </c>
      <c r="AB895" s="12" t="str">
        <f t="array" ref="AB895">IF($A895="","",IFERROR(XLOOKUP($A895,'Auction Log'!$B$3:$B$300,'Auction Log'!$G$3:$G$300,""),""))</f>
        <v/>
      </c>
      <c r="AC895" s="12" t="str">
        <f t="array" ref="AC895">IF($A895="","",IFERROR(XLOOKUP($A895,'Auction Log'!$B$3:$B$300,'Auction Log'!$F$3:$F$300,""),""))</f>
        <v/>
      </c>
      <c r="AD895" s="12">
        <f t="array" ref="AD895">IF($A895="","",ROUND($Y895*XLOOKUP($F895,Settings!$I$15:$I$20,Settings!$K$15:$K$20,0.4),0))</f>
        <v>0</v>
      </c>
      <c r="AE895" s="12">
        <f t="array" ref="AE895">IF($A895="","",ROUND($Y895*XLOOKUP($F895,Settings!$I$15:$I$20,Settings!$L$15:$L$20,0.8),0))</f>
        <v>1</v>
      </c>
      <c r="AF895" s="12">
        <f t="array" ref="AF895">IF($A895="","",ROUND($Y895*XLOOKUP($F895,Settings!$I$15:$I$20,Settings!$M$15:$M$20,1),0))</f>
        <v>1</v>
      </c>
      <c r="AG895" s="12">
        <f t="array" ref="AG895">IF($A895="","",ROUND($Y895*XLOOKUP($F895,Settings!$I$15:$I$20,Settings!$N$15:$N$20,1.1),0))</f>
        <v>1</v>
      </c>
      <c r="AH895" s="12">
        <f t="array" ref="AH895">IF($A895="","",ROUND($Y895*XLOOKUP($F895,Settings!$I$15:$I$20,Settings!$O$15:$O$20,1.1)*Settings!$J$7,0))</f>
        <v>1</v>
      </c>
      <c r="AI895" s="12">
        <f t="array" ref="AI895">IF($A895="","",IF($AA895="Sold","",MIN($AH895,IFERROR(XLOOKUP(Settings!$B$12,Managers!$B$4:$B$15,Managers!$H$4:$H$15),$AH895))))</f>
        <v>1</v>
      </c>
      <c r="AJ895" s="12" t="str">
        <f t="shared" si="3"/>
        <v>Recommended</v>
      </c>
      <c r="AK895" s="12">
        <f t="shared" si="4"/>
        <v>26</v>
      </c>
      <c r="AL895" s="12" t="str">
        <f t="shared" si="5"/>
        <v/>
      </c>
    </row>
    <row r="896" ht="15.75" customHeight="1">
      <c r="A896" s="10" t="s">
        <v>2071</v>
      </c>
      <c r="B896" s="10" t="s">
        <v>2072</v>
      </c>
      <c r="C896" s="10" t="s">
        <v>243</v>
      </c>
      <c r="D896" s="10" t="s">
        <v>123</v>
      </c>
      <c r="E896" s="10" t="s">
        <v>123</v>
      </c>
      <c r="F896" s="10" t="s">
        <v>117</v>
      </c>
      <c r="G896" s="10">
        <v>5.0</v>
      </c>
      <c r="H896" s="10">
        <v>7.0</v>
      </c>
      <c r="I896" s="10" t="s">
        <v>2140</v>
      </c>
      <c r="J896" s="10" t="s">
        <v>2136</v>
      </c>
      <c r="K896" s="10"/>
      <c r="L896" s="10">
        <v>0.0</v>
      </c>
      <c r="M896" s="10">
        <v>0.0</v>
      </c>
      <c r="N896" s="10"/>
      <c r="O896" s="10"/>
      <c r="P896" s="12">
        <f>IF($A896="","",IFERROR((IF($O896="",0,$O896)*Settings!$J$4+IF($L896="",0,$L896)*Settings!$J$5+IF($N896="",0,$N896)*Settings!$J$6)/(IF($O896="",0,Settings!$J$4)+IF($L896="",0,Settings!$J$5)+IF($N896="",0,Settings!$J$6)),0))</f>
        <v>0</v>
      </c>
      <c r="Q896" s="12">
        <f t="array" ref="Q896">IF($A896="","",XLOOKUP($E896,Settings!$A$19:$A$22,Settings!$G$19:$G$22,0))</f>
        <v>203</v>
      </c>
      <c r="R896" s="12">
        <f t="shared" si="1"/>
        <v>0</v>
      </c>
      <c r="S896" s="12">
        <f>IF($A896="","",IF($R896&lt;=0,1,1+$R896/SUMIF($R$4:$R$923,"&gt;0",$R$4:$R$923)*(Settings!$B$5*(Settings!$B$6-Settings!$B$7))))</f>
        <v>1</v>
      </c>
      <c r="T896" s="12">
        <f t="array" ref="T896">IF($A896="","",XLOOKUP($F896,Settings!$I$15:$I$20,Settings!$J$15:$J$20,1))</f>
        <v>0.75</v>
      </c>
      <c r="U896" s="12">
        <f>IF($A896="","",1+(($G896-5)/5)*Settings!$J$8)</f>
        <v>1</v>
      </c>
      <c r="V896" s="12">
        <f>IF($A896="","",1+(($H896-5)/5)*Settings!$J$9)</f>
        <v>1.06</v>
      </c>
      <c r="W896" s="12">
        <f t="array" ref="W896">IF($A896="","",XLOOKUP($J896,Lists!$C$3:$C$7,Lists!$D$3:$D$7,1))</f>
        <v>1</v>
      </c>
      <c r="X896" s="12">
        <f>IF($A896="","",IF($I896="Yes",Settings!$J$10,1))</f>
        <v>1</v>
      </c>
      <c r="Y896" s="12">
        <f t="shared" si="2"/>
        <v>1</v>
      </c>
      <c r="Z896" s="12">
        <f>IF($A896="","",IFERROR(ROUND(AVERAGEIFS('Historical Drafts'!$G$4:$G$300,'Historical Drafts'!$D$4:$D$300,$E896,'Historical Drafts'!$J$4:$J$300,"&gt;="&amp;$L896*0.85,'Historical Drafts'!$J$4:$J$300,"&lt;="&amp;$L896*1.15),0),$Y896))</f>
        <v>3</v>
      </c>
      <c r="AA896" s="12" t="str">
        <f>IF($A896="","",IF(COUNTIF('Auction Log'!$B$3:$B$300,$A896)&gt;0,"Sold","Available"))</f>
        <v>Available</v>
      </c>
      <c r="AB896" s="12" t="str">
        <f t="array" ref="AB896">IF($A896="","",IFERROR(XLOOKUP($A896,'Auction Log'!$B$3:$B$300,'Auction Log'!$G$3:$G$300,""),""))</f>
        <v/>
      </c>
      <c r="AC896" s="12" t="str">
        <f t="array" ref="AC896">IF($A896="","",IFERROR(XLOOKUP($A896,'Auction Log'!$B$3:$B$300,'Auction Log'!$F$3:$F$300,""),""))</f>
        <v/>
      </c>
      <c r="AD896" s="12">
        <f t="array" ref="AD896">IF($A896="","",ROUND($Y896*XLOOKUP($F896,Settings!$I$15:$I$20,Settings!$K$15:$K$20,0.4),0))</f>
        <v>0</v>
      </c>
      <c r="AE896" s="12">
        <f t="array" ref="AE896">IF($A896="","",ROUND($Y896*XLOOKUP($F896,Settings!$I$15:$I$20,Settings!$L$15:$L$20,0.8),0))</f>
        <v>1</v>
      </c>
      <c r="AF896" s="12">
        <f t="array" ref="AF896">IF($A896="","",ROUND($Y896*XLOOKUP($F896,Settings!$I$15:$I$20,Settings!$M$15:$M$20,1),0))</f>
        <v>1</v>
      </c>
      <c r="AG896" s="12">
        <f t="array" ref="AG896">IF($A896="","",ROUND($Y896*XLOOKUP($F896,Settings!$I$15:$I$20,Settings!$N$15:$N$20,1.1),0))</f>
        <v>1</v>
      </c>
      <c r="AH896" s="12">
        <f t="array" ref="AH896">IF($A896="","",ROUND($Y896*XLOOKUP($F896,Settings!$I$15:$I$20,Settings!$O$15:$O$20,1.1)*Settings!$J$7,0))</f>
        <v>1</v>
      </c>
      <c r="AI896" s="12">
        <f t="array" ref="AI896">IF($A896="","",IF($AA896="Sold","",MIN($AH896,IFERROR(XLOOKUP(Settings!$B$12,Managers!$B$4:$B$15,Managers!$H$4:$H$15),$AH896))))</f>
        <v>1</v>
      </c>
      <c r="AJ896" s="12" t="str">
        <f t="shared" si="3"/>
        <v>Budget Drainer</v>
      </c>
      <c r="AK896" s="12">
        <f t="shared" si="4"/>
        <v>28</v>
      </c>
      <c r="AL896" s="12" t="str">
        <f t="shared" si="5"/>
        <v/>
      </c>
    </row>
    <row r="897" ht="15.75" customHeight="1">
      <c r="A897" s="10" t="s">
        <v>2073</v>
      </c>
      <c r="B897" s="10" t="s">
        <v>2074</v>
      </c>
      <c r="C897" s="10" t="s">
        <v>180</v>
      </c>
      <c r="D897" s="10" t="s">
        <v>118</v>
      </c>
      <c r="E897" s="10" t="s">
        <v>118</v>
      </c>
      <c r="F897" s="10" t="s">
        <v>117</v>
      </c>
      <c r="G897" s="10">
        <v>5.0</v>
      </c>
      <c r="H897" s="10">
        <v>7.0</v>
      </c>
      <c r="I897" s="10" t="s">
        <v>2140</v>
      </c>
      <c r="J897" s="10" t="s">
        <v>2136</v>
      </c>
      <c r="K897" s="10"/>
      <c r="L897" s="10">
        <v>0.0</v>
      </c>
      <c r="M897" s="10">
        <v>0.0</v>
      </c>
      <c r="N897" s="10"/>
      <c r="O897" s="10"/>
      <c r="P897" s="12">
        <f>IF($A897="","",IFERROR((IF($O897="",0,$O897)*Settings!$J$4+IF($L897="",0,$L897)*Settings!$J$5+IF($N897="",0,$N897)*Settings!$J$6)/(IF($O897="",0,Settings!$J$4)+IF($L897="",0,Settings!$J$5)+IF($N897="",0,Settings!$J$6)),0))</f>
        <v>0</v>
      </c>
      <c r="Q897" s="12">
        <f t="array" ref="Q897">IF($A897="","",XLOOKUP($E897,Settings!$A$19:$A$22,Settings!$G$19:$G$22,0))</f>
        <v>196.25</v>
      </c>
      <c r="R897" s="12">
        <f t="shared" si="1"/>
        <v>0</v>
      </c>
      <c r="S897" s="12">
        <f>IF($A897="","",IF($R897&lt;=0,1,1+$R897/SUMIF($R$4:$R$923,"&gt;0",$R$4:$R$923)*(Settings!$B$5*(Settings!$B$6-Settings!$B$7))))</f>
        <v>1</v>
      </c>
      <c r="T897" s="12">
        <f t="array" ref="T897">IF($A897="","",XLOOKUP($F897,Settings!$I$15:$I$20,Settings!$J$15:$J$20,1))</f>
        <v>0.75</v>
      </c>
      <c r="U897" s="12">
        <f>IF($A897="","",1+(($G897-5)/5)*Settings!$J$8)</f>
        <v>1</v>
      </c>
      <c r="V897" s="12">
        <f>IF($A897="","",1+(($H897-5)/5)*Settings!$J$9)</f>
        <v>1.06</v>
      </c>
      <c r="W897" s="12">
        <f t="array" ref="W897">IF($A897="","",XLOOKUP($J897,Lists!$C$3:$C$7,Lists!$D$3:$D$7,1))</f>
        <v>1</v>
      </c>
      <c r="X897" s="12">
        <f>IF($A897="","",IF($I897="Yes",Settings!$J$10,1))</f>
        <v>1</v>
      </c>
      <c r="Y897" s="12">
        <f t="shared" si="2"/>
        <v>1</v>
      </c>
      <c r="Z897" s="12">
        <f>IF($A897="","",IFERROR(ROUND(AVERAGEIFS('Historical Drafts'!$G$4:$G$300,'Historical Drafts'!$D$4:$D$300,$E897,'Historical Drafts'!$J$4:$J$300,"&gt;="&amp;$L897*0.85,'Historical Drafts'!$J$4:$J$300,"&lt;="&amp;$L897*1.15),0),$Y897))</f>
        <v>1</v>
      </c>
      <c r="AA897" s="12" t="str">
        <f>IF($A897="","",IF(COUNTIF('Auction Log'!$B$3:$B$300,$A897)&gt;0,"Sold","Available"))</f>
        <v>Available</v>
      </c>
      <c r="AB897" s="12" t="str">
        <f t="array" ref="AB897">IF($A897="","",IFERROR(XLOOKUP($A897,'Auction Log'!$B$3:$B$300,'Auction Log'!$G$3:$G$300,""),""))</f>
        <v/>
      </c>
      <c r="AC897" s="12" t="str">
        <f t="array" ref="AC897">IF($A897="","",IFERROR(XLOOKUP($A897,'Auction Log'!$B$3:$B$300,'Auction Log'!$F$3:$F$300,""),""))</f>
        <v/>
      </c>
      <c r="AD897" s="12">
        <f t="array" ref="AD897">IF($A897="","",ROUND($Y897*XLOOKUP($F897,Settings!$I$15:$I$20,Settings!$K$15:$K$20,0.4),0))</f>
        <v>0</v>
      </c>
      <c r="AE897" s="12">
        <f t="array" ref="AE897">IF($A897="","",ROUND($Y897*XLOOKUP($F897,Settings!$I$15:$I$20,Settings!$L$15:$L$20,0.8),0))</f>
        <v>1</v>
      </c>
      <c r="AF897" s="12">
        <f t="array" ref="AF897">IF($A897="","",ROUND($Y897*XLOOKUP($F897,Settings!$I$15:$I$20,Settings!$M$15:$M$20,1),0))</f>
        <v>1</v>
      </c>
      <c r="AG897" s="12">
        <f t="array" ref="AG897">IF($A897="","",ROUND($Y897*XLOOKUP($F897,Settings!$I$15:$I$20,Settings!$N$15:$N$20,1.1),0))</f>
        <v>1</v>
      </c>
      <c r="AH897" s="12">
        <f t="array" ref="AH897">IF($A897="","",ROUND($Y897*XLOOKUP($F897,Settings!$I$15:$I$20,Settings!$O$15:$O$20,1.1)*Settings!$J$7,0))</f>
        <v>1</v>
      </c>
      <c r="AI897" s="12">
        <f t="array" ref="AI897">IF($A897="","",IF($AA897="Sold","",MIN($AH897,IFERROR(XLOOKUP(Settings!$B$12,Managers!$B$4:$B$15,Managers!$H$4:$H$15),$AH897))))</f>
        <v>1</v>
      </c>
      <c r="AJ897" s="12" t="str">
        <f t="shared" si="3"/>
        <v>Recommended</v>
      </c>
      <c r="AK897" s="12">
        <f t="shared" si="4"/>
        <v>26</v>
      </c>
      <c r="AL897" s="12" t="str">
        <f t="shared" si="5"/>
        <v/>
      </c>
    </row>
    <row r="898" ht="15.75" customHeight="1">
      <c r="A898" s="10" t="s">
        <v>2075</v>
      </c>
      <c r="B898" s="10" t="s">
        <v>2076</v>
      </c>
      <c r="C898" s="10" t="s">
        <v>285</v>
      </c>
      <c r="D898" s="10" t="s">
        <v>121</v>
      </c>
      <c r="E898" s="10" t="s">
        <v>121</v>
      </c>
      <c r="F898" s="10" t="s">
        <v>117</v>
      </c>
      <c r="G898" s="10">
        <v>5.0</v>
      </c>
      <c r="H898" s="10">
        <v>7.0</v>
      </c>
      <c r="I898" s="10" t="s">
        <v>2140</v>
      </c>
      <c r="J898" s="10" t="s">
        <v>2136</v>
      </c>
      <c r="K898" s="10"/>
      <c r="L898" s="10">
        <v>0.0</v>
      </c>
      <c r="M898" s="10">
        <v>0.0</v>
      </c>
      <c r="N898" s="10"/>
      <c r="O898" s="10"/>
      <c r="P898" s="12">
        <f>IF($A898="","",IFERROR((IF($O898="",0,$O898)*Settings!$J$4+IF($L898="",0,$L898)*Settings!$J$5+IF($N898="",0,$N898)*Settings!$J$6)/(IF($O898="",0,Settings!$J$4)+IF($L898="",0,Settings!$J$5)+IF($N898="",0,Settings!$J$6)),0))</f>
        <v>0</v>
      </c>
      <c r="Q898" s="12">
        <f t="array" ref="Q898">IF($A898="","",XLOOKUP($E898,Settings!$A$19:$A$22,Settings!$G$19:$G$22,0))</f>
        <v>206</v>
      </c>
      <c r="R898" s="12">
        <f t="shared" si="1"/>
        <v>0</v>
      </c>
      <c r="S898" s="12">
        <f>IF($A898="","",IF($R898&lt;=0,1,1+$R898/SUMIF($R$4:$R$923,"&gt;0",$R$4:$R$923)*(Settings!$B$5*(Settings!$B$6-Settings!$B$7))))</f>
        <v>1</v>
      </c>
      <c r="T898" s="12">
        <f t="array" ref="T898">IF($A898="","",XLOOKUP($F898,Settings!$I$15:$I$20,Settings!$J$15:$J$20,1))</f>
        <v>0.75</v>
      </c>
      <c r="U898" s="12">
        <f>IF($A898="","",1+(($G898-5)/5)*Settings!$J$8)</f>
        <v>1</v>
      </c>
      <c r="V898" s="12">
        <f>IF($A898="","",1+(($H898-5)/5)*Settings!$J$9)</f>
        <v>1.06</v>
      </c>
      <c r="W898" s="12">
        <f t="array" ref="W898">IF($A898="","",XLOOKUP($J898,Lists!$C$3:$C$7,Lists!$D$3:$D$7,1))</f>
        <v>1</v>
      </c>
      <c r="X898" s="12">
        <f>IF($A898="","",IF($I898="Yes",Settings!$J$10,1))</f>
        <v>1</v>
      </c>
      <c r="Y898" s="12">
        <f t="shared" si="2"/>
        <v>1</v>
      </c>
      <c r="Z898" s="12">
        <f>IF($A898="","",IFERROR(ROUND(AVERAGEIFS('Historical Drafts'!$G$4:$G$300,'Historical Drafts'!$D$4:$D$300,$E898,'Historical Drafts'!$J$4:$J$300,"&gt;="&amp;$L898*0.85,'Historical Drafts'!$J$4:$J$300,"&lt;="&amp;$L898*1.15),0),$Y898))</f>
        <v>3</v>
      </c>
      <c r="AA898" s="12" t="str">
        <f>IF($A898="","",IF(COUNTIF('Auction Log'!$B$3:$B$300,$A898)&gt;0,"Sold","Available"))</f>
        <v>Available</v>
      </c>
      <c r="AB898" s="12" t="str">
        <f t="array" ref="AB898">IF($A898="","",IFERROR(XLOOKUP($A898,'Auction Log'!$B$3:$B$300,'Auction Log'!$G$3:$G$300,""),""))</f>
        <v/>
      </c>
      <c r="AC898" s="12" t="str">
        <f t="array" ref="AC898">IF($A898="","",IFERROR(XLOOKUP($A898,'Auction Log'!$B$3:$B$300,'Auction Log'!$F$3:$F$300,""),""))</f>
        <v/>
      </c>
      <c r="AD898" s="12">
        <f t="array" ref="AD898">IF($A898="","",ROUND($Y898*XLOOKUP($F898,Settings!$I$15:$I$20,Settings!$K$15:$K$20,0.4),0))</f>
        <v>0</v>
      </c>
      <c r="AE898" s="12">
        <f t="array" ref="AE898">IF($A898="","",ROUND($Y898*XLOOKUP($F898,Settings!$I$15:$I$20,Settings!$L$15:$L$20,0.8),0))</f>
        <v>1</v>
      </c>
      <c r="AF898" s="12">
        <f t="array" ref="AF898">IF($A898="","",ROUND($Y898*XLOOKUP($F898,Settings!$I$15:$I$20,Settings!$M$15:$M$20,1),0))</f>
        <v>1</v>
      </c>
      <c r="AG898" s="12">
        <f t="array" ref="AG898">IF($A898="","",ROUND($Y898*XLOOKUP($F898,Settings!$I$15:$I$20,Settings!$N$15:$N$20,1.1),0))</f>
        <v>1</v>
      </c>
      <c r="AH898" s="12">
        <f t="array" ref="AH898">IF($A898="","",ROUND($Y898*XLOOKUP($F898,Settings!$I$15:$I$20,Settings!$O$15:$O$20,1.1)*Settings!$J$7,0))</f>
        <v>1</v>
      </c>
      <c r="AI898" s="12">
        <f t="array" ref="AI898">IF($A898="","",IF($AA898="Sold","",MIN($AH898,IFERROR(XLOOKUP(Settings!$B$12,Managers!$B$4:$B$15,Managers!$H$4:$H$15),$AH898))))</f>
        <v>1</v>
      </c>
      <c r="AJ898" s="12" t="str">
        <f t="shared" si="3"/>
        <v>Budget Drainer</v>
      </c>
      <c r="AK898" s="12">
        <f t="shared" si="4"/>
        <v>28</v>
      </c>
      <c r="AL898" s="12" t="str">
        <f t="shared" si="5"/>
        <v/>
      </c>
    </row>
    <row r="899" ht="15.75" customHeight="1">
      <c r="A899" s="10" t="s">
        <v>2077</v>
      </c>
      <c r="B899" s="10" t="s">
        <v>2078</v>
      </c>
      <c r="C899" s="10" t="s">
        <v>199</v>
      </c>
      <c r="D899" s="10" t="s">
        <v>115</v>
      </c>
      <c r="E899" s="10" t="s">
        <v>115</v>
      </c>
      <c r="F899" s="10" t="s">
        <v>117</v>
      </c>
      <c r="G899" s="10">
        <v>5.0</v>
      </c>
      <c r="H899" s="10">
        <v>7.0</v>
      </c>
      <c r="I899" s="10" t="s">
        <v>2140</v>
      </c>
      <c r="J899" s="10" t="s">
        <v>2136</v>
      </c>
      <c r="K899" s="10"/>
      <c r="L899" s="10">
        <v>0.0</v>
      </c>
      <c r="M899" s="10">
        <v>0.0</v>
      </c>
      <c r="N899" s="10"/>
      <c r="O899" s="10"/>
      <c r="P899" s="12">
        <f>IF($A899="","",IFERROR((IF($O899="",0,$O899)*Settings!$J$4+IF($L899="",0,$L899)*Settings!$J$5+IF($N899="",0,$N899)*Settings!$J$6)/(IF($O899="",0,Settings!$J$4)+IF($L899="",0,Settings!$J$5)+IF($N899="",0,Settings!$J$6)),0))</f>
        <v>0</v>
      </c>
      <c r="Q899" s="12">
        <f t="array" ref="Q899">IF($A899="","",XLOOKUP($E899,Settings!$A$19:$A$22,Settings!$G$19:$G$22,0))</f>
        <v>249.25</v>
      </c>
      <c r="R899" s="12">
        <f t="shared" si="1"/>
        <v>0</v>
      </c>
      <c r="S899" s="12">
        <f>IF($A899="","",IF($R899&lt;=0,1,1+$R899/SUMIF($R$4:$R$923,"&gt;0",$R$4:$R$923)*(Settings!$B$5*(Settings!$B$6-Settings!$B$7))))</f>
        <v>1</v>
      </c>
      <c r="T899" s="12">
        <f t="array" ref="T899">IF($A899="","",XLOOKUP($F899,Settings!$I$15:$I$20,Settings!$J$15:$J$20,1))</f>
        <v>0.75</v>
      </c>
      <c r="U899" s="12">
        <f>IF($A899="","",1+(($G899-5)/5)*Settings!$J$8)</f>
        <v>1</v>
      </c>
      <c r="V899" s="12">
        <f>IF($A899="","",1+(($H899-5)/5)*Settings!$J$9)</f>
        <v>1.06</v>
      </c>
      <c r="W899" s="12">
        <f t="array" ref="W899">IF($A899="","",XLOOKUP($J899,Lists!$C$3:$C$7,Lists!$D$3:$D$7,1))</f>
        <v>1</v>
      </c>
      <c r="X899" s="12">
        <f>IF($A899="","",IF($I899="Yes",Settings!$J$10,1))</f>
        <v>1</v>
      </c>
      <c r="Y899" s="12">
        <f t="shared" si="2"/>
        <v>1</v>
      </c>
      <c r="Z899" s="12">
        <f>IF($A899="","",IFERROR(ROUND(AVERAGEIFS('Historical Drafts'!$G$4:$G$300,'Historical Drafts'!$D$4:$D$300,$E899,'Historical Drafts'!$J$4:$J$300,"&gt;="&amp;$L899*0.85,'Historical Drafts'!$J$4:$J$300,"&lt;="&amp;$L899*1.15),0),$Y899))</f>
        <v>1</v>
      </c>
      <c r="AA899" s="12" t="str">
        <f>IF($A899="","",IF(COUNTIF('Auction Log'!$B$3:$B$300,$A899)&gt;0,"Sold","Available"))</f>
        <v>Available</v>
      </c>
      <c r="AB899" s="12" t="str">
        <f t="array" ref="AB899">IF($A899="","",IFERROR(XLOOKUP($A899,'Auction Log'!$B$3:$B$300,'Auction Log'!$G$3:$G$300,""),""))</f>
        <v/>
      </c>
      <c r="AC899" s="12" t="str">
        <f t="array" ref="AC899">IF($A899="","",IFERROR(XLOOKUP($A899,'Auction Log'!$B$3:$B$300,'Auction Log'!$F$3:$F$300,""),""))</f>
        <v/>
      </c>
      <c r="AD899" s="12">
        <f t="array" ref="AD899">IF($A899="","",ROUND($Y899*XLOOKUP($F899,Settings!$I$15:$I$20,Settings!$K$15:$K$20,0.4),0))</f>
        <v>0</v>
      </c>
      <c r="AE899" s="12">
        <f t="array" ref="AE899">IF($A899="","",ROUND($Y899*XLOOKUP($F899,Settings!$I$15:$I$20,Settings!$L$15:$L$20,0.8),0))</f>
        <v>1</v>
      </c>
      <c r="AF899" s="12">
        <f t="array" ref="AF899">IF($A899="","",ROUND($Y899*XLOOKUP($F899,Settings!$I$15:$I$20,Settings!$M$15:$M$20,1),0))</f>
        <v>1</v>
      </c>
      <c r="AG899" s="12">
        <f t="array" ref="AG899">IF($A899="","",ROUND($Y899*XLOOKUP($F899,Settings!$I$15:$I$20,Settings!$N$15:$N$20,1.1),0))</f>
        <v>1</v>
      </c>
      <c r="AH899" s="12">
        <f t="array" ref="AH899">IF($A899="","",ROUND($Y899*XLOOKUP($F899,Settings!$I$15:$I$20,Settings!$O$15:$O$20,1.1)*Settings!$J$7,0))</f>
        <v>1</v>
      </c>
      <c r="AI899" s="12">
        <f t="array" ref="AI899">IF($A899="","",IF($AA899="Sold","",MIN($AH899,IFERROR(XLOOKUP(Settings!$B$12,Managers!$B$4:$B$15,Managers!$H$4:$H$15),$AH899))))</f>
        <v>1</v>
      </c>
      <c r="AJ899" s="12" t="str">
        <f t="shared" si="3"/>
        <v>Recommended</v>
      </c>
      <c r="AK899" s="12">
        <f t="shared" si="4"/>
        <v>26</v>
      </c>
      <c r="AL899" s="12" t="str">
        <f t="shared" si="5"/>
        <v/>
      </c>
    </row>
    <row r="900" ht="15.75" customHeight="1">
      <c r="A900" s="10" t="s">
        <v>2079</v>
      </c>
      <c r="B900" s="10" t="s">
        <v>2080</v>
      </c>
      <c r="C900" s="10" t="s">
        <v>177</v>
      </c>
      <c r="D900" s="10" t="s">
        <v>123</v>
      </c>
      <c r="E900" s="10" t="s">
        <v>123</v>
      </c>
      <c r="F900" s="10" t="s">
        <v>117</v>
      </c>
      <c r="G900" s="10">
        <v>5.0</v>
      </c>
      <c r="H900" s="10">
        <v>7.0</v>
      </c>
      <c r="I900" s="10" t="s">
        <v>2140</v>
      </c>
      <c r="J900" s="10" t="s">
        <v>2136</v>
      </c>
      <c r="K900" s="10"/>
      <c r="L900" s="10">
        <v>0.0</v>
      </c>
      <c r="M900" s="10">
        <v>0.0</v>
      </c>
      <c r="N900" s="10"/>
      <c r="O900" s="10"/>
      <c r="P900" s="12">
        <f>IF($A900="","",IFERROR((IF($O900="",0,$O900)*Settings!$J$4+IF($L900="",0,$L900)*Settings!$J$5+IF($N900="",0,$N900)*Settings!$J$6)/(IF($O900="",0,Settings!$J$4)+IF($L900="",0,Settings!$J$5)+IF($N900="",0,Settings!$J$6)),0))</f>
        <v>0</v>
      </c>
      <c r="Q900" s="12">
        <f t="array" ref="Q900">IF($A900="","",XLOOKUP($E900,Settings!$A$19:$A$22,Settings!$G$19:$G$22,0))</f>
        <v>203</v>
      </c>
      <c r="R900" s="12">
        <f t="shared" si="1"/>
        <v>0</v>
      </c>
      <c r="S900" s="12">
        <f>IF($A900="","",IF($R900&lt;=0,1,1+$R900/SUMIF($R$4:$R$923,"&gt;0",$R$4:$R$923)*(Settings!$B$5*(Settings!$B$6-Settings!$B$7))))</f>
        <v>1</v>
      </c>
      <c r="T900" s="12">
        <f t="array" ref="T900">IF($A900="","",XLOOKUP($F900,Settings!$I$15:$I$20,Settings!$J$15:$J$20,1))</f>
        <v>0.75</v>
      </c>
      <c r="U900" s="12">
        <f>IF($A900="","",1+(($G900-5)/5)*Settings!$J$8)</f>
        <v>1</v>
      </c>
      <c r="V900" s="12">
        <f>IF($A900="","",1+(($H900-5)/5)*Settings!$J$9)</f>
        <v>1.06</v>
      </c>
      <c r="W900" s="12">
        <f t="array" ref="W900">IF($A900="","",XLOOKUP($J900,Lists!$C$3:$C$7,Lists!$D$3:$D$7,1))</f>
        <v>1</v>
      </c>
      <c r="X900" s="12">
        <f>IF($A900="","",IF($I900="Yes",Settings!$J$10,1))</f>
        <v>1</v>
      </c>
      <c r="Y900" s="12">
        <f t="shared" si="2"/>
        <v>1</v>
      </c>
      <c r="Z900" s="12">
        <f>IF($A900="","",IFERROR(ROUND(AVERAGEIFS('Historical Drafts'!$G$4:$G$300,'Historical Drafts'!$D$4:$D$300,$E900,'Historical Drafts'!$J$4:$J$300,"&gt;="&amp;$L900*0.85,'Historical Drafts'!$J$4:$J$300,"&lt;="&amp;$L900*1.15),0),$Y900))</f>
        <v>3</v>
      </c>
      <c r="AA900" s="12" t="str">
        <f>IF($A900="","",IF(COUNTIF('Auction Log'!$B$3:$B$300,$A900)&gt;0,"Sold","Available"))</f>
        <v>Available</v>
      </c>
      <c r="AB900" s="12" t="str">
        <f t="array" ref="AB900">IF($A900="","",IFERROR(XLOOKUP($A900,'Auction Log'!$B$3:$B$300,'Auction Log'!$G$3:$G$300,""),""))</f>
        <v/>
      </c>
      <c r="AC900" s="12" t="str">
        <f t="array" ref="AC900">IF($A900="","",IFERROR(XLOOKUP($A900,'Auction Log'!$B$3:$B$300,'Auction Log'!$F$3:$F$300,""),""))</f>
        <v/>
      </c>
      <c r="AD900" s="12">
        <f t="array" ref="AD900">IF($A900="","",ROUND($Y900*XLOOKUP($F900,Settings!$I$15:$I$20,Settings!$K$15:$K$20,0.4),0))</f>
        <v>0</v>
      </c>
      <c r="AE900" s="12">
        <f t="array" ref="AE900">IF($A900="","",ROUND($Y900*XLOOKUP($F900,Settings!$I$15:$I$20,Settings!$L$15:$L$20,0.8),0))</f>
        <v>1</v>
      </c>
      <c r="AF900" s="12">
        <f t="array" ref="AF900">IF($A900="","",ROUND($Y900*XLOOKUP($F900,Settings!$I$15:$I$20,Settings!$M$15:$M$20,1),0))</f>
        <v>1</v>
      </c>
      <c r="AG900" s="12">
        <f t="array" ref="AG900">IF($A900="","",ROUND($Y900*XLOOKUP($F900,Settings!$I$15:$I$20,Settings!$N$15:$N$20,1.1),0))</f>
        <v>1</v>
      </c>
      <c r="AH900" s="12">
        <f t="array" ref="AH900">IF($A900="","",ROUND($Y900*XLOOKUP($F900,Settings!$I$15:$I$20,Settings!$O$15:$O$20,1.1)*Settings!$J$7,0))</f>
        <v>1</v>
      </c>
      <c r="AI900" s="12">
        <f t="array" ref="AI900">IF($A900="","",IF($AA900="Sold","",MIN($AH900,IFERROR(XLOOKUP(Settings!$B$12,Managers!$B$4:$B$15,Managers!$H$4:$H$15),$AH900))))</f>
        <v>1</v>
      </c>
      <c r="AJ900" s="12" t="str">
        <f t="shared" si="3"/>
        <v>Budget Drainer</v>
      </c>
      <c r="AK900" s="12">
        <f t="shared" si="4"/>
        <v>28</v>
      </c>
      <c r="AL900" s="12" t="str">
        <f t="shared" si="5"/>
        <v/>
      </c>
    </row>
    <row r="901" ht="15.75" customHeight="1">
      <c r="A901" s="10" t="s">
        <v>2081</v>
      </c>
      <c r="B901" s="10" t="s">
        <v>2082</v>
      </c>
      <c r="C901" s="10" t="s">
        <v>231</v>
      </c>
      <c r="D901" s="10" t="s">
        <v>121</v>
      </c>
      <c r="E901" s="10" t="s">
        <v>121</v>
      </c>
      <c r="F901" s="10" t="s">
        <v>117</v>
      </c>
      <c r="G901" s="10">
        <v>5.0</v>
      </c>
      <c r="H901" s="10">
        <v>7.0</v>
      </c>
      <c r="I901" s="10" t="s">
        <v>2140</v>
      </c>
      <c r="J901" s="10" t="s">
        <v>2136</v>
      </c>
      <c r="K901" s="10"/>
      <c r="L901" s="10">
        <v>0.0</v>
      </c>
      <c r="M901" s="10">
        <v>0.0</v>
      </c>
      <c r="N901" s="10"/>
      <c r="O901" s="10"/>
      <c r="P901" s="12">
        <f>IF($A901="","",IFERROR((IF($O901="",0,$O901)*Settings!$J$4+IF($L901="",0,$L901)*Settings!$J$5+IF($N901="",0,$N901)*Settings!$J$6)/(IF($O901="",0,Settings!$J$4)+IF($L901="",0,Settings!$J$5)+IF($N901="",0,Settings!$J$6)),0))</f>
        <v>0</v>
      </c>
      <c r="Q901" s="12">
        <f t="array" ref="Q901">IF($A901="","",XLOOKUP($E901,Settings!$A$19:$A$22,Settings!$G$19:$G$22,0))</f>
        <v>206</v>
      </c>
      <c r="R901" s="12">
        <f t="shared" si="1"/>
        <v>0</v>
      </c>
      <c r="S901" s="12">
        <f>IF($A901="","",IF($R901&lt;=0,1,1+$R901/SUMIF($R$4:$R$923,"&gt;0",$R$4:$R$923)*(Settings!$B$5*(Settings!$B$6-Settings!$B$7))))</f>
        <v>1</v>
      </c>
      <c r="T901" s="12">
        <f t="array" ref="T901">IF($A901="","",XLOOKUP($F901,Settings!$I$15:$I$20,Settings!$J$15:$J$20,1))</f>
        <v>0.75</v>
      </c>
      <c r="U901" s="12">
        <f>IF($A901="","",1+(($G901-5)/5)*Settings!$J$8)</f>
        <v>1</v>
      </c>
      <c r="V901" s="12">
        <f>IF($A901="","",1+(($H901-5)/5)*Settings!$J$9)</f>
        <v>1.06</v>
      </c>
      <c r="W901" s="12">
        <f t="array" ref="W901">IF($A901="","",XLOOKUP($J901,Lists!$C$3:$C$7,Lists!$D$3:$D$7,1))</f>
        <v>1</v>
      </c>
      <c r="X901" s="12">
        <f>IF($A901="","",IF($I901="Yes",Settings!$J$10,1))</f>
        <v>1</v>
      </c>
      <c r="Y901" s="12">
        <f t="shared" si="2"/>
        <v>1</v>
      </c>
      <c r="Z901" s="12">
        <f>IF($A901="","",IFERROR(ROUND(AVERAGEIFS('Historical Drafts'!$G$4:$G$300,'Historical Drafts'!$D$4:$D$300,$E901,'Historical Drafts'!$J$4:$J$300,"&gt;="&amp;$L901*0.85,'Historical Drafts'!$J$4:$J$300,"&lt;="&amp;$L901*1.15),0),$Y901))</f>
        <v>3</v>
      </c>
      <c r="AA901" s="12" t="str">
        <f>IF($A901="","",IF(COUNTIF('Auction Log'!$B$3:$B$300,$A901)&gt;0,"Sold","Available"))</f>
        <v>Available</v>
      </c>
      <c r="AB901" s="12" t="str">
        <f t="array" ref="AB901">IF($A901="","",IFERROR(XLOOKUP($A901,'Auction Log'!$B$3:$B$300,'Auction Log'!$G$3:$G$300,""),""))</f>
        <v/>
      </c>
      <c r="AC901" s="12" t="str">
        <f t="array" ref="AC901">IF($A901="","",IFERROR(XLOOKUP($A901,'Auction Log'!$B$3:$B$300,'Auction Log'!$F$3:$F$300,""),""))</f>
        <v/>
      </c>
      <c r="AD901" s="12">
        <f t="array" ref="AD901">IF($A901="","",ROUND($Y901*XLOOKUP($F901,Settings!$I$15:$I$20,Settings!$K$15:$K$20,0.4),0))</f>
        <v>0</v>
      </c>
      <c r="AE901" s="12">
        <f t="array" ref="AE901">IF($A901="","",ROUND($Y901*XLOOKUP($F901,Settings!$I$15:$I$20,Settings!$L$15:$L$20,0.8),0))</f>
        <v>1</v>
      </c>
      <c r="AF901" s="12">
        <f t="array" ref="AF901">IF($A901="","",ROUND($Y901*XLOOKUP($F901,Settings!$I$15:$I$20,Settings!$M$15:$M$20,1),0))</f>
        <v>1</v>
      </c>
      <c r="AG901" s="12">
        <f t="array" ref="AG901">IF($A901="","",ROUND($Y901*XLOOKUP($F901,Settings!$I$15:$I$20,Settings!$N$15:$N$20,1.1),0))</f>
        <v>1</v>
      </c>
      <c r="AH901" s="12">
        <f t="array" ref="AH901">IF($A901="","",ROUND($Y901*XLOOKUP($F901,Settings!$I$15:$I$20,Settings!$O$15:$O$20,1.1)*Settings!$J$7,0))</f>
        <v>1</v>
      </c>
      <c r="AI901" s="12">
        <f t="array" ref="AI901">IF($A901="","",IF($AA901="Sold","",MIN($AH901,IFERROR(XLOOKUP(Settings!$B$12,Managers!$B$4:$B$15,Managers!$H$4:$H$15),$AH901))))</f>
        <v>1</v>
      </c>
      <c r="AJ901" s="12" t="str">
        <f t="shared" si="3"/>
        <v>Budget Drainer</v>
      </c>
      <c r="AK901" s="12">
        <f t="shared" si="4"/>
        <v>28</v>
      </c>
      <c r="AL901" s="12" t="str">
        <f t="shared" si="5"/>
        <v/>
      </c>
    </row>
    <row r="902" ht="15.75" customHeight="1">
      <c r="A902" s="10" t="s">
        <v>2083</v>
      </c>
      <c r="B902" s="10" t="s">
        <v>2084</v>
      </c>
      <c r="C902" s="10" t="s">
        <v>243</v>
      </c>
      <c r="D902" s="10" t="s">
        <v>123</v>
      </c>
      <c r="E902" s="10" t="s">
        <v>123</v>
      </c>
      <c r="F902" s="10" t="s">
        <v>117</v>
      </c>
      <c r="G902" s="10">
        <v>5.0</v>
      </c>
      <c r="H902" s="10">
        <v>7.0</v>
      </c>
      <c r="I902" s="10" t="s">
        <v>2140</v>
      </c>
      <c r="J902" s="10" t="s">
        <v>2136</v>
      </c>
      <c r="K902" s="10"/>
      <c r="L902" s="10">
        <v>0.0</v>
      </c>
      <c r="M902" s="10">
        <v>0.0</v>
      </c>
      <c r="N902" s="10"/>
      <c r="O902" s="10"/>
      <c r="P902" s="12">
        <f>IF($A902="","",IFERROR((IF($O902="",0,$O902)*Settings!$J$4+IF($L902="",0,$L902)*Settings!$J$5+IF($N902="",0,$N902)*Settings!$J$6)/(IF($O902="",0,Settings!$J$4)+IF($L902="",0,Settings!$J$5)+IF($N902="",0,Settings!$J$6)),0))</f>
        <v>0</v>
      </c>
      <c r="Q902" s="12">
        <f t="array" ref="Q902">IF($A902="","",XLOOKUP($E902,Settings!$A$19:$A$22,Settings!$G$19:$G$22,0))</f>
        <v>203</v>
      </c>
      <c r="R902" s="12">
        <f t="shared" si="1"/>
        <v>0</v>
      </c>
      <c r="S902" s="12">
        <f>IF($A902="","",IF($R902&lt;=0,1,1+$R902/SUMIF($R$4:$R$923,"&gt;0",$R$4:$R$923)*(Settings!$B$5*(Settings!$B$6-Settings!$B$7))))</f>
        <v>1</v>
      </c>
      <c r="T902" s="12">
        <f t="array" ref="T902">IF($A902="","",XLOOKUP($F902,Settings!$I$15:$I$20,Settings!$J$15:$J$20,1))</f>
        <v>0.75</v>
      </c>
      <c r="U902" s="12">
        <f>IF($A902="","",1+(($G902-5)/5)*Settings!$J$8)</f>
        <v>1</v>
      </c>
      <c r="V902" s="12">
        <f>IF($A902="","",1+(($H902-5)/5)*Settings!$J$9)</f>
        <v>1.06</v>
      </c>
      <c r="W902" s="12">
        <f t="array" ref="W902">IF($A902="","",XLOOKUP($J902,Lists!$C$3:$C$7,Lists!$D$3:$D$7,1))</f>
        <v>1</v>
      </c>
      <c r="X902" s="12">
        <f>IF($A902="","",IF($I902="Yes",Settings!$J$10,1))</f>
        <v>1</v>
      </c>
      <c r="Y902" s="12">
        <f t="shared" si="2"/>
        <v>1</v>
      </c>
      <c r="Z902" s="12">
        <f>IF($A902="","",IFERROR(ROUND(AVERAGEIFS('Historical Drafts'!$G$4:$G$300,'Historical Drafts'!$D$4:$D$300,$E902,'Historical Drafts'!$J$4:$J$300,"&gt;="&amp;$L902*0.85,'Historical Drafts'!$J$4:$J$300,"&lt;="&amp;$L902*1.15),0),$Y902))</f>
        <v>3</v>
      </c>
      <c r="AA902" s="12" t="str">
        <f>IF($A902="","",IF(COUNTIF('Auction Log'!$B$3:$B$300,$A902)&gt;0,"Sold","Available"))</f>
        <v>Available</v>
      </c>
      <c r="AB902" s="12" t="str">
        <f t="array" ref="AB902">IF($A902="","",IFERROR(XLOOKUP($A902,'Auction Log'!$B$3:$B$300,'Auction Log'!$G$3:$G$300,""),""))</f>
        <v/>
      </c>
      <c r="AC902" s="12" t="str">
        <f t="array" ref="AC902">IF($A902="","",IFERROR(XLOOKUP($A902,'Auction Log'!$B$3:$B$300,'Auction Log'!$F$3:$F$300,""),""))</f>
        <v/>
      </c>
      <c r="AD902" s="12">
        <f t="array" ref="AD902">IF($A902="","",ROUND($Y902*XLOOKUP($F902,Settings!$I$15:$I$20,Settings!$K$15:$K$20,0.4),0))</f>
        <v>0</v>
      </c>
      <c r="AE902" s="12">
        <f t="array" ref="AE902">IF($A902="","",ROUND($Y902*XLOOKUP($F902,Settings!$I$15:$I$20,Settings!$L$15:$L$20,0.8),0))</f>
        <v>1</v>
      </c>
      <c r="AF902" s="12">
        <f t="array" ref="AF902">IF($A902="","",ROUND($Y902*XLOOKUP($F902,Settings!$I$15:$I$20,Settings!$M$15:$M$20,1),0))</f>
        <v>1</v>
      </c>
      <c r="AG902" s="12">
        <f t="array" ref="AG902">IF($A902="","",ROUND($Y902*XLOOKUP($F902,Settings!$I$15:$I$20,Settings!$N$15:$N$20,1.1),0))</f>
        <v>1</v>
      </c>
      <c r="AH902" s="12">
        <f t="array" ref="AH902">IF($A902="","",ROUND($Y902*XLOOKUP($F902,Settings!$I$15:$I$20,Settings!$O$15:$O$20,1.1)*Settings!$J$7,0))</f>
        <v>1</v>
      </c>
      <c r="AI902" s="12">
        <f t="array" ref="AI902">IF($A902="","",IF($AA902="Sold","",MIN($AH902,IFERROR(XLOOKUP(Settings!$B$12,Managers!$B$4:$B$15,Managers!$H$4:$H$15),$AH902))))</f>
        <v>1</v>
      </c>
      <c r="AJ902" s="12" t="str">
        <f t="shared" si="3"/>
        <v>Budget Drainer</v>
      </c>
      <c r="AK902" s="12">
        <f t="shared" si="4"/>
        <v>28</v>
      </c>
      <c r="AL902" s="12" t="str">
        <f t="shared" si="5"/>
        <v/>
      </c>
    </row>
    <row r="903" ht="15.75" customHeight="1">
      <c r="A903" s="10" t="s">
        <v>2085</v>
      </c>
      <c r="B903" s="10" t="s">
        <v>2086</v>
      </c>
      <c r="C903" s="10" t="s">
        <v>199</v>
      </c>
      <c r="D903" s="10" t="s">
        <v>123</v>
      </c>
      <c r="E903" s="10" t="s">
        <v>123</v>
      </c>
      <c r="F903" s="10" t="s">
        <v>117</v>
      </c>
      <c r="G903" s="10">
        <v>5.0</v>
      </c>
      <c r="H903" s="10">
        <v>7.0</v>
      </c>
      <c r="I903" s="10" t="s">
        <v>2140</v>
      </c>
      <c r="J903" s="10" t="s">
        <v>2136</v>
      </c>
      <c r="K903" s="10"/>
      <c r="L903" s="10">
        <v>0.0</v>
      </c>
      <c r="M903" s="10">
        <v>0.0</v>
      </c>
      <c r="N903" s="10"/>
      <c r="O903" s="10"/>
      <c r="P903" s="12">
        <f>IF($A903="","",IFERROR((IF($O903="",0,$O903)*Settings!$J$4+IF($L903="",0,$L903)*Settings!$J$5+IF($N903="",0,$N903)*Settings!$J$6)/(IF($O903="",0,Settings!$J$4)+IF($L903="",0,Settings!$J$5)+IF($N903="",0,Settings!$J$6)),0))</f>
        <v>0</v>
      </c>
      <c r="Q903" s="12">
        <f t="array" ref="Q903">IF($A903="","",XLOOKUP($E903,Settings!$A$19:$A$22,Settings!$G$19:$G$22,0))</f>
        <v>203</v>
      </c>
      <c r="R903" s="12">
        <f t="shared" si="1"/>
        <v>0</v>
      </c>
      <c r="S903" s="12">
        <f>IF($A903="","",IF($R903&lt;=0,1,1+$R903/SUMIF($R$4:$R$923,"&gt;0",$R$4:$R$923)*(Settings!$B$5*(Settings!$B$6-Settings!$B$7))))</f>
        <v>1</v>
      </c>
      <c r="T903" s="12">
        <f t="array" ref="T903">IF($A903="","",XLOOKUP($F903,Settings!$I$15:$I$20,Settings!$J$15:$J$20,1))</f>
        <v>0.75</v>
      </c>
      <c r="U903" s="12">
        <f>IF($A903="","",1+(($G903-5)/5)*Settings!$J$8)</f>
        <v>1</v>
      </c>
      <c r="V903" s="12">
        <f>IF($A903="","",1+(($H903-5)/5)*Settings!$J$9)</f>
        <v>1.06</v>
      </c>
      <c r="W903" s="12">
        <f t="array" ref="W903">IF($A903="","",XLOOKUP($J903,Lists!$C$3:$C$7,Lists!$D$3:$D$7,1))</f>
        <v>1</v>
      </c>
      <c r="X903" s="12">
        <f>IF($A903="","",IF($I903="Yes",Settings!$J$10,1))</f>
        <v>1</v>
      </c>
      <c r="Y903" s="12">
        <f t="shared" si="2"/>
        <v>1</v>
      </c>
      <c r="Z903" s="12">
        <f>IF($A903="","",IFERROR(ROUND(AVERAGEIFS('Historical Drafts'!$G$4:$G$300,'Historical Drafts'!$D$4:$D$300,$E903,'Historical Drafts'!$J$4:$J$300,"&gt;="&amp;$L903*0.85,'Historical Drafts'!$J$4:$J$300,"&lt;="&amp;$L903*1.15),0),$Y903))</f>
        <v>3</v>
      </c>
      <c r="AA903" s="12" t="str">
        <f>IF($A903="","",IF(COUNTIF('Auction Log'!$B$3:$B$300,$A903)&gt;0,"Sold","Available"))</f>
        <v>Available</v>
      </c>
      <c r="AB903" s="12" t="str">
        <f t="array" ref="AB903">IF($A903="","",IFERROR(XLOOKUP($A903,'Auction Log'!$B$3:$B$300,'Auction Log'!$G$3:$G$300,""),""))</f>
        <v/>
      </c>
      <c r="AC903" s="12" t="str">
        <f t="array" ref="AC903">IF($A903="","",IFERROR(XLOOKUP($A903,'Auction Log'!$B$3:$B$300,'Auction Log'!$F$3:$F$300,""),""))</f>
        <v/>
      </c>
      <c r="AD903" s="12">
        <f t="array" ref="AD903">IF($A903="","",ROUND($Y903*XLOOKUP($F903,Settings!$I$15:$I$20,Settings!$K$15:$K$20,0.4),0))</f>
        <v>0</v>
      </c>
      <c r="AE903" s="12">
        <f t="array" ref="AE903">IF($A903="","",ROUND($Y903*XLOOKUP($F903,Settings!$I$15:$I$20,Settings!$L$15:$L$20,0.8),0))</f>
        <v>1</v>
      </c>
      <c r="AF903" s="12">
        <f t="array" ref="AF903">IF($A903="","",ROUND($Y903*XLOOKUP($F903,Settings!$I$15:$I$20,Settings!$M$15:$M$20,1),0))</f>
        <v>1</v>
      </c>
      <c r="AG903" s="12">
        <f t="array" ref="AG903">IF($A903="","",ROUND($Y903*XLOOKUP($F903,Settings!$I$15:$I$20,Settings!$N$15:$N$20,1.1),0))</f>
        <v>1</v>
      </c>
      <c r="AH903" s="12">
        <f t="array" ref="AH903">IF($A903="","",ROUND($Y903*XLOOKUP($F903,Settings!$I$15:$I$20,Settings!$O$15:$O$20,1.1)*Settings!$J$7,0))</f>
        <v>1</v>
      </c>
      <c r="AI903" s="12">
        <f t="array" ref="AI903">IF($A903="","",IF($AA903="Sold","",MIN($AH903,IFERROR(XLOOKUP(Settings!$B$12,Managers!$B$4:$B$15,Managers!$H$4:$H$15),$AH903))))</f>
        <v>1</v>
      </c>
      <c r="AJ903" s="12" t="str">
        <f t="shared" si="3"/>
        <v>Budget Drainer</v>
      </c>
      <c r="AK903" s="12">
        <f t="shared" si="4"/>
        <v>28</v>
      </c>
      <c r="AL903" s="12" t="str">
        <f t="shared" si="5"/>
        <v/>
      </c>
    </row>
    <row r="904" ht="15.75" customHeight="1">
      <c r="A904" s="10" t="s">
        <v>2087</v>
      </c>
      <c r="B904" s="10" t="s">
        <v>2088</v>
      </c>
      <c r="C904" s="10" t="s">
        <v>285</v>
      </c>
      <c r="D904" s="10" t="s">
        <v>118</v>
      </c>
      <c r="E904" s="10" t="s">
        <v>118</v>
      </c>
      <c r="F904" s="10" t="s">
        <v>117</v>
      </c>
      <c r="G904" s="10">
        <v>5.0</v>
      </c>
      <c r="H904" s="10">
        <v>7.0</v>
      </c>
      <c r="I904" s="10" t="s">
        <v>2140</v>
      </c>
      <c r="J904" s="10" t="s">
        <v>2136</v>
      </c>
      <c r="K904" s="10"/>
      <c r="L904" s="10">
        <v>0.0</v>
      </c>
      <c r="M904" s="10">
        <v>0.0</v>
      </c>
      <c r="N904" s="10"/>
      <c r="O904" s="10"/>
      <c r="P904" s="12">
        <f>IF($A904="","",IFERROR((IF($O904="",0,$O904)*Settings!$J$4+IF($L904="",0,$L904)*Settings!$J$5+IF($N904="",0,$N904)*Settings!$J$6)/(IF($O904="",0,Settings!$J$4)+IF($L904="",0,Settings!$J$5)+IF($N904="",0,Settings!$J$6)),0))</f>
        <v>0</v>
      </c>
      <c r="Q904" s="12">
        <f t="array" ref="Q904">IF($A904="","",XLOOKUP($E904,Settings!$A$19:$A$22,Settings!$G$19:$G$22,0))</f>
        <v>196.25</v>
      </c>
      <c r="R904" s="12">
        <f t="shared" si="1"/>
        <v>0</v>
      </c>
      <c r="S904" s="12">
        <f>IF($A904="","",IF($R904&lt;=0,1,1+$R904/SUMIF($R$4:$R$923,"&gt;0",$R$4:$R$923)*(Settings!$B$5*(Settings!$B$6-Settings!$B$7))))</f>
        <v>1</v>
      </c>
      <c r="T904" s="12">
        <f t="array" ref="T904">IF($A904="","",XLOOKUP($F904,Settings!$I$15:$I$20,Settings!$J$15:$J$20,1))</f>
        <v>0.75</v>
      </c>
      <c r="U904" s="12">
        <f>IF($A904="","",1+(($G904-5)/5)*Settings!$J$8)</f>
        <v>1</v>
      </c>
      <c r="V904" s="12">
        <f>IF($A904="","",1+(($H904-5)/5)*Settings!$J$9)</f>
        <v>1.06</v>
      </c>
      <c r="W904" s="12">
        <f t="array" ref="W904">IF($A904="","",XLOOKUP($J904,Lists!$C$3:$C$7,Lists!$D$3:$D$7,1))</f>
        <v>1</v>
      </c>
      <c r="X904" s="12">
        <f>IF($A904="","",IF($I904="Yes",Settings!$J$10,1))</f>
        <v>1</v>
      </c>
      <c r="Y904" s="12">
        <f t="shared" si="2"/>
        <v>1</v>
      </c>
      <c r="Z904" s="12">
        <f>IF($A904="","",IFERROR(ROUND(AVERAGEIFS('Historical Drafts'!$G$4:$G$300,'Historical Drafts'!$D$4:$D$300,$E904,'Historical Drafts'!$J$4:$J$300,"&gt;="&amp;$L904*0.85,'Historical Drafts'!$J$4:$J$300,"&lt;="&amp;$L904*1.15),0),$Y904))</f>
        <v>1</v>
      </c>
      <c r="AA904" s="12" t="str">
        <f>IF($A904="","",IF(COUNTIF('Auction Log'!$B$3:$B$300,$A904)&gt;0,"Sold","Available"))</f>
        <v>Available</v>
      </c>
      <c r="AB904" s="12" t="str">
        <f t="array" ref="AB904">IF($A904="","",IFERROR(XLOOKUP($A904,'Auction Log'!$B$3:$B$300,'Auction Log'!$G$3:$G$300,""),""))</f>
        <v/>
      </c>
      <c r="AC904" s="12" t="str">
        <f t="array" ref="AC904">IF($A904="","",IFERROR(XLOOKUP($A904,'Auction Log'!$B$3:$B$300,'Auction Log'!$F$3:$F$300,""),""))</f>
        <v/>
      </c>
      <c r="AD904" s="12">
        <f t="array" ref="AD904">IF($A904="","",ROUND($Y904*XLOOKUP($F904,Settings!$I$15:$I$20,Settings!$K$15:$K$20,0.4),0))</f>
        <v>0</v>
      </c>
      <c r="AE904" s="12">
        <f t="array" ref="AE904">IF($A904="","",ROUND($Y904*XLOOKUP($F904,Settings!$I$15:$I$20,Settings!$L$15:$L$20,0.8),0))</f>
        <v>1</v>
      </c>
      <c r="AF904" s="12">
        <f t="array" ref="AF904">IF($A904="","",ROUND($Y904*XLOOKUP($F904,Settings!$I$15:$I$20,Settings!$M$15:$M$20,1),0))</f>
        <v>1</v>
      </c>
      <c r="AG904" s="12">
        <f t="array" ref="AG904">IF($A904="","",ROUND($Y904*XLOOKUP($F904,Settings!$I$15:$I$20,Settings!$N$15:$N$20,1.1),0))</f>
        <v>1</v>
      </c>
      <c r="AH904" s="12">
        <f t="array" ref="AH904">IF($A904="","",ROUND($Y904*XLOOKUP($F904,Settings!$I$15:$I$20,Settings!$O$15:$O$20,1.1)*Settings!$J$7,0))</f>
        <v>1</v>
      </c>
      <c r="AI904" s="12">
        <f t="array" ref="AI904">IF($A904="","",IF($AA904="Sold","",MIN($AH904,IFERROR(XLOOKUP(Settings!$B$12,Managers!$B$4:$B$15,Managers!$H$4:$H$15),$AH904))))</f>
        <v>1</v>
      </c>
      <c r="AJ904" s="12" t="str">
        <f t="shared" si="3"/>
        <v>Recommended</v>
      </c>
      <c r="AK904" s="12">
        <f t="shared" si="4"/>
        <v>26</v>
      </c>
      <c r="AL904" s="12" t="str">
        <f t="shared" si="5"/>
        <v/>
      </c>
    </row>
    <row r="905" ht="15.75" customHeight="1">
      <c r="A905" s="10" t="s">
        <v>2089</v>
      </c>
      <c r="B905" s="10" t="s">
        <v>2090</v>
      </c>
      <c r="C905" s="10" t="s">
        <v>285</v>
      </c>
      <c r="D905" s="10" t="s">
        <v>118</v>
      </c>
      <c r="E905" s="10" t="s">
        <v>118</v>
      </c>
      <c r="F905" s="10" t="s">
        <v>117</v>
      </c>
      <c r="G905" s="10">
        <v>5.0</v>
      </c>
      <c r="H905" s="10">
        <v>7.0</v>
      </c>
      <c r="I905" s="10" t="s">
        <v>2140</v>
      </c>
      <c r="J905" s="10" t="s">
        <v>2136</v>
      </c>
      <c r="K905" s="10"/>
      <c r="L905" s="10">
        <v>0.0</v>
      </c>
      <c r="M905" s="10">
        <v>0.0</v>
      </c>
      <c r="N905" s="10"/>
      <c r="O905" s="10"/>
      <c r="P905" s="12">
        <f>IF($A905="","",IFERROR((IF($O905="",0,$O905)*Settings!$J$4+IF($L905="",0,$L905)*Settings!$J$5+IF($N905="",0,$N905)*Settings!$J$6)/(IF($O905="",0,Settings!$J$4)+IF($L905="",0,Settings!$J$5)+IF($N905="",0,Settings!$J$6)),0))</f>
        <v>0</v>
      </c>
      <c r="Q905" s="12">
        <f t="array" ref="Q905">IF($A905="","",XLOOKUP($E905,Settings!$A$19:$A$22,Settings!$G$19:$G$22,0))</f>
        <v>196.25</v>
      </c>
      <c r="R905" s="12">
        <f t="shared" si="1"/>
        <v>0</v>
      </c>
      <c r="S905" s="12">
        <f>IF($A905="","",IF($R905&lt;=0,1,1+$R905/SUMIF($R$4:$R$923,"&gt;0",$R$4:$R$923)*(Settings!$B$5*(Settings!$B$6-Settings!$B$7))))</f>
        <v>1</v>
      </c>
      <c r="T905" s="12">
        <f t="array" ref="T905">IF($A905="","",XLOOKUP($F905,Settings!$I$15:$I$20,Settings!$J$15:$J$20,1))</f>
        <v>0.75</v>
      </c>
      <c r="U905" s="12">
        <f>IF($A905="","",1+(($G905-5)/5)*Settings!$J$8)</f>
        <v>1</v>
      </c>
      <c r="V905" s="12">
        <f>IF($A905="","",1+(($H905-5)/5)*Settings!$J$9)</f>
        <v>1.06</v>
      </c>
      <c r="W905" s="12">
        <f t="array" ref="W905">IF($A905="","",XLOOKUP($J905,Lists!$C$3:$C$7,Lists!$D$3:$D$7,1))</f>
        <v>1</v>
      </c>
      <c r="X905" s="12">
        <f>IF($A905="","",IF($I905="Yes",Settings!$J$10,1))</f>
        <v>1</v>
      </c>
      <c r="Y905" s="12">
        <f t="shared" si="2"/>
        <v>1</v>
      </c>
      <c r="Z905" s="12">
        <f>IF($A905="","",IFERROR(ROUND(AVERAGEIFS('Historical Drafts'!$G$4:$G$300,'Historical Drafts'!$D$4:$D$300,$E905,'Historical Drafts'!$J$4:$J$300,"&gt;="&amp;$L905*0.85,'Historical Drafts'!$J$4:$J$300,"&lt;="&amp;$L905*1.15),0),$Y905))</f>
        <v>1</v>
      </c>
      <c r="AA905" s="12" t="str">
        <f>IF($A905="","",IF(COUNTIF('Auction Log'!$B$3:$B$300,$A905)&gt;0,"Sold","Available"))</f>
        <v>Available</v>
      </c>
      <c r="AB905" s="12" t="str">
        <f t="array" ref="AB905">IF($A905="","",IFERROR(XLOOKUP($A905,'Auction Log'!$B$3:$B$300,'Auction Log'!$G$3:$G$300,""),""))</f>
        <v/>
      </c>
      <c r="AC905" s="12" t="str">
        <f t="array" ref="AC905">IF($A905="","",IFERROR(XLOOKUP($A905,'Auction Log'!$B$3:$B$300,'Auction Log'!$F$3:$F$300,""),""))</f>
        <v/>
      </c>
      <c r="AD905" s="12">
        <f t="array" ref="AD905">IF($A905="","",ROUND($Y905*XLOOKUP($F905,Settings!$I$15:$I$20,Settings!$K$15:$K$20,0.4),0))</f>
        <v>0</v>
      </c>
      <c r="AE905" s="12">
        <f t="array" ref="AE905">IF($A905="","",ROUND($Y905*XLOOKUP($F905,Settings!$I$15:$I$20,Settings!$L$15:$L$20,0.8),0))</f>
        <v>1</v>
      </c>
      <c r="AF905" s="12">
        <f t="array" ref="AF905">IF($A905="","",ROUND($Y905*XLOOKUP($F905,Settings!$I$15:$I$20,Settings!$M$15:$M$20,1),0))</f>
        <v>1</v>
      </c>
      <c r="AG905" s="12">
        <f t="array" ref="AG905">IF($A905="","",ROUND($Y905*XLOOKUP($F905,Settings!$I$15:$I$20,Settings!$N$15:$N$20,1.1),0))</f>
        <v>1</v>
      </c>
      <c r="AH905" s="12">
        <f t="array" ref="AH905">IF($A905="","",ROUND($Y905*XLOOKUP($F905,Settings!$I$15:$I$20,Settings!$O$15:$O$20,1.1)*Settings!$J$7,0))</f>
        <v>1</v>
      </c>
      <c r="AI905" s="12">
        <f t="array" ref="AI905">IF($A905="","",IF($AA905="Sold","",MIN($AH905,IFERROR(XLOOKUP(Settings!$B$12,Managers!$B$4:$B$15,Managers!$H$4:$H$15),$AH905))))</f>
        <v>1</v>
      </c>
      <c r="AJ905" s="12" t="str">
        <f t="shared" si="3"/>
        <v>Recommended</v>
      </c>
      <c r="AK905" s="12">
        <f t="shared" si="4"/>
        <v>26</v>
      </c>
      <c r="AL905" s="12" t="str">
        <f t="shared" si="5"/>
        <v/>
      </c>
    </row>
    <row r="906" ht="15.75" customHeight="1">
      <c r="A906" s="10" t="s">
        <v>2091</v>
      </c>
      <c r="B906" s="10" t="s">
        <v>2092</v>
      </c>
      <c r="C906" s="10" t="s">
        <v>236</v>
      </c>
      <c r="D906" s="10" t="s">
        <v>123</v>
      </c>
      <c r="E906" s="10" t="s">
        <v>123</v>
      </c>
      <c r="F906" s="10" t="s">
        <v>117</v>
      </c>
      <c r="G906" s="10">
        <v>5.0</v>
      </c>
      <c r="H906" s="10">
        <v>7.0</v>
      </c>
      <c r="I906" s="10" t="s">
        <v>2140</v>
      </c>
      <c r="J906" s="10" t="s">
        <v>2136</v>
      </c>
      <c r="K906" s="10"/>
      <c r="L906" s="10">
        <v>0.0</v>
      </c>
      <c r="M906" s="10">
        <v>0.0</v>
      </c>
      <c r="N906" s="10"/>
      <c r="O906" s="10"/>
      <c r="P906" s="12">
        <f>IF($A906="","",IFERROR((IF($O906="",0,$O906)*Settings!$J$4+IF($L906="",0,$L906)*Settings!$J$5+IF($N906="",0,$N906)*Settings!$J$6)/(IF($O906="",0,Settings!$J$4)+IF($L906="",0,Settings!$J$5)+IF($N906="",0,Settings!$J$6)),0))</f>
        <v>0</v>
      </c>
      <c r="Q906" s="12">
        <f t="array" ref="Q906">IF($A906="","",XLOOKUP($E906,Settings!$A$19:$A$22,Settings!$G$19:$G$22,0))</f>
        <v>203</v>
      </c>
      <c r="R906" s="12">
        <f t="shared" si="1"/>
        <v>0</v>
      </c>
      <c r="S906" s="12">
        <f>IF($A906="","",IF($R906&lt;=0,1,1+$R906/SUMIF($R$4:$R$923,"&gt;0",$R$4:$R$923)*(Settings!$B$5*(Settings!$B$6-Settings!$B$7))))</f>
        <v>1</v>
      </c>
      <c r="T906" s="12">
        <f t="array" ref="T906">IF($A906="","",XLOOKUP($F906,Settings!$I$15:$I$20,Settings!$J$15:$J$20,1))</f>
        <v>0.75</v>
      </c>
      <c r="U906" s="12">
        <f>IF($A906="","",1+(($G906-5)/5)*Settings!$J$8)</f>
        <v>1</v>
      </c>
      <c r="V906" s="12">
        <f>IF($A906="","",1+(($H906-5)/5)*Settings!$J$9)</f>
        <v>1.06</v>
      </c>
      <c r="W906" s="12">
        <f t="array" ref="W906">IF($A906="","",XLOOKUP($J906,Lists!$C$3:$C$7,Lists!$D$3:$D$7,1))</f>
        <v>1</v>
      </c>
      <c r="X906" s="12">
        <f>IF($A906="","",IF($I906="Yes",Settings!$J$10,1))</f>
        <v>1</v>
      </c>
      <c r="Y906" s="12">
        <f t="shared" si="2"/>
        <v>1</v>
      </c>
      <c r="Z906" s="12">
        <f>IF($A906="","",IFERROR(ROUND(AVERAGEIFS('Historical Drafts'!$G$4:$G$300,'Historical Drafts'!$D$4:$D$300,$E906,'Historical Drafts'!$J$4:$J$300,"&gt;="&amp;$L906*0.85,'Historical Drafts'!$J$4:$J$300,"&lt;="&amp;$L906*1.15),0),$Y906))</f>
        <v>3</v>
      </c>
      <c r="AA906" s="12" t="str">
        <f>IF($A906="","",IF(COUNTIF('Auction Log'!$B$3:$B$300,$A906)&gt;0,"Sold","Available"))</f>
        <v>Available</v>
      </c>
      <c r="AB906" s="12" t="str">
        <f t="array" ref="AB906">IF($A906="","",IFERROR(XLOOKUP($A906,'Auction Log'!$B$3:$B$300,'Auction Log'!$G$3:$G$300,""),""))</f>
        <v/>
      </c>
      <c r="AC906" s="12" t="str">
        <f t="array" ref="AC906">IF($A906="","",IFERROR(XLOOKUP($A906,'Auction Log'!$B$3:$B$300,'Auction Log'!$F$3:$F$300,""),""))</f>
        <v/>
      </c>
      <c r="AD906" s="12">
        <f t="array" ref="AD906">IF($A906="","",ROUND($Y906*XLOOKUP($F906,Settings!$I$15:$I$20,Settings!$K$15:$K$20,0.4),0))</f>
        <v>0</v>
      </c>
      <c r="AE906" s="12">
        <f t="array" ref="AE906">IF($A906="","",ROUND($Y906*XLOOKUP($F906,Settings!$I$15:$I$20,Settings!$L$15:$L$20,0.8),0))</f>
        <v>1</v>
      </c>
      <c r="AF906" s="12">
        <f t="array" ref="AF906">IF($A906="","",ROUND($Y906*XLOOKUP($F906,Settings!$I$15:$I$20,Settings!$M$15:$M$20,1),0))</f>
        <v>1</v>
      </c>
      <c r="AG906" s="12">
        <f t="array" ref="AG906">IF($A906="","",ROUND($Y906*XLOOKUP($F906,Settings!$I$15:$I$20,Settings!$N$15:$N$20,1.1),0))</f>
        <v>1</v>
      </c>
      <c r="AH906" s="12">
        <f t="array" ref="AH906">IF($A906="","",ROUND($Y906*XLOOKUP($F906,Settings!$I$15:$I$20,Settings!$O$15:$O$20,1.1)*Settings!$J$7,0))</f>
        <v>1</v>
      </c>
      <c r="AI906" s="12">
        <f t="array" ref="AI906">IF($A906="","",IF($AA906="Sold","",MIN($AH906,IFERROR(XLOOKUP(Settings!$B$12,Managers!$B$4:$B$15,Managers!$H$4:$H$15),$AH906))))</f>
        <v>1</v>
      </c>
      <c r="AJ906" s="12" t="str">
        <f t="shared" si="3"/>
        <v>Budget Drainer</v>
      </c>
      <c r="AK906" s="12">
        <f t="shared" si="4"/>
        <v>28</v>
      </c>
      <c r="AL906" s="12" t="str">
        <f t="shared" si="5"/>
        <v/>
      </c>
    </row>
    <row r="907" ht="15.75" customHeight="1">
      <c r="A907" s="10" t="s">
        <v>2093</v>
      </c>
      <c r="B907" s="10" t="s">
        <v>2094</v>
      </c>
      <c r="C907" s="10" t="s">
        <v>180</v>
      </c>
      <c r="D907" s="10" t="s">
        <v>118</v>
      </c>
      <c r="E907" s="10" t="s">
        <v>118</v>
      </c>
      <c r="F907" s="10" t="s">
        <v>117</v>
      </c>
      <c r="G907" s="10">
        <v>5.0</v>
      </c>
      <c r="H907" s="10">
        <v>7.0</v>
      </c>
      <c r="I907" s="10" t="s">
        <v>2140</v>
      </c>
      <c r="J907" s="10" t="s">
        <v>2136</v>
      </c>
      <c r="K907" s="10"/>
      <c r="L907" s="10">
        <v>0.0</v>
      </c>
      <c r="M907" s="10">
        <v>0.0</v>
      </c>
      <c r="N907" s="10"/>
      <c r="O907" s="10"/>
      <c r="P907" s="12">
        <f>IF($A907="","",IFERROR((IF($O907="",0,$O907)*Settings!$J$4+IF($L907="",0,$L907)*Settings!$J$5+IF($N907="",0,$N907)*Settings!$J$6)/(IF($O907="",0,Settings!$J$4)+IF($L907="",0,Settings!$J$5)+IF($N907="",0,Settings!$J$6)),0))</f>
        <v>0</v>
      </c>
      <c r="Q907" s="12">
        <f t="array" ref="Q907">IF($A907="","",XLOOKUP($E907,Settings!$A$19:$A$22,Settings!$G$19:$G$22,0))</f>
        <v>196.25</v>
      </c>
      <c r="R907" s="12">
        <f t="shared" si="1"/>
        <v>0</v>
      </c>
      <c r="S907" s="12">
        <f>IF($A907="","",IF($R907&lt;=0,1,1+$R907/SUMIF($R$4:$R$923,"&gt;0",$R$4:$R$923)*(Settings!$B$5*(Settings!$B$6-Settings!$B$7))))</f>
        <v>1</v>
      </c>
      <c r="T907" s="12">
        <f t="array" ref="T907">IF($A907="","",XLOOKUP($F907,Settings!$I$15:$I$20,Settings!$J$15:$J$20,1))</f>
        <v>0.75</v>
      </c>
      <c r="U907" s="12">
        <f>IF($A907="","",1+(($G907-5)/5)*Settings!$J$8)</f>
        <v>1</v>
      </c>
      <c r="V907" s="12">
        <f>IF($A907="","",1+(($H907-5)/5)*Settings!$J$9)</f>
        <v>1.06</v>
      </c>
      <c r="W907" s="12">
        <f t="array" ref="W907">IF($A907="","",XLOOKUP($J907,Lists!$C$3:$C$7,Lists!$D$3:$D$7,1))</f>
        <v>1</v>
      </c>
      <c r="X907" s="12">
        <f>IF($A907="","",IF($I907="Yes",Settings!$J$10,1))</f>
        <v>1</v>
      </c>
      <c r="Y907" s="12">
        <f t="shared" si="2"/>
        <v>1</v>
      </c>
      <c r="Z907" s="12">
        <f>IF($A907="","",IFERROR(ROUND(AVERAGEIFS('Historical Drafts'!$G$4:$G$300,'Historical Drafts'!$D$4:$D$300,$E907,'Historical Drafts'!$J$4:$J$300,"&gt;="&amp;$L907*0.85,'Historical Drafts'!$J$4:$J$300,"&lt;="&amp;$L907*1.15),0),$Y907))</f>
        <v>1</v>
      </c>
      <c r="AA907" s="12" t="str">
        <f>IF($A907="","",IF(COUNTIF('Auction Log'!$B$3:$B$300,$A907)&gt;0,"Sold","Available"))</f>
        <v>Available</v>
      </c>
      <c r="AB907" s="12" t="str">
        <f t="array" ref="AB907">IF($A907="","",IFERROR(XLOOKUP($A907,'Auction Log'!$B$3:$B$300,'Auction Log'!$G$3:$G$300,""),""))</f>
        <v/>
      </c>
      <c r="AC907" s="12" t="str">
        <f t="array" ref="AC907">IF($A907="","",IFERROR(XLOOKUP($A907,'Auction Log'!$B$3:$B$300,'Auction Log'!$F$3:$F$300,""),""))</f>
        <v/>
      </c>
      <c r="AD907" s="12">
        <f t="array" ref="AD907">IF($A907="","",ROUND($Y907*XLOOKUP($F907,Settings!$I$15:$I$20,Settings!$K$15:$K$20,0.4),0))</f>
        <v>0</v>
      </c>
      <c r="AE907" s="12">
        <f t="array" ref="AE907">IF($A907="","",ROUND($Y907*XLOOKUP($F907,Settings!$I$15:$I$20,Settings!$L$15:$L$20,0.8),0))</f>
        <v>1</v>
      </c>
      <c r="AF907" s="12">
        <f t="array" ref="AF907">IF($A907="","",ROUND($Y907*XLOOKUP($F907,Settings!$I$15:$I$20,Settings!$M$15:$M$20,1),0))</f>
        <v>1</v>
      </c>
      <c r="AG907" s="12">
        <f t="array" ref="AG907">IF($A907="","",ROUND($Y907*XLOOKUP($F907,Settings!$I$15:$I$20,Settings!$N$15:$N$20,1.1),0))</f>
        <v>1</v>
      </c>
      <c r="AH907" s="12">
        <f t="array" ref="AH907">IF($A907="","",ROUND($Y907*XLOOKUP($F907,Settings!$I$15:$I$20,Settings!$O$15:$O$20,1.1)*Settings!$J$7,0))</f>
        <v>1</v>
      </c>
      <c r="AI907" s="12">
        <f t="array" ref="AI907">IF($A907="","",IF($AA907="Sold","",MIN($AH907,IFERROR(XLOOKUP(Settings!$B$12,Managers!$B$4:$B$15,Managers!$H$4:$H$15),$AH907))))</f>
        <v>1</v>
      </c>
      <c r="AJ907" s="12" t="str">
        <f t="shared" si="3"/>
        <v>Recommended</v>
      </c>
      <c r="AK907" s="12">
        <f t="shared" si="4"/>
        <v>26</v>
      </c>
      <c r="AL907" s="12" t="str">
        <f t="shared" si="5"/>
        <v/>
      </c>
    </row>
    <row r="908" ht="15.75" customHeight="1">
      <c r="A908" s="10" t="s">
        <v>2095</v>
      </c>
      <c r="B908" s="10" t="s">
        <v>2096</v>
      </c>
      <c r="C908" s="10" t="s">
        <v>236</v>
      </c>
      <c r="D908" s="10" t="s">
        <v>115</v>
      </c>
      <c r="E908" s="10" t="s">
        <v>115</v>
      </c>
      <c r="F908" s="10" t="s">
        <v>117</v>
      </c>
      <c r="G908" s="10">
        <v>5.0</v>
      </c>
      <c r="H908" s="10">
        <v>7.0</v>
      </c>
      <c r="I908" s="10" t="s">
        <v>2140</v>
      </c>
      <c r="J908" s="10" t="s">
        <v>2136</v>
      </c>
      <c r="K908" s="10"/>
      <c r="L908" s="10">
        <v>0.0</v>
      </c>
      <c r="M908" s="10">
        <v>0.0</v>
      </c>
      <c r="N908" s="10"/>
      <c r="O908" s="10"/>
      <c r="P908" s="12">
        <f>IF($A908="","",IFERROR((IF($O908="",0,$O908)*Settings!$J$4+IF($L908="",0,$L908)*Settings!$J$5+IF($N908="",0,$N908)*Settings!$J$6)/(IF($O908="",0,Settings!$J$4)+IF($L908="",0,Settings!$J$5)+IF($N908="",0,Settings!$J$6)),0))</f>
        <v>0</v>
      </c>
      <c r="Q908" s="12">
        <f t="array" ref="Q908">IF($A908="","",XLOOKUP($E908,Settings!$A$19:$A$22,Settings!$G$19:$G$22,0))</f>
        <v>249.25</v>
      </c>
      <c r="R908" s="12">
        <f t="shared" si="1"/>
        <v>0</v>
      </c>
      <c r="S908" s="12">
        <f>IF($A908="","",IF($R908&lt;=0,1,1+$R908/SUMIF($R$4:$R$923,"&gt;0",$R$4:$R$923)*(Settings!$B$5*(Settings!$B$6-Settings!$B$7))))</f>
        <v>1</v>
      </c>
      <c r="T908" s="12">
        <f t="array" ref="T908">IF($A908="","",XLOOKUP($F908,Settings!$I$15:$I$20,Settings!$J$15:$J$20,1))</f>
        <v>0.75</v>
      </c>
      <c r="U908" s="12">
        <f>IF($A908="","",1+(($G908-5)/5)*Settings!$J$8)</f>
        <v>1</v>
      </c>
      <c r="V908" s="12">
        <f>IF($A908="","",1+(($H908-5)/5)*Settings!$J$9)</f>
        <v>1.06</v>
      </c>
      <c r="W908" s="12">
        <f t="array" ref="W908">IF($A908="","",XLOOKUP($J908,Lists!$C$3:$C$7,Lists!$D$3:$D$7,1))</f>
        <v>1</v>
      </c>
      <c r="X908" s="12">
        <f>IF($A908="","",IF($I908="Yes",Settings!$J$10,1))</f>
        <v>1</v>
      </c>
      <c r="Y908" s="12">
        <f t="shared" si="2"/>
        <v>1</v>
      </c>
      <c r="Z908" s="12">
        <f>IF($A908="","",IFERROR(ROUND(AVERAGEIFS('Historical Drafts'!$G$4:$G$300,'Historical Drafts'!$D$4:$D$300,$E908,'Historical Drafts'!$J$4:$J$300,"&gt;="&amp;$L908*0.85,'Historical Drafts'!$J$4:$J$300,"&lt;="&amp;$L908*1.15),0),$Y908))</f>
        <v>1</v>
      </c>
      <c r="AA908" s="12" t="str">
        <f>IF($A908="","",IF(COUNTIF('Auction Log'!$B$3:$B$300,$A908)&gt;0,"Sold","Available"))</f>
        <v>Available</v>
      </c>
      <c r="AB908" s="12" t="str">
        <f t="array" ref="AB908">IF($A908="","",IFERROR(XLOOKUP($A908,'Auction Log'!$B$3:$B$300,'Auction Log'!$G$3:$G$300,""),""))</f>
        <v/>
      </c>
      <c r="AC908" s="12" t="str">
        <f t="array" ref="AC908">IF($A908="","",IFERROR(XLOOKUP($A908,'Auction Log'!$B$3:$B$300,'Auction Log'!$F$3:$F$300,""),""))</f>
        <v/>
      </c>
      <c r="AD908" s="12">
        <f t="array" ref="AD908">IF($A908="","",ROUND($Y908*XLOOKUP($F908,Settings!$I$15:$I$20,Settings!$K$15:$K$20,0.4),0))</f>
        <v>0</v>
      </c>
      <c r="AE908" s="12">
        <f t="array" ref="AE908">IF($A908="","",ROUND($Y908*XLOOKUP($F908,Settings!$I$15:$I$20,Settings!$L$15:$L$20,0.8),0))</f>
        <v>1</v>
      </c>
      <c r="AF908" s="12">
        <f t="array" ref="AF908">IF($A908="","",ROUND($Y908*XLOOKUP($F908,Settings!$I$15:$I$20,Settings!$M$15:$M$20,1),0))</f>
        <v>1</v>
      </c>
      <c r="AG908" s="12">
        <f t="array" ref="AG908">IF($A908="","",ROUND($Y908*XLOOKUP($F908,Settings!$I$15:$I$20,Settings!$N$15:$N$20,1.1),0))</f>
        <v>1</v>
      </c>
      <c r="AH908" s="12">
        <f t="array" ref="AH908">IF($A908="","",ROUND($Y908*XLOOKUP($F908,Settings!$I$15:$I$20,Settings!$O$15:$O$20,1.1)*Settings!$J$7,0))</f>
        <v>1</v>
      </c>
      <c r="AI908" s="12">
        <f t="array" ref="AI908">IF($A908="","",IF($AA908="Sold","",MIN($AH908,IFERROR(XLOOKUP(Settings!$B$12,Managers!$B$4:$B$15,Managers!$H$4:$H$15),$AH908))))</f>
        <v>1</v>
      </c>
      <c r="AJ908" s="12" t="str">
        <f t="shared" si="3"/>
        <v>Recommended</v>
      </c>
      <c r="AK908" s="12">
        <f t="shared" si="4"/>
        <v>26</v>
      </c>
      <c r="AL908" s="12" t="str">
        <f t="shared" si="5"/>
        <v/>
      </c>
    </row>
    <row r="909" ht="15.75" customHeight="1">
      <c r="A909" s="10" t="s">
        <v>2097</v>
      </c>
      <c r="B909" s="10" t="s">
        <v>2098</v>
      </c>
      <c r="C909" s="10" t="s">
        <v>185</v>
      </c>
      <c r="D909" s="10" t="s">
        <v>121</v>
      </c>
      <c r="E909" s="10" t="s">
        <v>121</v>
      </c>
      <c r="F909" s="10" t="s">
        <v>117</v>
      </c>
      <c r="G909" s="10">
        <v>5.0</v>
      </c>
      <c r="H909" s="10">
        <v>7.0</v>
      </c>
      <c r="I909" s="10" t="s">
        <v>2140</v>
      </c>
      <c r="J909" s="10" t="s">
        <v>2136</v>
      </c>
      <c r="K909" s="10"/>
      <c r="L909" s="10">
        <v>0.0</v>
      </c>
      <c r="M909" s="10">
        <v>0.0</v>
      </c>
      <c r="N909" s="10"/>
      <c r="O909" s="10"/>
      <c r="P909" s="12">
        <f>IF($A909="","",IFERROR((IF($O909="",0,$O909)*Settings!$J$4+IF($L909="",0,$L909)*Settings!$J$5+IF($N909="",0,$N909)*Settings!$J$6)/(IF($O909="",0,Settings!$J$4)+IF($L909="",0,Settings!$J$5)+IF($N909="",0,Settings!$J$6)),0))</f>
        <v>0</v>
      </c>
      <c r="Q909" s="12">
        <f t="array" ref="Q909">IF($A909="","",XLOOKUP($E909,Settings!$A$19:$A$22,Settings!$G$19:$G$22,0))</f>
        <v>206</v>
      </c>
      <c r="R909" s="12">
        <f t="shared" si="1"/>
        <v>0</v>
      </c>
      <c r="S909" s="12">
        <f>IF($A909="","",IF($R909&lt;=0,1,1+$R909/SUMIF($R$4:$R$923,"&gt;0",$R$4:$R$923)*(Settings!$B$5*(Settings!$B$6-Settings!$B$7))))</f>
        <v>1</v>
      </c>
      <c r="T909" s="12">
        <f t="array" ref="T909">IF($A909="","",XLOOKUP($F909,Settings!$I$15:$I$20,Settings!$J$15:$J$20,1))</f>
        <v>0.75</v>
      </c>
      <c r="U909" s="12">
        <f>IF($A909="","",1+(($G909-5)/5)*Settings!$J$8)</f>
        <v>1</v>
      </c>
      <c r="V909" s="12">
        <f>IF($A909="","",1+(($H909-5)/5)*Settings!$J$9)</f>
        <v>1.06</v>
      </c>
      <c r="W909" s="12">
        <f t="array" ref="W909">IF($A909="","",XLOOKUP($J909,Lists!$C$3:$C$7,Lists!$D$3:$D$7,1))</f>
        <v>1</v>
      </c>
      <c r="X909" s="12">
        <f>IF($A909="","",IF($I909="Yes",Settings!$J$10,1))</f>
        <v>1</v>
      </c>
      <c r="Y909" s="12">
        <f t="shared" si="2"/>
        <v>1</v>
      </c>
      <c r="Z909" s="12">
        <f>IF($A909="","",IFERROR(ROUND(AVERAGEIFS('Historical Drafts'!$G$4:$G$300,'Historical Drafts'!$D$4:$D$300,$E909,'Historical Drafts'!$J$4:$J$300,"&gt;="&amp;$L909*0.85,'Historical Drafts'!$J$4:$J$300,"&lt;="&amp;$L909*1.15),0),$Y909))</f>
        <v>3</v>
      </c>
      <c r="AA909" s="12" t="str">
        <f>IF($A909="","",IF(COUNTIF('Auction Log'!$B$3:$B$300,$A909)&gt;0,"Sold","Available"))</f>
        <v>Available</v>
      </c>
      <c r="AB909" s="12" t="str">
        <f t="array" ref="AB909">IF($A909="","",IFERROR(XLOOKUP($A909,'Auction Log'!$B$3:$B$300,'Auction Log'!$G$3:$G$300,""),""))</f>
        <v/>
      </c>
      <c r="AC909" s="12" t="str">
        <f t="array" ref="AC909">IF($A909="","",IFERROR(XLOOKUP($A909,'Auction Log'!$B$3:$B$300,'Auction Log'!$F$3:$F$300,""),""))</f>
        <v/>
      </c>
      <c r="AD909" s="12">
        <f t="array" ref="AD909">IF($A909="","",ROUND($Y909*XLOOKUP($F909,Settings!$I$15:$I$20,Settings!$K$15:$K$20,0.4),0))</f>
        <v>0</v>
      </c>
      <c r="AE909" s="12">
        <f t="array" ref="AE909">IF($A909="","",ROUND($Y909*XLOOKUP($F909,Settings!$I$15:$I$20,Settings!$L$15:$L$20,0.8),0))</f>
        <v>1</v>
      </c>
      <c r="AF909" s="12">
        <f t="array" ref="AF909">IF($A909="","",ROUND($Y909*XLOOKUP($F909,Settings!$I$15:$I$20,Settings!$M$15:$M$20,1),0))</f>
        <v>1</v>
      </c>
      <c r="AG909" s="12">
        <f t="array" ref="AG909">IF($A909="","",ROUND($Y909*XLOOKUP($F909,Settings!$I$15:$I$20,Settings!$N$15:$N$20,1.1),0))</f>
        <v>1</v>
      </c>
      <c r="AH909" s="12">
        <f t="array" ref="AH909">IF($A909="","",ROUND($Y909*XLOOKUP($F909,Settings!$I$15:$I$20,Settings!$O$15:$O$20,1.1)*Settings!$J$7,0))</f>
        <v>1</v>
      </c>
      <c r="AI909" s="12">
        <f t="array" ref="AI909">IF($A909="","",IF($AA909="Sold","",MIN($AH909,IFERROR(XLOOKUP(Settings!$B$12,Managers!$B$4:$B$15,Managers!$H$4:$H$15),$AH909))))</f>
        <v>1</v>
      </c>
      <c r="AJ909" s="12" t="str">
        <f t="shared" si="3"/>
        <v>Budget Drainer</v>
      </c>
      <c r="AK909" s="12">
        <f t="shared" si="4"/>
        <v>28</v>
      </c>
      <c r="AL909" s="12" t="str">
        <f t="shared" si="5"/>
        <v/>
      </c>
    </row>
    <row r="910" ht="15.75" customHeight="1">
      <c r="A910" s="10" t="s">
        <v>2099</v>
      </c>
      <c r="B910" s="10" t="s">
        <v>2100</v>
      </c>
      <c r="C910" s="10" t="s">
        <v>199</v>
      </c>
      <c r="D910" s="10" t="s">
        <v>118</v>
      </c>
      <c r="E910" s="10" t="s">
        <v>118</v>
      </c>
      <c r="F910" s="10" t="s">
        <v>117</v>
      </c>
      <c r="G910" s="10">
        <v>5.0</v>
      </c>
      <c r="H910" s="10">
        <v>7.0</v>
      </c>
      <c r="I910" s="10" t="s">
        <v>2140</v>
      </c>
      <c r="J910" s="10" t="s">
        <v>2136</v>
      </c>
      <c r="K910" s="10"/>
      <c r="L910" s="10">
        <v>0.0</v>
      </c>
      <c r="M910" s="10">
        <v>0.0</v>
      </c>
      <c r="N910" s="10"/>
      <c r="O910" s="10"/>
      <c r="P910" s="12">
        <f>IF($A910="","",IFERROR((IF($O910="",0,$O910)*Settings!$J$4+IF($L910="",0,$L910)*Settings!$J$5+IF($N910="",0,$N910)*Settings!$J$6)/(IF($O910="",0,Settings!$J$4)+IF($L910="",0,Settings!$J$5)+IF($N910="",0,Settings!$J$6)),0))</f>
        <v>0</v>
      </c>
      <c r="Q910" s="12">
        <f t="array" ref="Q910">IF($A910="","",XLOOKUP($E910,Settings!$A$19:$A$22,Settings!$G$19:$G$22,0))</f>
        <v>196.25</v>
      </c>
      <c r="R910" s="12">
        <f t="shared" si="1"/>
        <v>0</v>
      </c>
      <c r="S910" s="12">
        <f>IF($A910="","",IF($R910&lt;=0,1,1+$R910/SUMIF($R$4:$R$923,"&gt;0",$R$4:$R$923)*(Settings!$B$5*(Settings!$B$6-Settings!$B$7))))</f>
        <v>1</v>
      </c>
      <c r="T910" s="12">
        <f t="array" ref="T910">IF($A910="","",XLOOKUP($F910,Settings!$I$15:$I$20,Settings!$J$15:$J$20,1))</f>
        <v>0.75</v>
      </c>
      <c r="U910" s="12">
        <f>IF($A910="","",1+(($G910-5)/5)*Settings!$J$8)</f>
        <v>1</v>
      </c>
      <c r="V910" s="12">
        <f>IF($A910="","",1+(($H910-5)/5)*Settings!$J$9)</f>
        <v>1.06</v>
      </c>
      <c r="W910" s="12">
        <f t="array" ref="W910">IF($A910="","",XLOOKUP($J910,Lists!$C$3:$C$7,Lists!$D$3:$D$7,1))</f>
        <v>1</v>
      </c>
      <c r="X910" s="12">
        <f>IF($A910="","",IF($I910="Yes",Settings!$J$10,1))</f>
        <v>1</v>
      </c>
      <c r="Y910" s="12">
        <f t="shared" si="2"/>
        <v>1</v>
      </c>
      <c r="Z910" s="12">
        <f>IF($A910="","",IFERROR(ROUND(AVERAGEIFS('Historical Drafts'!$G$4:$G$300,'Historical Drafts'!$D$4:$D$300,$E910,'Historical Drafts'!$J$4:$J$300,"&gt;="&amp;$L910*0.85,'Historical Drafts'!$J$4:$J$300,"&lt;="&amp;$L910*1.15),0),$Y910))</f>
        <v>1</v>
      </c>
      <c r="AA910" s="12" t="str">
        <f>IF($A910="","",IF(COUNTIF('Auction Log'!$B$3:$B$300,$A910)&gt;0,"Sold","Available"))</f>
        <v>Available</v>
      </c>
      <c r="AB910" s="12" t="str">
        <f t="array" ref="AB910">IF($A910="","",IFERROR(XLOOKUP($A910,'Auction Log'!$B$3:$B$300,'Auction Log'!$G$3:$G$300,""),""))</f>
        <v/>
      </c>
      <c r="AC910" s="12" t="str">
        <f t="array" ref="AC910">IF($A910="","",IFERROR(XLOOKUP($A910,'Auction Log'!$B$3:$B$300,'Auction Log'!$F$3:$F$300,""),""))</f>
        <v/>
      </c>
      <c r="AD910" s="12">
        <f t="array" ref="AD910">IF($A910="","",ROUND($Y910*XLOOKUP($F910,Settings!$I$15:$I$20,Settings!$K$15:$K$20,0.4),0))</f>
        <v>0</v>
      </c>
      <c r="AE910" s="12">
        <f t="array" ref="AE910">IF($A910="","",ROUND($Y910*XLOOKUP($F910,Settings!$I$15:$I$20,Settings!$L$15:$L$20,0.8),0))</f>
        <v>1</v>
      </c>
      <c r="AF910" s="12">
        <f t="array" ref="AF910">IF($A910="","",ROUND($Y910*XLOOKUP($F910,Settings!$I$15:$I$20,Settings!$M$15:$M$20,1),0))</f>
        <v>1</v>
      </c>
      <c r="AG910" s="12">
        <f t="array" ref="AG910">IF($A910="","",ROUND($Y910*XLOOKUP($F910,Settings!$I$15:$I$20,Settings!$N$15:$N$20,1.1),0))</f>
        <v>1</v>
      </c>
      <c r="AH910" s="12">
        <f t="array" ref="AH910">IF($A910="","",ROUND($Y910*XLOOKUP($F910,Settings!$I$15:$I$20,Settings!$O$15:$O$20,1.1)*Settings!$J$7,0))</f>
        <v>1</v>
      </c>
      <c r="AI910" s="12">
        <f t="array" ref="AI910">IF($A910="","",IF($AA910="Sold","",MIN($AH910,IFERROR(XLOOKUP(Settings!$B$12,Managers!$B$4:$B$15,Managers!$H$4:$H$15),$AH910))))</f>
        <v>1</v>
      </c>
      <c r="AJ910" s="12" t="str">
        <f t="shared" si="3"/>
        <v>Recommended</v>
      </c>
      <c r="AK910" s="12">
        <f t="shared" si="4"/>
        <v>26</v>
      </c>
      <c r="AL910" s="12" t="str">
        <f t="shared" si="5"/>
        <v/>
      </c>
    </row>
    <row r="911" ht="15.75" customHeight="1">
      <c r="A911" s="10" t="s">
        <v>2101</v>
      </c>
      <c r="B911" s="10" t="s">
        <v>2102</v>
      </c>
      <c r="C911" s="10" t="s">
        <v>199</v>
      </c>
      <c r="D911" s="10" t="s">
        <v>118</v>
      </c>
      <c r="E911" s="10" t="s">
        <v>118</v>
      </c>
      <c r="F911" s="10" t="s">
        <v>117</v>
      </c>
      <c r="G911" s="10">
        <v>5.0</v>
      </c>
      <c r="H911" s="10">
        <v>7.0</v>
      </c>
      <c r="I911" s="10" t="s">
        <v>2140</v>
      </c>
      <c r="J911" s="10" t="s">
        <v>2136</v>
      </c>
      <c r="K911" s="10"/>
      <c r="L911" s="10">
        <v>-0.5</v>
      </c>
      <c r="M911" s="10">
        <v>-0.08</v>
      </c>
      <c r="N911" s="10"/>
      <c r="O911" s="10"/>
      <c r="P911" s="12">
        <f>IF($A911="","",IFERROR((IF($O911="",0,$O911)*Settings!$J$4+IF($L911="",0,$L911)*Settings!$J$5+IF($N911="",0,$N911)*Settings!$J$6)/(IF($O911="",0,Settings!$J$4)+IF($L911="",0,Settings!$J$5)+IF($N911="",0,Settings!$J$6)),0))</f>
        <v>-0.5</v>
      </c>
      <c r="Q911" s="12">
        <f t="array" ref="Q911">IF($A911="","",XLOOKUP($E911,Settings!$A$19:$A$22,Settings!$G$19:$G$22,0))</f>
        <v>196.25</v>
      </c>
      <c r="R911" s="12">
        <f t="shared" si="1"/>
        <v>0</v>
      </c>
      <c r="S911" s="12">
        <f>IF($A911="","",IF($R911&lt;=0,1,1+$R911/SUMIF($R$4:$R$923,"&gt;0",$R$4:$R$923)*(Settings!$B$5*(Settings!$B$6-Settings!$B$7))))</f>
        <v>1</v>
      </c>
      <c r="T911" s="12">
        <f t="array" ref="T911">IF($A911="","",XLOOKUP($F911,Settings!$I$15:$I$20,Settings!$J$15:$J$20,1))</f>
        <v>0.75</v>
      </c>
      <c r="U911" s="12">
        <f>IF($A911="","",1+(($G911-5)/5)*Settings!$J$8)</f>
        <v>1</v>
      </c>
      <c r="V911" s="12">
        <f>IF($A911="","",1+(($H911-5)/5)*Settings!$J$9)</f>
        <v>1.06</v>
      </c>
      <c r="W911" s="12">
        <f t="array" ref="W911">IF($A911="","",XLOOKUP($J911,Lists!$C$3:$C$7,Lists!$D$3:$D$7,1))</f>
        <v>1</v>
      </c>
      <c r="X911" s="12">
        <f>IF($A911="","",IF($I911="Yes",Settings!$J$10,1))</f>
        <v>1</v>
      </c>
      <c r="Y911" s="12">
        <f t="shared" si="2"/>
        <v>1</v>
      </c>
      <c r="Z911" s="12">
        <f>IF($A911="","",IFERROR(ROUND(AVERAGEIFS('Historical Drafts'!$G$4:$G$300,'Historical Drafts'!$D$4:$D$300,$E911,'Historical Drafts'!$J$4:$J$300,"&gt;="&amp;$L911*0.85,'Historical Drafts'!$J$4:$J$300,"&lt;="&amp;$L911*1.15),0),$Y911))</f>
        <v>1</v>
      </c>
      <c r="AA911" s="12" t="str">
        <f>IF($A911="","",IF(COUNTIF('Auction Log'!$B$3:$B$300,$A911)&gt;0,"Sold","Available"))</f>
        <v>Available</v>
      </c>
      <c r="AB911" s="12" t="str">
        <f t="array" ref="AB911">IF($A911="","",IFERROR(XLOOKUP($A911,'Auction Log'!$B$3:$B$300,'Auction Log'!$G$3:$G$300,""),""))</f>
        <v/>
      </c>
      <c r="AC911" s="12" t="str">
        <f t="array" ref="AC911">IF($A911="","",IFERROR(XLOOKUP($A911,'Auction Log'!$B$3:$B$300,'Auction Log'!$F$3:$F$300,""),""))</f>
        <v/>
      </c>
      <c r="AD911" s="12">
        <f t="array" ref="AD911">IF($A911="","",ROUND($Y911*XLOOKUP($F911,Settings!$I$15:$I$20,Settings!$K$15:$K$20,0.4),0))</f>
        <v>0</v>
      </c>
      <c r="AE911" s="12">
        <f t="array" ref="AE911">IF($A911="","",ROUND($Y911*XLOOKUP($F911,Settings!$I$15:$I$20,Settings!$L$15:$L$20,0.8),0))</f>
        <v>1</v>
      </c>
      <c r="AF911" s="12">
        <f t="array" ref="AF911">IF($A911="","",ROUND($Y911*XLOOKUP($F911,Settings!$I$15:$I$20,Settings!$M$15:$M$20,1),0))</f>
        <v>1</v>
      </c>
      <c r="AG911" s="12">
        <f t="array" ref="AG911">IF($A911="","",ROUND($Y911*XLOOKUP($F911,Settings!$I$15:$I$20,Settings!$N$15:$N$20,1.1),0))</f>
        <v>1</v>
      </c>
      <c r="AH911" s="12">
        <f t="array" ref="AH911">IF($A911="","",ROUND($Y911*XLOOKUP($F911,Settings!$I$15:$I$20,Settings!$O$15:$O$20,1.1)*Settings!$J$7,0))</f>
        <v>1</v>
      </c>
      <c r="AI911" s="12">
        <f t="array" ref="AI911">IF($A911="","",IF($AA911="Sold","",MIN($AH911,IFERROR(XLOOKUP(Settings!$B$12,Managers!$B$4:$B$15,Managers!$H$4:$H$15),$AH911))))</f>
        <v>1</v>
      </c>
      <c r="AJ911" s="12" t="str">
        <f t="shared" si="3"/>
        <v>Recommended</v>
      </c>
      <c r="AK911" s="12">
        <f t="shared" si="4"/>
        <v>26</v>
      </c>
      <c r="AL911" s="12" t="str">
        <f t="shared" si="5"/>
        <v/>
      </c>
    </row>
    <row r="912" ht="15.75" customHeight="1">
      <c r="A912" s="10" t="s">
        <v>2103</v>
      </c>
      <c r="B912" s="10" t="s">
        <v>2104</v>
      </c>
      <c r="C912" s="10" t="s">
        <v>226</v>
      </c>
      <c r="D912" s="10" t="s">
        <v>118</v>
      </c>
      <c r="E912" s="10" t="s">
        <v>118</v>
      </c>
      <c r="F912" s="10" t="s">
        <v>117</v>
      </c>
      <c r="G912" s="10">
        <v>5.0</v>
      </c>
      <c r="H912" s="10">
        <v>7.0</v>
      </c>
      <c r="I912" s="10" t="s">
        <v>2140</v>
      </c>
      <c r="J912" s="10" t="s">
        <v>2136</v>
      </c>
      <c r="K912" s="10"/>
      <c r="L912" s="10">
        <v>-0.5</v>
      </c>
      <c r="M912" s="10">
        <v>-0.25</v>
      </c>
      <c r="N912" s="10"/>
      <c r="O912" s="10"/>
      <c r="P912" s="12">
        <f>IF($A912="","",IFERROR((IF($O912="",0,$O912)*Settings!$J$4+IF($L912="",0,$L912)*Settings!$J$5+IF($N912="",0,$N912)*Settings!$J$6)/(IF($O912="",0,Settings!$J$4)+IF($L912="",0,Settings!$J$5)+IF($N912="",0,Settings!$J$6)),0))</f>
        <v>-0.5</v>
      </c>
      <c r="Q912" s="12">
        <f t="array" ref="Q912">IF($A912="","",XLOOKUP($E912,Settings!$A$19:$A$22,Settings!$G$19:$G$22,0))</f>
        <v>196.25</v>
      </c>
      <c r="R912" s="12">
        <f t="shared" si="1"/>
        <v>0</v>
      </c>
      <c r="S912" s="12">
        <f>IF($A912="","",IF($R912&lt;=0,1,1+$R912/SUMIF($R$4:$R$923,"&gt;0",$R$4:$R$923)*(Settings!$B$5*(Settings!$B$6-Settings!$B$7))))</f>
        <v>1</v>
      </c>
      <c r="T912" s="12">
        <f t="array" ref="T912">IF($A912="","",XLOOKUP($F912,Settings!$I$15:$I$20,Settings!$J$15:$J$20,1))</f>
        <v>0.75</v>
      </c>
      <c r="U912" s="12">
        <f>IF($A912="","",1+(($G912-5)/5)*Settings!$J$8)</f>
        <v>1</v>
      </c>
      <c r="V912" s="12">
        <f>IF($A912="","",1+(($H912-5)/5)*Settings!$J$9)</f>
        <v>1.06</v>
      </c>
      <c r="W912" s="12">
        <f t="array" ref="W912">IF($A912="","",XLOOKUP($J912,Lists!$C$3:$C$7,Lists!$D$3:$D$7,1))</f>
        <v>1</v>
      </c>
      <c r="X912" s="12">
        <f>IF($A912="","",IF($I912="Yes",Settings!$J$10,1))</f>
        <v>1</v>
      </c>
      <c r="Y912" s="12">
        <f t="shared" si="2"/>
        <v>1</v>
      </c>
      <c r="Z912" s="12">
        <f>IF($A912="","",IFERROR(ROUND(AVERAGEIFS('Historical Drafts'!$G$4:$G$300,'Historical Drafts'!$D$4:$D$300,$E912,'Historical Drafts'!$J$4:$J$300,"&gt;="&amp;$L912*0.85,'Historical Drafts'!$J$4:$J$300,"&lt;="&amp;$L912*1.15),0),$Y912))</f>
        <v>1</v>
      </c>
      <c r="AA912" s="12" t="str">
        <f>IF($A912="","",IF(COUNTIF('Auction Log'!$B$3:$B$300,$A912)&gt;0,"Sold","Available"))</f>
        <v>Available</v>
      </c>
      <c r="AB912" s="12" t="str">
        <f t="array" ref="AB912">IF($A912="","",IFERROR(XLOOKUP($A912,'Auction Log'!$B$3:$B$300,'Auction Log'!$G$3:$G$300,""),""))</f>
        <v/>
      </c>
      <c r="AC912" s="12" t="str">
        <f t="array" ref="AC912">IF($A912="","",IFERROR(XLOOKUP($A912,'Auction Log'!$B$3:$B$300,'Auction Log'!$F$3:$F$300,""),""))</f>
        <v/>
      </c>
      <c r="AD912" s="12">
        <f t="array" ref="AD912">IF($A912="","",ROUND($Y912*XLOOKUP($F912,Settings!$I$15:$I$20,Settings!$K$15:$K$20,0.4),0))</f>
        <v>0</v>
      </c>
      <c r="AE912" s="12">
        <f t="array" ref="AE912">IF($A912="","",ROUND($Y912*XLOOKUP($F912,Settings!$I$15:$I$20,Settings!$L$15:$L$20,0.8),0))</f>
        <v>1</v>
      </c>
      <c r="AF912" s="12">
        <f t="array" ref="AF912">IF($A912="","",ROUND($Y912*XLOOKUP($F912,Settings!$I$15:$I$20,Settings!$M$15:$M$20,1),0))</f>
        <v>1</v>
      </c>
      <c r="AG912" s="12">
        <f t="array" ref="AG912">IF($A912="","",ROUND($Y912*XLOOKUP($F912,Settings!$I$15:$I$20,Settings!$N$15:$N$20,1.1),0))</f>
        <v>1</v>
      </c>
      <c r="AH912" s="12">
        <f t="array" ref="AH912">IF($A912="","",ROUND($Y912*XLOOKUP($F912,Settings!$I$15:$I$20,Settings!$O$15:$O$20,1.1)*Settings!$J$7,0))</f>
        <v>1</v>
      </c>
      <c r="AI912" s="12">
        <f t="array" ref="AI912">IF($A912="","",IF($AA912="Sold","",MIN($AH912,IFERROR(XLOOKUP(Settings!$B$12,Managers!$B$4:$B$15,Managers!$H$4:$H$15),$AH912))))</f>
        <v>1</v>
      </c>
      <c r="AJ912" s="12" t="str">
        <f t="shared" si="3"/>
        <v>Recommended</v>
      </c>
      <c r="AK912" s="12">
        <f t="shared" si="4"/>
        <v>26</v>
      </c>
      <c r="AL912" s="12" t="str">
        <f t="shared" si="5"/>
        <v/>
      </c>
    </row>
    <row r="913" ht="15.75" customHeight="1">
      <c r="A913" s="10" t="s">
        <v>2105</v>
      </c>
      <c r="B913" s="10" t="s">
        <v>2106</v>
      </c>
      <c r="C913" s="10" t="s">
        <v>226</v>
      </c>
      <c r="D913" s="10" t="s">
        <v>123</v>
      </c>
      <c r="E913" s="10" t="s">
        <v>123</v>
      </c>
      <c r="F913" s="10" t="s">
        <v>117</v>
      </c>
      <c r="G913" s="10">
        <v>5.0</v>
      </c>
      <c r="H913" s="10">
        <v>7.0</v>
      </c>
      <c r="I913" s="10" t="s">
        <v>2140</v>
      </c>
      <c r="J913" s="10" t="s">
        <v>2136</v>
      </c>
      <c r="K913" s="10"/>
      <c r="L913" s="10">
        <v>-0.5</v>
      </c>
      <c r="M913" s="10">
        <v>-0.5</v>
      </c>
      <c r="N913" s="10"/>
      <c r="O913" s="10"/>
      <c r="P913" s="12">
        <f>IF($A913="","",IFERROR((IF($O913="",0,$O913)*Settings!$J$4+IF($L913="",0,$L913)*Settings!$J$5+IF($N913="",0,$N913)*Settings!$J$6)/(IF($O913="",0,Settings!$J$4)+IF($L913="",0,Settings!$J$5)+IF($N913="",0,Settings!$J$6)),0))</f>
        <v>-0.5</v>
      </c>
      <c r="Q913" s="12">
        <f t="array" ref="Q913">IF($A913="","",XLOOKUP($E913,Settings!$A$19:$A$22,Settings!$G$19:$G$22,0))</f>
        <v>203</v>
      </c>
      <c r="R913" s="12">
        <f t="shared" si="1"/>
        <v>0</v>
      </c>
      <c r="S913" s="12">
        <f>IF($A913="","",IF($R913&lt;=0,1,1+$R913/SUMIF($R$4:$R$923,"&gt;0",$R$4:$R$923)*(Settings!$B$5*(Settings!$B$6-Settings!$B$7))))</f>
        <v>1</v>
      </c>
      <c r="T913" s="12">
        <f t="array" ref="T913">IF($A913="","",XLOOKUP($F913,Settings!$I$15:$I$20,Settings!$J$15:$J$20,1))</f>
        <v>0.75</v>
      </c>
      <c r="U913" s="12">
        <f>IF($A913="","",1+(($G913-5)/5)*Settings!$J$8)</f>
        <v>1</v>
      </c>
      <c r="V913" s="12">
        <f>IF($A913="","",1+(($H913-5)/5)*Settings!$J$9)</f>
        <v>1.06</v>
      </c>
      <c r="W913" s="12">
        <f t="array" ref="W913">IF($A913="","",XLOOKUP($J913,Lists!$C$3:$C$7,Lists!$D$3:$D$7,1))</f>
        <v>1</v>
      </c>
      <c r="X913" s="12">
        <f>IF($A913="","",IF($I913="Yes",Settings!$J$10,1))</f>
        <v>1</v>
      </c>
      <c r="Y913" s="12">
        <f t="shared" si="2"/>
        <v>1</v>
      </c>
      <c r="Z913" s="12">
        <f>IF($A913="","",IFERROR(ROUND(AVERAGEIFS('Historical Drafts'!$G$4:$G$300,'Historical Drafts'!$D$4:$D$300,$E913,'Historical Drafts'!$J$4:$J$300,"&gt;="&amp;$L913*0.85,'Historical Drafts'!$J$4:$J$300,"&lt;="&amp;$L913*1.15),0),$Y913))</f>
        <v>1</v>
      </c>
      <c r="AA913" s="12" t="str">
        <f>IF($A913="","",IF(COUNTIF('Auction Log'!$B$3:$B$300,$A913)&gt;0,"Sold","Available"))</f>
        <v>Available</v>
      </c>
      <c r="AB913" s="12" t="str">
        <f t="array" ref="AB913">IF($A913="","",IFERROR(XLOOKUP($A913,'Auction Log'!$B$3:$B$300,'Auction Log'!$G$3:$G$300,""),""))</f>
        <v/>
      </c>
      <c r="AC913" s="12" t="str">
        <f t="array" ref="AC913">IF($A913="","",IFERROR(XLOOKUP($A913,'Auction Log'!$B$3:$B$300,'Auction Log'!$F$3:$F$300,""),""))</f>
        <v/>
      </c>
      <c r="AD913" s="12">
        <f t="array" ref="AD913">IF($A913="","",ROUND($Y913*XLOOKUP($F913,Settings!$I$15:$I$20,Settings!$K$15:$K$20,0.4),0))</f>
        <v>0</v>
      </c>
      <c r="AE913" s="12">
        <f t="array" ref="AE913">IF($A913="","",ROUND($Y913*XLOOKUP($F913,Settings!$I$15:$I$20,Settings!$L$15:$L$20,0.8),0))</f>
        <v>1</v>
      </c>
      <c r="AF913" s="12">
        <f t="array" ref="AF913">IF($A913="","",ROUND($Y913*XLOOKUP($F913,Settings!$I$15:$I$20,Settings!$M$15:$M$20,1),0))</f>
        <v>1</v>
      </c>
      <c r="AG913" s="12">
        <f t="array" ref="AG913">IF($A913="","",ROUND($Y913*XLOOKUP($F913,Settings!$I$15:$I$20,Settings!$N$15:$N$20,1.1),0))</f>
        <v>1</v>
      </c>
      <c r="AH913" s="12">
        <f t="array" ref="AH913">IF($A913="","",ROUND($Y913*XLOOKUP($F913,Settings!$I$15:$I$20,Settings!$O$15:$O$20,1.1)*Settings!$J$7,0))</f>
        <v>1</v>
      </c>
      <c r="AI913" s="12">
        <f t="array" ref="AI913">IF($A913="","",IF($AA913="Sold","",MIN($AH913,IFERROR(XLOOKUP(Settings!$B$12,Managers!$B$4:$B$15,Managers!$H$4:$H$15),$AH913))))</f>
        <v>1</v>
      </c>
      <c r="AJ913" s="12" t="str">
        <f t="shared" si="3"/>
        <v>Recommended</v>
      </c>
      <c r="AK913" s="12">
        <f t="shared" si="4"/>
        <v>26</v>
      </c>
      <c r="AL913" s="12" t="str">
        <f t="shared" si="5"/>
        <v/>
      </c>
    </row>
    <row r="914" ht="15.75" customHeight="1">
      <c r="A914" s="10" t="s">
        <v>2107</v>
      </c>
      <c r="B914" s="10" t="s">
        <v>2108</v>
      </c>
      <c r="C914" s="10" t="s">
        <v>243</v>
      </c>
      <c r="D914" s="10" t="s">
        <v>123</v>
      </c>
      <c r="E914" s="10" t="s">
        <v>123</v>
      </c>
      <c r="F914" s="10" t="s">
        <v>117</v>
      </c>
      <c r="G914" s="10">
        <v>5.0</v>
      </c>
      <c r="H914" s="10">
        <v>7.0</v>
      </c>
      <c r="I914" s="10" t="s">
        <v>2140</v>
      </c>
      <c r="J914" s="10" t="s">
        <v>2136</v>
      </c>
      <c r="K914" s="10"/>
      <c r="L914" s="10">
        <v>-0.5</v>
      </c>
      <c r="M914" s="10">
        <v>-0.25</v>
      </c>
      <c r="N914" s="10"/>
      <c r="O914" s="10"/>
      <c r="P914" s="12">
        <f>IF($A914="","",IFERROR((IF($O914="",0,$O914)*Settings!$J$4+IF($L914="",0,$L914)*Settings!$J$5+IF($N914="",0,$N914)*Settings!$J$6)/(IF($O914="",0,Settings!$J$4)+IF($L914="",0,Settings!$J$5)+IF($N914="",0,Settings!$J$6)),0))</f>
        <v>-0.5</v>
      </c>
      <c r="Q914" s="12">
        <f t="array" ref="Q914">IF($A914="","",XLOOKUP($E914,Settings!$A$19:$A$22,Settings!$G$19:$G$22,0))</f>
        <v>203</v>
      </c>
      <c r="R914" s="12">
        <f t="shared" si="1"/>
        <v>0</v>
      </c>
      <c r="S914" s="12">
        <f>IF($A914="","",IF($R914&lt;=0,1,1+$R914/SUMIF($R$4:$R$923,"&gt;0",$R$4:$R$923)*(Settings!$B$5*(Settings!$B$6-Settings!$B$7))))</f>
        <v>1</v>
      </c>
      <c r="T914" s="12">
        <f t="array" ref="T914">IF($A914="","",XLOOKUP($F914,Settings!$I$15:$I$20,Settings!$J$15:$J$20,1))</f>
        <v>0.75</v>
      </c>
      <c r="U914" s="12">
        <f>IF($A914="","",1+(($G914-5)/5)*Settings!$J$8)</f>
        <v>1</v>
      </c>
      <c r="V914" s="12">
        <f>IF($A914="","",1+(($H914-5)/5)*Settings!$J$9)</f>
        <v>1.06</v>
      </c>
      <c r="W914" s="12">
        <f t="array" ref="W914">IF($A914="","",XLOOKUP($J914,Lists!$C$3:$C$7,Lists!$D$3:$D$7,1))</f>
        <v>1</v>
      </c>
      <c r="X914" s="12">
        <f>IF($A914="","",IF($I914="Yes",Settings!$J$10,1))</f>
        <v>1</v>
      </c>
      <c r="Y914" s="12">
        <f t="shared" si="2"/>
        <v>1</v>
      </c>
      <c r="Z914" s="12">
        <f>IF($A914="","",IFERROR(ROUND(AVERAGEIFS('Historical Drafts'!$G$4:$G$300,'Historical Drafts'!$D$4:$D$300,$E914,'Historical Drafts'!$J$4:$J$300,"&gt;="&amp;$L914*0.85,'Historical Drafts'!$J$4:$J$300,"&lt;="&amp;$L914*1.15),0),$Y914))</f>
        <v>1</v>
      </c>
      <c r="AA914" s="12" t="str">
        <f>IF($A914="","",IF(COUNTIF('Auction Log'!$B$3:$B$300,$A914)&gt;0,"Sold","Available"))</f>
        <v>Available</v>
      </c>
      <c r="AB914" s="12" t="str">
        <f t="array" ref="AB914">IF($A914="","",IFERROR(XLOOKUP($A914,'Auction Log'!$B$3:$B$300,'Auction Log'!$G$3:$G$300,""),""))</f>
        <v/>
      </c>
      <c r="AC914" s="12" t="str">
        <f t="array" ref="AC914">IF($A914="","",IFERROR(XLOOKUP($A914,'Auction Log'!$B$3:$B$300,'Auction Log'!$F$3:$F$300,""),""))</f>
        <v/>
      </c>
      <c r="AD914" s="12">
        <f t="array" ref="AD914">IF($A914="","",ROUND($Y914*XLOOKUP($F914,Settings!$I$15:$I$20,Settings!$K$15:$K$20,0.4),0))</f>
        <v>0</v>
      </c>
      <c r="AE914" s="12">
        <f t="array" ref="AE914">IF($A914="","",ROUND($Y914*XLOOKUP($F914,Settings!$I$15:$I$20,Settings!$L$15:$L$20,0.8),0))</f>
        <v>1</v>
      </c>
      <c r="AF914" s="12">
        <f t="array" ref="AF914">IF($A914="","",ROUND($Y914*XLOOKUP($F914,Settings!$I$15:$I$20,Settings!$M$15:$M$20,1),0))</f>
        <v>1</v>
      </c>
      <c r="AG914" s="12">
        <f t="array" ref="AG914">IF($A914="","",ROUND($Y914*XLOOKUP($F914,Settings!$I$15:$I$20,Settings!$N$15:$N$20,1.1),0))</f>
        <v>1</v>
      </c>
      <c r="AH914" s="12">
        <f t="array" ref="AH914">IF($A914="","",ROUND($Y914*XLOOKUP($F914,Settings!$I$15:$I$20,Settings!$O$15:$O$20,1.1)*Settings!$J$7,0))</f>
        <v>1</v>
      </c>
      <c r="AI914" s="12">
        <f t="array" ref="AI914">IF($A914="","",IF($AA914="Sold","",MIN($AH914,IFERROR(XLOOKUP(Settings!$B$12,Managers!$B$4:$B$15,Managers!$H$4:$H$15),$AH914))))</f>
        <v>1</v>
      </c>
      <c r="AJ914" s="12" t="str">
        <f t="shared" si="3"/>
        <v>Recommended</v>
      </c>
      <c r="AK914" s="12">
        <f t="shared" si="4"/>
        <v>26</v>
      </c>
      <c r="AL914" s="12" t="str">
        <f t="shared" si="5"/>
        <v/>
      </c>
    </row>
    <row r="915" ht="15.75" customHeight="1">
      <c r="A915" s="10" t="s">
        <v>2109</v>
      </c>
      <c r="B915" s="10" t="s">
        <v>2110</v>
      </c>
      <c r="C915" s="10" t="s">
        <v>185</v>
      </c>
      <c r="D915" s="10" t="s">
        <v>118</v>
      </c>
      <c r="E915" s="10" t="s">
        <v>118</v>
      </c>
      <c r="F915" s="10" t="s">
        <v>117</v>
      </c>
      <c r="G915" s="10">
        <v>5.0</v>
      </c>
      <c r="H915" s="10">
        <v>7.0</v>
      </c>
      <c r="I915" s="10" t="s">
        <v>2140</v>
      </c>
      <c r="J915" s="10" t="s">
        <v>2136</v>
      </c>
      <c r="K915" s="10"/>
      <c r="L915" s="10">
        <v>-1.25</v>
      </c>
      <c r="M915" s="10">
        <v>-0.42</v>
      </c>
      <c r="N915" s="10"/>
      <c r="O915" s="10"/>
      <c r="P915" s="12">
        <f>IF($A915="","",IFERROR((IF($O915="",0,$O915)*Settings!$J$4+IF($L915="",0,$L915)*Settings!$J$5+IF($N915="",0,$N915)*Settings!$J$6)/(IF($O915="",0,Settings!$J$4)+IF($L915="",0,Settings!$J$5)+IF($N915="",0,Settings!$J$6)),0))</f>
        <v>-1.25</v>
      </c>
      <c r="Q915" s="12">
        <f t="array" ref="Q915">IF($A915="","",XLOOKUP($E915,Settings!$A$19:$A$22,Settings!$G$19:$G$22,0))</f>
        <v>196.25</v>
      </c>
      <c r="R915" s="12">
        <f t="shared" si="1"/>
        <v>0</v>
      </c>
      <c r="S915" s="12">
        <f>IF($A915="","",IF($R915&lt;=0,1,1+$R915/SUMIF($R$4:$R$923,"&gt;0",$R$4:$R$923)*(Settings!$B$5*(Settings!$B$6-Settings!$B$7))))</f>
        <v>1</v>
      </c>
      <c r="T915" s="12">
        <f t="array" ref="T915">IF($A915="","",XLOOKUP($F915,Settings!$I$15:$I$20,Settings!$J$15:$J$20,1))</f>
        <v>0.75</v>
      </c>
      <c r="U915" s="12">
        <f>IF($A915="","",1+(($G915-5)/5)*Settings!$J$8)</f>
        <v>1</v>
      </c>
      <c r="V915" s="12">
        <f>IF($A915="","",1+(($H915-5)/5)*Settings!$J$9)</f>
        <v>1.06</v>
      </c>
      <c r="W915" s="12">
        <f t="array" ref="W915">IF($A915="","",XLOOKUP($J915,Lists!$C$3:$C$7,Lists!$D$3:$D$7,1))</f>
        <v>1</v>
      </c>
      <c r="X915" s="12">
        <f>IF($A915="","",IF($I915="Yes",Settings!$J$10,1))</f>
        <v>1</v>
      </c>
      <c r="Y915" s="12">
        <f t="shared" si="2"/>
        <v>1</v>
      </c>
      <c r="Z915" s="12">
        <f>IF($A915="","",IFERROR(ROUND(AVERAGEIFS('Historical Drafts'!$G$4:$G$300,'Historical Drafts'!$D$4:$D$300,$E915,'Historical Drafts'!$J$4:$J$300,"&gt;="&amp;$L915*0.85,'Historical Drafts'!$J$4:$J$300,"&lt;="&amp;$L915*1.15),0),$Y915))</f>
        <v>1</v>
      </c>
      <c r="AA915" s="12" t="str">
        <f>IF($A915="","",IF(COUNTIF('Auction Log'!$B$3:$B$300,$A915)&gt;0,"Sold","Available"))</f>
        <v>Available</v>
      </c>
      <c r="AB915" s="12" t="str">
        <f t="array" ref="AB915">IF($A915="","",IFERROR(XLOOKUP($A915,'Auction Log'!$B$3:$B$300,'Auction Log'!$G$3:$G$300,""),""))</f>
        <v/>
      </c>
      <c r="AC915" s="12" t="str">
        <f t="array" ref="AC915">IF($A915="","",IFERROR(XLOOKUP($A915,'Auction Log'!$B$3:$B$300,'Auction Log'!$F$3:$F$300,""),""))</f>
        <v/>
      </c>
      <c r="AD915" s="12">
        <f t="array" ref="AD915">IF($A915="","",ROUND($Y915*XLOOKUP($F915,Settings!$I$15:$I$20,Settings!$K$15:$K$20,0.4),0))</f>
        <v>0</v>
      </c>
      <c r="AE915" s="12">
        <f t="array" ref="AE915">IF($A915="","",ROUND($Y915*XLOOKUP($F915,Settings!$I$15:$I$20,Settings!$L$15:$L$20,0.8),0))</f>
        <v>1</v>
      </c>
      <c r="AF915" s="12">
        <f t="array" ref="AF915">IF($A915="","",ROUND($Y915*XLOOKUP($F915,Settings!$I$15:$I$20,Settings!$M$15:$M$20,1),0))</f>
        <v>1</v>
      </c>
      <c r="AG915" s="12">
        <f t="array" ref="AG915">IF($A915="","",ROUND($Y915*XLOOKUP($F915,Settings!$I$15:$I$20,Settings!$N$15:$N$20,1.1),0))</f>
        <v>1</v>
      </c>
      <c r="AH915" s="12">
        <f t="array" ref="AH915">IF($A915="","",ROUND($Y915*XLOOKUP($F915,Settings!$I$15:$I$20,Settings!$O$15:$O$20,1.1)*Settings!$J$7,0))</f>
        <v>1</v>
      </c>
      <c r="AI915" s="12">
        <f t="array" ref="AI915">IF($A915="","",IF($AA915="Sold","",MIN($AH915,IFERROR(XLOOKUP(Settings!$B$12,Managers!$B$4:$B$15,Managers!$H$4:$H$15),$AH915))))</f>
        <v>1</v>
      </c>
      <c r="AJ915" s="12" t="str">
        <f t="shared" si="3"/>
        <v>Recommended</v>
      </c>
      <c r="AK915" s="12">
        <f t="shared" si="4"/>
        <v>26</v>
      </c>
      <c r="AL915" s="12" t="str">
        <f t="shared" si="5"/>
        <v/>
      </c>
    </row>
    <row r="916" ht="15.75" customHeight="1">
      <c r="A916" s="10" t="s">
        <v>2111</v>
      </c>
      <c r="B916" s="10" t="s">
        <v>2112</v>
      </c>
      <c r="C916" s="10" t="s">
        <v>453</v>
      </c>
      <c r="D916" s="10" t="s">
        <v>118</v>
      </c>
      <c r="E916" s="10" t="s">
        <v>118</v>
      </c>
      <c r="F916" s="10" t="s">
        <v>117</v>
      </c>
      <c r="G916" s="10">
        <v>5.0</v>
      </c>
      <c r="H916" s="10">
        <v>7.0</v>
      </c>
      <c r="I916" s="10" t="s">
        <v>2140</v>
      </c>
      <c r="J916" s="10" t="s">
        <v>2136</v>
      </c>
      <c r="K916" s="10"/>
      <c r="L916" s="10">
        <v>-1.5</v>
      </c>
      <c r="M916" s="10">
        <v>-0.75</v>
      </c>
      <c r="N916" s="10"/>
      <c r="O916" s="10"/>
      <c r="P916" s="12">
        <f>IF($A916="","",IFERROR((IF($O916="",0,$O916)*Settings!$J$4+IF($L916="",0,$L916)*Settings!$J$5+IF($N916="",0,$N916)*Settings!$J$6)/(IF($O916="",0,Settings!$J$4)+IF($L916="",0,Settings!$J$5)+IF($N916="",0,Settings!$J$6)),0))</f>
        <v>-1.5</v>
      </c>
      <c r="Q916" s="12">
        <f t="array" ref="Q916">IF($A916="","",XLOOKUP($E916,Settings!$A$19:$A$22,Settings!$G$19:$G$22,0))</f>
        <v>196.25</v>
      </c>
      <c r="R916" s="12">
        <f t="shared" si="1"/>
        <v>0</v>
      </c>
      <c r="S916" s="12">
        <f>IF($A916="","",IF($R916&lt;=0,1,1+$R916/SUMIF($R$4:$R$923,"&gt;0",$R$4:$R$923)*(Settings!$B$5*(Settings!$B$6-Settings!$B$7))))</f>
        <v>1</v>
      </c>
      <c r="T916" s="12">
        <f t="array" ref="T916">IF($A916="","",XLOOKUP($F916,Settings!$I$15:$I$20,Settings!$J$15:$J$20,1))</f>
        <v>0.75</v>
      </c>
      <c r="U916" s="12">
        <f>IF($A916="","",1+(($G916-5)/5)*Settings!$J$8)</f>
        <v>1</v>
      </c>
      <c r="V916" s="12">
        <f>IF($A916="","",1+(($H916-5)/5)*Settings!$J$9)</f>
        <v>1.06</v>
      </c>
      <c r="W916" s="12">
        <f t="array" ref="W916">IF($A916="","",XLOOKUP($J916,Lists!$C$3:$C$7,Lists!$D$3:$D$7,1))</f>
        <v>1</v>
      </c>
      <c r="X916" s="12">
        <f>IF($A916="","",IF($I916="Yes",Settings!$J$10,1))</f>
        <v>1</v>
      </c>
      <c r="Y916" s="12">
        <f t="shared" si="2"/>
        <v>1</v>
      </c>
      <c r="Z916" s="12">
        <f>IF($A916="","",IFERROR(ROUND(AVERAGEIFS('Historical Drafts'!$G$4:$G$300,'Historical Drafts'!$D$4:$D$300,$E916,'Historical Drafts'!$J$4:$J$300,"&gt;="&amp;$L916*0.85,'Historical Drafts'!$J$4:$J$300,"&lt;="&amp;$L916*1.15),0),$Y916))</f>
        <v>1</v>
      </c>
      <c r="AA916" s="12" t="str">
        <f>IF($A916="","",IF(COUNTIF('Auction Log'!$B$3:$B$300,$A916)&gt;0,"Sold","Available"))</f>
        <v>Available</v>
      </c>
      <c r="AB916" s="12" t="str">
        <f t="array" ref="AB916">IF($A916="","",IFERROR(XLOOKUP($A916,'Auction Log'!$B$3:$B$300,'Auction Log'!$G$3:$G$300,""),""))</f>
        <v/>
      </c>
      <c r="AC916" s="12" t="str">
        <f t="array" ref="AC916">IF($A916="","",IFERROR(XLOOKUP($A916,'Auction Log'!$B$3:$B$300,'Auction Log'!$F$3:$F$300,""),""))</f>
        <v/>
      </c>
      <c r="AD916" s="12">
        <f t="array" ref="AD916">IF($A916="","",ROUND($Y916*XLOOKUP($F916,Settings!$I$15:$I$20,Settings!$K$15:$K$20,0.4),0))</f>
        <v>0</v>
      </c>
      <c r="AE916" s="12">
        <f t="array" ref="AE916">IF($A916="","",ROUND($Y916*XLOOKUP($F916,Settings!$I$15:$I$20,Settings!$L$15:$L$20,0.8),0))</f>
        <v>1</v>
      </c>
      <c r="AF916" s="12">
        <f t="array" ref="AF916">IF($A916="","",ROUND($Y916*XLOOKUP($F916,Settings!$I$15:$I$20,Settings!$M$15:$M$20,1),0))</f>
        <v>1</v>
      </c>
      <c r="AG916" s="12">
        <f t="array" ref="AG916">IF($A916="","",ROUND($Y916*XLOOKUP($F916,Settings!$I$15:$I$20,Settings!$N$15:$N$20,1.1),0))</f>
        <v>1</v>
      </c>
      <c r="AH916" s="12">
        <f t="array" ref="AH916">IF($A916="","",ROUND($Y916*XLOOKUP($F916,Settings!$I$15:$I$20,Settings!$O$15:$O$20,1.1)*Settings!$J$7,0))</f>
        <v>1</v>
      </c>
      <c r="AI916" s="12">
        <f t="array" ref="AI916">IF($A916="","",IF($AA916="Sold","",MIN($AH916,IFERROR(XLOOKUP(Settings!$B$12,Managers!$B$4:$B$15,Managers!$H$4:$H$15),$AH916))))</f>
        <v>1</v>
      </c>
      <c r="AJ916" s="12" t="str">
        <f t="shared" si="3"/>
        <v>Recommended</v>
      </c>
      <c r="AK916" s="12">
        <f t="shared" si="4"/>
        <v>26</v>
      </c>
      <c r="AL916" s="12" t="str">
        <f t="shared" si="5"/>
        <v/>
      </c>
    </row>
    <row r="917" ht="15.75" customHeight="1">
      <c r="A917" s="10" t="s">
        <v>2113</v>
      </c>
      <c r="B917" s="10" t="s">
        <v>2114</v>
      </c>
      <c r="C917" s="10" t="s">
        <v>188</v>
      </c>
      <c r="D917" s="10" t="s">
        <v>121</v>
      </c>
      <c r="E917" s="10" t="s">
        <v>121</v>
      </c>
      <c r="F917" s="10" t="s">
        <v>117</v>
      </c>
      <c r="G917" s="10">
        <v>5.0</v>
      </c>
      <c r="H917" s="10">
        <v>7.0</v>
      </c>
      <c r="I917" s="10" t="s">
        <v>2140</v>
      </c>
      <c r="J917" s="10" t="s">
        <v>2136</v>
      </c>
      <c r="K917" s="10"/>
      <c r="L917" s="10">
        <v>-1.5</v>
      </c>
      <c r="M917" s="10">
        <v>-0.5</v>
      </c>
      <c r="N917" s="10"/>
      <c r="O917" s="10"/>
      <c r="P917" s="12">
        <f>IF($A917="","",IFERROR((IF($O917="",0,$O917)*Settings!$J$4+IF($L917="",0,$L917)*Settings!$J$5+IF($N917="",0,$N917)*Settings!$J$6)/(IF($O917="",0,Settings!$J$4)+IF($L917="",0,Settings!$J$5)+IF($N917="",0,Settings!$J$6)),0))</f>
        <v>-1.5</v>
      </c>
      <c r="Q917" s="12">
        <f t="array" ref="Q917">IF($A917="","",XLOOKUP($E917,Settings!$A$19:$A$22,Settings!$G$19:$G$22,0))</f>
        <v>206</v>
      </c>
      <c r="R917" s="12">
        <f t="shared" si="1"/>
        <v>0</v>
      </c>
      <c r="S917" s="12">
        <f>IF($A917="","",IF($R917&lt;=0,1,1+$R917/SUMIF($R$4:$R$923,"&gt;0",$R$4:$R$923)*(Settings!$B$5*(Settings!$B$6-Settings!$B$7))))</f>
        <v>1</v>
      </c>
      <c r="T917" s="12">
        <f t="array" ref="T917">IF($A917="","",XLOOKUP($F917,Settings!$I$15:$I$20,Settings!$J$15:$J$20,1))</f>
        <v>0.75</v>
      </c>
      <c r="U917" s="12">
        <f>IF($A917="","",1+(($G917-5)/5)*Settings!$J$8)</f>
        <v>1</v>
      </c>
      <c r="V917" s="12">
        <f>IF($A917="","",1+(($H917-5)/5)*Settings!$J$9)</f>
        <v>1.06</v>
      </c>
      <c r="W917" s="12">
        <f t="array" ref="W917">IF($A917="","",XLOOKUP($J917,Lists!$C$3:$C$7,Lists!$D$3:$D$7,1))</f>
        <v>1</v>
      </c>
      <c r="X917" s="12">
        <f>IF($A917="","",IF($I917="Yes",Settings!$J$10,1))</f>
        <v>1</v>
      </c>
      <c r="Y917" s="12">
        <f t="shared" si="2"/>
        <v>1</v>
      </c>
      <c r="Z917" s="12">
        <f>IF($A917="","",IFERROR(ROUND(AVERAGEIFS('Historical Drafts'!$G$4:$G$300,'Historical Drafts'!$D$4:$D$300,$E917,'Historical Drafts'!$J$4:$J$300,"&gt;="&amp;$L917*0.85,'Historical Drafts'!$J$4:$J$300,"&lt;="&amp;$L917*1.15),0),$Y917))</f>
        <v>1</v>
      </c>
      <c r="AA917" s="12" t="str">
        <f>IF($A917="","",IF(COUNTIF('Auction Log'!$B$3:$B$300,$A917)&gt;0,"Sold","Available"))</f>
        <v>Available</v>
      </c>
      <c r="AB917" s="12" t="str">
        <f t="array" ref="AB917">IF($A917="","",IFERROR(XLOOKUP($A917,'Auction Log'!$B$3:$B$300,'Auction Log'!$G$3:$G$300,""),""))</f>
        <v/>
      </c>
      <c r="AC917" s="12" t="str">
        <f t="array" ref="AC917">IF($A917="","",IFERROR(XLOOKUP($A917,'Auction Log'!$B$3:$B$300,'Auction Log'!$F$3:$F$300,""),""))</f>
        <v/>
      </c>
      <c r="AD917" s="12">
        <f t="array" ref="AD917">IF($A917="","",ROUND($Y917*XLOOKUP($F917,Settings!$I$15:$I$20,Settings!$K$15:$K$20,0.4),0))</f>
        <v>0</v>
      </c>
      <c r="AE917" s="12">
        <f t="array" ref="AE917">IF($A917="","",ROUND($Y917*XLOOKUP($F917,Settings!$I$15:$I$20,Settings!$L$15:$L$20,0.8),0))</f>
        <v>1</v>
      </c>
      <c r="AF917" s="12">
        <f t="array" ref="AF917">IF($A917="","",ROUND($Y917*XLOOKUP($F917,Settings!$I$15:$I$20,Settings!$M$15:$M$20,1),0))</f>
        <v>1</v>
      </c>
      <c r="AG917" s="12">
        <f t="array" ref="AG917">IF($A917="","",ROUND($Y917*XLOOKUP($F917,Settings!$I$15:$I$20,Settings!$N$15:$N$20,1.1),0))</f>
        <v>1</v>
      </c>
      <c r="AH917" s="12">
        <f t="array" ref="AH917">IF($A917="","",ROUND($Y917*XLOOKUP($F917,Settings!$I$15:$I$20,Settings!$O$15:$O$20,1.1)*Settings!$J$7,0))</f>
        <v>1</v>
      </c>
      <c r="AI917" s="12">
        <f t="array" ref="AI917">IF($A917="","",IF($AA917="Sold","",MIN($AH917,IFERROR(XLOOKUP(Settings!$B$12,Managers!$B$4:$B$15,Managers!$H$4:$H$15),$AH917))))</f>
        <v>1</v>
      </c>
      <c r="AJ917" s="12" t="str">
        <f t="shared" si="3"/>
        <v>Recommended</v>
      </c>
      <c r="AK917" s="12">
        <f t="shared" si="4"/>
        <v>26</v>
      </c>
      <c r="AL917" s="12" t="str">
        <f t="shared" si="5"/>
        <v/>
      </c>
    </row>
    <row r="918" ht="15.75" customHeight="1">
      <c r="A918" s="10" t="s">
        <v>2115</v>
      </c>
      <c r="B918" s="10" t="s">
        <v>2116</v>
      </c>
      <c r="C918" s="10" t="s">
        <v>188</v>
      </c>
      <c r="D918" s="10" t="s">
        <v>118</v>
      </c>
      <c r="E918" s="10" t="s">
        <v>118</v>
      </c>
      <c r="F918" s="10" t="s">
        <v>117</v>
      </c>
      <c r="G918" s="10">
        <v>5.0</v>
      </c>
      <c r="H918" s="10">
        <v>7.0</v>
      </c>
      <c r="I918" s="10" t="s">
        <v>2140</v>
      </c>
      <c r="J918" s="10" t="s">
        <v>2136</v>
      </c>
      <c r="K918" s="10"/>
      <c r="L918" s="10">
        <v>-1.75</v>
      </c>
      <c r="M918" s="10">
        <v>-0.58</v>
      </c>
      <c r="N918" s="10"/>
      <c r="O918" s="10"/>
      <c r="P918" s="12">
        <f>IF($A918="","",IFERROR((IF($O918="",0,$O918)*Settings!$J$4+IF($L918="",0,$L918)*Settings!$J$5+IF($N918="",0,$N918)*Settings!$J$6)/(IF($O918="",0,Settings!$J$4)+IF($L918="",0,Settings!$J$5)+IF($N918="",0,Settings!$J$6)),0))</f>
        <v>-1.75</v>
      </c>
      <c r="Q918" s="12">
        <f t="array" ref="Q918">IF($A918="","",XLOOKUP($E918,Settings!$A$19:$A$22,Settings!$G$19:$G$22,0))</f>
        <v>196.25</v>
      </c>
      <c r="R918" s="12">
        <f t="shared" si="1"/>
        <v>0</v>
      </c>
      <c r="S918" s="12">
        <f>IF($A918="","",IF($R918&lt;=0,1,1+$R918/SUMIF($R$4:$R$923,"&gt;0",$R$4:$R$923)*(Settings!$B$5*(Settings!$B$6-Settings!$B$7))))</f>
        <v>1</v>
      </c>
      <c r="T918" s="12">
        <f t="array" ref="T918">IF($A918="","",XLOOKUP($F918,Settings!$I$15:$I$20,Settings!$J$15:$J$20,1))</f>
        <v>0.75</v>
      </c>
      <c r="U918" s="12">
        <f>IF($A918="","",1+(($G918-5)/5)*Settings!$J$8)</f>
        <v>1</v>
      </c>
      <c r="V918" s="12">
        <f>IF($A918="","",1+(($H918-5)/5)*Settings!$J$9)</f>
        <v>1.06</v>
      </c>
      <c r="W918" s="12">
        <f t="array" ref="W918">IF($A918="","",XLOOKUP($J918,Lists!$C$3:$C$7,Lists!$D$3:$D$7,1))</f>
        <v>1</v>
      </c>
      <c r="X918" s="12">
        <f>IF($A918="","",IF($I918="Yes",Settings!$J$10,1))</f>
        <v>1</v>
      </c>
      <c r="Y918" s="12">
        <f t="shared" si="2"/>
        <v>1</v>
      </c>
      <c r="Z918" s="12">
        <f>IF($A918="","",IFERROR(ROUND(AVERAGEIFS('Historical Drafts'!$G$4:$G$300,'Historical Drafts'!$D$4:$D$300,$E918,'Historical Drafts'!$J$4:$J$300,"&gt;="&amp;$L918*0.85,'Historical Drafts'!$J$4:$J$300,"&lt;="&amp;$L918*1.15),0),$Y918))</f>
        <v>1</v>
      </c>
      <c r="AA918" s="12" t="str">
        <f>IF($A918="","",IF(COUNTIF('Auction Log'!$B$3:$B$300,$A918)&gt;0,"Sold","Available"))</f>
        <v>Available</v>
      </c>
      <c r="AB918" s="12" t="str">
        <f t="array" ref="AB918">IF($A918="","",IFERROR(XLOOKUP($A918,'Auction Log'!$B$3:$B$300,'Auction Log'!$G$3:$G$300,""),""))</f>
        <v/>
      </c>
      <c r="AC918" s="12" t="str">
        <f t="array" ref="AC918">IF($A918="","",IFERROR(XLOOKUP($A918,'Auction Log'!$B$3:$B$300,'Auction Log'!$F$3:$F$300,""),""))</f>
        <v/>
      </c>
      <c r="AD918" s="12">
        <f t="array" ref="AD918">IF($A918="","",ROUND($Y918*XLOOKUP($F918,Settings!$I$15:$I$20,Settings!$K$15:$K$20,0.4),0))</f>
        <v>0</v>
      </c>
      <c r="AE918" s="12">
        <f t="array" ref="AE918">IF($A918="","",ROUND($Y918*XLOOKUP($F918,Settings!$I$15:$I$20,Settings!$L$15:$L$20,0.8),0))</f>
        <v>1</v>
      </c>
      <c r="AF918" s="12">
        <f t="array" ref="AF918">IF($A918="","",ROUND($Y918*XLOOKUP($F918,Settings!$I$15:$I$20,Settings!$M$15:$M$20,1),0))</f>
        <v>1</v>
      </c>
      <c r="AG918" s="12">
        <f t="array" ref="AG918">IF($A918="","",ROUND($Y918*XLOOKUP($F918,Settings!$I$15:$I$20,Settings!$N$15:$N$20,1.1),0))</f>
        <v>1</v>
      </c>
      <c r="AH918" s="12">
        <f t="array" ref="AH918">IF($A918="","",ROUND($Y918*XLOOKUP($F918,Settings!$I$15:$I$20,Settings!$O$15:$O$20,1.1)*Settings!$J$7,0))</f>
        <v>1</v>
      </c>
      <c r="AI918" s="12">
        <f t="array" ref="AI918">IF($A918="","",IF($AA918="Sold","",MIN($AH918,IFERROR(XLOOKUP(Settings!$B$12,Managers!$B$4:$B$15,Managers!$H$4:$H$15),$AH918))))</f>
        <v>1</v>
      </c>
      <c r="AJ918" s="12" t="str">
        <f t="shared" si="3"/>
        <v>Recommended</v>
      </c>
      <c r="AK918" s="12">
        <f t="shared" si="4"/>
        <v>26</v>
      </c>
      <c r="AL918" s="12" t="str">
        <f t="shared" si="5"/>
        <v/>
      </c>
    </row>
    <row r="919" ht="15.75" customHeight="1">
      <c r="A919" s="10" t="s">
        <v>2117</v>
      </c>
      <c r="B919" s="10" t="s">
        <v>2118</v>
      </c>
      <c r="C919" s="10" t="s">
        <v>226</v>
      </c>
      <c r="D919" s="10" t="s">
        <v>118</v>
      </c>
      <c r="E919" s="10" t="s">
        <v>118</v>
      </c>
      <c r="F919" s="10" t="s">
        <v>117</v>
      </c>
      <c r="G919" s="10">
        <v>5.0</v>
      </c>
      <c r="H919" s="10">
        <v>7.0</v>
      </c>
      <c r="I919" s="10" t="s">
        <v>2140</v>
      </c>
      <c r="J919" s="10" t="s">
        <v>2136</v>
      </c>
      <c r="K919" s="10"/>
      <c r="L919" s="10">
        <v>-2.0</v>
      </c>
      <c r="M919" s="10">
        <v>-1.0</v>
      </c>
      <c r="N919" s="10"/>
      <c r="O919" s="10"/>
      <c r="P919" s="12">
        <f>IF($A919="","",IFERROR((IF($O919="",0,$O919)*Settings!$J$4+IF($L919="",0,$L919)*Settings!$J$5+IF($N919="",0,$N919)*Settings!$J$6)/(IF($O919="",0,Settings!$J$4)+IF($L919="",0,Settings!$J$5)+IF($N919="",0,Settings!$J$6)),0))</f>
        <v>-2</v>
      </c>
      <c r="Q919" s="12">
        <f t="array" ref="Q919">IF($A919="","",XLOOKUP($E919,Settings!$A$19:$A$22,Settings!$G$19:$G$22,0))</f>
        <v>196.25</v>
      </c>
      <c r="R919" s="12">
        <f t="shared" si="1"/>
        <v>0</v>
      </c>
      <c r="S919" s="12">
        <f>IF($A919="","",IF($R919&lt;=0,1,1+$R919/SUMIF($R$4:$R$923,"&gt;0",$R$4:$R$923)*(Settings!$B$5*(Settings!$B$6-Settings!$B$7))))</f>
        <v>1</v>
      </c>
      <c r="T919" s="12">
        <f t="array" ref="T919">IF($A919="","",XLOOKUP($F919,Settings!$I$15:$I$20,Settings!$J$15:$J$20,1))</f>
        <v>0.75</v>
      </c>
      <c r="U919" s="12">
        <f>IF($A919="","",1+(($G919-5)/5)*Settings!$J$8)</f>
        <v>1</v>
      </c>
      <c r="V919" s="12">
        <f>IF($A919="","",1+(($H919-5)/5)*Settings!$J$9)</f>
        <v>1.06</v>
      </c>
      <c r="W919" s="12">
        <f t="array" ref="W919">IF($A919="","",XLOOKUP($J919,Lists!$C$3:$C$7,Lists!$D$3:$D$7,1))</f>
        <v>1</v>
      </c>
      <c r="X919" s="12">
        <f>IF($A919="","",IF($I919="Yes",Settings!$J$10,1))</f>
        <v>1</v>
      </c>
      <c r="Y919" s="12">
        <f t="shared" si="2"/>
        <v>1</v>
      </c>
      <c r="Z919" s="12">
        <f>IF($A919="","",IFERROR(ROUND(AVERAGEIFS('Historical Drafts'!$G$4:$G$300,'Historical Drafts'!$D$4:$D$300,$E919,'Historical Drafts'!$J$4:$J$300,"&gt;="&amp;$L919*0.85,'Historical Drafts'!$J$4:$J$300,"&lt;="&amp;$L919*1.15),0),$Y919))</f>
        <v>1</v>
      </c>
      <c r="AA919" s="12" t="str">
        <f>IF($A919="","",IF(COUNTIF('Auction Log'!$B$3:$B$300,$A919)&gt;0,"Sold","Available"))</f>
        <v>Available</v>
      </c>
      <c r="AB919" s="12" t="str">
        <f t="array" ref="AB919">IF($A919="","",IFERROR(XLOOKUP($A919,'Auction Log'!$B$3:$B$300,'Auction Log'!$G$3:$G$300,""),""))</f>
        <v/>
      </c>
      <c r="AC919" s="12" t="str">
        <f t="array" ref="AC919">IF($A919="","",IFERROR(XLOOKUP($A919,'Auction Log'!$B$3:$B$300,'Auction Log'!$F$3:$F$300,""),""))</f>
        <v/>
      </c>
      <c r="AD919" s="12">
        <f t="array" ref="AD919">IF($A919="","",ROUND($Y919*XLOOKUP($F919,Settings!$I$15:$I$20,Settings!$K$15:$K$20,0.4),0))</f>
        <v>0</v>
      </c>
      <c r="AE919" s="12">
        <f t="array" ref="AE919">IF($A919="","",ROUND($Y919*XLOOKUP($F919,Settings!$I$15:$I$20,Settings!$L$15:$L$20,0.8),0))</f>
        <v>1</v>
      </c>
      <c r="AF919" s="12">
        <f t="array" ref="AF919">IF($A919="","",ROUND($Y919*XLOOKUP($F919,Settings!$I$15:$I$20,Settings!$M$15:$M$20,1),0))</f>
        <v>1</v>
      </c>
      <c r="AG919" s="12">
        <f t="array" ref="AG919">IF($A919="","",ROUND($Y919*XLOOKUP($F919,Settings!$I$15:$I$20,Settings!$N$15:$N$20,1.1),0))</f>
        <v>1</v>
      </c>
      <c r="AH919" s="12">
        <f t="array" ref="AH919">IF($A919="","",ROUND($Y919*XLOOKUP($F919,Settings!$I$15:$I$20,Settings!$O$15:$O$20,1.1)*Settings!$J$7,0))</f>
        <v>1</v>
      </c>
      <c r="AI919" s="12">
        <f t="array" ref="AI919">IF($A919="","",IF($AA919="Sold","",MIN($AH919,IFERROR(XLOOKUP(Settings!$B$12,Managers!$B$4:$B$15,Managers!$H$4:$H$15),$AH919))))</f>
        <v>1</v>
      </c>
      <c r="AJ919" s="12" t="str">
        <f t="shared" si="3"/>
        <v>Recommended</v>
      </c>
      <c r="AK919" s="12">
        <f t="shared" si="4"/>
        <v>26</v>
      </c>
      <c r="AL919" s="12" t="str">
        <f t="shared" si="5"/>
        <v/>
      </c>
    </row>
    <row r="920" ht="15.75" customHeight="1">
      <c r="A920" s="10" t="s">
        <v>2119</v>
      </c>
      <c r="B920" s="10" t="s">
        <v>2120</v>
      </c>
      <c r="C920" s="10" t="s">
        <v>327</v>
      </c>
      <c r="D920" s="10" t="s">
        <v>115</v>
      </c>
      <c r="E920" s="10" t="s">
        <v>115</v>
      </c>
      <c r="F920" s="10" t="s">
        <v>117</v>
      </c>
      <c r="G920" s="10">
        <v>5.0</v>
      </c>
      <c r="H920" s="10">
        <v>7.0</v>
      </c>
      <c r="I920" s="10" t="s">
        <v>2140</v>
      </c>
      <c r="J920" s="10" t="s">
        <v>2136</v>
      </c>
      <c r="K920" s="10"/>
      <c r="L920" s="10">
        <v>-3.0</v>
      </c>
      <c r="M920" s="10">
        <v>-3.0</v>
      </c>
      <c r="N920" s="10"/>
      <c r="O920" s="10"/>
      <c r="P920" s="12">
        <f>IF($A920="","",IFERROR((IF($O920="",0,$O920)*Settings!$J$4+IF($L920="",0,$L920)*Settings!$J$5+IF($N920="",0,$N920)*Settings!$J$6)/(IF($O920="",0,Settings!$J$4)+IF($L920="",0,Settings!$J$5)+IF($N920="",0,Settings!$J$6)),0))</f>
        <v>-3</v>
      </c>
      <c r="Q920" s="12">
        <f t="array" ref="Q920">IF($A920="","",XLOOKUP($E920,Settings!$A$19:$A$22,Settings!$G$19:$G$22,0))</f>
        <v>249.25</v>
      </c>
      <c r="R920" s="12">
        <f t="shared" si="1"/>
        <v>0</v>
      </c>
      <c r="S920" s="12">
        <f>IF($A920="","",IF($R920&lt;=0,1,1+$R920/SUMIF($R$4:$R$923,"&gt;0",$R$4:$R$923)*(Settings!$B$5*(Settings!$B$6-Settings!$B$7))))</f>
        <v>1</v>
      </c>
      <c r="T920" s="12">
        <f t="array" ref="T920">IF($A920="","",XLOOKUP($F920,Settings!$I$15:$I$20,Settings!$J$15:$J$20,1))</f>
        <v>0.75</v>
      </c>
      <c r="U920" s="12">
        <f>IF($A920="","",1+(($G920-5)/5)*Settings!$J$8)</f>
        <v>1</v>
      </c>
      <c r="V920" s="12">
        <f>IF($A920="","",1+(($H920-5)/5)*Settings!$J$9)</f>
        <v>1.06</v>
      </c>
      <c r="W920" s="12">
        <f t="array" ref="W920">IF($A920="","",XLOOKUP($J920,Lists!$C$3:$C$7,Lists!$D$3:$D$7,1))</f>
        <v>1</v>
      </c>
      <c r="X920" s="12">
        <f>IF($A920="","",IF($I920="Yes",Settings!$J$10,1))</f>
        <v>1</v>
      </c>
      <c r="Y920" s="12">
        <f t="shared" si="2"/>
        <v>1</v>
      </c>
      <c r="Z920" s="12">
        <f>IF($A920="","",IFERROR(ROUND(AVERAGEIFS('Historical Drafts'!$G$4:$G$300,'Historical Drafts'!$D$4:$D$300,$E920,'Historical Drafts'!$J$4:$J$300,"&gt;="&amp;$L920*0.85,'Historical Drafts'!$J$4:$J$300,"&lt;="&amp;$L920*1.15),0),$Y920))</f>
        <v>1</v>
      </c>
      <c r="AA920" s="12" t="str">
        <f>IF($A920="","",IF(COUNTIF('Auction Log'!$B$3:$B$300,$A920)&gt;0,"Sold","Available"))</f>
        <v>Available</v>
      </c>
      <c r="AB920" s="12" t="str">
        <f t="array" ref="AB920">IF($A920="","",IFERROR(XLOOKUP($A920,'Auction Log'!$B$3:$B$300,'Auction Log'!$G$3:$G$300,""),""))</f>
        <v/>
      </c>
      <c r="AC920" s="12" t="str">
        <f t="array" ref="AC920">IF($A920="","",IFERROR(XLOOKUP($A920,'Auction Log'!$B$3:$B$300,'Auction Log'!$F$3:$F$300,""),""))</f>
        <v/>
      </c>
      <c r="AD920" s="12">
        <f t="array" ref="AD920">IF($A920="","",ROUND($Y920*XLOOKUP($F920,Settings!$I$15:$I$20,Settings!$K$15:$K$20,0.4),0))</f>
        <v>0</v>
      </c>
      <c r="AE920" s="12">
        <f t="array" ref="AE920">IF($A920="","",ROUND($Y920*XLOOKUP($F920,Settings!$I$15:$I$20,Settings!$L$15:$L$20,0.8),0))</f>
        <v>1</v>
      </c>
      <c r="AF920" s="12">
        <f t="array" ref="AF920">IF($A920="","",ROUND($Y920*XLOOKUP($F920,Settings!$I$15:$I$20,Settings!$M$15:$M$20,1),0))</f>
        <v>1</v>
      </c>
      <c r="AG920" s="12">
        <f t="array" ref="AG920">IF($A920="","",ROUND($Y920*XLOOKUP($F920,Settings!$I$15:$I$20,Settings!$N$15:$N$20,1.1),0))</f>
        <v>1</v>
      </c>
      <c r="AH920" s="12">
        <f t="array" ref="AH920">IF($A920="","",ROUND($Y920*XLOOKUP($F920,Settings!$I$15:$I$20,Settings!$O$15:$O$20,1.1)*Settings!$J$7,0))</f>
        <v>1</v>
      </c>
      <c r="AI920" s="12">
        <f t="array" ref="AI920">IF($A920="","",IF($AA920="Sold","",MIN($AH920,IFERROR(XLOOKUP(Settings!$B$12,Managers!$B$4:$B$15,Managers!$H$4:$H$15),$AH920))))</f>
        <v>1</v>
      </c>
      <c r="AJ920" s="12" t="str">
        <f t="shared" si="3"/>
        <v>Recommended</v>
      </c>
      <c r="AK920" s="12">
        <f t="shared" si="4"/>
        <v>26</v>
      </c>
      <c r="AL920" s="12" t="str">
        <f t="shared" si="5"/>
        <v/>
      </c>
    </row>
    <row r="921" ht="15.75" customHeight="1">
      <c r="A921" s="10" t="s">
        <v>2121</v>
      </c>
      <c r="B921" s="10" t="s">
        <v>2122</v>
      </c>
      <c r="C921" s="10" t="s">
        <v>226</v>
      </c>
      <c r="D921" s="10" t="s">
        <v>118</v>
      </c>
      <c r="E921" s="10" t="s">
        <v>118</v>
      </c>
      <c r="F921" s="10" t="s">
        <v>117</v>
      </c>
      <c r="G921" s="10">
        <v>5.0</v>
      </c>
      <c r="H921" s="10">
        <v>7.0</v>
      </c>
      <c r="I921" s="10" t="s">
        <v>2140</v>
      </c>
      <c r="J921" s="10" t="s">
        <v>2136</v>
      </c>
      <c r="K921" s="10"/>
      <c r="L921" s="10">
        <v>-3.25</v>
      </c>
      <c r="M921" s="10">
        <v>-3.25</v>
      </c>
      <c r="N921" s="10"/>
      <c r="O921" s="10"/>
      <c r="P921" s="12">
        <f>IF($A921="","",IFERROR((IF($O921="",0,$O921)*Settings!$J$4+IF($L921="",0,$L921)*Settings!$J$5+IF($N921="",0,$N921)*Settings!$J$6)/(IF($O921="",0,Settings!$J$4)+IF($L921="",0,Settings!$J$5)+IF($N921="",0,Settings!$J$6)),0))</f>
        <v>-3.25</v>
      </c>
      <c r="Q921" s="12">
        <f t="array" ref="Q921">IF($A921="","",XLOOKUP($E921,Settings!$A$19:$A$22,Settings!$G$19:$G$22,0))</f>
        <v>196.25</v>
      </c>
      <c r="R921" s="12">
        <f t="shared" si="1"/>
        <v>0</v>
      </c>
      <c r="S921" s="12">
        <f>IF($A921="","",IF($R921&lt;=0,1,1+$R921/SUMIF($R$4:$R$923,"&gt;0",$R$4:$R$923)*(Settings!$B$5*(Settings!$B$6-Settings!$B$7))))</f>
        <v>1</v>
      </c>
      <c r="T921" s="12">
        <f t="array" ref="T921">IF($A921="","",XLOOKUP($F921,Settings!$I$15:$I$20,Settings!$J$15:$J$20,1))</f>
        <v>0.75</v>
      </c>
      <c r="U921" s="12">
        <f>IF($A921="","",1+(($G921-5)/5)*Settings!$J$8)</f>
        <v>1</v>
      </c>
      <c r="V921" s="12">
        <f>IF($A921="","",1+(($H921-5)/5)*Settings!$J$9)</f>
        <v>1.06</v>
      </c>
      <c r="W921" s="12">
        <f t="array" ref="W921">IF($A921="","",XLOOKUP($J921,Lists!$C$3:$C$7,Lists!$D$3:$D$7,1))</f>
        <v>1</v>
      </c>
      <c r="X921" s="12">
        <f>IF($A921="","",IF($I921="Yes",Settings!$J$10,1))</f>
        <v>1</v>
      </c>
      <c r="Y921" s="12">
        <f t="shared" si="2"/>
        <v>1</v>
      </c>
      <c r="Z921" s="12">
        <f>IF($A921="","",IFERROR(ROUND(AVERAGEIFS('Historical Drafts'!$G$4:$G$300,'Historical Drafts'!$D$4:$D$300,$E921,'Historical Drafts'!$J$4:$J$300,"&gt;="&amp;$L921*0.85,'Historical Drafts'!$J$4:$J$300,"&lt;="&amp;$L921*1.15),0),$Y921))</f>
        <v>1</v>
      </c>
      <c r="AA921" s="12" t="str">
        <f>IF($A921="","",IF(COUNTIF('Auction Log'!$B$3:$B$300,$A921)&gt;0,"Sold","Available"))</f>
        <v>Available</v>
      </c>
      <c r="AB921" s="12" t="str">
        <f t="array" ref="AB921">IF($A921="","",IFERROR(XLOOKUP($A921,'Auction Log'!$B$3:$B$300,'Auction Log'!$G$3:$G$300,""),""))</f>
        <v/>
      </c>
      <c r="AC921" s="12" t="str">
        <f t="array" ref="AC921">IF($A921="","",IFERROR(XLOOKUP($A921,'Auction Log'!$B$3:$B$300,'Auction Log'!$F$3:$F$300,""),""))</f>
        <v/>
      </c>
      <c r="AD921" s="12">
        <f t="array" ref="AD921">IF($A921="","",ROUND($Y921*XLOOKUP($F921,Settings!$I$15:$I$20,Settings!$K$15:$K$20,0.4),0))</f>
        <v>0</v>
      </c>
      <c r="AE921" s="12">
        <f t="array" ref="AE921">IF($A921="","",ROUND($Y921*XLOOKUP($F921,Settings!$I$15:$I$20,Settings!$L$15:$L$20,0.8),0))</f>
        <v>1</v>
      </c>
      <c r="AF921" s="12">
        <f t="array" ref="AF921">IF($A921="","",ROUND($Y921*XLOOKUP($F921,Settings!$I$15:$I$20,Settings!$M$15:$M$20,1),0))</f>
        <v>1</v>
      </c>
      <c r="AG921" s="12">
        <f t="array" ref="AG921">IF($A921="","",ROUND($Y921*XLOOKUP($F921,Settings!$I$15:$I$20,Settings!$N$15:$N$20,1.1),0))</f>
        <v>1</v>
      </c>
      <c r="AH921" s="12">
        <f t="array" ref="AH921">IF($A921="","",ROUND($Y921*XLOOKUP($F921,Settings!$I$15:$I$20,Settings!$O$15:$O$20,1.1)*Settings!$J$7,0))</f>
        <v>1</v>
      </c>
      <c r="AI921" s="12">
        <f t="array" ref="AI921">IF($A921="","",IF($AA921="Sold","",MIN($AH921,IFERROR(XLOOKUP(Settings!$B$12,Managers!$B$4:$B$15,Managers!$H$4:$H$15),$AH921))))</f>
        <v>1</v>
      </c>
      <c r="AJ921" s="12" t="str">
        <f t="shared" si="3"/>
        <v>Recommended</v>
      </c>
      <c r="AK921" s="12">
        <f t="shared" si="4"/>
        <v>26</v>
      </c>
      <c r="AL921" s="12" t="str">
        <f t="shared" si="5"/>
        <v/>
      </c>
    </row>
    <row r="922" ht="15.75" customHeight="1">
      <c r="A922" s="10" t="s">
        <v>2123</v>
      </c>
      <c r="B922" s="10" t="s">
        <v>2124</v>
      </c>
      <c r="C922" s="10" t="s">
        <v>285</v>
      </c>
      <c r="D922" s="10" t="s">
        <v>118</v>
      </c>
      <c r="E922" s="10" t="s">
        <v>118</v>
      </c>
      <c r="F922" s="10" t="s">
        <v>117</v>
      </c>
      <c r="G922" s="10">
        <v>5.0</v>
      </c>
      <c r="H922" s="10">
        <v>7.0</v>
      </c>
      <c r="I922" s="10" t="s">
        <v>2140</v>
      </c>
      <c r="J922" s="10" t="s">
        <v>2136</v>
      </c>
      <c r="K922" s="10"/>
      <c r="L922" s="10">
        <v>-4.0</v>
      </c>
      <c r="M922" s="10">
        <v>-1.33</v>
      </c>
      <c r="N922" s="10"/>
      <c r="O922" s="10"/>
      <c r="P922" s="12">
        <f>IF($A922="","",IFERROR((IF($O922="",0,$O922)*Settings!$J$4+IF($L922="",0,$L922)*Settings!$J$5+IF($N922="",0,$N922)*Settings!$J$6)/(IF($O922="",0,Settings!$J$4)+IF($L922="",0,Settings!$J$5)+IF($N922="",0,Settings!$J$6)),0))</f>
        <v>-4</v>
      </c>
      <c r="Q922" s="12">
        <f t="array" ref="Q922">IF($A922="","",XLOOKUP($E922,Settings!$A$19:$A$22,Settings!$G$19:$G$22,0))</f>
        <v>196.25</v>
      </c>
      <c r="R922" s="12">
        <f t="shared" si="1"/>
        <v>0</v>
      </c>
      <c r="S922" s="12">
        <f>IF($A922="","",IF($R922&lt;=0,1,1+$R922/SUMIF($R$4:$R$923,"&gt;0",$R$4:$R$923)*(Settings!$B$5*(Settings!$B$6-Settings!$B$7))))</f>
        <v>1</v>
      </c>
      <c r="T922" s="12">
        <f t="array" ref="T922">IF($A922="","",XLOOKUP($F922,Settings!$I$15:$I$20,Settings!$J$15:$J$20,1))</f>
        <v>0.75</v>
      </c>
      <c r="U922" s="12">
        <f>IF($A922="","",1+(($G922-5)/5)*Settings!$J$8)</f>
        <v>1</v>
      </c>
      <c r="V922" s="12">
        <f>IF($A922="","",1+(($H922-5)/5)*Settings!$J$9)</f>
        <v>1.06</v>
      </c>
      <c r="W922" s="12">
        <f t="array" ref="W922">IF($A922="","",XLOOKUP($J922,Lists!$C$3:$C$7,Lists!$D$3:$D$7,1))</f>
        <v>1</v>
      </c>
      <c r="X922" s="12">
        <f>IF($A922="","",IF($I922="Yes",Settings!$J$10,1))</f>
        <v>1</v>
      </c>
      <c r="Y922" s="12">
        <f t="shared" si="2"/>
        <v>1</v>
      </c>
      <c r="Z922" s="12">
        <f>IF($A922="","",IFERROR(ROUND(AVERAGEIFS('Historical Drafts'!$G$4:$G$300,'Historical Drafts'!$D$4:$D$300,$E922,'Historical Drafts'!$J$4:$J$300,"&gt;="&amp;$L922*0.85,'Historical Drafts'!$J$4:$J$300,"&lt;="&amp;$L922*1.15),0),$Y922))</f>
        <v>1</v>
      </c>
      <c r="AA922" s="12" t="str">
        <f>IF($A922="","",IF(COUNTIF('Auction Log'!$B$3:$B$300,$A922)&gt;0,"Sold","Available"))</f>
        <v>Available</v>
      </c>
      <c r="AB922" s="12" t="str">
        <f t="array" ref="AB922">IF($A922="","",IFERROR(XLOOKUP($A922,'Auction Log'!$B$3:$B$300,'Auction Log'!$G$3:$G$300,""),""))</f>
        <v/>
      </c>
      <c r="AC922" s="12" t="str">
        <f t="array" ref="AC922">IF($A922="","",IFERROR(XLOOKUP($A922,'Auction Log'!$B$3:$B$300,'Auction Log'!$F$3:$F$300,""),""))</f>
        <v/>
      </c>
      <c r="AD922" s="12">
        <f t="array" ref="AD922">IF($A922="","",ROUND($Y922*XLOOKUP($F922,Settings!$I$15:$I$20,Settings!$K$15:$K$20,0.4),0))</f>
        <v>0</v>
      </c>
      <c r="AE922" s="12">
        <f t="array" ref="AE922">IF($A922="","",ROUND($Y922*XLOOKUP($F922,Settings!$I$15:$I$20,Settings!$L$15:$L$20,0.8),0))</f>
        <v>1</v>
      </c>
      <c r="AF922" s="12">
        <f t="array" ref="AF922">IF($A922="","",ROUND($Y922*XLOOKUP($F922,Settings!$I$15:$I$20,Settings!$M$15:$M$20,1),0))</f>
        <v>1</v>
      </c>
      <c r="AG922" s="12">
        <f t="array" ref="AG922">IF($A922="","",ROUND($Y922*XLOOKUP($F922,Settings!$I$15:$I$20,Settings!$N$15:$N$20,1.1),0))</f>
        <v>1</v>
      </c>
      <c r="AH922" s="12">
        <f t="array" ref="AH922">IF($A922="","",ROUND($Y922*XLOOKUP($F922,Settings!$I$15:$I$20,Settings!$O$15:$O$20,1.1)*Settings!$J$7,0))</f>
        <v>1</v>
      </c>
      <c r="AI922" s="12">
        <f t="array" ref="AI922">IF($A922="","",IF($AA922="Sold","",MIN($AH922,IFERROR(XLOOKUP(Settings!$B$12,Managers!$B$4:$B$15,Managers!$H$4:$H$15),$AH922))))</f>
        <v>1</v>
      </c>
      <c r="AJ922" s="12" t="str">
        <f t="shared" si="3"/>
        <v>Recommended</v>
      </c>
      <c r="AK922" s="12">
        <f t="shared" si="4"/>
        <v>26</v>
      </c>
      <c r="AL922" s="12" t="str">
        <f t="shared" si="5"/>
        <v/>
      </c>
    </row>
    <row r="923" ht="15.75" customHeight="1">
      <c r="A923" s="10" t="s">
        <v>2125</v>
      </c>
      <c r="B923" s="10" t="s">
        <v>2126</v>
      </c>
      <c r="C923" s="10" t="s">
        <v>215</v>
      </c>
      <c r="D923" s="10" t="s">
        <v>118</v>
      </c>
      <c r="E923" s="10" t="s">
        <v>118</v>
      </c>
      <c r="F923" s="10" t="s">
        <v>117</v>
      </c>
      <c r="G923" s="10">
        <v>5.0</v>
      </c>
      <c r="H923" s="10">
        <v>7.0</v>
      </c>
      <c r="I923" s="10" t="s">
        <v>2140</v>
      </c>
      <c r="J923" s="10" t="s">
        <v>2136</v>
      </c>
      <c r="K923" s="10"/>
      <c r="L923" s="10">
        <v>-5.25</v>
      </c>
      <c r="M923" s="10">
        <v>-2.62</v>
      </c>
      <c r="N923" s="10"/>
      <c r="O923" s="10"/>
      <c r="P923" s="12">
        <f>IF($A923="","",IFERROR((IF($O923="",0,$O923)*Settings!$J$4+IF($L923="",0,$L923)*Settings!$J$5+IF($N923="",0,$N923)*Settings!$J$6)/(IF($O923="",0,Settings!$J$4)+IF($L923="",0,Settings!$J$5)+IF($N923="",0,Settings!$J$6)),0))</f>
        <v>-5.25</v>
      </c>
      <c r="Q923" s="12">
        <f t="array" ref="Q923">IF($A923="","",XLOOKUP($E923,Settings!$A$19:$A$22,Settings!$G$19:$G$22,0))</f>
        <v>196.25</v>
      </c>
      <c r="R923" s="12">
        <f t="shared" si="1"/>
        <v>0</v>
      </c>
      <c r="S923" s="12">
        <f>IF($A923="","",IF($R923&lt;=0,1,1+$R923/SUMIF($R$4:$R$923,"&gt;0",$R$4:$R$923)*(Settings!$B$5*(Settings!$B$6-Settings!$B$7))))</f>
        <v>1</v>
      </c>
      <c r="T923" s="12">
        <f t="array" ref="T923">IF($A923="","",XLOOKUP($F923,Settings!$I$15:$I$20,Settings!$J$15:$J$20,1))</f>
        <v>0.75</v>
      </c>
      <c r="U923" s="12">
        <f>IF($A923="","",1+(($G923-5)/5)*Settings!$J$8)</f>
        <v>1</v>
      </c>
      <c r="V923" s="12">
        <f>IF($A923="","",1+(($H923-5)/5)*Settings!$J$9)</f>
        <v>1.06</v>
      </c>
      <c r="W923" s="12">
        <f t="array" ref="W923">IF($A923="","",XLOOKUP($J923,Lists!$C$3:$C$7,Lists!$D$3:$D$7,1))</f>
        <v>1</v>
      </c>
      <c r="X923" s="12">
        <f>IF($A923="","",IF($I923="Yes",Settings!$J$10,1))</f>
        <v>1</v>
      </c>
      <c r="Y923" s="12">
        <f t="shared" si="2"/>
        <v>1</v>
      </c>
      <c r="Z923" s="12">
        <f>IF($A923="","",IFERROR(ROUND(AVERAGEIFS('Historical Drafts'!$G$4:$G$300,'Historical Drafts'!$D$4:$D$300,$E923,'Historical Drafts'!$J$4:$J$300,"&gt;="&amp;$L923*0.85,'Historical Drafts'!$J$4:$J$300,"&lt;="&amp;$L923*1.15),0),$Y923))</f>
        <v>1</v>
      </c>
      <c r="AA923" s="12" t="str">
        <f>IF($A923="","",IF(COUNTIF('Auction Log'!$B$3:$B$300,$A923)&gt;0,"Sold","Available"))</f>
        <v>Available</v>
      </c>
      <c r="AB923" s="12" t="str">
        <f t="array" ref="AB923">IF($A923="","",IFERROR(XLOOKUP($A923,'Auction Log'!$B$3:$B$300,'Auction Log'!$G$3:$G$300,""),""))</f>
        <v/>
      </c>
      <c r="AC923" s="12" t="str">
        <f t="array" ref="AC923">IF($A923="","",IFERROR(XLOOKUP($A923,'Auction Log'!$B$3:$B$300,'Auction Log'!$F$3:$F$300,""),""))</f>
        <v/>
      </c>
      <c r="AD923" s="12">
        <f t="array" ref="AD923">IF($A923="","",ROUND($Y923*XLOOKUP($F923,Settings!$I$15:$I$20,Settings!$K$15:$K$20,0.4),0))</f>
        <v>0</v>
      </c>
      <c r="AE923" s="12">
        <f t="array" ref="AE923">IF($A923="","",ROUND($Y923*XLOOKUP($F923,Settings!$I$15:$I$20,Settings!$L$15:$L$20,0.8),0))</f>
        <v>1</v>
      </c>
      <c r="AF923" s="12">
        <f t="array" ref="AF923">IF($A923="","",ROUND($Y923*XLOOKUP($F923,Settings!$I$15:$I$20,Settings!$M$15:$M$20,1),0))</f>
        <v>1</v>
      </c>
      <c r="AG923" s="12">
        <f t="array" ref="AG923">IF($A923="","",ROUND($Y923*XLOOKUP($F923,Settings!$I$15:$I$20,Settings!$N$15:$N$20,1.1),0))</f>
        <v>1</v>
      </c>
      <c r="AH923" s="12">
        <f t="array" ref="AH923">IF($A923="","",ROUND($Y923*XLOOKUP($F923,Settings!$I$15:$I$20,Settings!$O$15:$O$20,1.1)*Settings!$J$7,0))</f>
        <v>1</v>
      </c>
      <c r="AI923" s="12">
        <f t="array" ref="AI923">IF($A923="","",IF($AA923="Sold","",MIN($AH923,IFERROR(XLOOKUP(Settings!$B$12,Managers!$B$4:$B$15,Managers!$H$4:$H$15),$AH923))))</f>
        <v>1</v>
      </c>
      <c r="AJ923" s="12" t="str">
        <f t="shared" si="3"/>
        <v>Recommended</v>
      </c>
      <c r="AK923" s="12">
        <f t="shared" si="4"/>
        <v>26</v>
      </c>
      <c r="AL923" s="12" t="str">
        <f t="shared" si="5"/>
        <v/>
      </c>
    </row>
  </sheetData>
  <mergeCells count="1">
    <mergeCell ref="A1:AL1"/>
  </mergeCells>
  <dataValidations>
    <dataValidation type="decimal" allowBlank="1" showErrorMessage="1" sqref="G4:H923">
      <formula1>1.0</formula1>
      <formula2>10.0</formula2>
    </dataValidation>
    <dataValidation type="list" allowBlank="1" showErrorMessage="1" sqref="I4:I923 K4:K923">
      <formula1>"Yes,No"</formula1>
    </dataValidation>
    <dataValidation type="list" allowBlank="1" showErrorMessage="1" sqref="E4:E923">
      <formula1>"GK,DEF,MID,FWD"</formula1>
    </dataValidation>
    <dataValidation type="list" allowBlank="1" showErrorMessage="1" sqref="J4:J923">
      <formula1>"Low,Medium,High,Expected Leave,New Signing"</formula1>
    </dataValidation>
    <dataValidation type="list" allowBlank="1" showErrorMessage="1" sqref="F4:F923">
      <formula1>"Tier 1,Tier 2,Tier 3,Tier 4,Tier 5,Watchlist"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2" width="14.71"/>
    <col customWidth="1" min="3" max="3" width="34.71"/>
    <col customWidth="1" min="4" max="6" width="13.71"/>
    <col customWidth="1" min="7" max="7" width="28.71"/>
    <col customWidth="1" min="8" max="11" width="16.71"/>
    <col customWidth="1" min="12" max="26" width="8.71"/>
  </cols>
  <sheetData>
    <row r="1" ht="27.75" customHeight="1">
      <c r="A1" s="1" t="s">
        <v>2179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>
      <c r="A2" s="5" t="s">
        <v>166</v>
      </c>
      <c r="B2" s="5" t="s">
        <v>165</v>
      </c>
      <c r="C2" s="5" t="s">
        <v>167</v>
      </c>
      <c r="D2" s="5" t="s">
        <v>107</v>
      </c>
      <c r="E2" s="5" t="s">
        <v>168</v>
      </c>
      <c r="F2" s="5" t="s">
        <v>2170</v>
      </c>
      <c r="G2" s="5" t="s">
        <v>2169</v>
      </c>
      <c r="H2" s="5" t="s">
        <v>2180</v>
      </c>
      <c r="I2" s="5" t="s">
        <v>2181</v>
      </c>
      <c r="J2" s="5" t="s">
        <v>125</v>
      </c>
      <c r="K2" s="5" t="s">
        <v>45</v>
      </c>
    </row>
    <row r="3">
      <c r="A3" s="10"/>
      <c r="B3" s="10"/>
      <c r="C3" s="10"/>
      <c r="D3" s="10"/>
      <c r="E3" s="10"/>
      <c r="F3" s="10"/>
      <c r="G3" s="10"/>
      <c r="H3" s="12" t="str">
        <f t="array" ref="H3">IF($B3="","",XLOOKUP($B3,Players!$A$4:$A$923,Players!$Y$4:$Y$923,""))</f>
        <v/>
      </c>
      <c r="I3" s="12" t="str">
        <f t="shared" ref="I3:I300" si="1">IF($B3="","",$F3-$H3)</f>
        <v/>
      </c>
      <c r="J3" s="12" t="str">
        <f>IF(COUNT($F$3:$F3)=0,"Not Started",IF(SUM($F$3:$F3)/SUM($H$3:$H3)&gt;=1+Settings!$B$26,"Very Overheated",IF(SUM($F$3:$F3)/SUM($H$3:$H3)&gt;=1+Settings!$B$27,"Overheated",IF(SUM($F$3:$F3)/SUM($H$3:$H3)&lt;=1+Settings!$B$30,"Very Soft",IF(SUM($F$3:$F3)/SUM($H$3:$H3)&lt;=1+Settings!$B$29,"Soft","Fair")))))</f>
        <v>Not Started</v>
      </c>
      <c r="K3" s="10"/>
    </row>
    <row r="4">
      <c r="A4" s="10"/>
      <c r="B4" s="10"/>
      <c r="C4" s="10"/>
      <c r="D4" s="10"/>
      <c r="E4" s="10"/>
      <c r="F4" s="10"/>
      <c r="G4" s="10"/>
      <c r="H4" s="12" t="str">
        <f t="array" ref="H4">IF($B4="","",XLOOKUP($B4,Players!$A$4:$A$923,Players!$Y$4:$Y$923,""))</f>
        <v/>
      </c>
      <c r="I4" s="12" t="str">
        <f t="shared" si="1"/>
        <v/>
      </c>
      <c r="J4" s="12" t="str">
        <f>IF(COUNT($F$3:$F4)=0,"Not Started",IF(SUM($F$3:$F4)/SUM($H$3:$H4)&gt;=1+Settings!$B$26,"Very Overheated",IF(SUM($F$3:$F4)/SUM($H$3:$H4)&gt;=1+Settings!$B$27,"Overheated",IF(SUM($F$3:$F4)/SUM($H$3:$H4)&lt;=1+Settings!$B$30,"Very Soft",IF(SUM($F$3:$F4)/SUM($H$3:$H4)&lt;=1+Settings!$B$29,"Soft","Fair")))))</f>
        <v>Not Started</v>
      </c>
      <c r="K4" s="10"/>
    </row>
    <row r="5">
      <c r="A5" s="10"/>
      <c r="B5" s="10"/>
      <c r="C5" s="10"/>
      <c r="D5" s="10"/>
      <c r="E5" s="10"/>
      <c r="F5" s="10"/>
      <c r="G5" s="10"/>
      <c r="H5" s="12" t="str">
        <f t="array" ref="H5">IF($B5="","",XLOOKUP($B5,Players!$A$4:$A$923,Players!$Y$4:$Y$923,""))</f>
        <v/>
      </c>
      <c r="I5" s="12" t="str">
        <f t="shared" si="1"/>
        <v/>
      </c>
      <c r="J5" s="12" t="str">
        <f>IF(COUNT($F$3:$F5)=0,"Not Started",IF(SUM($F$3:$F5)/SUM($H$3:$H5)&gt;=1+Settings!$B$26,"Very Overheated",IF(SUM($F$3:$F5)/SUM($H$3:$H5)&gt;=1+Settings!$B$27,"Overheated",IF(SUM($F$3:$F5)/SUM($H$3:$H5)&lt;=1+Settings!$B$30,"Very Soft",IF(SUM($F$3:$F5)/SUM($H$3:$H5)&lt;=1+Settings!$B$29,"Soft","Fair")))))</f>
        <v>Not Started</v>
      </c>
      <c r="K5" s="10"/>
    </row>
    <row r="6">
      <c r="A6" s="10"/>
      <c r="B6" s="10"/>
      <c r="C6" s="10"/>
      <c r="D6" s="10"/>
      <c r="E6" s="10"/>
      <c r="F6" s="10"/>
      <c r="G6" s="10"/>
      <c r="H6" s="12" t="str">
        <f t="array" ref="H6">IF($B6="","",XLOOKUP($B6,Players!$A$4:$A$923,Players!$Y$4:$Y$923,""))</f>
        <v/>
      </c>
      <c r="I6" s="12" t="str">
        <f t="shared" si="1"/>
        <v/>
      </c>
      <c r="J6" s="12" t="str">
        <f>IF(COUNT($F$3:$F6)=0,"Not Started",IF(SUM($F$3:$F6)/SUM($H$3:$H6)&gt;=1+Settings!$B$26,"Very Overheated",IF(SUM($F$3:$F6)/SUM($H$3:$H6)&gt;=1+Settings!$B$27,"Overheated",IF(SUM($F$3:$F6)/SUM($H$3:$H6)&lt;=1+Settings!$B$30,"Very Soft",IF(SUM($F$3:$F6)/SUM($H$3:$H6)&lt;=1+Settings!$B$29,"Soft","Fair")))))</f>
        <v>Not Started</v>
      </c>
      <c r="K6" s="10"/>
    </row>
    <row r="7">
      <c r="A7" s="10"/>
      <c r="B7" s="10"/>
      <c r="C7" s="10"/>
      <c r="D7" s="10"/>
      <c r="E7" s="10"/>
      <c r="F7" s="10"/>
      <c r="G7" s="10"/>
      <c r="H7" s="12" t="str">
        <f t="array" ref="H7">IF($B7="","",XLOOKUP($B7,Players!$A$4:$A$923,Players!$Y$4:$Y$923,""))</f>
        <v/>
      </c>
      <c r="I7" s="12" t="str">
        <f t="shared" si="1"/>
        <v/>
      </c>
      <c r="J7" s="12" t="str">
        <f>IF(COUNT($F$3:$F7)=0,"Not Started",IF(SUM($F$3:$F7)/SUM($H$3:$H7)&gt;=1+Settings!$B$26,"Very Overheated",IF(SUM($F$3:$F7)/SUM($H$3:$H7)&gt;=1+Settings!$B$27,"Overheated",IF(SUM($F$3:$F7)/SUM($H$3:$H7)&lt;=1+Settings!$B$30,"Very Soft",IF(SUM($F$3:$F7)/SUM($H$3:$H7)&lt;=1+Settings!$B$29,"Soft","Fair")))))</f>
        <v>Not Started</v>
      </c>
      <c r="K7" s="10"/>
    </row>
    <row r="8">
      <c r="A8" s="10"/>
      <c r="B8" s="10"/>
      <c r="C8" s="10"/>
      <c r="D8" s="10"/>
      <c r="E8" s="10"/>
      <c r="F8" s="10"/>
      <c r="G8" s="10"/>
      <c r="H8" s="12" t="str">
        <f t="array" ref="H8">IF($B8="","",XLOOKUP($B8,Players!$A$4:$A$923,Players!$Y$4:$Y$923,""))</f>
        <v/>
      </c>
      <c r="I8" s="12" t="str">
        <f t="shared" si="1"/>
        <v/>
      </c>
      <c r="J8" s="12" t="str">
        <f>IF(COUNT($F$3:$F8)=0,"Not Started",IF(SUM($F$3:$F8)/SUM($H$3:$H8)&gt;=1+Settings!$B$26,"Very Overheated",IF(SUM($F$3:$F8)/SUM($H$3:$H8)&gt;=1+Settings!$B$27,"Overheated",IF(SUM($F$3:$F8)/SUM($H$3:$H8)&lt;=1+Settings!$B$30,"Very Soft",IF(SUM($F$3:$F8)/SUM($H$3:$H8)&lt;=1+Settings!$B$29,"Soft","Fair")))))</f>
        <v>Not Started</v>
      </c>
      <c r="K8" s="10"/>
    </row>
    <row r="9">
      <c r="A9" s="10"/>
      <c r="B9" s="10"/>
      <c r="C9" s="10"/>
      <c r="D9" s="10"/>
      <c r="E9" s="10"/>
      <c r="F9" s="10"/>
      <c r="G9" s="10"/>
      <c r="H9" s="12" t="str">
        <f t="array" ref="H9">IF($B9="","",XLOOKUP($B9,Players!$A$4:$A$923,Players!$Y$4:$Y$923,""))</f>
        <v/>
      </c>
      <c r="I9" s="12" t="str">
        <f t="shared" si="1"/>
        <v/>
      </c>
      <c r="J9" s="12" t="str">
        <f>IF(COUNT($F$3:$F9)=0,"Not Started",IF(SUM($F$3:$F9)/SUM($H$3:$H9)&gt;=1+Settings!$B$26,"Very Overheated",IF(SUM($F$3:$F9)/SUM($H$3:$H9)&gt;=1+Settings!$B$27,"Overheated",IF(SUM($F$3:$F9)/SUM($H$3:$H9)&lt;=1+Settings!$B$30,"Very Soft",IF(SUM($F$3:$F9)/SUM($H$3:$H9)&lt;=1+Settings!$B$29,"Soft","Fair")))))</f>
        <v>Not Started</v>
      </c>
      <c r="K9" s="10"/>
    </row>
    <row r="10">
      <c r="A10" s="10"/>
      <c r="B10" s="10"/>
      <c r="C10" s="10"/>
      <c r="D10" s="10"/>
      <c r="E10" s="10"/>
      <c r="F10" s="10"/>
      <c r="G10" s="10"/>
      <c r="H10" s="12" t="str">
        <f t="array" ref="H10">IF($B10="","",XLOOKUP($B10,Players!$A$4:$A$923,Players!$Y$4:$Y$923,""))</f>
        <v/>
      </c>
      <c r="I10" s="12" t="str">
        <f t="shared" si="1"/>
        <v/>
      </c>
      <c r="J10" s="12" t="str">
        <f>IF(COUNT($F$3:$F10)=0,"Not Started",IF(SUM($F$3:$F10)/SUM($H$3:$H10)&gt;=1+Settings!$B$26,"Very Overheated",IF(SUM($F$3:$F10)/SUM($H$3:$H10)&gt;=1+Settings!$B$27,"Overheated",IF(SUM($F$3:$F10)/SUM($H$3:$H10)&lt;=1+Settings!$B$30,"Very Soft",IF(SUM($F$3:$F10)/SUM($H$3:$H10)&lt;=1+Settings!$B$29,"Soft","Fair")))))</f>
        <v>Not Started</v>
      </c>
      <c r="K10" s="10"/>
    </row>
    <row r="11">
      <c r="A11" s="10"/>
      <c r="B11" s="10"/>
      <c r="C11" s="10"/>
      <c r="D11" s="10"/>
      <c r="E11" s="10"/>
      <c r="F11" s="10"/>
      <c r="G11" s="10"/>
      <c r="H11" s="12" t="str">
        <f t="array" ref="H11">IF($B11="","",XLOOKUP($B11,Players!$A$4:$A$923,Players!$Y$4:$Y$923,""))</f>
        <v/>
      </c>
      <c r="I11" s="12" t="str">
        <f t="shared" si="1"/>
        <v/>
      </c>
      <c r="J11" s="12" t="str">
        <f>IF(COUNT($F$3:$F11)=0,"Not Started",IF(SUM($F$3:$F11)/SUM($H$3:$H11)&gt;=1+Settings!$B$26,"Very Overheated",IF(SUM($F$3:$F11)/SUM($H$3:$H11)&gt;=1+Settings!$B$27,"Overheated",IF(SUM($F$3:$F11)/SUM($H$3:$H11)&lt;=1+Settings!$B$30,"Very Soft",IF(SUM($F$3:$F11)/SUM($H$3:$H11)&lt;=1+Settings!$B$29,"Soft","Fair")))))</f>
        <v>Not Started</v>
      </c>
      <c r="K11" s="10"/>
    </row>
    <row r="12">
      <c r="A12" s="10"/>
      <c r="B12" s="10"/>
      <c r="C12" s="10"/>
      <c r="D12" s="10"/>
      <c r="E12" s="10"/>
      <c r="F12" s="10"/>
      <c r="G12" s="10"/>
      <c r="H12" s="12" t="str">
        <f t="array" ref="H12">IF($B12="","",XLOOKUP($B12,Players!$A$4:$A$923,Players!$Y$4:$Y$923,""))</f>
        <v/>
      </c>
      <c r="I12" s="12" t="str">
        <f t="shared" si="1"/>
        <v/>
      </c>
      <c r="J12" s="12" t="str">
        <f>IF(COUNT($F$3:$F12)=0,"Not Started",IF(SUM($F$3:$F12)/SUM($H$3:$H12)&gt;=1+Settings!$B$26,"Very Overheated",IF(SUM($F$3:$F12)/SUM($H$3:$H12)&gt;=1+Settings!$B$27,"Overheated",IF(SUM($F$3:$F12)/SUM($H$3:$H12)&lt;=1+Settings!$B$30,"Very Soft",IF(SUM($F$3:$F12)/SUM($H$3:$H12)&lt;=1+Settings!$B$29,"Soft","Fair")))))</f>
        <v>Not Started</v>
      </c>
      <c r="K12" s="10"/>
    </row>
    <row r="13">
      <c r="A13" s="10"/>
      <c r="B13" s="10"/>
      <c r="C13" s="10"/>
      <c r="D13" s="10"/>
      <c r="E13" s="10"/>
      <c r="F13" s="10"/>
      <c r="G13" s="10"/>
      <c r="H13" s="12" t="str">
        <f t="array" ref="H13">IF($B13="","",XLOOKUP($B13,Players!$A$4:$A$923,Players!$Y$4:$Y$923,""))</f>
        <v/>
      </c>
      <c r="I13" s="12" t="str">
        <f t="shared" si="1"/>
        <v/>
      </c>
      <c r="J13" s="12" t="str">
        <f>IF(COUNT($F$3:$F13)=0,"Not Started",IF(SUM($F$3:$F13)/SUM($H$3:$H13)&gt;=1+Settings!$B$26,"Very Overheated",IF(SUM($F$3:$F13)/SUM($H$3:$H13)&gt;=1+Settings!$B$27,"Overheated",IF(SUM($F$3:$F13)/SUM($H$3:$H13)&lt;=1+Settings!$B$30,"Very Soft",IF(SUM($F$3:$F13)/SUM($H$3:$H13)&lt;=1+Settings!$B$29,"Soft","Fair")))))</f>
        <v>Not Started</v>
      </c>
      <c r="K13" s="10"/>
    </row>
    <row r="14">
      <c r="A14" s="10"/>
      <c r="B14" s="10"/>
      <c r="C14" s="10"/>
      <c r="D14" s="10"/>
      <c r="E14" s="10"/>
      <c r="F14" s="10"/>
      <c r="G14" s="10"/>
      <c r="H14" s="12" t="str">
        <f t="array" ref="H14">IF($B14="","",XLOOKUP($B14,Players!$A$4:$A$923,Players!$Y$4:$Y$923,""))</f>
        <v/>
      </c>
      <c r="I14" s="12" t="str">
        <f t="shared" si="1"/>
        <v/>
      </c>
      <c r="J14" s="12" t="str">
        <f>IF(COUNT($F$3:$F14)=0,"Not Started",IF(SUM($F$3:$F14)/SUM($H$3:$H14)&gt;=1+Settings!$B$26,"Very Overheated",IF(SUM($F$3:$F14)/SUM($H$3:$H14)&gt;=1+Settings!$B$27,"Overheated",IF(SUM($F$3:$F14)/SUM($H$3:$H14)&lt;=1+Settings!$B$30,"Very Soft",IF(SUM($F$3:$F14)/SUM($H$3:$H14)&lt;=1+Settings!$B$29,"Soft","Fair")))))</f>
        <v>Not Started</v>
      </c>
      <c r="K14" s="10"/>
    </row>
    <row r="15">
      <c r="A15" s="10"/>
      <c r="B15" s="10"/>
      <c r="C15" s="10"/>
      <c r="D15" s="10"/>
      <c r="E15" s="10"/>
      <c r="F15" s="10"/>
      <c r="G15" s="10"/>
      <c r="H15" s="12" t="str">
        <f t="array" ref="H15">IF($B15="","",XLOOKUP($B15,Players!$A$4:$A$923,Players!$Y$4:$Y$923,""))</f>
        <v/>
      </c>
      <c r="I15" s="12" t="str">
        <f t="shared" si="1"/>
        <v/>
      </c>
      <c r="J15" s="12" t="str">
        <f>IF(COUNT($F$3:$F15)=0,"Not Started",IF(SUM($F$3:$F15)/SUM($H$3:$H15)&gt;=1+Settings!$B$26,"Very Overheated",IF(SUM($F$3:$F15)/SUM($H$3:$H15)&gt;=1+Settings!$B$27,"Overheated",IF(SUM($F$3:$F15)/SUM($H$3:$H15)&lt;=1+Settings!$B$30,"Very Soft",IF(SUM($F$3:$F15)/SUM($H$3:$H15)&lt;=1+Settings!$B$29,"Soft","Fair")))))</f>
        <v>Not Started</v>
      </c>
      <c r="K15" s="10"/>
    </row>
    <row r="16">
      <c r="A16" s="10"/>
      <c r="B16" s="10"/>
      <c r="C16" s="10"/>
      <c r="D16" s="10"/>
      <c r="E16" s="10"/>
      <c r="F16" s="10"/>
      <c r="G16" s="10"/>
      <c r="H16" s="12" t="str">
        <f t="array" ref="H16">IF($B16="","",XLOOKUP($B16,Players!$A$4:$A$923,Players!$Y$4:$Y$923,""))</f>
        <v/>
      </c>
      <c r="I16" s="12" t="str">
        <f t="shared" si="1"/>
        <v/>
      </c>
      <c r="J16" s="12" t="str">
        <f>IF(COUNT($F$3:$F16)=0,"Not Started",IF(SUM($F$3:$F16)/SUM($H$3:$H16)&gt;=1+Settings!$B$26,"Very Overheated",IF(SUM($F$3:$F16)/SUM($H$3:$H16)&gt;=1+Settings!$B$27,"Overheated",IF(SUM($F$3:$F16)/SUM($H$3:$H16)&lt;=1+Settings!$B$30,"Very Soft",IF(SUM($F$3:$F16)/SUM($H$3:$H16)&lt;=1+Settings!$B$29,"Soft","Fair")))))</f>
        <v>Not Started</v>
      </c>
      <c r="K16" s="10"/>
    </row>
    <row r="17">
      <c r="A17" s="10"/>
      <c r="B17" s="10"/>
      <c r="C17" s="10"/>
      <c r="D17" s="10"/>
      <c r="E17" s="10"/>
      <c r="F17" s="10"/>
      <c r="G17" s="10"/>
      <c r="H17" s="12" t="str">
        <f t="array" ref="H17">IF($B17="","",XLOOKUP($B17,Players!$A$4:$A$923,Players!$Y$4:$Y$923,""))</f>
        <v/>
      </c>
      <c r="I17" s="12" t="str">
        <f t="shared" si="1"/>
        <v/>
      </c>
      <c r="J17" s="12" t="str">
        <f>IF(COUNT($F$3:$F17)=0,"Not Started",IF(SUM($F$3:$F17)/SUM($H$3:$H17)&gt;=1+Settings!$B$26,"Very Overheated",IF(SUM($F$3:$F17)/SUM($H$3:$H17)&gt;=1+Settings!$B$27,"Overheated",IF(SUM($F$3:$F17)/SUM($H$3:$H17)&lt;=1+Settings!$B$30,"Very Soft",IF(SUM($F$3:$F17)/SUM($H$3:$H17)&lt;=1+Settings!$B$29,"Soft","Fair")))))</f>
        <v>Not Started</v>
      </c>
      <c r="K17" s="10"/>
    </row>
    <row r="18">
      <c r="A18" s="10"/>
      <c r="B18" s="10"/>
      <c r="C18" s="10"/>
      <c r="D18" s="10"/>
      <c r="E18" s="10"/>
      <c r="F18" s="10"/>
      <c r="G18" s="10"/>
      <c r="H18" s="12" t="str">
        <f t="array" ref="H18">IF($B18="","",XLOOKUP($B18,Players!$A$4:$A$923,Players!$Y$4:$Y$923,""))</f>
        <v/>
      </c>
      <c r="I18" s="12" t="str">
        <f t="shared" si="1"/>
        <v/>
      </c>
      <c r="J18" s="12" t="str">
        <f>IF(COUNT($F$3:$F18)=0,"Not Started",IF(SUM($F$3:$F18)/SUM($H$3:$H18)&gt;=1+Settings!$B$26,"Very Overheated",IF(SUM($F$3:$F18)/SUM($H$3:$H18)&gt;=1+Settings!$B$27,"Overheated",IF(SUM($F$3:$F18)/SUM($H$3:$H18)&lt;=1+Settings!$B$30,"Very Soft",IF(SUM($F$3:$F18)/SUM($H$3:$H18)&lt;=1+Settings!$B$29,"Soft","Fair")))))</f>
        <v>Not Started</v>
      </c>
      <c r="K18" s="10"/>
    </row>
    <row r="19">
      <c r="A19" s="10"/>
      <c r="B19" s="10"/>
      <c r="C19" s="10"/>
      <c r="D19" s="10"/>
      <c r="E19" s="10"/>
      <c r="F19" s="10"/>
      <c r="G19" s="10"/>
      <c r="H19" s="12" t="str">
        <f t="array" ref="H19">IF($B19="","",XLOOKUP($B19,Players!$A$4:$A$923,Players!$Y$4:$Y$923,""))</f>
        <v/>
      </c>
      <c r="I19" s="12" t="str">
        <f t="shared" si="1"/>
        <v/>
      </c>
      <c r="J19" s="12" t="str">
        <f>IF(COUNT($F$3:$F19)=0,"Not Started",IF(SUM($F$3:$F19)/SUM($H$3:$H19)&gt;=1+Settings!$B$26,"Very Overheated",IF(SUM($F$3:$F19)/SUM($H$3:$H19)&gt;=1+Settings!$B$27,"Overheated",IF(SUM($F$3:$F19)/SUM($H$3:$H19)&lt;=1+Settings!$B$30,"Very Soft",IF(SUM($F$3:$F19)/SUM($H$3:$H19)&lt;=1+Settings!$B$29,"Soft","Fair")))))</f>
        <v>Not Started</v>
      </c>
      <c r="K19" s="10"/>
    </row>
    <row r="20">
      <c r="A20" s="10"/>
      <c r="B20" s="10"/>
      <c r="C20" s="10"/>
      <c r="D20" s="10"/>
      <c r="E20" s="10"/>
      <c r="F20" s="10"/>
      <c r="G20" s="10"/>
      <c r="H20" s="12" t="str">
        <f t="array" ref="H20">IF($B20="","",XLOOKUP($B20,Players!$A$4:$A$923,Players!$Y$4:$Y$923,""))</f>
        <v/>
      </c>
      <c r="I20" s="12" t="str">
        <f t="shared" si="1"/>
        <v/>
      </c>
      <c r="J20" s="12" t="str">
        <f>IF(COUNT($F$3:$F20)=0,"Not Started",IF(SUM($F$3:$F20)/SUM($H$3:$H20)&gt;=1+Settings!$B$26,"Very Overheated",IF(SUM($F$3:$F20)/SUM($H$3:$H20)&gt;=1+Settings!$B$27,"Overheated",IF(SUM($F$3:$F20)/SUM($H$3:$H20)&lt;=1+Settings!$B$30,"Very Soft",IF(SUM($F$3:$F20)/SUM($H$3:$H20)&lt;=1+Settings!$B$29,"Soft","Fair")))))</f>
        <v>Not Started</v>
      </c>
      <c r="K20" s="10"/>
    </row>
    <row r="21" ht="15.75" customHeight="1">
      <c r="A21" s="10"/>
      <c r="B21" s="10"/>
      <c r="C21" s="10"/>
      <c r="D21" s="10"/>
      <c r="E21" s="10"/>
      <c r="F21" s="10"/>
      <c r="G21" s="10"/>
      <c r="H21" s="12" t="str">
        <f t="array" ref="H21">IF($B21="","",XLOOKUP($B21,Players!$A$4:$A$923,Players!$Y$4:$Y$923,""))</f>
        <v/>
      </c>
      <c r="I21" s="12" t="str">
        <f t="shared" si="1"/>
        <v/>
      </c>
      <c r="J21" s="12" t="str">
        <f>IF(COUNT($F$3:$F21)=0,"Not Started",IF(SUM($F$3:$F21)/SUM($H$3:$H21)&gt;=1+Settings!$B$26,"Very Overheated",IF(SUM($F$3:$F21)/SUM($H$3:$H21)&gt;=1+Settings!$B$27,"Overheated",IF(SUM($F$3:$F21)/SUM($H$3:$H21)&lt;=1+Settings!$B$30,"Very Soft",IF(SUM($F$3:$F21)/SUM($H$3:$H21)&lt;=1+Settings!$B$29,"Soft","Fair")))))</f>
        <v>Not Started</v>
      </c>
      <c r="K21" s="10"/>
    </row>
    <row r="22" ht="15.75" customHeight="1">
      <c r="A22" s="10"/>
      <c r="B22" s="10"/>
      <c r="C22" s="10"/>
      <c r="D22" s="10"/>
      <c r="E22" s="10"/>
      <c r="F22" s="10"/>
      <c r="G22" s="10"/>
      <c r="H22" s="12" t="str">
        <f t="array" ref="H22">IF($B22="","",XLOOKUP($B22,Players!$A$4:$A$923,Players!$Y$4:$Y$923,""))</f>
        <v/>
      </c>
      <c r="I22" s="12" t="str">
        <f t="shared" si="1"/>
        <v/>
      </c>
      <c r="J22" s="12" t="str">
        <f>IF(COUNT($F$3:$F22)=0,"Not Started",IF(SUM($F$3:$F22)/SUM($H$3:$H22)&gt;=1+Settings!$B$26,"Very Overheated",IF(SUM($F$3:$F22)/SUM($H$3:$H22)&gt;=1+Settings!$B$27,"Overheated",IF(SUM($F$3:$F22)/SUM($H$3:$H22)&lt;=1+Settings!$B$30,"Very Soft",IF(SUM($F$3:$F22)/SUM($H$3:$H22)&lt;=1+Settings!$B$29,"Soft","Fair")))))</f>
        <v>Not Started</v>
      </c>
      <c r="K22" s="10"/>
    </row>
    <row r="23" ht="15.75" customHeight="1">
      <c r="A23" s="10"/>
      <c r="B23" s="10"/>
      <c r="C23" s="10"/>
      <c r="D23" s="10"/>
      <c r="E23" s="10"/>
      <c r="F23" s="10"/>
      <c r="G23" s="10"/>
      <c r="H23" s="12" t="str">
        <f t="array" ref="H23">IF($B23="","",XLOOKUP($B23,Players!$A$4:$A$923,Players!$Y$4:$Y$923,""))</f>
        <v/>
      </c>
      <c r="I23" s="12" t="str">
        <f t="shared" si="1"/>
        <v/>
      </c>
      <c r="J23" s="12" t="str">
        <f>IF(COUNT($F$3:$F23)=0,"Not Started",IF(SUM($F$3:$F23)/SUM($H$3:$H23)&gt;=1+Settings!$B$26,"Very Overheated",IF(SUM($F$3:$F23)/SUM($H$3:$H23)&gt;=1+Settings!$B$27,"Overheated",IF(SUM($F$3:$F23)/SUM($H$3:$H23)&lt;=1+Settings!$B$30,"Very Soft",IF(SUM($F$3:$F23)/SUM($H$3:$H23)&lt;=1+Settings!$B$29,"Soft","Fair")))))</f>
        <v>Not Started</v>
      </c>
      <c r="K23" s="10"/>
    </row>
    <row r="24" ht="15.75" customHeight="1">
      <c r="A24" s="10"/>
      <c r="B24" s="10"/>
      <c r="C24" s="10"/>
      <c r="D24" s="10"/>
      <c r="E24" s="10"/>
      <c r="F24" s="10"/>
      <c r="G24" s="10"/>
      <c r="H24" s="12" t="str">
        <f t="array" ref="H24">IF($B24="","",XLOOKUP($B24,Players!$A$4:$A$923,Players!$Y$4:$Y$923,""))</f>
        <v/>
      </c>
      <c r="I24" s="12" t="str">
        <f t="shared" si="1"/>
        <v/>
      </c>
      <c r="J24" s="12" t="str">
        <f>IF(COUNT($F$3:$F24)=0,"Not Started",IF(SUM($F$3:$F24)/SUM($H$3:$H24)&gt;=1+Settings!$B$26,"Very Overheated",IF(SUM($F$3:$F24)/SUM($H$3:$H24)&gt;=1+Settings!$B$27,"Overheated",IF(SUM($F$3:$F24)/SUM($H$3:$H24)&lt;=1+Settings!$B$30,"Very Soft",IF(SUM($F$3:$F24)/SUM($H$3:$H24)&lt;=1+Settings!$B$29,"Soft","Fair")))))</f>
        <v>Not Started</v>
      </c>
      <c r="K24" s="10"/>
    </row>
    <row r="25" ht="15.75" customHeight="1">
      <c r="A25" s="10"/>
      <c r="B25" s="10"/>
      <c r="C25" s="10"/>
      <c r="D25" s="10"/>
      <c r="E25" s="10"/>
      <c r="F25" s="10"/>
      <c r="G25" s="10"/>
      <c r="H25" s="12" t="str">
        <f t="array" ref="H25">IF($B25="","",XLOOKUP($B25,Players!$A$4:$A$923,Players!$Y$4:$Y$923,""))</f>
        <v/>
      </c>
      <c r="I25" s="12" t="str">
        <f t="shared" si="1"/>
        <v/>
      </c>
      <c r="J25" s="12" t="str">
        <f>IF(COUNT($F$3:$F25)=0,"Not Started",IF(SUM($F$3:$F25)/SUM($H$3:$H25)&gt;=1+Settings!$B$26,"Very Overheated",IF(SUM($F$3:$F25)/SUM($H$3:$H25)&gt;=1+Settings!$B$27,"Overheated",IF(SUM($F$3:$F25)/SUM($H$3:$H25)&lt;=1+Settings!$B$30,"Very Soft",IF(SUM($F$3:$F25)/SUM($H$3:$H25)&lt;=1+Settings!$B$29,"Soft","Fair")))))</f>
        <v>Not Started</v>
      </c>
      <c r="K25" s="10"/>
    </row>
    <row r="26" ht="15.75" customHeight="1">
      <c r="A26" s="10"/>
      <c r="B26" s="10"/>
      <c r="C26" s="10"/>
      <c r="D26" s="10"/>
      <c r="E26" s="10"/>
      <c r="F26" s="10"/>
      <c r="G26" s="10"/>
      <c r="H26" s="12" t="str">
        <f t="array" ref="H26">IF($B26="","",XLOOKUP($B26,Players!$A$4:$A$923,Players!$Y$4:$Y$923,""))</f>
        <v/>
      </c>
      <c r="I26" s="12" t="str">
        <f t="shared" si="1"/>
        <v/>
      </c>
      <c r="J26" s="12" t="str">
        <f>IF(COUNT($F$3:$F26)=0,"Not Started",IF(SUM($F$3:$F26)/SUM($H$3:$H26)&gt;=1+Settings!$B$26,"Very Overheated",IF(SUM($F$3:$F26)/SUM($H$3:$H26)&gt;=1+Settings!$B$27,"Overheated",IF(SUM($F$3:$F26)/SUM($H$3:$H26)&lt;=1+Settings!$B$30,"Very Soft",IF(SUM($F$3:$F26)/SUM($H$3:$H26)&lt;=1+Settings!$B$29,"Soft","Fair")))))</f>
        <v>Not Started</v>
      </c>
      <c r="K26" s="10"/>
    </row>
    <row r="27" ht="15.75" customHeight="1">
      <c r="A27" s="10"/>
      <c r="B27" s="10"/>
      <c r="C27" s="10"/>
      <c r="D27" s="10"/>
      <c r="E27" s="10"/>
      <c r="F27" s="10"/>
      <c r="G27" s="10"/>
      <c r="H27" s="12" t="str">
        <f t="array" ref="H27">IF($B27="","",XLOOKUP($B27,Players!$A$4:$A$923,Players!$Y$4:$Y$923,""))</f>
        <v/>
      </c>
      <c r="I27" s="12" t="str">
        <f t="shared" si="1"/>
        <v/>
      </c>
      <c r="J27" s="12" t="str">
        <f>IF(COUNT($F$3:$F27)=0,"Not Started",IF(SUM($F$3:$F27)/SUM($H$3:$H27)&gt;=1+Settings!$B$26,"Very Overheated",IF(SUM($F$3:$F27)/SUM($H$3:$H27)&gt;=1+Settings!$B$27,"Overheated",IF(SUM($F$3:$F27)/SUM($H$3:$H27)&lt;=1+Settings!$B$30,"Very Soft",IF(SUM($F$3:$F27)/SUM($H$3:$H27)&lt;=1+Settings!$B$29,"Soft","Fair")))))</f>
        <v>Not Started</v>
      </c>
      <c r="K27" s="10"/>
    </row>
    <row r="28" ht="15.75" customHeight="1">
      <c r="A28" s="10"/>
      <c r="B28" s="10"/>
      <c r="C28" s="10"/>
      <c r="D28" s="10"/>
      <c r="E28" s="10"/>
      <c r="F28" s="10"/>
      <c r="G28" s="10"/>
      <c r="H28" s="12" t="str">
        <f t="array" ref="H28">IF($B28="","",XLOOKUP($B28,Players!$A$4:$A$923,Players!$Y$4:$Y$923,""))</f>
        <v/>
      </c>
      <c r="I28" s="12" t="str">
        <f t="shared" si="1"/>
        <v/>
      </c>
      <c r="J28" s="12" t="str">
        <f>IF(COUNT($F$3:$F28)=0,"Not Started",IF(SUM($F$3:$F28)/SUM($H$3:$H28)&gt;=1+Settings!$B$26,"Very Overheated",IF(SUM($F$3:$F28)/SUM($H$3:$H28)&gt;=1+Settings!$B$27,"Overheated",IF(SUM($F$3:$F28)/SUM($H$3:$H28)&lt;=1+Settings!$B$30,"Very Soft",IF(SUM($F$3:$F28)/SUM($H$3:$H28)&lt;=1+Settings!$B$29,"Soft","Fair")))))</f>
        <v>Not Started</v>
      </c>
      <c r="K28" s="10"/>
    </row>
    <row r="29" ht="15.75" customHeight="1">
      <c r="A29" s="10"/>
      <c r="B29" s="10"/>
      <c r="C29" s="10"/>
      <c r="D29" s="10"/>
      <c r="E29" s="10"/>
      <c r="F29" s="10"/>
      <c r="G29" s="10"/>
      <c r="H29" s="12" t="str">
        <f t="array" ref="H29">IF($B29="","",XLOOKUP($B29,Players!$A$4:$A$923,Players!$Y$4:$Y$923,""))</f>
        <v/>
      </c>
      <c r="I29" s="12" t="str">
        <f t="shared" si="1"/>
        <v/>
      </c>
      <c r="J29" s="12" t="str">
        <f>IF(COUNT($F$3:$F29)=0,"Not Started",IF(SUM($F$3:$F29)/SUM($H$3:$H29)&gt;=1+Settings!$B$26,"Very Overheated",IF(SUM($F$3:$F29)/SUM($H$3:$H29)&gt;=1+Settings!$B$27,"Overheated",IF(SUM($F$3:$F29)/SUM($H$3:$H29)&lt;=1+Settings!$B$30,"Very Soft",IF(SUM($F$3:$F29)/SUM($H$3:$H29)&lt;=1+Settings!$B$29,"Soft","Fair")))))</f>
        <v>Not Started</v>
      </c>
      <c r="K29" s="10"/>
    </row>
    <row r="30" ht="15.75" customHeight="1">
      <c r="A30" s="10"/>
      <c r="B30" s="10"/>
      <c r="C30" s="10"/>
      <c r="D30" s="10"/>
      <c r="E30" s="10"/>
      <c r="F30" s="10"/>
      <c r="G30" s="10"/>
      <c r="H30" s="12" t="str">
        <f t="array" ref="H30">IF($B30="","",XLOOKUP($B30,Players!$A$4:$A$923,Players!$Y$4:$Y$923,""))</f>
        <v/>
      </c>
      <c r="I30" s="12" t="str">
        <f t="shared" si="1"/>
        <v/>
      </c>
      <c r="J30" s="12" t="str">
        <f>IF(COUNT($F$3:$F30)=0,"Not Started",IF(SUM($F$3:$F30)/SUM($H$3:$H30)&gt;=1+Settings!$B$26,"Very Overheated",IF(SUM($F$3:$F30)/SUM($H$3:$H30)&gt;=1+Settings!$B$27,"Overheated",IF(SUM($F$3:$F30)/SUM($H$3:$H30)&lt;=1+Settings!$B$30,"Very Soft",IF(SUM($F$3:$F30)/SUM($H$3:$H30)&lt;=1+Settings!$B$29,"Soft","Fair")))))</f>
        <v>Not Started</v>
      </c>
      <c r="K30" s="10"/>
    </row>
    <row r="31" ht="15.75" customHeight="1">
      <c r="A31" s="10"/>
      <c r="B31" s="10"/>
      <c r="C31" s="10"/>
      <c r="D31" s="10"/>
      <c r="E31" s="10"/>
      <c r="F31" s="10"/>
      <c r="G31" s="10"/>
      <c r="H31" s="12" t="str">
        <f t="array" ref="H31">IF($B31="","",XLOOKUP($B31,Players!$A$4:$A$923,Players!$Y$4:$Y$923,""))</f>
        <v/>
      </c>
      <c r="I31" s="12" t="str">
        <f t="shared" si="1"/>
        <v/>
      </c>
      <c r="J31" s="12" t="str">
        <f>IF(COUNT($F$3:$F31)=0,"Not Started",IF(SUM($F$3:$F31)/SUM($H$3:$H31)&gt;=1+Settings!$B$26,"Very Overheated",IF(SUM($F$3:$F31)/SUM($H$3:$H31)&gt;=1+Settings!$B$27,"Overheated",IF(SUM($F$3:$F31)/SUM($H$3:$H31)&lt;=1+Settings!$B$30,"Very Soft",IF(SUM($F$3:$F31)/SUM($H$3:$H31)&lt;=1+Settings!$B$29,"Soft","Fair")))))</f>
        <v>Not Started</v>
      </c>
      <c r="K31" s="10"/>
    </row>
    <row r="32" ht="15.75" customHeight="1">
      <c r="A32" s="10"/>
      <c r="B32" s="10"/>
      <c r="C32" s="10"/>
      <c r="D32" s="10"/>
      <c r="E32" s="10"/>
      <c r="F32" s="10"/>
      <c r="G32" s="10"/>
      <c r="H32" s="12" t="str">
        <f t="array" ref="H32">IF($B32="","",XLOOKUP($B32,Players!$A$4:$A$923,Players!$Y$4:$Y$923,""))</f>
        <v/>
      </c>
      <c r="I32" s="12" t="str">
        <f t="shared" si="1"/>
        <v/>
      </c>
      <c r="J32" s="12" t="str">
        <f>IF(COUNT($F$3:$F32)=0,"Not Started",IF(SUM($F$3:$F32)/SUM($H$3:$H32)&gt;=1+Settings!$B$26,"Very Overheated",IF(SUM($F$3:$F32)/SUM($H$3:$H32)&gt;=1+Settings!$B$27,"Overheated",IF(SUM($F$3:$F32)/SUM($H$3:$H32)&lt;=1+Settings!$B$30,"Very Soft",IF(SUM($F$3:$F32)/SUM($H$3:$H32)&lt;=1+Settings!$B$29,"Soft","Fair")))))</f>
        <v>Not Started</v>
      </c>
      <c r="K32" s="10"/>
    </row>
    <row r="33" ht="15.75" customHeight="1">
      <c r="A33" s="10"/>
      <c r="B33" s="10"/>
      <c r="C33" s="10"/>
      <c r="D33" s="10"/>
      <c r="E33" s="10"/>
      <c r="F33" s="10"/>
      <c r="G33" s="10"/>
      <c r="H33" s="12" t="str">
        <f t="array" ref="H33">IF($B33="","",XLOOKUP($B33,Players!$A$4:$A$923,Players!$Y$4:$Y$923,""))</f>
        <v/>
      </c>
      <c r="I33" s="12" t="str">
        <f t="shared" si="1"/>
        <v/>
      </c>
      <c r="J33" s="12" t="str">
        <f>IF(COUNT($F$3:$F33)=0,"Not Started",IF(SUM($F$3:$F33)/SUM($H$3:$H33)&gt;=1+Settings!$B$26,"Very Overheated",IF(SUM($F$3:$F33)/SUM($H$3:$H33)&gt;=1+Settings!$B$27,"Overheated",IF(SUM($F$3:$F33)/SUM($H$3:$H33)&lt;=1+Settings!$B$30,"Very Soft",IF(SUM($F$3:$F33)/SUM($H$3:$H33)&lt;=1+Settings!$B$29,"Soft","Fair")))))</f>
        <v>Not Started</v>
      </c>
      <c r="K33" s="10"/>
    </row>
    <row r="34" ht="15.75" customHeight="1">
      <c r="A34" s="10"/>
      <c r="B34" s="10"/>
      <c r="C34" s="10"/>
      <c r="D34" s="10"/>
      <c r="E34" s="10"/>
      <c r="F34" s="10"/>
      <c r="G34" s="10"/>
      <c r="H34" s="12" t="str">
        <f t="array" ref="H34">IF($B34="","",XLOOKUP($B34,Players!$A$4:$A$923,Players!$Y$4:$Y$923,""))</f>
        <v/>
      </c>
      <c r="I34" s="12" t="str">
        <f t="shared" si="1"/>
        <v/>
      </c>
      <c r="J34" s="12" t="str">
        <f>IF(COUNT($F$3:$F34)=0,"Not Started",IF(SUM($F$3:$F34)/SUM($H$3:$H34)&gt;=1+Settings!$B$26,"Very Overheated",IF(SUM($F$3:$F34)/SUM($H$3:$H34)&gt;=1+Settings!$B$27,"Overheated",IF(SUM($F$3:$F34)/SUM($H$3:$H34)&lt;=1+Settings!$B$30,"Very Soft",IF(SUM($F$3:$F34)/SUM($H$3:$H34)&lt;=1+Settings!$B$29,"Soft","Fair")))))</f>
        <v>Not Started</v>
      </c>
      <c r="K34" s="10"/>
    </row>
    <row r="35" ht="15.75" customHeight="1">
      <c r="A35" s="10"/>
      <c r="B35" s="10"/>
      <c r="C35" s="10"/>
      <c r="D35" s="10"/>
      <c r="E35" s="10"/>
      <c r="F35" s="10"/>
      <c r="G35" s="10"/>
      <c r="H35" s="12" t="str">
        <f t="array" ref="H35">IF($B35="","",XLOOKUP($B35,Players!$A$4:$A$923,Players!$Y$4:$Y$923,""))</f>
        <v/>
      </c>
      <c r="I35" s="12" t="str">
        <f t="shared" si="1"/>
        <v/>
      </c>
      <c r="J35" s="12" t="str">
        <f>IF(COUNT($F$3:$F35)=0,"Not Started",IF(SUM($F$3:$F35)/SUM($H$3:$H35)&gt;=1+Settings!$B$26,"Very Overheated",IF(SUM($F$3:$F35)/SUM($H$3:$H35)&gt;=1+Settings!$B$27,"Overheated",IF(SUM($F$3:$F35)/SUM($H$3:$H35)&lt;=1+Settings!$B$30,"Very Soft",IF(SUM($F$3:$F35)/SUM($H$3:$H35)&lt;=1+Settings!$B$29,"Soft","Fair")))))</f>
        <v>Not Started</v>
      </c>
      <c r="K35" s="10"/>
    </row>
    <row r="36" ht="15.75" customHeight="1">
      <c r="A36" s="10"/>
      <c r="B36" s="10"/>
      <c r="C36" s="10"/>
      <c r="D36" s="10"/>
      <c r="E36" s="10"/>
      <c r="F36" s="10"/>
      <c r="G36" s="10"/>
      <c r="H36" s="12" t="str">
        <f t="array" ref="H36">IF($B36="","",XLOOKUP($B36,Players!$A$4:$A$923,Players!$Y$4:$Y$923,""))</f>
        <v/>
      </c>
      <c r="I36" s="12" t="str">
        <f t="shared" si="1"/>
        <v/>
      </c>
      <c r="J36" s="12" t="str">
        <f>IF(COUNT($F$3:$F36)=0,"Not Started",IF(SUM($F$3:$F36)/SUM($H$3:$H36)&gt;=1+Settings!$B$26,"Very Overheated",IF(SUM($F$3:$F36)/SUM($H$3:$H36)&gt;=1+Settings!$B$27,"Overheated",IF(SUM($F$3:$F36)/SUM($H$3:$H36)&lt;=1+Settings!$B$30,"Very Soft",IF(SUM($F$3:$F36)/SUM($H$3:$H36)&lt;=1+Settings!$B$29,"Soft","Fair")))))</f>
        <v>Not Started</v>
      </c>
      <c r="K36" s="10"/>
    </row>
    <row r="37" ht="15.75" customHeight="1">
      <c r="A37" s="10"/>
      <c r="B37" s="10"/>
      <c r="C37" s="10"/>
      <c r="D37" s="10"/>
      <c r="E37" s="10"/>
      <c r="F37" s="10"/>
      <c r="G37" s="10"/>
      <c r="H37" s="12" t="str">
        <f t="array" ref="H37">IF($B37="","",XLOOKUP($B37,Players!$A$4:$A$923,Players!$Y$4:$Y$923,""))</f>
        <v/>
      </c>
      <c r="I37" s="12" t="str">
        <f t="shared" si="1"/>
        <v/>
      </c>
      <c r="J37" s="12" t="str">
        <f>IF(COUNT($F$3:$F37)=0,"Not Started",IF(SUM($F$3:$F37)/SUM($H$3:$H37)&gt;=1+Settings!$B$26,"Very Overheated",IF(SUM($F$3:$F37)/SUM($H$3:$H37)&gt;=1+Settings!$B$27,"Overheated",IF(SUM($F$3:$F37)/SUM($H$3:$H37)&lt;=1+Settings!$B$30,"Very Soft",IF(SUM($F$3:$F37)/SUM($H$3:$H37)&lt;=1+Settings!$B$29,"Soft","Fair")))))</f>
        <v>Not Started</v>
      </c>
      <c r="K37" s="10"/>
    </row>
    <row r="38" ht="15.75" customHeight="1">
      <c r="A38" s="10"/>
      <c r="B38" s="10"/>
      <c r="C38" s="10"/>
      <c r="D38" s="10"/>
      <c r="E38" s="10"/>
      <c r="F38" s="10"/>
      <c r="G38" s="10"/>
      <c r="H38" s="12" t="str">
        <f t="array" ref="H38">IF($B38="","",XLOOKUP($B38,Players!$A$4:$A$923,Players!$Y$4:$Y$923,""))</f>
        <v/>
      </c>
      <c r="I38" s="12" t="str">
        <f t="shared" si="1"/>
        <v/>
      </c>
      <c r="J38" s="12" t="str">
        <f>IF(COUNT($F$3:$F38)=0,"Not Started",IF(SUM($F$3:$F38)/SUM($H$3:$H38)&gt;=1+Settings!$B$26,"Very Overheated",IF(SUM($F$3:$F38)/SUM($H$3:$H38)&gt;=1+Settings!$B$27,"Overheated",IF(SUM($F$3:$F38)/SUM($H$3:$H38)&lt;=1+Settings!$B$30,"Very Soft",IF(SUM($F$3:$F38)/SUM($H$3:$H38)&lt;=1+Settings!$B$29,"Soft","Fair")))))</f>
        <v>Not Started</v>
      </c>
      <c r="K38" s="10"/>
    </row>
    <row r="39" ht="15.75" customHeight="1">
      <c r="A39" s="10"/>
      <c r="B39" s="10"/>
      <c r="C39" s="10"/>
      <c r="D39" s="10"/>
      <c r="E39" s="10"/>
      <c r="F39" s="10"/>
      <c r="G39" s="10"/>
      <c r="H39" s="12" t="str">
        <f t="array" ref="H39">IF($B39="","",XLOOKUP($B39,Players!$A$4:$A$923,Players!$Y$4:$Y$923,""))</f>
        <v/>
      </c>
      <c r="I39" s="12" t="str">
        <f t="shared" si="1"/>
        <v/>
      </c>
      <c r="J39" s="12" t="str">
        <f>IF(COUNT($F$3:$F39)=0,"Not Started",IF(SUM($F$3:$F39)/SUM($H$3:$H39)&gt;=1+Settings!$B$26,"Very Overheated",IF(SUM($F$3:$F39)/SUM($H$3:$H39)&gt;=1+Settings!$B$27,"Overheated",IF(SUM($F$3:$F39)/SUM($H$3:$H39)&lt;=1+Settings!$B$30,"Very Soft",IF(SUM($F$3:$F39)/SUM($H$3:$H39)&lt;=1+Settings!$B$29,"Soft","Fair")))))</f>
        <v>Not Started</v>
      </c>
      <c r="K39" s="10"/>
    </row>
    <row r="40" ht="15.75" customHeight="1">
      <c r="A40" s="10"/>
      <c r="B40" s="10"/>
      <c r="C40" s="10"/>
      <c r="D40" s="10"/>
      <c r="E40" s="10"/>
      <c r="F40" s="10"/>
      <c r="G40" s="10"/>
      <c r="H40" s="12" t="str">
        <f t="array" ref="H40">IF($B40="","",XLOOKUP($B40,Players!$A$4:$A$923,Players!$Y$4:$Y$923,""))</f>
        <v/>
      </c>
      <c r="I40" s="12" t="str">
        <f t="shared" si="1"/>
        <v/>
      </c>
      <c r="J40" s="12" t="str">
        <f>IF(COUNT($F$3:$F40)=0,"Not Started",IF(SUM($F$3:$F40)/SUM($H$3:$H40)&gt;=1+Settings!$B$26,"Very Overheated",IF(SUM($F$3:$F40)/SUM($H$3:$H40)&gt;=1+Settings!$B$27,"Overheated",IF(SUM($F$3:$F40)/SUM($H$3:$H40)&lt;=1+Settings!$B$30,"Very Soft",IF(SUM($F$3:$F40)/SUM($H$3:$H40)&lt;=1+Settings!$B$29,"Soft","Fair")))))</f>
        <v>Not Started</v>
      </c>
      <c r="K40" s="10"/>
    </row>
    <row r="41" ht="15.75" customHeight="1">
      <c r="A41" s="10"/>
      <c r="B41" s="10"/>
      <c r="C41" s="10"/>
      <c r="D41" s="10"/>
      <c r="E41" s="10"/>
      <c r="F41" s="10"/>
      <c r="G41" s="10"/>
      <c r="H41" s="12" t="str">
        <f t="array" ref="H41">IF($B41="","",XLOOKUP($B41,Players!$A$4:$A$923,Players!$Y$4:$Y$923,""))</f>
        <v/>
      </c>
      <c r="I41" s="12" t="str">
        <f t="shared" si="1"/>
        <v/>
      </c>
      <c r="J41" s="12" t="str">
        <f>IF(COUNT($F$3:$F41)=0,"Not Started",IF(SUM($F$3:$F41)/SUM($H$3:$H41)&gt;=1+Settings!$B$26,"Very Overheated",IF(SUM($F$3:$F41)/SUM($H$3:$H41)&gt;=1+Settings!$B$27,"Overheated",IF(SUM($F$3:$F41)/SUM($H$3:$H41)&lt;=1+Settings!$B$30,"Very Soft",IF(SUM($F$3:$F41)/SUM($H$3:$H41)&lt;=1+Settings!$B$29,"Soft","Fair")))))</f>
        <v>Not Started</v>
      </c>
      <c r="K41" s="10"/>
    </row>
    <row r="42" ht="15.75" customHeight="1">
      <c r="A42" s="10"/>
      <c r="B42" s="10"/>
      <c r="C42" s="10"/>
      <c r="D42" s="10"/>
      <c r="E42" s="10"/>
      <c r="F42" s="10"/>
      <c r="G42" s="10"/>
      <c r="H42" s="12" t="str">
        <f t="array" ref="H42">IF($B42="","",XLOOKUP($B42,Players!$A$4:$A$923,Players!$Y$4:$Y$923,""))</f>
        <v/>
      </c>
      <c r="I42" s="12" t="str">
        <f t="shared" si="1"/>
        <v/>
      </c>
      <c r="J42" s="12" t="str">
        <f>IF(COUNT($F$3:$F42)=0,"Not Started",IF(SUM($F$3:$F42)/SUM($H$3:$H42)&gt;=1+Settings!$B$26,"Very Overheated",IF(SUM($F$3:$F42)/SUM($H$3:$H42)&gt;=1+Settings!$B$27,"Overheated",IF(SUM($F$3:$F42)/SUM($H$3:$H42)&lt;=1+Settings!$B$30,"Very Soft",IF(SUM($F$3:$F42)/SUM($H$3:$H42)&lt;=1+Settings!$B$29,"Soft","Fair")))))</f>
        <v>Not Started</v>
      </c>
      <c r="K42" s="10"/>
    </row>
    <row r="43" ht="15.75" customHeight="1">
      <c r="A43" s="10"/>
      <c r="B43" s="10"/>
      <c r="C43" s="10"/>
      <c r="D43" s="10"/>
      <c r="E43" s="10"/>
      <c r="F43" s="10"/>
      <c r="G43" s="10"/>
      <c r="H43" s="12" t="str">
        <f t="array" ref="H43">IF($B43="","",XLOOKUP($B43,Players!$A$4:$A$923,Players!$Y$4:$Y$923,""))</f>
        <v/>
      </c>
      <c r="I43" s="12" t="str">
        <f t="shared" si="1"/>
        <v/>
      </c>
      <c r="J43" s="12" t="str">
        <f>IF(COUNT($F$3:$F43)=0,"Not Started",IF(SUM($F$3:$F43)/SUM($H$3:$H43)&gt;=1+Settings!$B$26,"Very Overheated",IF(SUM($F$3:$F43)/SUM($H$3:$H43)&gt;=1+Settings!$B$27,"Overheated",IF(SUM($F$3:$F43)/SUM($H$3:$H43)&lt;=1+Settings!$B$30,"Very Soft",IF(SUM($F$3:$F43)/SUM($H$3:$H43)&lt;=1+Settings!$B$29,"Soft","Fair")))))</f>
        <v>Not Started</v>
      </c>
      <c r="K43" s="10"/>
    </row>
    <row r="44" ht="15.75" customHeight="1">
      <c r="A44" s="10"/>
      <c r="B44" s="10"/>
      <c r="C44" s="10"/>
      <c r="D44" s="10"/>
      <c r="E44" s="10"/>
      <c r="F44" s="10"/>
      <c r="G44" s="10"/>
      <c r="H44" s="12" t="str">
        <f t="array" ref="H44">IF($B44="","",XLOOKUP($B44,Players!$A$4:$A$923,Players!$Y$4:$Y$923,""))</f>
        <v/>
      </c>
      <c r="I44" s="12" t="str">
        <f t="shared" si="1"/>
        <v/>
      </c>
      <c r="J44" s="12" t="str">
        <f>IF(COUNT($F$3:$F44)=0,"Not Started",IF(SUM($F$3:$F44)/SUM($H$3:$H44)&gt;=1+Settings!$B$26,"Very Overheated",IF(SUM($F$3:$F44)/SUM($H$3:$H44)&gt;=1+Settings!$B$27,"Overheated",IF(SUM($F$3:$F44)/SUM($H$3:$H44)&lt;=1+Settings!$B$30,"Very Soft",IF(SUM($F$3:$F44)/SUM($H$3:$H44)&lt;=1+Settings!$B$29,"Soft","Fair")))))</f>
        <v>Not Started</v>
      </c>
      <c r="K44" s="10"/>
    </row>
    <row r="45" ht="15.75" customHeight="1">
      <c r="A45" s="10"/>
      <c r="B45" s="10"/>
      <c r="C45" s="10"/>
      <c r="D45" s="10"/>
      <c r="E45" s="10"/>
      <c r="F45" s="10"/>
      <c r="G45" s="10"/>
      <c r="H45" s="12" t="str">
        <f t="array" ref="H45">IF($B45="","",XLOOKUP($B45,Players!$A$4:$A$923,Players!$Y$4:$Y$923,""))</f>
        <v/>
      </c>
      <c r="I45" s="12" t="str">
        <f t="shared" si="1"/>
        <v/>
      </c>
      <c r="J45" s="12" t="str">
        <f>IF(COUNT($F$3:$F45)=0,"Not Started",IF(SUM($F$3:$F45)/SUM($H$3:$H45)&gt;=1+Settings!$B$26,"Very Overheated",IF(SUM($F$3:$F45)/SUM($H$3:$H45)&gt;=1+Settings!$B$27,"Overheated",IF(SUM($F$3:$F45)/SUM($H$3:$H45)&lt;=1+Settings!$B$30,"Very Soft",IF(SUM($F$3:$F45)/SUM($H$3:$H45)&lt;=1+Settings!$B$29,"Soft","Fair")))))</f>
        <v>Not Started</v>
      </c>
      <c r="K45" s="10"/>
    </row>
    <row r="46" ht="15.75" customHeight="1">
      <c r="A46" s="10"/>
      <c r="B46" s="10"/>
      <c r="C46" s="10"/>
      <c r="D46" s="10"/>
      <c r="E46" s="10"/>
      <c r="F46" s="10"/>
      <c r="G46" s="10"/>
      <c r="H46" s="12" t="str">
        <f t="array" ref="H46">IF($B46="","",XLOOKUP($B46,Players!$A$4:$A$923,Players!$Y$4:$Y$923,""))</f>
        <v/>
      </c>
      <c r="I46" s="12" t="str">
        <f t="shared" si="1"/>
        <v/>
      </c>
      <c r="J46" s="12" t="str">
        <f>IF(COUNT($F$3:$F46)=0,"Not Started",IF(SUM($F$3:$F46)/SUM($H$3:$H46)&gt;=1+Settings!$B$26,"Very Overheated",IF(SUM($F$3:$F46)/SUM($H$3:$H46)&gt;=1+Settings!$B$27,"Overheated",IF(SUM($F$3:$F46)/SUM($H$3:$H46)&lt;=1+Settings!$B$30,"Very Soft",IF(SUM($F$3:$F46)/SUM($H$3:$H46)&lt;=1+Settings!$B$29,"Soft","Fair")))))</f>
        <v>Not Started</v>
      </c>
      <c r="K46" s="10"/>
    </row>
    <row r="47" ht="15.75" customHeight="1">
      <c r="A47" s="10"/>
      <c r="B47" s="10"/>
      <c r="C47" s="10"/>
      <c r="D47" s="10"/>
      <c r="E47" s="10"/>
      <c r="F47" s="10"/>
      <c r="G47" s="10"/>
      <c r="H47" s="12" t="str">
        <f t="array" ref="H47">IF($B47="","",XLOOKUP($B47,Players!$A$4:$A$923,Players!$Y$4:$Y$923,""))</f>
        <v/>
      </c>
      <c r="I47" s="12" t="str">
        <f t="shared" si="1"/>
        <v/>
      </c>
      <c r="J47" s="12" t="str">
        <f>IF(COUNT($F$3:$F47)=0,"Not Started",IF(SUM($F$3:$F47)/SUM($H$3:$H47)&gt;=1+Settings!$B$26,"Very Overheated",IF(SUM($F$3:$F47)/SUM($H$3:$H47)&gt;=1+Settings!$B$27,"Overheated",IF(SUM($F$3:$F47)/SUM($H$3:$H47)&lt;=1+Settings!$B$30,"Very Soft",IF(SUM($F$3:$F47)/SUM($H$3:$H47)&lt;=1+Settings!$B$29,"Soft","Fair")))))</f>
        <v>Not Started</v>
      </c>
      <c r="K47" s="10"/>
    </row>
    <row r="48" ht="15.75" customHeight="1">
      <c r="A48" s="10"/>
      <c r="B48" s="10"/>
      <c r="C48" s="10"/>
      <c r="D48" s="10"/>
      <c r="E48" s="10"/>
      <c r="F48" s="10"/>
      <c r="G48" s="10"/>
      <c r="H48" s="12" t="str">
        <f t="array" ref="H48">IF($B48="","",XLOOKUP($B48,Players!$A$4:$A$923,Players!$Y$4:$Y$923,""))</f>
        <v/>
      </c>
      <c r="I48" s="12" t="str">
        <f t="shared" si="1"/>
        <v/>
      </c>
      <c r="J48" s="12" t="str">
        <f>IF(COUNT($F$3:$F48)=0,"Not Started",IF(SUM($F$3:$F48)/SUM($H$3:$H48)&gt;=1+Settings!$B$26,"Very Overheated",IF(SUM($F$3:$F48)/SUM($H$3:$H48)&gt;=1+Settings!$B$27,"Overheated",IF(SUM($F$3:$F48)/SUM($H$3:$H48)&lt;=1+Settings!$B$30,"Very Soft",IF(SUM($F$3:$F48)/SUM($H$3:$H48)&lt;=1+Settings!$B$29,"Soft","Fair")))))</f>
        <v>Not Started</v>
      </c>
      <c r="K48" s="10"/>
    </row>
    <row r="49" ht="15.75" customHeight="1">
      <c r="A49" s="10"/>
      <c r="B49" s="10"/>
      <c r="C49" s="10"/>
      <c r="D49" s="10"/>
      <c r="E49" s="10"/>
      <c r="F49" s="10"/>
      <c r="G49" s="10"/>
      <c r="H49" s="12" t="str">
        <f t="array" ref="H49">IF($B49="","",XLOOKUP($B49,Players!$A$4:$A$923,Players!$Y$4:$Y$923,""))</f>
        <v/>
      </c>
      <c r="I49" s="12" t="str">
        <f t="shared" si="1"/>
        <v/>
      </c>
      <c r="J49" s="12" t="str">
        <f>IF(COUNT($F$3:$F49)=0,"Not Started",IF(SUM($F$3:$F49)/SUM($H$3:$H49)&gt;=1+Settings!$B$26,"Very Overheated",IF(SUM($F$3:$F49)/SUM($H$3:$H49)&gt;=1+Settings!$B$27,"Overheated",IF(SUM($F$3:$F49)/SUM($H$3:$H49)&lt;=1+Settings!$B$30,"Very Soft",IF(SUM($F$3:$F49)/SUM($H$3:$H49)&lt;=1+Settings!$B$29,"Soft","Fair")))))</f>
        <v>Not Started</v>
      </c>
      <c r="K49" s="10"/>
    </row>
    <row r="50" ht="15.75" customHeight="1">
      <c r="A50" s="10"/>
      <c r="B50" s="10"/>
      <c r="C50" s="10"/>
      <c r="D50" s="10"/>
      <c r="E50" s="10"/>
      <c r="F50" s="10"/>
      <c r="G50" s="10"/>
      <c r="H50" s="12" t="str">
        <f t="array" ref="H50">IF($B50="","",XLOOKUP($B50,Players!$A$4:$A$923,Players!$Y$4:$Y$923,""))</f>
        <v/>
      </c>
      <c r="I50" s="12" t="str">
        <f t="shared" si="1"/>
        <v/>
      </c>
      <c r="J50" s="12" t="str">
        <f>IF(COUNT($F$3:$F50)=0,"Not Started",IF(SUM($F$3:$F50)/SUM($H$3:$H50)&gt;=1+Settings!$B$26,"Very Overheated",IF(SUM($F$3:$F50)/SUM($H$3:$H50)&gt;=1+Settings!$B$27,"Overheated",IF(SUM($F$3:$F50)/SUM($H$3:$H50)&lt;=1+Settings!$B$30,"Very Soft",IF(SUM($F$3:$F50)/SUM($H$3:$H50)&lt;=1+Settings!$B$29,"Soft","Fair")))))</f>
        <v>Not Started</v>
      </c>
      <c r="K50" s="10"/>
    </row>
    <row r="51" ht="15.75" customHeight="1">
      <c r="A51" s="10"/>
      <c r="B51" s="10"/>
      <c r="C51" s="10"/>
      <c r="D51" s="10"/>
      <c r="E51" s="10"/>
      <c r="F51" s="10"/>
      <c r="G51" s="10"/>
      <c r="H51" s="12" t="str">
        <f t="array" ref="H51">IF($B51="","",XLOOKUP($B51,Players!$A$4:$A$923,Players!$Y$4:$Y$923,""))</f>
        <v/>
      </c>
      <c r="I51" s="12" t="str">
        <f t="shared" si="1"/>
        <v/>
      </c>
      <c r="J51" s="12" t="str">
        <f>IF(COUNT($F$3:$F51)=0,"Not Started",IF(SUM($F$3:$F51)/SUM($H$3:$H51)&gt;=1+Settings!$B$26,"Very Overheated",IF(SUM($F$3:$F51)/SUM($H$3:$H51)&gt;=1+Settings!$B$27,"Overheated",IF(SUM($F$3:$F51)/SUM($H$3:$H51)&lt;=1+Settings!$B$30,"Very Soft",IF(SUM($F$3:$F51)/SUM($H$3:$H51)&lt;=1+Settings!$B$29,"Soft","Fair")))))</f>
        <v>Not Started</v>
      </c>
      <c r="K51" s="10"/>
    </row>
    <row r="52" ht="15.75" customHeight="1">
      <c r="A52" s="10"/>
      <c r="B52" s="10"/>
      <c r="C52" s="10"/>
      <c r="D52" s="10"/>
      <c r="E52" s="10"/>
      <c r="F52" s="10"/>
      <c r="G52" s="10"/>
      <c r="H52" s="12" t="str">
        <f t="array" ref="H52">IF($B52="","",XLOOKUP($B52,Players!$A$4:$A$923,Players!$Y$4:$Y$923,""))</f>
        <v/>
      </c>
      <c r="I52" s="12" t="str">
        <f t="shared" si="1"/>
        <v/>
      </c>
      <c r="J52" s="12" t="str">
        <f>IF(COUNT($F$3:$F52)=0,"Not Started",IF(SUM($F$3:$F52)/SUM($H$3:$H52)&gt;=1+Settings!$B$26,"Very Overheated",IF(SUM($F$3:$F52)/SUM($H$3:$H52)&gt;=1+Settings!$B$27,"Overheated",IF(SUM($F$3:$F52)/SUM($H$3:$H52)&lt;=1+Settings!$B$30,"Very Soft",IF(SUM($F$3:$F52)/SUM($H$3:$H52)&lt;=1+Settings!$B$29,"Soft","Fair")))))</f>
        <v>Not Started</v>
      </c>
      <c r="K52" s="10"/>
    </row>
    <row r="53" ht="15.75" customHeight="1">
      <c r="A53" s="10"/>
      <c r="B53" s="10"/>
      <c r="C53" s="10"/>
      <c r="D53" s="10"/>
      <c r="E53" s="10"/>
      <c r="F53" s="10"/>
      <c r="G53" s="10"/>
      <c r="H53" s="12" t="str">
        <f t="array" ref="H53">IF($B53="","",XLOOKUP($B53,Players!$A$4:$A$923,Players!$Y$4:$Y$923,""))</f>
        <v/>
      </c>
      <c r="I53" s="12" t="str">
        <f t="shared" si="1"/>
        <v/>
      </c>
      <c r="J53" s="12" t="str">
        <f>IF(COUNT($F$3:$F53)=0,"Not Started",IF(SUM($F$3:$F53)/SUM($H$3:$H53)&gt;=1+Settings!$B$26,"Very Overheated",IF(SUM($F$3:$F53)/SUM($H$3:$H53)&gt;=1+Settings!$B$27,"Overheated",IF(SUM($F$3:$F53)/SUM($H$3:$H53)&lt;=1+Settings!$B$30,"Very Soft",IF(SUM($F$3:$F53)/SUM($H$3:$H53)&lt;=1+Settings!$B$29,"Soft","Fair")))))</f>
        <v>Not Started</v>
      </c>
      <c r="K53" s="10"/>
    </row>
    <row r="54" ht="15.75" customHeight="1">
      <c r="A54" s="10"/>
      <c r="B54" s="10"/>
      <c r="C54" s="10"/>
      <c r="D54" s="10"/>
      <c r="E54" s="10"/>
      <c r="F54" s="10"/>
      <c r="G54" s="10"/>
      <c r="H54" s="12" t="str">
        <f t="array" ref="H54">IF($B54="","",XLOOKUP($B54,Players!$A$4:$A$923,Players!$Y$4:$Y$923,""))</f>
        <v/>
      </c>
      <c r="I54" s="12" t="str">
        <f t="shared" si="1"/>
        <v/>
      </c>
      <c r="J54" s="12" t="str">
        <f>IF(COUNT($F$3:$F54)=0,"Not Started",IF(SUM($F$3:$F54)/SUM($H$3:$H54)&gt;=1+Settings!$B$26,"Very Overheated",IF(SUM($F$3:$F54)/SUM($H$3:$H54)&gt;=1+Settings!$B$27,"Overheated",IF(SUM($F$3:$F54)/SUM($H$3:$H54)&lt;=1+Settings!$B$30,"Very Soft",IF(SUM($F$3:$F54)/SUM($H$3:$H54)&lt;=1+Settings!$B$29,"Soft","Fair")))))</f>
        <v>Not Started</v>
      </c>
      <c r="K54" s="10"/>
    </row>
    <row r="55" ht="15.75" customHeight="1">
      <c r="A55" s="10"/>
      <c r="B55" s="10"/>
      <c r="C55" s="10"/>
      <c r="D55" s="10"/>
      <c r="E55" s="10"/>
      <c r="F55" s="10"/>
      <c r="G55" s="10"/>
      <c r="H55" s="12" t="str">
        <f t="array" ref="H55">IF($B55="","",XLOOKUP($B55,Players!$A$4:$A$923,Players!$Y$4:$Y$923,""))</f>
        <v/>
      </c>
      <c r="I55" s="12" t="str">
        <f t="shared" si="1"/>
        <v/>
      </c>
      <c r="J55" s="12" t="str">
        <f>IF(COUNT($F$3:$F55)=0,"Not Started",IF(SUM($F$3:$F55)/SUM($H$3:$H55)&gt;=1+Settings!$B$26,"Very Overheated",IF(SUM($F$3:$F55)/SUM($H$3:$H55)&gt;=1+Settings!$B$27,"Overheated",IF(SUM($F$3:$F55)/SUM($H$3:$H55)&lt;=1+Settings!$B$30,"Very Soft",IF(SUM($F$3:$F55)/SUM($H$3:$H55)&lt;=1+Settings!$B$29,"Soft","Fair")))))</f>
        <v>Not Started</v>
      </c>
      <c r="K55" s="10"/>
    </row>
    <row r="56" ht="15.75" customHeight="1">
      <c r="A56" s="10"/>
      <c r="B56" s="10"/>
      <c r="C56" s="10"/>
      <c r="D56" s="10"/>
      <c r="E56" s="10"/>
      <c r="F56" s="10"/>
      <c r="G56" s="10"/>
      <c r="H56" s="12" t="str">
        <f t="array" ref="H56">IF($B56="","",XLOOKUP($B56,Players!$A$4:$A$923,Players!$Y$4:$Y$923,""))</f>
        <v/>
      </c>
      <c r="I56" s="12" t="str">
        <f t="shared" si="1"/>
        <v/>
      </c>
      <c r="J56" s="12" t="str">
        <f>IF(COUNT($F$3:$F56)=0,"Not Started",IF(SUM($F$3:$F56)/SUM($H$3:$H56)&gt;=1+Settings!$B$26,"Very Overheated",IF(SUM($F$3:$F56)/SUM($H$3:$H56)&gt;=1+Settings!$B$27,"Overheated",IF(SUM($F$3:$F56)/SUM($H$3:$H56)&lt;=1+Settings!$B$30,"Very Soft",IF(SUM($F$3:$F56)/SUM($H$3:$H56)&lt;=1+Settings!$B$29,"Soft","Fair")))))</f>
        <v>Not Started</v>
      </c>
      <c r="K56" s="10"/>
    </row>
    <row r="57" ht="15.75" customHeight="1">
      <c r="A57" s="10"/>
      <c r="B57" s="10"/>
      <c r="C57" s="10"/>
      <c r="D57" s="10"/>
      <c r="E57" s="10"/>
      <c r="F57" s="10"/>
      <c r="G57" s="10"/>
      <c r="H57" s="12" t="str">
        <f t="array" ref="H57">IF($B57="","",XLOOKUP($B57,Players!$A$4:$A$923,Players!$Y$4:$Y$923,""))</f>
        <v/>
      </c>
      <c r="I57" s="12" t="str">
        <f t="shared" si="1"/>
        <v/>
      </c>
      <c r="J57" s="12" t="str">
        <f>IF(COUNT($F$3:$F57)=0,"Not Started",IF(SUM($F$3:$F57)/SUM($H$3:$H57)&gt;=1+Settings!$B$26,"Very Overheated",IF(SUM($F$3:$F57)/SUM($H$3:$H57)&gt;=1+Settings!$B$27,"Overheated",IF(SUM($F$3:$F57)/SUM($H$3:$H57)&lt;=1+Settings!$B$30,"Very Soft",IF(SUM($F$3:$F57)/SUM($H$3:$H57)&lt;=1+Settings!$B$29,"Soft","Fair")))))</f>
        <v>Not Started</v>
      </c>
      <c r="K57" s="10"/>
    </row>
    <row r="58" ht="15.75" customHeight="1">
      <c r="A58" s="10"/>
      <c r="B58" s="10"/>
      <c r="C58" s="10"/>
      <c r="D58" s="10"/>
      <c r="E58" s="10"/>
      <c r="F58" s="10"/>
      <c r="G58" s="10"/>
      <c r="H58" s="12" t="str">
        <f t="array" ref="H58">IF($B58="","",XLOOKUP($B58,Players!$A$4:$A$923,Players!$Y$4:$Y$923,""))</f>
        <v/>
      </c>
      <c r="I58" s="12" t="str">
        <f t="shared" si="1"/>
        <v/>
      </c>
      <c r="J58" s="12" t="str">
        <f>IF(COUNT($F$3:$F58)=0,"Not Started",IF(SUM($F$3:$F58)/SUM($H$3:$H58)&gt;=1+Settings!$B$26,"Very Overheated",IF(SUM($F$3:$F58)/SUM($H$3:$H58)&gt;=1+Settings!$B$27,"Overheated",IF(SUM($F$3:$F58)/SUM($H$3:$H58)&lt;=1+Settings!$B$30,"Very Soft",IF(SUM($F$3:$F58)/SUM($H$3:$H58)&lt;=1+Settings!$B$29,"Soft","Fair")))))</f>
        <v>Not Started</v>
      </c>
      <c r="K58" s="10"/>
    </row>
    <row r="59" ht="15.75" customHeight="1">
      <c r="A59" s="10"/>
      <c r="B59" s="10"/>
      <c r="C59" s="10"/>
      <c r="D59" s="10"/>
      <c r="E59" s="10"/>
      <c r="F59" s="10"/>
      <c r="G59" s="10"/>
      <c r="H59" s="12" t="str">
        <f t="array" ref="H59">IF($B59="","",XLOOKUP($B59,Players!$A$4:$A$923,Players!$Y$4:$Y$923,""))</f>
        <v/>
      </c>
      <c r="I59" s="12" t="str">
        <f t="shared" si="1"/>
        <v/>
      </c>
      <c r="J59" s="12" t="str">
        <f>IF(COUNT($F$3:$F59)=0,"Not Started",IF(SUM($F$3:$F59)/SUM($H$3:$H59)&gt;=1+Settings!$B$26,"Very Overheated",IF(SUM($F$3:$F59)/SUM($H$3:$H59)&gt;=1+Settings!$B$27,"Overheated",IF(SUM($F$3:$F59)/SUM($H$3:$H59)&lt;=1+Settings!$B$30,"Very Soft",IF(SUM($F$3:$F59)/SUM($H$3:$H59)&lt;=1+Settings!$B$29,"Soft","Fair")))))</f>
        <v>Not Started</v>
      </c>
      <c r="K59" s="10"/>
    </row>
    <row r="60" ht="15.75" customHeight="1">
      <c r="A60" s="10"/>
      <c r="B60" s="10"/>
      <c r="C60" s="10"/>
      <c r="D60" s="10"/>
      <c r="E60" s="10"/>
      <c r="F60" s="10"/>
      <c r="G60" s="10"/>
      <c r="H60" s="12" t="str">
        <f t="array" ref="H60">IF($B60="","",XLOOKUP($B60,Players!$A$4:$A$923,Players!$Y$4:$Y$923,""))</f>
        <v/>
      </c>
      <c r="I60" s="12" t="str">
        <f t="shared" si="1"/>
        <v/>
      </c>
      <c r="J60" s="12" t="str">
        <f>IF(COUNT($F$3:$F60)=0,"Not Started",IF(SUM($F$3:$F60)/SUM($H$3:$H60)&gt;=1+Settings!$B$26,"Very Overheated",IF(SUM($F$3:$F60)/SUM($H$3:$H60)&gt;=1+Settings!$B$27,"Overheated",IF(SUM($F$3:$F60)/SUM($H$3:$H60)&lt;=1+Settings!$B$30,"Very Soft",IF(SUM($F$3:$F60)/SUM($H$3:$H60)&lt;=1+Settings!$B$29,"Soft","Fair")))))</f>
        <v>Not Started</v>
      </c>
      <c r="K60" s="10"/>
    </row>
    <row r="61" ht="15.75" customHeight="1">
      <c r="A61" s="10"/>
      <c r="B61" s="10"/>
      <c r="C61" s="10"/>
      <c r="D61" s="10"/>
      <c r="E61" s="10"/>
      <c r="F61" s="10"/>
      <c r="G61" s="10"/>
      <c r="H61" s="12" t="str">
        <f t="array" ref="H61">IF($B61="","",XLOOKUP($B61,Players!$A$4:$A$923,Players!$Y$4:$Y$923,""))</f>
        <v/>
      </c>
      <c r="I61" s="12" t="str">
        <f t="shared" si="1"/>
        <v/>
      </c>
      <c r="J61" s="12" t="str">
        <f>IF(COUNT($F$3:$F61)=0,"Not Started",IF(SUM($F$3:$F61)/SUM($H$3:$H61)&gt;=1+Settings!$B$26,"Very Overheated",IF(SUM($F$3:$F61)/SUM($H$3:$H61)&gt;=1+Settings!$B$27,"Overheated",IF(SUM($F$3:$F61)/SUM($H$3:$H61)&lt;=1+Settings!$B$30,"Very Soft",IF(SUM($F$3:$F61)/SUM($H$3:$H61)&lt;=1+Settings!$B$29,"Soft","Fair")))))</f>
        <v>Not Started</v>
      </c>
      <c r="K61" s="10"/>
    </row>
    <row r="62" ht="15.75" customHeight="1">
      <c r="A62" s="10"/>
      <c r="B62" s="10"/>
      <c r="C62" s="10"/>
      <c r="D62" s="10"/>
      <c r="E62" s="10"/>
      <c r="F62" s="10"/>
      <c r="G62" s="10"/>
      <c r="H62" s="12" t="str">
        <f t="array" ref="H62">IF($B62="","",XLOOKUP($B62,Players!$A$4:$A$923,Players!$Y$4:$Y$923,""))</f>
        <v/>
      </c>
      <c r="I62" s="12" t="str">
        <f t="shared" si="1"/>
        <v/>
      </c>
      <c r="J62" s="12" t="str">
        <f>IF(COUNT($F$3:$F62)=0,"Not Started",IF(SUM($F$3:$F62)/SUM($H$3:$H62)&gt;=1+Settings!$B$26,"Very Overheated",IF(SUM($F$3:$F62)/SUM($H$3:$H62)&gt;=1+Settings!$B$27,"Overheated",IF(SUM($F$3:$F62)/SUM($H$3:$H62)&lt;=1+Settings!$B$30,"Very Soft",IF(SUM($F$3:$F62)/SUM($H$3:$H62)&lt;=1+Settings!$B$29,"Soft","Fair")))))</f>
        <v>Not Started</v>
      </c>
      <c r="K62" s="10"/>
    </row>
    <row r="63" ht="15.75" customHeight="1">
      <c r="A63" s="10"/>
      <c r="B63" s="10"/>
      <c r="C63" s="10"/>
      <c r="D63" s="10"/>
      <c r="E63" s="10"/>
      <c r="F63" s="10"/>
      <c r="G63" s="10"/>
      <c r="H63" s="12" t="str">
        <f t="array" ref="H63">IF($B63="","",XLOOKUP($B63,Players!$A$4:$A$923,Players!$Y$4:$Y$923,""))</f>
        <v/>
      </c>
      <c r="I63" s="12" t="str">
        <f t="shared" si="1"/>
        <v/>
      </c>
      <c r="J63" s="12" t="str">
        <f>IF(COUNT($F$3:$F63)=0,"Not Started",IF(SUM($F$3:$F63)/SUM($H$3:$H63)&gt;=1+Settings!$B$26,"Very Overheated",IF(SUM($F$3:$F63)/SUM($H$3:$H63)&gt;=1+Settings!$B$27,"Overheated",IF(SUM($F$3:$F63)/SUM($H$3:$H63)&lt;=1+Settings!$B$30,"Very Soft",IF(SUM($F$3:$F63)/SUM($H$3:$H63)&lt;=1+Settings!$B$29,"Soft","Fair")))))</f>
        <v>Not Started</v>
      </c>
      <c r="K63" s="10"/>
    </row>
    <row r="64" ht="15.75" customHeight="1">
      <c r="A64" s="10"/>
      <c r="B64" s="10"/>
      <c r="C64" s="10"/>
      <c r="D64" s="10"/>
      <c r="E64" s="10"/>
      <c r="F64" s="10"/>
      <c r="G64" s="10"/>
      <c r="H64" s="12" t="str">
        <f t="array" ref="H64">IF($B64="","",XLOOKUP($B64,Players!$A$4:$A$923,Players!$Y$4:$Y$923,""))</f>
        <v/>
      </c>
      <c r="I64" s="12" t="str">
        <f t="shared" si="1"/>
        <v/>
      </c>
      <c r="J64" s="12" t="str">
        <f>IF(COUNT($F$3:$F64)=0,"Not Started",IF(SUM($F$3:$F64)/SUM($H$3:$H64)&gt;=1+Settings!$B$26,"Very Overheated",IF(SUM($F$3:$F64)/SUM($H$3:$H64)&gt;=1+Settings!$B$27,"Overheated",IF(SUM($F$3:$F64)/SUM($H$3:$H64)&lt;=1+Settings!$B$30,"Very Soft",IF(SUM($F$3:$F64)/SUM($H$3:$H64)&lt;=1+Settings!$B$29,"Soft","Fair")))))</f>
        <v>Not Started</v>
      </c>
      <c r="K64" s="10"/>
    </row>
    <row r="65" ht="15.75" customHeight="1">
      <c r="A65" s="10"/>
      <c r="B65" s="10"/>
      <c r="C65" s="10"/>
      <c r="D65" s="10"/>
      <c r="E65" s="10"/>
      <c r="F65" s="10"/>
      <c r="G65" s="10"/>
      <c r="H65" s="12" t="str">
        <f t="array" ref="H65">IF($B65="","",XLOOKUP($B65,Players!$A$4:$A$923,Players!$Y$4:$Y$923,""))</f>
        <v/>
      </c>
      <c r="I65" s="12" t="str">
        <f t="shared" si="1"/>
        <v/>
      </c>
      <c r="J65" s="12" t="str">
        <f>IF(COUNT($F$3:$F65)=0,"Not Started",IF(SUM($F$3:$F65)/SUM($H$3:$H65)&gt;=1+Settings!$B$26,"Very Overheated",IF(SUM($F$3:$F65)/SUM($H$3:$H65)&gt;=1+Settings!$B$27,"Overheated",IF(SUM($F$3:$F65)/SUM($H$3:$H65)&lt;=1+Settings!$B$30,"Very Soft",IF(SUM($F$3:$F65)/SUM($H$3:$H65)&lt;=1+Settings!$B$29,"Soft","Fair")))))</f>
        <v>Not Started</v>
      </c>
      <c r="K65" s="10"/>
    </row>
    <row r="66" ht="15.75" customHeight="1">
      <c r="A66" s="10"/>
      <c r="B66" s="10"/>
      <c r="C66" s="10"/>
      <c r="D66" s="10"/>
      <c r="E66" s="10"/>
      <c r="F66" s="10"/>
      <c r="G66" s="10"/>
      <c r="H66" s="12" t="str">
        <f t="array" ref="H66">IF($B66="","",XLOOKUP($B66,Players!$A$4:$A$923,Players!$Y$4:$Y$923,""))</f>
        <v/>
      </c>
      <c r="I66" s="12" t="str">
        <f t="shared" si="1"/>
        <v/>
      </c>
      <c r="J66" s="12" t="str">
        <f>IF(COUNT($F$3:$F66)=0,"Not Started",IF(SUM($F$3:$F66)/SUM($H$3:$H66)&gt;=1+Settings!$B$26,"Very Overheated",IF(SUM($F$3:$F66)/SUM($H$3:$H66)&gt;=1+Settings!$B$27,"Overheated",IF(SUM($F$3:$F66)/SUM($H$3:$H66)&lt;=1+Settings!$B$30,"Very Soft",IF(SUM($F$3:$F66)/SUM($H$3:$H66)&lt;=1+Settings!$B$29,"Soft","Fair")))))</f>
        <v>Not Started</v>
      </c>
      <c r="K66" s="10"/>
    </row>
    <row r="67" ht="15.75" customHeight="1">
      <c r="A67" s="10"/>
      <c r="B67" s="10"/>
      <c r="C67" s="10"/>
      <c r="D67" s="10"/>
      <c r="E67" s="10"/>
      <c r="F67" s="10"/>
      <c r="G67" s="10"/>
      <c r="H67" s="12" t="str">
        <f t="array" ref="H67">IF($B67="","",XLOOKUP($B67,Players!$A$4:$A$923,Players!$Y$4:$Y$923,""))</f>
        <v/>
      </c>
      <c r="I67" s="12" t="str">
        <f t="shared" si="1"/>
        <v/>
      </c>
      <c r="J67" s="12" t="str">
        <f>IF(COUNT($F$3:$F67)=0,"Not Started",IF(SUM($F$3:$F67)/SUM($H$3:$H67)&gt;=1+Settings!$B$26,"Very Overheated",IF(SUM($F$3:$F67)/SUM($H$3:$H67)&gt;=1+Settings!$B$27,"Overheated",IF(SUM($F$3:$F67)/SUM($H$3:$H67)&lt;=1+Settings!$B$30,"Very Soft",IF(SUM($F$3:$F67)/SUM($H$3:$H67)&lt;=1+Settings!$B$29,"Soft","Fair")))))</f>
        <v>Not Started</v>
      </c>
      <c r="K67" s="10"/>
    </row>
    <row r="68" ht="15.75" customHeight="1">
      <c r="A68" s="10"/>
      <c r="B68" s="10"/>
      <c r="C68" s="10"/>
      <c r="D68" s="10"/>
      <c r="E68" s="10"/>
      <c r="F68" s="10"/>
      <c r="G68" s="10"/>
      <c r="H68" s="12" t="str">
        <f t="array" ref="H68">IF($B68="","",XLOOKUP($B68,Players!$A$4:$A$923,Players!$Y$4:$Y$923,""))</f>
        <v/>
      </c>
      <c r="I68" s="12" t="str">
        <f t="shared" si="1"/>
        <v/>
      </c>
      <c r="J68" s="12" t="str">
        <f>IF(COUNT($F$3:$F68)=0,"Not Started",IF(SUM($F$3:$F68)/SUM($H$3:$H68)&gt;=1+Settings!$B$26,"Very Overheated",IF(SUM($F$3:$F68)/SUM($H$3:$H68)&gt;=1+Settings!$B$27,"Overheated",IF(SUM($F$3:$F68)/SUM($H$3:$H68)&lt;=1+Settings!$B$30,"Very Soft",IF(SUM($F$3:$F68)/SUM($H$3:$H68)&lt;=1+Settings!$B$29,"Soft","Fair")))))</f>
        <v>Not Started</v>
      </c>
      <c r="K68" s="10"/>
    </row>
    <row r="69" ht="15.75" customHeight="1">
      <c r="A69" s="10"/>
      <c r="B69" s="10"/>
      <c r="C69" s="10"/>
      <c r="D69" s="10"/>
      <c r="E69" s="10"/>
      <c r="F69" s="10"/>
      <c r="G69" s="10"/>
      <c r="H69" s="12" t="str">
        <f t="array" ref="H69">IF($B69="","",XLOOKUP($B69,Players!$A$4:$A$923,Players!$Y$4:$Y$923,""))</f>
        <v/>
      </c>
      <c r="I69" s="12" t="str">
        <f t="shared" si="1"/>
        <v/>
      </c>
      <c r="J69" s="12" t="str">
        <f>IF(COUNT($F$3:$F69)=0,"Not Started",IF(SUM($F$3:$F69)/SUM($H$3:$H69)&gt;=1+Settings!$B$26,"Very Overheated",IF(SUM($F$3:$F69)/SUM($H$3:$H69)&gt;=1+Settings!$B$27,"Overheated",IF(SUM($F$3:$F69)/SUM($H$3:$H69)&lt;=1+Settings!$B$30,"Very Soft",IF(SUM($F$3:$F69)/SUM($H$3:$H69)&lt;=1+Settings!$B$29,"Soft","Fair")))))</f>
        <v>Not Started</v>
      </c>
      <c r="K69" s="10"/>
    </row>
    <row r="70" ht="15.75" customHeight="1">
      <c r="A70" s="10"/>
      <c r="B70" s="10"/>
      <c r="C70" s="10"/>
      <c r="D70" s="10"/>
      <c r="E70" s="10"/>
      <c r="F70" s="10"/>
      <c r="G70" s="10"/>
      <c r="H70" s="12" t="str">
        <f t="array" ref="H70">IF($B70="","",XLOOKUP($B70,Players!$A$4:$A$923,Players!$Y$4:$Y$923,""))</f>
        <v/>
      </c>
      <c r="I70" s="12" t="str">
        <f t="shared" si="1"/>
        <v/>
      </c>
      <c r="J70" s="12" t="str">
        <f>IF(COUNT($F$3:$F70)=0,"Not Started",IF(SUM($F$3:$F70)/SUM($H$3:$H70)&gt;=1+Settings!$B$26,"Very Overheated",IF(SUM($F$3:$F70)/SUM($H$3:$H70)&gt;=1+Settings!$B$27,"Overheated",IF(SUM($F$3:$F70)/SUM($H$3:$H70)&lt;=1+Settings!$B$30,"Very Soft",IF(SUM($F$3:$F70)/SUM($H$3:$H70)&lt;=1+Settings!$B$29,"Soft","Fair")))))</f>
        <v>Not Started</v>
      </c>
      <c r="K70" s="10"/>
    </row>
    <row r="71" ht="15.75" customHeight="1">
      <c r="A71" s="10"/>
      <c r="B71" s="10"/>
      <c r="C71" s="10"/>
      <c r="D71" s="10"/>
      <c r="E71" s="10"/>
      <c r="F71" s="10"/>
      <c r="G71" s="10"/>
      <c r="H71" s="12" t="str">
        <f t="array" ref="H71">IF($B71="","",XLOOKUP($B71,Players!$A$4:$A$923,Players!$Y$4:$Y$923,""))</f>
        <v/>
      </c>
      <c r="I71" s="12" t="str">
        <f t="shared" si="1"/>
        <v/>
      </c>
      <c r="J71" s="12" t="str">
        <f>IF(COUNT($F$3:$F71)=0,"Not Started",IF(SUM($F$3:$F71)/SUM($H$3:$H71)&gt;=1+Settings!$B$26,"Very Overheated",IF(SUM($F$3:$F71)/SUM($H$3:$H71)&gt;=1+Settings!$B$27,"Overheated",IF(SUM($F$3:$F71)/SUM($H$3:$H71)&lt;=1+Settings!$B$30,"Very Soft",IF(SUM($F$3:$F71)/SUM($H$3:$H71)&lt;=1+Settings!$B$29,"Soft","Fair")))))</f>
        <v>Not Started</v>
      </c>
      <c r="K71" s="10"/>
    </row>
    <row r="72" ht="15.75" customHeight="1">
      <c r="A72" s="10"/>
      <c r="B72" s="10"/>
      <c r="C72" s="10"/>
      <c r="D72" s="10"/>
      <c r="E72" s="10"/>
      <c r="F72" s="10"/>
      <c r="G72" s="10"/>
      <c r="H72" s="12" t="str">
        <f t="array" ref="H72">IF($B72="","",XLOOKUP($B72,Players!$A$4:$A$923,Players!$Y$4:$Y$923,""))</f>
        <v/>
      </c>
      <c r="I72" s="12" t="str">
        <f t="shared" si="1"/>
        <v/>
      </c>
      <c r="J72" s="12" t="str">
        <f>IF(COUNT($F$3:$F72)=0,"Not Started",IF(SUM($F$3:$F72)/SUM($H$3:$H72)&gt;=1+Settings!$B$26,"Very Overheated",IF(SUM($F$3:$F72)/SUM($H$3:$H72)&gt;=1+Settings!$B$27,"Overheated",IF(SUM($F$3:$F72)/SUM($H$3:$H72)&lt;=1+Settings!$B$30,"Very Soft",IF(SUM($F$3:$F72)/SUM($H$3:$H72)&lt;=1+Settings!$B$29,"Soft","Fair")))))</f>
        <v>Not Started</v>
      </c>
      <c r="K72" s="10"/>
    </row>
    <row r="73" ht="15.75" customHeight="1">
      <c r="A73" s="10"/>
      <c r="B73" s="10"/>
      <c r="C73" s="10"/>
      <c r="D73" s="10"/>
      <c r="E73" s="10"/>
      <c r="F73" s="10"/>
      <c r="G73" s="10"/>
      <c r="H73" s="12" t="str">
        <f t="array" ref="H73">IF($B73="","",XLOOKUP($B73,Players!$A$4:$A$923,Players!$Y$4:$Y$923,""))</f>
        <v/>
      </c>
      <c r="I73" s="12" t="str">
        <f t="shared" si="1"/>
        <v/>
      </c>
      <c r="J73" s="12" t="str">
        <f>IF(COUNT($F$3:$F73)=0,"Not Started",IF(SUM($F$3:$F73)/SUM($H$3:$H73)&gt;=1+Settings!$B$26,"Very Overheated",IF(SUM($F$3:$F73)/SUM($H$3:$H73)&gt;=1+Settings!$B$27,"Overheated",IF(SUM($F$3:$F73)/SUM($H$3:$H73)&lt;=1+Settings!$B$30,"Very Soft",IF(SUM($F$3:$F73)/SUM($H$3:$H73)&lt;=1+Settings!$B$29,"Soft","Fair")))))</f>
        <v>Not Started</v>
      </c>
      <c r="K73" s="10"/>
    </row>
    <row r="74" ht="15.75" customHeight="1">
      <c r="A74" s="10"/>
      <c r="B74" s="10"/>
      <c r="C74" s="10"/>
      <c r="D74" s="10"/>
      <c r="E74" s="10"/>
      <c r="F74" s="10"/>
      <c r="G74" s="10"/>
      <c r="H74" s="12" t="str">
        <f t="array" ref="H74">IF($B74="","",XLOOKUP($B74,Players!$A$4:$A$923,Players!$Y$4:$Y$923,""))</f>
        <v/>
      </c>
      <c r="I74" s="12" t="str">
        <f t="shared" si="1"/>
        <v/>
      </c>
      <c r="J74" s="12" t="str">
        <f>IF(COUNT($F$3:$F74)=0,"Not Started",IF(SUM($F$3:$F74)/SUM($H$3:$H74)&gt;=1+Settings!$B$26,"Very Overheated",IF(SUM($F$3:$F74)/SUM($H$3:$H74)&gt;=1+Settings!$B$27,"Overheated",IF(SUM($F$3:$F74)/SUM($H$3:$H74)&lt;=1+Settings!$B$30,"Very Soft",IF(SUM($F$3:$F74)/SUM($H$3:$H74)&lt;=1+Settings!$B$29,"Soft","Fair")))))</f>
        <v>Not Started</v>
      </c>
      <c r="K74" s="10"/>
    </row>
    <row r="75" ht="15.75" customHeight="1">
      <c r="A75" s="10"/>
      <c r="B75" s="10"/>
      <c r="C75" s="10"/>
      <c r="D75" s="10"/>
      <c r="E75" s="10"/>
      <c r="F75" s="10"/>
      <c r="G75" s="10"/>
      <c r="H75" s="12" t="str">
        <f t="array" ref="H75">IF($B75="","",XLOOKUP($B75,Players!$A$4:$A$923,Players!$Y$4:$Y$923,""))</f>
        <v/>
      </c>
      <c r="I75" s="12" t="str">
        <f t="shared" si="1"/>
        <v/>
      </c>
      <c r="J75" s="12" t="str">
        <f>IF(COUNT($F$3:$F75)=0,"Not Started",IF(SUM($F$3:$F75)/SUM($H$3:$H75)&gt;=1+Settings!$B$26,"Very Overheated",IF(SUM($F$3:$F75)/SUM($H$3:$H75)&gt;=1+Settings!$B$27,"Overheated",IF(SUM($F$3:$F75)/SUM($H$3:$H75)&lt;=1+Settings!$B$30,"Very Soft",IF(SUM($F$3:$F75)/SUM($H$3:$H75)&lt;=1+Settings!$B$29,"Soft","Fair")))))</f>
        <v>Not Started</v>
      </c>
      <c r="K75" s="10"/>
    </row>
    <row r="76" ht="15.75" customHeight="1">
      <c r="A76" s="10"/>
      <c r="B76" s="10"/>
      <c r="C76" s="10"/>
      <c r="D76" s="10"/>
      <c r="E76" s="10"/>
      <c r="F76" s="10"/>
      <c r="G76" s="10"/>
      <c r="H76" s="12" t="str">
        <f t="array" ref="H76">IF($B76="","",XLOOKUP($B76,Players!$A$4:$A$923,Players!$Y$4:$Y$923,""))</f>
        <v/>
      </c>
      <c r="I76" s="12" t="str">
        <f t="shared" si="1"/>
        <v/>
      </c>
      <c r="J76" s="12" t="str">
        <f>IF(COUNT($F$3:$F76)=0,"Not Started",IF(SUM($F$3:$F76)/SUM($H$3:$H76)&gt;=1+Settings!$B$26,"Very Overheated",IF(SUM($F$3:$F76)/SUM($H$3:$H76)&gt;=1+Settings!$B$27,"Overheated",IF(SUM($F$3:$F76)/SUM($H$3:$H76)&lt;=1+Settings!$B$30,"Very Soft",IF(SUM($F$3:$F76)/SUM($H$3:$H76)&lt;=1+Settings!$B$29,"Soft","Fair")))))</f>
        <v>Not Started</v>
      </c>
      <c r="K76" s="10"/>
    </row>
    <row r="77" ht="15.75" customHeight="1">
      <c r="A77" s="10"/>
      <c r="B77" s="10"/>
      <c r="C77" s="10"/>
      <c r="D77" s="10"/>
      <c r="E77" s="10"/>
      <c r="F77" s="10"/>
      <c r="G77" s="10"/>
      <c r="H77" s="12" t="str">
        <f t="array" ref="H77">IF($B77="","",XLOOKUP($B77,Players!$A$4:$A$923,Players!$Y$4:$Y$923,""))</f>
        <v/>
      </c>
      <c r="I77" s="12" t="str">
        <f t="shared" si="1"/>
        <v/>
      </c>
      <c r="J77" s="12" t="str">
        <f>IF(COUNT($F$3:$F77)=0,"Not Started",IF(SUM($F$3:$F77)/SUM($H$3:$H77)&gt;=1+Settings!$B$26,"Very Overheated",IF(SUM($F$3:$F77)/SUM($H$3:$H77)&gt;=1+Settings!$B$27,"Overheated",IF(SUM($F$3:$F77)/SUM($H$3:$H77)&lt;=1+Settings!$B$30,"Very Soft",IF(SUM($F$3:$F77)/SUM($H$3:$H77)&lt;=1+Settings!$B$29,"Soft","Fair")))))</f>
        <v>Not Started</v>
      </c>
      <c r="K77" s="10"/>
    </row>
    <row r="78" ht="15.75" customHeight="1">
      <c r="A78" s="10"/>
      <c r="B78" s="10"/>
      <c r="C78" s="10"/>
      <c r="D78" s="10"/>
      <c r="E78" s="10"/>
      <c r="F78" s="10"/>
      <c r="G78" s="10"/>
      <c r="H78" s="12" t="str">
        <f t="array" ref="H78">IF($B78="","",XLOOKUP($B78,Players!$A$4:$A$923,Players!$Y$4:$Y$923,""))</f>
        <v/>
      </c>
      <c r="I78" s="12" t="str">
        <f t="shared" si="1"/>
        <v/>
      </c>
      <c r="J78" s="12" t="str">
        <f>IF(COUNT($F$3:$F78)=0,"Not Started",IF(SUM($F$3:$F78)/SUM($H$3:$H78)&gt;=1+Settings!$B$26,"Very Overheated",IF(SUM($F$3:$F78)/SUM($H$3:$H78)&gt;=1+Settings!$B$27,"Overheated",IF(SUM($F$3:$F78)/SUM($H$3:$H78)&lt;=1+Settings!$B$30,"Very Soft",IF(SUM($F$3:$F78)/SUM($H$3:$H78)&lt;=1+Settings!$B$29,"Soft","Fair")))))</f>
        <v>Not Started</v>
      </c>
      <c r="K78" s="10"/>
    </row>
    <row r="79" ht="15.75" customHeight="1">
      <c r="A79" s="10"/>
      <c r="B79" s="10"/>
      <c r="C79" s="10"/>
      <c r="D79" s="10"/>
      <c r="E79" s="10"/>
      <c r="F79" s="10"/>
      <c r="G79" s="10"/>
      <c r="H79" s="12" t="str">
        <f t="array" ref="H79">IF($B79="","",XLOOKUP($B79,Players!$A$4:$A$923,Players!$Y$4:$Y$923,""))</f>
        <v/>
      </c>
      <c r="I79" s="12" t="str">
        <f t="shared" si="1"/>
        <v/>
      </c>
      <c r="J79" s="12" t="str">
        <f>IF(COUNT($F$3:$F79)=0,"Not Started",IF(SUM($F$3:$F79)/SUM($H$3:$H79)&gt;=1+Settings!$B$26,"Very Overheated",IF(SUM($F$3:$F79)/SUM($H$3:$H79)&gt;=1+Settings!$B$27,"Overheated",IF(SUM($F$3:$F79)/SUM($H$3:$H79)&lt;=1+Settings!$B$30,"Very Soft",IF(SUM($F$3:$F79)/SUM($H$3:$H79)&lt;=1+Settings!$B$29,"Soft","Fair")))))</f>
        <v>Not Started</v>
      </c>
      <c r="K79" s="10"/>
    </row>
    <row r="80" ht="15.75" customHeight="1">
      <c r="A80" s="10"/>
      <c r="B80" s="10"/>
      <c r="C80" s="10"/>
      <c r="D80" s="10"/>
      <c r="E80" s="10"/>
      <c r="F80" s="10"/>
      <c r="G80" s="10"/>
      <c r="H80" s="12" t="str">
        <f t="array" ref="H80">IF($B80="","",XLOOKUP($B80,Players!$A$4:$A$923,Players!$Y$4:$Y$923,""))</f>
        <v/>
      </c>
      <c r="I80" s="12" t="str">
        <f t="shared" si="1"/>
        <v/>
      </c>
      <c r="J80" s="12" t="str">
        <f>IF(COUNT($F$3:$F80)=0,"Not Started",IF(SUM($F$3:$F80)/SUM($H$3:$H80)&gt;=1+Settings!$B$26,"Very Overheated",IF(SUM($F$3:$F80)/SUM($H$3:$H80)&gt;=1+Settings!$B$27,"Overheated",IF(SUM($F$3:$F80)/SUM($H$3:$H80)&lt;=1+Settings!$B$30,"Very Soft",IF(SUM($F$3:$F80)/SUM($H$3:$H80)&lt;=1+Settings!$B$29,"Soft","Fair")))))</f>
        <v>Not Started</v>
      </c>
      <c r="K80" s="10"/>
    </row>
    <row r="81" ht="15.75" customHeight="1">
      <c r="A81" s="10"/>
      <c r="B81" s="10"/>
      <c r="C81" s="10"/>
      <c r="D81" s="10"/>
      <c r="E81" s="10"/>
      <c r="F81" s="10"/>
      <c r="G81" s="10"/>
      <c r="H81" s="12" t="str">
        <f t="array" ref="H81">IF($B81="","",XLOOKUP($B81,Players!$A$4:$A$923,Players!$Y$4:$Y$923,""))</f>
        <v/>
      </c>
      <c r="I81" s="12" t="str">
        <f t="shared" si="1"/>
        <v/>
      </c>
      <c r="J81" s="12" t="str">
        <f>IF(COUNT($F$3:$F81)=0,"Not Started",IF(SUM($F$3:$F81)/SUM($H$3:$H81)&gt;=1+Settings!$B$26,"Very Overheated",IF(SUM($F$3:$F81)/SUM($H$3:$H81)&gt;=1+Settings!$B$27,"Overheated",IF(SUM($F$3:$F81)/SUM($H$3:$H81)&lt;=1+Settings!$B$30,"Very Soft",IF(SUM($F$3:$F81)/SUM($H$3:$H81)&lt;=1+Settings!$B$29,"Soft","Fair")))))</f>
        <v>Not Started</v>
      </c>
      <c r="K81" s="10"/>
    </row>
    <row r="82" ht="15.75" customHeight="1">
      <c r="A82" s="10"/>
      <c r="B82" s="10"/>
      <c r="C82" s="10"/>
      <c r="D82" s="10"/>
      <c r="E82" s="10"/>
      <c r="F82" s="10"/>
      <c r="G82" s="10"/>
      <c r="H82" s="12" t="str">
        <f t="array" ref="H82">IF($B82="","",XLOOKUP($B82,Players!$A$4:$A$923,Players!$Y$4:$Y$923,""))</f>
        <v/>
      </c>
      <c r="I82" s="12" t="str">
        <f t="shared" si="1"/>
        <v/>
      </c>
      <c r="J82" s="12" t="str">
        <f>IF(COUNT($F$3:$F82)=0,"Not Started",IF(SUM($F$3:$F82)/SUM($H$3:$H82)&gt;=1+Settings!$B$26,"Very Overheated",IF(SUM($F$3:$F82)/SUM($H$3:$H82)&gt;=1+Settings!$B$27,"Overheated",IF(SUM($F$3:$F82)/SUM($H$3:$H82)&lt;=1+Settings!$B$30,"Very Soft",IF(SUM($F$3:$F82)/SUM($H$3:$H82)&lt;=1+Settings!$B$29,"Soft","Fair")))))</f>
        <v>Not Started</v>
      </c>
      <c r="K82" s="10"/>
    </row>
    <row r="83" ht="15.75" customHeight="1">
      <c r="A83" s="10"/>
      <c r="B83" s="10"/>
      <c r="C83" s="10"/>
      <c r="D83" s="10"/>
      <c r="E83" s="10"/>
      <c r="F83" s="10"/>
      <c r="G83" s="10"/>
      <c r="H83" s="12" t="str">
        <f t="array" ref="H83">IF($B83="","",XLOOKUP($B83,Players!$A$4:$A$923,Players!$Y$4:$Y$923,""))</f>
        <v/>
      </c>
      <c r="I83" s="12" t="str">
        <f t="shared" si="1"/>
        <v/>
      </c>
      <c r="J83" s="12" t="str">
        <f>IF(COUNT($F$3:$F83)=0,"Not Started",IF(SUM($F$3:$F83)/SUM($H$3:$H83)&gt;=1+Settings!$B$26,"Very Overheated",IF(SUM($F$3:$F83)/SUM($H$3:$H83)&gt;=1+Settings!$B$27,"Overheated",IF(SUM($F$3:$F83)/SUM($H$3:$H83)&lt;=1+Settings!$B$30,"Very Soft",IF(SUM($F$3:$F83)/SUM($H$3:$H83)&lt;=1+Settings!$B$29,"Soft","Fair")))))</f>
        <v>Not Started</v>
      </c>
      <c r="K83" s="10"/>
    </row>
    <row r="84" ht="15.75" customHeight="1">
      <c r="A84" s="10"/>
      <c r="B84" s="10"/>
      <c r="C84" s="10"/>
      <c r="D84" s="10"/>
      <c r="E84" s="10"/>
      <c r="F84" s="10"/>
      <c r="G84" s="10"/>
      <c r="H84" s="12" t="str">
        <f t="array" ref="H84">IF($B84="","",XLOOKUP($B84,Players!$A$4:$A$923,Players!$Y$4:$Y$923,""))</f>
        <v/>
      </c>
      <c r="I84" s="12" t="str">
        <f t="shared" si="1"/>
        <v/>
      </c>
      <c r="J84" s="12" t="str">
        <f>IF(COUNT($F$3:$F84)=0,"Not Started",IF(SUM($F$3:$F84)/SUM($H$3:$H84)&gt;=1+Settings!$B$26,"Very Overheated",IF(SUM($F$3:$F84)/SUM($H$3:$H84)&gt;=1+Settings!$B$27,"Overheated",IF(SUM($F$3:$F84)/SUM($H$3:$H84)&lt;=1+Settings!$B$30,"Very Soft",IF(SUM($F$3:$F84)/SUM($H$3:$H84)&lt;=1+Settings!$B$29,"Soft","Fair")))))</f>
        <v>Not Started</v>
      </c>
      <c r="K84" s="10"/>
    </row>
    <row r="85" ht="15.75" customHeight="1">
      <c r="A85" s="10"/>
      <c r="B85" s="10"/>
      <c r="C85" s="10"/>
      <c r="D85" s="10"/>
      <c r="E85" s="10"/>
      <c r="F85" s="10"/>
      <c r="G85" s="10"/>
      <c r="H85" s="12" t="str">
        <f t="array" ref="H85">IF($B85="","",XLOOKUP($B85,Players!$A$4:$A$923,Players!$Y$4:$Y$923,""))</f>
        <v/>
      </c>
      <c r="I85" s="12" t="str">
        <f t="shared" si="1"/>
        <v/>
      </c>
      <c r="J85" s="12" t="str">
        <f>IF(COUNT($F$3:$F85)=0,"Not Started",IF(SUM($F$3:$F85)/SUM($H$3:$H85)&gt;=1+Settings!$B$26,"Very Overheated",IF(SUM($F$3:$F85)/SUM($H$3:$H85)&gt;=1+Settings!$B$27,"Overheated",IF(SUM($F$3:$F85)/SUM($H$3:$H85)&lt;=1+Settings!$B$30,"Very Soft",IF(SUM($F$3:$F85)/SUM($H$3:$H85)&lt;=1+Settings!$B$29,"Soft","Fair")))))</f>
        <v>Not Started</v>
      </c>
      <c r="K85" s="10"/>
    </row>
    <row r="86" ht="15.75" customHeight="1">
      <c r="A86" s="10"/>
      <c r="B86" s="10"/>
      <c r="C86" s="10"/>
      <c r="D86" s="10"/>
      <c r="E86" s="10"/>
      <c r="F86" s="10"/>
      <c r="G86" s="10"/>
      <c r="H86" s="12" t="str">
        <f t="array" ref="H86">IF($B86="","",XLOOKUP($B86,Players!$A$4:$A$923,Players!$Y$4:$Y$923,""))</f>
        <v/>
      </c>
      <c r="I86" s="12" t="str">
        <f t="shared" si="1"/>
        <v/>
      </c>
      <c r="J86" s="12" t="str">
        <f>IF(COUNT($F$3:$F86)=0,"Not Started",IF(SUM($F$3:$F86)/SUM($H$3:$H86)&gt;=1+Settings!$B$26,"Very Overheated",IF(SUM($F$3:$F86)/SUM($H$3:$H86)&gt;=1+Settings!$B$27,"Overheated",IF(SUM($F$3:$F86)/SUM($H$3:$H86)&lt;=1+Settings!$B$30,"Very Soft",IF(SUM($F$3:$F86)/SUM($H$3:$H86)&lt;=1+Settings!$B$29,"Soft","Fair")))))</f>
        <v>Not Started</v>
      </c>
      <c r="K86" s="10"/>
    </row>
    <row r="87" ht="15.75" customHeight="1">
      <c r="A87" s="10"/>
      <c r="B87" s="10"/>
      <c r="C87" s="10"/>
      <c r="D87" s="10"/>
      <c r="E87" s="10"/>
      <c r="F87" s="10"/>
      <c r="G87" s="10"/>
      <c r="H87" s="12" t="str">
        <f t="array" ref="H87">IF($B87="","",XLOOKUP($B87,Players!$A$4:$A$923,Players!$Y$4:$Y$923,""))</f>
        <v/>
      </c>
      <c r="I87" s="12" t="str">
        <f t="shared" si="1"/>
        <v/>
      </c>
      <c r="J87" s="12" t="str">
        <f>IF(COUNT($F$3:$F87)=0,"Not Started",IF(SUM($F$3:$F87)/SUM($H$3:$H87)&gt;=1+Settings!$B$26,"Very Overheated",IF(SUM($F$3:$F87)/SUM($H$3:$H87)&gt;=1+Settings!$B$27,"Overheated",IF(SUM($F$3:$F87)/SUM($H$3:$H87)&lt;=1+Settings!$B$30,"Very Soft",IF(SUM($F$3:$F87)/SUM($H$3:$H87)&lt;=1+Settings!$B$29,"Soft","Fair")))))</f>
        <v>Not Started</v>
      </c>
      <c r="K87" s="10"/>
    </row>
    <row r="88" ht="15.75" customHeight="1">
      <c r="A88" s="10"/>
      <c r="B88" s="10"/>
      <c r="C88" s="10"/>
      <c r="D88" s="10"/>
      <c r="E88" s="10"/>
      <c r="F88" s="10"/>
      <c r="G88" s="10"/>
      <c r="H88" s="12" t="str">
        <f t="array" ref="H88">IF($B88="","",XLOOKUP($B88,Players!$A$4:$A$923,Players!$Y$4:$Y$923,""))</f>
        <v/>
      </c>
      <c r="I88" s="12" t="str">
        <f t="shared" si="1"/>
        <v/>
      </c>
      <c r="J88" s="12" t="str">
        <f>IF(COUNT($F$3:$F88)=0,"Not Started",IF(SUM($F$3:$F88)/SUM($H$3:$H88)&gt;=1+Settings!$B$26,"Very Overheated",IF(SUM($F$3:$F88)/SUM($H$3:$H88)&gt;=1+Settings!$B$27,"Overheated",IF(SUM($F$3:$F88)/SUM($H$3:$H88)&lt;=1+Settings!$B$30,"Very Soft",IF(SUM($F$3:$F88)/SUM($H$3:$H88)&lt;=1+Settings!$B$29,"Soft","Fair")))))</f>
        <v>Not Started</v>
      </c>
      <c r="K88" s="10"/>
    </row>
    <row r="89" ht="15.75" customHeight="1">
      <c r="A89" s="10"/>
      <c r="B89" s="10"/>
      <c r="C89" s="10"/>
      <c r="D89" s="10"/>
      <c r="E89" s="10"/>
      <c r="F89" s="10"/>
      <c r="G89" s="10"/>
      <c r="H89" s="12" t="str">
        <f t="array" ref="H89">IF($B89="","",XLOOKUP($B89,Players!$A$4:$A$923,Players!$Y$4:$Y$923,""))</f>
        <v/>
      </c>
      <c r="I89" s="12" t="str">
        <f t="shared" si="1"/>
        <v/>
      </c>
      <c r="J89" s="12" t="str">
        <f>IF(COUNT($F$3:$F89)=0,"Not Started",IF(SUM($F$3:$F89)/SUM($H$3:$H89)&gt;=1+Settings!$B$26,"Very Overheated",IF(SUM($F$3:$F89)/SUM($H$3:$H89)&gt;=1+Settings!$B$27,"Overheated",IF(SUM($F$3:$F89)/SUM($H$3:$H89)&lt;=1+Settings!$B$30,"Very Soft",IF(SUM($F$3:$F89)/SUM($H$3:$H89)&lt;=1+Settings!$B$29,"Soft","Fair")))))</f>
        <v>Not Started</v>
      </c>
      <c r="K89" s="10"/>
    </row>
    <row r="90" ht="15.75" customHeight="1">
      <c r="A90" s="10"/>
      <c r="B90" s="10"/>
      <c r="C90" s="10"/>
      <c r="D90" s="10"/>
      <c r="E90" s="10"/>
      <c r="F90" s="10"/>
      <c r="G90" s="10"/>
      <c r="H90" s="12" t="str">
        <f t="array" ref="H90">IF($B90="","",XLOOKUP($B90,Players!$A$4:$A$923,Players!$Y$4:$Y$923,""))</f>
        <v/>
      </c>
      <c r="I90" s="12" t="str">
        <f t="shared" si="1"/>
        <v/>
      </c>
      <c r="J90" s="12" t="str">
        <f>IF(COUNT($F$3:$F90)=0,"Not Started",IF(SUM($F$3:$F90)/SUM($H$3:$H90)&gt;=1+Settings!$B$26,"Very Overheated",IF(SUM($F$3:$F90)/SUM($H$3:$H90)&gt;=1+Settings!$B$27,"Overheated",IF(SUM($F$3:$F90)/SUM($H$3:$H90)&lt;=1+Settings!$B$30,"Very Soft",IF(SUM($F$3:$F90)/SUM($H$3:$H90)&lt;=1+Settings!$B$29,"Soft","Fair")))))</f>
        <v>Not Started</v>
      </c>
      <c r="K90" s="10"/>
    </row>
    <row r="91" ht="15.75" customHeight="1">
      <c r="A91" s="10"/>
      <c r="B91" s="10"/>
      <c r="C91" s="10"/>
      <c r="D91" s="10"/>
      <c r="E91" s="10"/>
      <c r="F91" s="10"/>
      <c r="G91" s="10"/>
      <c r="H91" s="12" t="str">
        <f t="array" ref="H91">IF($B91="","",XLOOKUP($B91,Players!$A$4:$A$923,Players!$Y$4:$Y$923,""))</f>
        <v/>
      </c>
      <c r="I91" s="12" t="str">
        <f t="shared" si="1"/>
        <v/>
      </c>
      <c r="J91" s="12" t="str">
        <f>IF(COUNT($F$3:$F91)=0,"Not Started",IF(SUM($F$3:$F91)/SUM($H$3:$H91)&gt;=1+Settings!$B$26,"Very Overheated",IF(SUM($F$3:$F91)/SUM($H$3:$H91)&gt;=1+Settings!$B$27,"Overheated",IF(SUM($F$3:$F91)/SUM($H$3:$H91)&lt;=1+Settings!$B$30,"Very Soft",IF(SUM($F$3:$F91)/SUM($H$3:$H91)&lt;=1+Settings!$B$29,"Soft","Fair")))))</f>
        <v>Not Started</v>
      </c>
      <c r="K91" s="10"/>
    </row>
    <row r="92" ht="15.75" customHeight="1">
      <c r="A92" s="10"/>
      <c r="B92" s="10"/>
      <c r="C92" s="10"/>
      <c r="D92" s="10"/>
      <c r="E92" s="10"/>
      <c r="F92" s="10"/>
      <c r="G92" s="10"/>
      <c r="H92" s="12" t="str">
        <f t="array" ref="H92">IF($B92="","",XLOOKUP($B92,Players!$A$4:$A$923,Players!$Y$4:$Y$923,""))</f>
        <v/>
      </c>
      <c r="I92" s="12" t="str">
        <f t="shared" si="1"/>
        <v/>
      </c>
      <c r="J92" s="12" t="str">
        <f>IF(COUNT($F$3:$F92)=0,"Not Started",IF(SUM($F$3:$F92)/SUM($H$3:$H92)&gt;=1+Settings!$B$26,"Very Overheated",IF(SUM($F$3:$F92)/SUM($H$3:$H92)&gt;=1+Settings!$B$27,"Overheated",IF(SUM($F$3:$F92)/SUM($H$3:$H92)&lt;=1+Settings!$B$30,"Very Soft",IF(SUM($F$3:$F92)/SUM($H$3:$H92)&lt;=1+Settings!$B$29,"Soft","Fair")))))</f>
        <v>Not Started</v>
      </c>
      <c r="K92" s="10"/>
    </row>
    <row r="93" ht="15.75" customHeight="1">
      <c r="A93" s="10"/>
      <c r="B93" s="10"/>
      <c r="C93" s="10"/>
      <c r="D93" s="10"/>
      <c r="E93" s="10"/>
      <c r="F93" s="10"/>
      <c r="G93" s="10"/>
      <c r="H93" s="12" t="str">
        <f t="array" ref="H93">IF($B93="","",XLOOKUP($B93,Players!$A$4:$A$923,Players!$Y$4:$Y$923,""))</f>
        <v/>
      </c>
      <c r="I93" s="12" t="str">
        <f t="shared" si="1"/>
        <v/>
      </c>
      <c r="J93" s="12" t="str">
        <f>IF(COUNT($F$3:$F93)=0,"Not Started",IF(SUM($F$3:$F93)/SUM($H$3:$H93)&gt;=1+Settings!$B$26,"Very Overheated",IF(SUM($F$3:$F93)/SUM($H$3:$H93)&gt;=1+Settings!$B$27,"Overheated",IF(SUM($F$3:$F93)/SUM($H$3:$H93)&lt;=1+Settings!$B$30,"Very Soft",IF(SUM($F$3:$F93)/SUM($H$3:$H93)&lt;=1+Settings!$B$29,"Soft","Fair")))))</f>
        <v>Not Started</v>
      </c>
      <c r="K93" s="10"/>
    </row>
    <row r="94" ht="15.75" customHeight="1">
      <c r="A94" s="10"/>
      <c r="B94" s="10"/>
      <c r="C94" s="10"/>
      <c r="D94" s="10"/>
      <c r="E94" s="10"/>
      <c r="F94" s="10"/>
      <c r="G94" s="10"/>
      <c r="H94" s="12" t="str">
        <f t="array" ref="H94">IF($B94="","",XLOOKUP($B94,Players!$A$4:$A$923,Players!$Y$4:$Y$923,""))</f>
        <v/>
      </c>
      <c r="I94" s="12" t="str">
        <f t="shared" si="1"/>
        <v/>
      </c>
      <c r="J94" s="12" t="str">
        <f>IF(COUNT($F$3:$F94)=0,"Not Started",IF(SUM($F$3:$F94)/SUM($H$3:$H94)&gt;=1+Settings!$B$26,"Very Overheated",IF(SUM($F$3:$F94)/SUM($H$3:$H94)&gt;=1+Settings!$B$27,"Overheated",IF(SUM($F$3:$F94)/SUM($H$3:$H94)&lt;=1+Settings!$B$30,"Very Soft",IF(SUM($F$3:$F94)/SUM($H$3:$H94)&lt;=1+Settings!$B$29,"Soft","Fair")))))</f>
        <v>Not Started</v>
      </c>
      <c r="K94" s="10"/>
    </row>
    <row r="95" ht="15.75" customHeight="1">
      <c r="A95" s="10"/>
      <c r="B95" s="10"/>
      <c r="C95" s="10"/>
      <c r="D95" s="10"/>
      <c r="E95" s="10"/>
      <c r="F95" s="10"/>
      <c r="G95" s="10"/>
      <c r="H95" s="12" t="str">
        <f t="array" ref="H95">IF($B95="","",XLOOKUP($B95,Players!$A$4:$A$923,Players!$Y$4:$Y$923,""))</f>
        <v/>
      </c>
      <c r="I95" s="12" t="str">
        <f t="shared" si="1"/>
        <v/>
      </c>
      <c r="J95" s="12" t="str">
        <f>IF(COUNT($F$3:$F95)=0,"Not Started",IF(SUM($F$3:$F95)/SUM($H$3:$H95)&gt;=1+Settings!$B$26,"Very Overheated",IF(SUM($F$3:$F95)/SUM($H$3:$H95)&gt;=1+Settings!$B$27,"Overheated",IF(SUM($F$3:$F95)/SUM($H$3:$H95)&lt;=1+Settings!$B$30,"Very Soft",IF(SUM($F$3:$F95)/SUM($H$3:$H95)&lt;=1+Settings!$B$29,"Soft","Fair")))))</f>
        <v>Not Started</v>
      </c>
      <c r="K95" s="10"/>
    </row>
    <row r="96" ht="15.75" customHeight="1">
      <c r="A96" s="10"/>
      <c r="B96" s="10"/>
      <c r="C96" s="10"/>
      <c r="D96" s="10"/>
      <c r="E96" s="10"/>
      <c r="F96" s="10"/>
      <c r="G96" s="10"/>
      <c r="H96" s="12" t="str">
        <f t="array" ref="H96">IF($B96="","",XLOOKUP($B96,Players!$A$4:$A$923,Players!$Y$4:$Y$923,""))</f>
        <v/>
      </c>
      <c r="I96" s="12" t="str">
        <f t="shared" si="1"/>
        <v/>
      </c>
      <c r="J96" s="12" t="str">
        <f>IF(COUNT($F$3:$F96)=0,"Not Started",IF(SUM($F$3:$F96)/SUM($H$3:$H96)&gt;=1+Settings!$B$26,"Very Overheated",IF(SUM($F$3:$F96)/SUM($H$3:$H96)&gt;=1+Settings!$B$27,"Overheated",IF(SUM($F$3:$F96)/SUM($H$3:$H96)&lt;=1+Settings!$B$30,"Very Soft",IF(SUM($F$3:$F96)/SUM($H$3:$H96)&lt;=1+Settings!$B$29,"Soft","Fair")))))</f>
        <v>Not Started</v>
      </c>
      <c r="K96" s="10"/>
    </row>
    <row r="97" ht="15.75" customHeight="1">
      <c r="A97" s="10"/>
      <c r="B97" s="10"/>
      <c r="C97" s="10"/>
      <c r="D97" s="10"/>
      <c r="E97" s="10"/>
      <c r="F97" s="10"/>
      <c r="G97" s="10"/>
      <c r="H97" s="12" t="str">
        <f t="array" ref="H97">IF($B97="","",XLOOKUP($B97,Players!$A$4:$A$923,Players!$Y$4:$Y$923,""))</f>
        <v/>
      </c>
      <c r="I97" s="12" t="str">
        <f t="shared" si="1"/>
        <v/>
      </c>
      <c r="J97" s="12" t="str">
        <f>IF(COUNT($F$3:$F97)=0,"Not Started",IF(SUM($F$3:$F97)/SUM($H$3:$H97)&gt;=1+Settings!$B$26,"Very Overheated",IF(SUM($F$3:$F97)/SUM($H$3:$H97)&gt;=1+Settings!$B$27,"Overheated",IF(SUM($F$3:$F97)/SUM($H$3:$H97)&lt;=1+Settings!$B$30,"Very Soft",IF(SUM($F$3:$F97)/SUM($H$3:$H97)&lt;=1+Settings!$B$29,"Soft","Fair")))))</f>
        <v>Not Started</v>
      </c>
      <c r="K97" s="10"/>
    </row>
    <row r="98" ht="15.75" customHeight="1">
      <c r="A98" s="10"/>
      <c r="B98" s="10"/>
      <c r="C98" s="10"/>
      <c r="D98" s="10"/>
      <c r="E98" s="10"/>
      <c r="F98" s="10"/>
      <c r="G98" s="10"/>
      <c r="H98" s="12" t="str">
        <f t="array" ref="H98">IF($B98="","",XLOOKUP($B98,Players!$A$4:$A$923,Players!$Y$4:$Y$923,""))</f>
        <v/>
      </c>
      <c r="I98" s="12" t="str">
        <f t="shared" si="1"/>
        <v/>
      </c>
      <c r="J98" s="12" t="str">
        <f>IF(COUNT($F$3:$F98)=0,"Not Started",IF(SUM($F$3:$F98)/SUM($H$3:$H98)&gt;=1+Settings!$B$26,"Very Overheated",IF(SUM($F$3:$F98)/SUM($H$3:$H98)&gt;=1+Settings!$B$27,"Overheated",IF(SUM($F$3:$F98)/SUM($H$3:$H98)&lt;=1+Settings!$B$30,"Very Soft",IF(SUM($F$3:$F98)/SUM($H$3:$H98)&lt;=1+Settings!$B$29,"Soft","Fair")))))</f>
        <v>Not Started</v>
      </c>
      <c r="K98" s="10"/>
    </row>
    <row r="99" ht="15.75" customHeight="1">
      <c r="A99" s="10"/>
      <c r="B99" s="10"/>
      <c r="C99" s="10"/>
      <c r="D99" s="10"/>
      <c r="E99" s="10"/>
      <c r="F99" s="10"/>
      <c r="G99" s="10"/>
      <c r="H99" s="12" t="str">
        <f t="array" ref="H99">IF($B99="","",XLOOKUP($B99,Players!$A$4:$A$923,Players!$Y$4:$Y$923,""))</f>
        <v/>
      </c>
      <c r="I99" s="12" t="str">
        <f t="shared" si="1"/>
        <v/>
      </c>
      <c r="J99" s="12" t="str">
        <f>IF(COUNT($F$3:$F99)=0,"Not Started",IF(SUM($F$3:$F99)/SUM($H$3:$H99)&gt;=1+Settings!$B$26,"Very Overheated",IF(SUM($F$3:$F99)/SUM($H$3:$H99)&gt;=1+Settings!$B$27,"Overheated",IF(SUM($F$3:$F99)/SUM($H$3:$H99)&lt;=1+Settings!$B$30,"Very Soft",IF(SUM($F$3:$F99)/SUM($H$3:$H99)&lt;=1+Settings!$B$29,"Soft","Fair")))))</f>
        <v>Not Started</v>
      </c>
      <c r="K99" s="10"/>
    </row>
    <row r="100" ht="15.75" customHeight="1">
      <c r="A100" s="10"/>
      <c r="B100" s="10"/>
      <c r="C100" s="10"/>
      <c r="D100" s="10"/>
      <c r="E100" s="10"/>
      <c r="F100" s="10"/>
      <c r="G100" s="10"/>
      <c r="H100" s="12" t="str">
        <f t="array" ref="H100">IF($B100="","",XLOOKUP($B100,Players!$A$4:$A$923,Players!$Y$4:$Y$923,""))</f>
        <v/>
      </c>
      <c r="I100" s="12" t="str">
        <f t="shared" si="1"/>
        <v/>
      </c>
      <c r="J100" s="12" t="str">
        <f>IF(COUNT($F$3:$F100)=0,"Not Started",IF(SUM($F$3:$F100)/SUM($H$3:$H100)&gt;=1+Settings!$B$26,"Very Overheated",IF(SUM($F$3:$F100)/SUM($H$3:$H100)&gt;=1+Settings!$B$27,"Overheated",IF(SUM($F$3:$F100)/SUM($H$3:$H100)&lt;=1+Settings!$B$30,"Very Soft",IF(SUM($F$3:$F100)/SUM($H$3:$H100)&lt;=1+Settings!$B$29,"Soft","Fair")))))</f>
        <v>Not Started</v>
      </c>
      <c r="K100" s="10"/>
    </row>
    <row r="101" ht="15.75" customHeight="1">
      <c r="A101" s="10"/>
      <c r="B101" s="10"/>
      <c r="C101" s="10"/>
      <c r="D101" s="10"/>
      <c r="E101" s="10"/>
      <c r="F101" s="10"/>
      <c r="G101" s="10"/>
      <c r="H101" s="12" t="str">
        <f t="array" ref="H101">IF($B101="","",XLOOKUP($B101,Players!$A$4:$A$923,Players!$Y$4:$Y$923,""))</f>
        <v/>
      </c>
      <c r="I101" s="12" t="str">
        <f t="shared" si="1"/>
        <v/>
      </c>
      <c r="J101" s="12" t="str">
        <f>IF(COUNT($F$3:$F101)=0,"Not Started",IF(SUM($F$3:$F101)/SUM($H$3:$H101)&gt;=1+Settings!$B$26,"Very Overheated",IF(SUM($F$3:$F101)/SUM($H$3:$H101)&gt;=1+Settings!$B$27,"Overheated",IF(SUM($F$3:$F101)/SUM($H$3:$H101)&lt;=1+Settings!$B$30,"Very Soft",IF(SUM($F$3:$F101)/SUM($H$3:$H101)&lt;=1+Settings!$B$29,"Soft","Fair")))))</f>
        <v>Not Started</v>
      </c>
      <c r="K101" s="10"/>
    </row>
    <row r="102" ht="15.75" customHeight="1">
      <c r="A102" s="10"/>
      <c r="B102" s="10"/>
      <c r="C102" s="10"/>
      <c r="D102" s="10"/>
      <c r="E102" s="10"/>
      <c r="F102" s="10"/>
      <c r="G102" s="10"/>
      <c r="H102" s="12" t="str">
        <f t="array" ref="H102">IF($B102="","",XLOOKUP($B102,Players!$A$4:$A$923,Players!$Y$4:$Y$923,""))</f>
        <v/>
      </c>
      <c r="I102" s="12" t="str">
        <f t="shared" si="1"/>
        <v/>
      </c>
      <c r="J102" s="12" t="str">
        <f>IF(COUNT($F$3:$F102)=0,"Not Started",IF(SUM($F$3:$F102)/SUM($H$3:$H102)&gt;=1+Settings!$B$26,"Very Overheated",IF(SUM($F$3:$F102)/SUM($H$3:$H102)&gt;=1+Settings!$B$27,"Overheated",IF(SUM($F$3:$F102)/SUM($H$3:$H102)&lt;=1+Settings!$B$30,"Very Soft",IF(SUM($F$3:$F102)/SUM($H$3:$H102)&lt;=1+Settings!$B$29,"Soft","Fair")))))</f>
        <v>Not Started</v>
      </c>
      <c r="K102" s="10"/>
    </row>
    <row r="103" ht="15.75" customHeight="1">
      <c r="A103" s="10"/>
      <c r="B103" s="10"/>
      <c r="C103" s="10"/>
      <c r="D103" s="10"/>
      <c r="E103" s="10"/>
      <c r="F103" s="10"/>
      <c r="G103" s="10"/>
      <c r="H103" s="12" t="str">
        <f t="array" ref="H103">IF($B103="","",XLOOKUP($B103,Players!$A$4:$A$923,Players!$Y$4:$Y$923,""))</f>
        <v/>
      </c>
      <c r="I103" s="12" t="str">
        <f t="shared" si="1"/>
        <v/>
      </c>
      <c r="J103" s="12" t="str">
        <f>IF(COUNT($F$3:$F103)=0,"Not Started",IF(SUM($F$3:$F103)/SUM($H$3:$H103)&gt;=1+Settings!$B$26,"Very Overheated",IF(SUM($F$3:$F103)/SUM($H$3:$H103)&gt;=1+Settings!$B$27,"Overheated",IF(SUM($F$3:$F103)/SUM($H$3:$H103)&lt;=1+Settings!$B$30,"Very Soft",IF(SUM($F$3:$F103)/SUM($H$3:$H103)&lt;=1+Settings!$B$29,"Soft","Fair")))))</f>
        <v>Not Started</v>
      </c>
      <c r="K103" s="10"/>
    </row>
    <row r="104" ht="15.75" customHeight="1">
      <c r="A104" s="10"/>
      <c r="B104" s="10"/>
      <c r="C104" s="10"/>
      <c r="D104" s="10"/>
      <c r="E104" s="10"/>
      <c r="F104" s="10"/>
      <c r="G104" s="10"/>
      <c r="H104" s="12" t="str">
        <f t="array" ref="H104">IF($B104="","",XLOOKUP($B104,Players!$A$4:$A$923,Players!$Y$4:$Y$923,""))</f>
        <v/>
      </c>
      <c r="I104" s="12" t="str">
        <f t="shared" si="1"/>
        <v/>
      </c>
      <c r="J104" s="12" t="str">
        <f>IF(COUNT($F$3:$F104)=0,"Not Started",IF(SUM($F$3:$F104)/SUM($H$3:$H104)&gt;=1+Settings!$B$26,"Very Overheated",IF(SUM($F$3:$F104)/SUM($H$3:$H104)&gt;=1+Settings!$B$27,"Overheated",IF(SUM($F$3:$F104)/SUM($H$3:$H104)&lt;=1+Settings!$B$30,"Very Soft",IF(SUM($F$3:$F104)/SUM($H$3:$H104)&lt;=1+Settings!$B$29,"Soft","Fair")))))</f>
        <v>Not Started</v>
      </c>
      <c r="K104" s="10"/>
    </row>
    <row r="105" ht="15.75" customHeight="1">
      <c r="A105" s="10"/>
      <c r="B105" s="10"/>
      <c r="C105" s="10"/>
      <c r="D105" s="10"/>
      <c r="E105" s="10"/>
      <c r="F105" s="10"/>
      <c r="G105" s="10"/>
      <c r="H105" s="12" t="str">
        <f t="array" ref="H105">IF($B105="","",XLOOKUP($B105,Players!$A$4:$A$923,Players!$Y$4:$Y$923,""))</f>
        <v/>
      </c>
      <c r="I105" s="12" t="str">
        <f t="shared" si="1"/>
        <v/>
      </c>
      <c r="J105" s="12" t="str">
        <f>IF(COUNT($F$3:$F105)=0,"Not Started",IF(SUM($F$3:$F105)/SUM($H$3:$H105)&gt;=1+Settings!$B$26,"Very Overheated",IF(SUM($F$3:$F105)/SUM($H$3:$H105)&gt;=1+Settings!$B$27,"Overheated",IF(SUM($F$3:$F105)/SUM($H$3:$H105)&lt;=1+Settings!$B$30,"Very Soft",IF(SUM($F$3:$F105)/SUM($H$3:$H105)&lt;=1+Settings!$B$29,"Soft","Fair")))))</f>
        <v>Not Started</v>
      </c>
      <c r="K105" s="10"/>
    </row>
    <row r="106" ht="15.75" customHeight="1">
      <c r="A106" s="10"/>
      <c r="B106" s="10"/>
      <c r="C106" s="10"/>
      <c r="D106" s="10"/>
      <c r="E106" s="10"/>
      <c r="F106" s="10"/>
      <c r="G106" s="10"/>
      <c r="H106" s="12" t="str">
        <f t="array" ref="H106">IF($B106="","",XLOOKUP($B106,Players!$A$4:$A$923,Players!$Y$4:$Y$923,""))</f>
        <v/>
      </c>
      <c r="I106" s="12" t="str">
        <f t="shared" si="1"/>
        <v/>
      </c>
      <c r="J106" s="12" t="str">
        <f>IF(COUNT($F$3:$F106)=0,"Not Started",IF(SUM($F$3:$F106)/SUM($H$3:$H106)&gt;=1+Settings!$B$26,"Very Overheated",IF(SUM($F$3:$F106)/SUM($H$3:$H106)&gt;=1+Settings!$B$27,"Overheated",IF(SUM($F$3:$F106)/SUM($H$3:$H106)&lt;=1+Settings!$B$30,"Very Soft",IF(SUM($F$3:$F106)/SUM($H$3:$H106)&lt;=1+Settings!$B$29,"Soft","Fair")))))</f>
        <v>Not Started</v>
      </c>
      <c r="K106" s="10"/>
    </row>
    <row r="107" ht="15.75" customHeight="1">
      <c r="A107" s="10"/>
      <c r="B107" s="10"/>
      <c r="C107" s="10"/>
      <c r="D107" s="10"/>
      <c r="E107" s="10"/>
      <c r="F107" s="10"/>
      <c r="G107" s="10"/>
      <c r="H107" s="12" t="str">
        <f t="array" ref="H107">IF($B107="","",XLOOKUP($B107,Players!$A$4:$A$923,Players!$Y$4:$Y$923,""))</f>
        <v/>
      </c>
      <c r="I107" s="12" t="str">
        <f t="shared" si="1"/>
        <v/>
      </c>
      <c r="J107" s="12" t="str">
        <f>IF(COUNT($F$3:$F107)=0,"Not Started",IF(SUM($F$3:$F107)/SUM($H$3:$H107)&gt;=1+Settings!$B$26,"Very Overheated",IF(SUM($F$3:$F107)/SUM($H$3:$H107)&gt;=1+Settings!$B$27,"Overheated",IF(SUM($F$3:$F107)/SUM($H$3:$H107)&lt;=1+Settings!$B$30,"Very Soft",IF(SUM($F$3:$F107)/SUM($H$3:$H107)&lt;=1+Settings!$B$29,"Soft","Fair")))))</f>
        <v>Not Started</v>
      </c>
      <c r="K107" s="10"/>
    </row>
    <row r="108" ht="15.75" customHeight="1">
      <c r="A108" s="10"/>
      <c r="B108" s="10"/>
      <c r="C108" s="10"/>
      <c r="D108" s="10"/>
      <c r="E108" s="10"/>
      <c r="F108" s="10"/>
      <c r="G108" s="10"/>
      <c r="H108" s="12" t="str">
        <f t="array" ref="H108">IF($B108="","",XLOOKUP($B108,Players!$A$4:$A$923,Players!$Y$4:$Y$923,""))</f>
        <v/>
      </c>
      <c r="I108" s="12" t="str">
        <f t="shared" si="1"/>
        <v/>
      </c>
      <c r="J108" s="12" t="str">
        <f>IF(COUNT($F$3:$F108)=0,"Not Started",IF(SUM($F$3:$F108)/SUM($H$3:$H108)&gt;=1+Settings!$B$26,"Very Overheated",IF(SUM($F$3:$F108)/SUM($H$3:$H108)&gt;=1+Settings!$B$27,"Overheated",IF(SUM($F$3:$F108)/SUM($H$3:$H108)&lt;=1+Settings!$B$30,"Very Soft",IF(SUM($F$3:$F108)/SUM($H$3:$H108)&lt;=1+Settings!$B$29,"Soft","Fair")))))</f>
        <v>Not Started</v>
      </c>
      <c r="K108" s="10"/>
    </row>
    <row r="109" ht="15.75" customHeight="1">
      <c r="A109" s="10"/>
      <c r="B109" s="10"/>
      <c r="C109" s="10"/>
      <c r="D109" s="10"/>
      <c r="E109" s="10"/>
      <c r="F109" s="10"/>
      <c r="G109" s="10"/>
      <c r="H109" s="12" t="str">
        <f t="array" ref="H109">IF($B109="","",XLOOKUP($B109,Players!$A$4:$A$923,Players!$Y$4:$Y$923,""))</f>
        <v/>
      </c>
      <c r="I109" s="12" t="str">
        <f t="shared" si="1"/>
        <v/>
      </c>
      <c r="J109" s="12" t="str">
        <f>IF(COUNT($F$3:$F109)=0,"Not Started",IF(SUM($F$3:$F109)/SUM($H$3:$H109)&gt;=1+Settings!$B$26,"Very Overheated",IF(SUM($F$3:$F109)/SUM($H$3:$H109)&gt;=1+Settings!$B$27,"Overheated",IF(SUM($F$3:$F109)/SUM($H$3:$H109)&lt;=1+Settings!$B$30,"Very Soft",IF(SUM($F$3:$F109)/SUM($H$3:$H109)&lt;=1+Settings!$B$29,"Soft","Fair")))))</f>
        <v>Not Started</v>
      </c>
      <c r="K109" s="10"/>
    </row>
    <row r="110" ht="15.75" customHeight="1">
      <c r="A110" s="10"/>
      <c r="B110" s="10"/>
      <c r="C110" s="10"/>
      <c r="D110" s="10"/>
      <c r="E110" s="10"/>
      <c r="F110" s="10"/>
      <c r="G110" s="10"/>
      <c r="H110" s="12" t="str">
        <f t="array" ref="H110">IF($B110="","",XLOOKUP($B110,Players!$A$4:$A$923,Players!$Y$4:$Y$923,""))</f>
        <v/>
      </c>
      <c r="I110" s="12" t="str">
        <f t="shared" si="1"/>
        <v/>
      </c>
      <c r="J110" s="12" t="str">
        <f>IF(COUNT($F$3:$F110)=0,"Not Started",IF(SUM($F$3:$F110)/SUM($H$3:$H110)&gt;=1+Settings!$B$26,"Very Overheated",IF(SUM($F$3:$F110)/SUM($H$3:$H110)&gt;=1+Settings!$B$27,"Overheated",IF(SUM($F$3:$F110)/SUM($H$3:$H110)&lt;=1+Settings!$B$30,"Very Soft",IF(SUM($F$3:$F110)/SUM($H$3:$H110)&lt;=1+Settings!$B$29,"Soft","Fair")))))</f>
        <v>Not Started</v>
      </c>
      <c r="K110" s="10"/>
    </row>
    <row r="111" ht="15.75" customHeight="1">
      <c r="A111" s="10"/>
      <c r="B111" s="10"/>
      <c r="C111" s="10"/>
      <c r="D111" s="10"/>
      <c r="E111" s="10"/>
      <c r="F111" s="10"/>
      <c r="G111" s="10"/>
      <c r="H111" s="12" t="str">
        <f t="array" ref="H111">IF($B111="","",XLOOKUP($B111,Players!$A$4:$A$923,Players!$Y$4:$Y$923,""))</f>
        <v/>
      </c>
      <c r="I111" s="12" t="str">
        <f t="shared" si="1"/>
        <v/>
      </c>
      <c r="J111" s="12" t="str">
        <f>IF(COUNT($F$3:$F111)=0,"Not Started",IF(SUM($F$3:$F111)/SUM($H$3:$H111)&gt;=1+Settings!$B$26,"Very Overheated",IF(SUM($F$3:$F111)/SUM($H$3:$H111)&gt;=1+Settings!$B$27,"Overheated",IF(SUM($F$3:$F111)/SUM($H$3:$H111)&lt;=1+Settings!$B$30,"Very Soft",IF(SUM($F$3:$F111)/SUM($H$3:$H111)&lt;=1+Settings!$B$29,"Soft","Fair")))))</f>
        <v>Not Started</v>
      </c>
      <c r="K111" s="10"/>
    </row>
    <row r="112" ht="15.75" customHeight="1">
      <c r="A112" s="10"/>
      <c r="B112" s="10"/>
      <c r="C112" s="10"/>
      <c r="D112" s="10"/>
      <c r="E112" s="10"/>
      <c r="F112" s="10"/>
      <c r="G112" s="10"/>
      <c r="H112" s="12" t="str">
        <f t="array" ref="H112">IF($B112="","",XLOOKUP($B112,Players!$A$4:$A$923,Players!$Y$4:$Y$923,""))</f>
        <v/>
      </c>
      <c r="I112" s="12" t="str">
        <f t="shared" si="1"/>
        <v/>
      </c>
      <c r="J112" s="12" t="str">
        <f>IF(COUNT($F$3:$F112)=0,"Not Started",IF(SUM($F$3:$F112)/SUM($H$3:$H112)&gt;=1+Settings!$B$26,"Very Overheated",IF(SUM($F$3:$F112)/SUM($H$3:$H112)&gt;=1+Settings!$B$27,"Overheated",IF(SUM($F$3:$F112)/SUM($H$3:$H112)&lt;=1+Settings!$B$30,"Very Soft",IF(SUM($F$3:$F112)/SUM($H$3:$H112)&lt;=1+Settings!$B$29,"Soft","Fair")))))</f>
        <v>Not Started</v>
      </c>
      <c r="K112" s="10"/>
    </row>
    <row r="113" ht="15.75" customHeight="1">
      <c r="A113" s="10"/>
      <c r="B113" s="10"/>
      <c r="C113" s="10"/>
      <c r="D113" s="10"/>
      <c r="E113" s="10"/>
      <c r="F113" s="10"/>
      <c r="G113" s="10"/>
      <c r="H113" s="12" t="str">
        <f t="array" ref="H113">IF($B113="","",XLOOKUP($B113,Players!$A$4:$A$923,Players!$Y$4:$Y$923,""))</f>
        <v/>
      </c>
      <c r="I113" s="12" t="str">
        <f t="shared" si="1"/>
        <v/>
      </c>
      <c r="J113" s="12" t="str">
        <f>IF(COUNT($F$3:$F113)=0,"Not Started",IF(SUM($F$3:$F113)/SUM($H$3:$H113)&gt;=1+Settings!$B$26,"Very Overheated",IF(SUM($F$3:$F113)/SUM($H$3:$H113)&gt;=1+Settings!$B$27,"Overheated",IF(SUM($F$3:$F113)/SUM($H$3:$H113)&lt;=1+Settings!$B$30,"Very Soft",IF(SUM($F$3:$F113)/SUM($H$3:$H113)&lt;=1+Settings!$B$29,"Soft","Fair")))))</f>
        <v>Not Started</v>
      </c>
      <c r="K113" s="10"/>
    </row>
    <row r="114" ht="15.75" customHeight="1">
      <c r="A114" s="10"/>
      <c r="B114" s="10"/>
      <c r="C114" s="10"/>
      <c r="D114" s="10"/>
      <c r="E114" s="10"/>
      <c r="F114" s="10"/>
      <c r="G114" s="10"/>
      <c r="H114" s="12" t="str">
        <f t="array" ref="H114">IF($B114="","",XLOOKUP($B114,Players!$A$4:$A$923,Players!$Y$4:$Y$923,""))</f>
        <v/>
      </c>
      <c r="I114" s="12" t="str">
        <f t="shared" si="1"/>
        <v/>
      </c>
      <c r="J114" s="12" t="str">
        <f>IF(COUNT($F$3:$F114)=0,"Not Started",IF(SUM($F$3:$F114)/SUM($H$3:$H114)&gt;=1+Settings!$B$26,"Very Overheated",IF(SUM($F$3:$F114)/SUM($H$3:$H114)&gt;=1+Settings!$B$27,"Overheated",IF(SUM($F$3:$F114)/SUM($H$3:$H114)&lt;=1+Settings!$B$30,"Very Soft",IF(SUM($F$3:$F114)/SUM($H$3:$H114)&lt;=1+Settings!$B$29,"Soft","Fair")))))</f>
        <v>Not Started</v>
      </c>
      <c r="K114" s="10"/>
    </row>
    <row r="115" ht="15.75" customHeight="1">
      <c r="A115" s="10"/>
      <c r="B115" s="10"/>
      <c r="C115" s="10"/>
      <c r="D115" s="10"/>
      <c r="E115" s="10"/>
      <c r="F115" s="10"/>
      <c r="G115" s="10"/>
      <c r="H115" s="12" t="str">
        <f t="array" ref="H115">IF($B115="","",XLOOKUP($B115,Players!$A$4:$A$923,Players!$Y$4:$Y$923,""))</f>
        <v/>
      </c>
      <c r="I115" s="12" t="str">
        <f t="shared" si="1"/>
        <v/>
      </c>
      <c r="J115" s="12" t="str">
        <f>IF(COUNT($F$3:$F115)=0,"Not Started",IF(SUM($F$3:$F115)/SUM($H$3:$H115)&gt;=1+Settings!$B$26,"Very Overheated",IF(SUM($F$3:$F115)/SUM($H$3:$H115)&gt;=1+Settings!$B$27,"Overheated",IF(SUM($F$3:$F115)/SUM($H$3:$H115)&lt;=1+Settings!$B$30,"Very Soft",IF(SUM($F$3:$F115)/SUM($H$3:$H115)&lt;=1+Settings!$B$29,"Soft","Fair")))))</f>
        <v>Not Started</v>
      </c>
      <c r="K115" s="10"/>
    </row>
    <row r="116" ht="15.75" customHeight="1">
      <c r="A116" s="10"/>
      <c r="B116" s="10"/>
      <c r="C116" s="10"/>
      <c r="D116" s="10"/>
      <c r="E116" s="10"/>
      <c r="F116" s="10"/>
      <c r="G116" s="10"/>
      <c r="H116" s="12" t="str">
        <f t="array" ref="H116">IF($B116="","",XLOOKUP($B116,Players!$A$4:$A$923,Players!$Y$4:$Y$923,""))</f>
        <v/>
      </c>
      <c r="I116" s="12" t="str">
        <f t="shared" si="1"/>
        <v/>
      </c>
      <c r="J116" s="12" t="str">
        <f>IF(COUNT($F$3:$F116)=0,"Not Started",IF(SUM($F$3:$F116)/SUM($H$3:$H116)&gt;=1+Settings!$B$26,"Very Overheated",IF(SUM($F$3:$F116)/SUM($H$3:$H116)&gt;=1+Settings!$B$27,"Overheated",IF(SUM($F$3:$F116)/SUM($H$3:$H116)&lt;=1+Settings!$B$30,"Very Soft",IF(SUM($F$3:$F116)/SUM($H$3:$H116)&lt;=1+Settings!$B$29,"Soft","Fair")))))</f>
        <v>Not Started</v>
      </c>
      <c r="K116" s="10"/>
    </row>
    <row r="117" ht="15.75" customHeight="1">
      <c r="A117" s="10"/>
      <c r="B117" s="10"/>
      <c r="C117" s="10"/>
      <c r="D117" s="10"/>
      <c r="E117" s="10"/>
      <c r="F117" s="10"/>
      <c r="G117" s="10"/>
      <c r="H117" s="12" t="str">
        <f t="array" ref="H117">IF($B117="","",XLOOKUP($B117,Players!$A$4:$A$923,Players!$Y$4:$Y$923,""))</f>
        <v/>
      </c>
      <c r="I117" s="12" t="str">
        <f t="shared" si="1"/>
        <v/>
      </c>
      <c r="J117" s="12" t="str">
        <f>IF(COUNT($F$3:$F117)=0,"Not Started",IF(SUM($F$3:$F117)/SUM($H$3:$H117)&gt;=1+Settings!$B$26,"Very Overheated",IF(SUM($F$3:$F117)/SUM($H$3:$H117)&gt;=1+Settings!$B$27,"Overheated",IF(SUM($F$3:$F117)/SUM($H$3:$H117)&lt;=1+Settings!$B$30,"Very Soft",IF(SUM($F$3:$F117)/SUM($H$3:$H117)&lt;=1+Settings!$B$29,"Soft","Fair")))))</f>
        <v>Not Started</v>
      </c>
      <c r="K117" s="10"/>
    </row>
    <row r="118" ht="15.75" customHeight="1">
      <c r="A118" s="10"/>
      <c r="B118" s="10"/>
      <c r="C118" s="10"/>
      <c r="D118" s="10"/>
      <c r="E118" s="10"/>
      <c r="F118" s="10"/>
      <c r="G118" s="10"/>
      <c r="H118" s="12" t="str">
        <f t="array" ref="H118">IF($B118="","",XLOOKUP($B118,Players!$A$4:$A$923,Players!$Y$4:$Y$923,""))</f>
        <v/>
      </c>
      <c r="I118" s="12" t="str">
        <f t="shared" si="1"/>
        <v/>
      </c>
      <c r="J118" s="12" t="str">
        <f>IF(COUNT($F$3:$F118)=0,"Not Started",IF(SUM($F$3:$F118)/SUM($H$3:$H118)&gt;=1+Settings!$B$26,"Very Overheated",IF(SUM($F$3:$F118)/SUM($H$3:$H118)&gt;=1+Settings!$B$27,"Overheated",IF(SUM($F$3:$F118)/SUM($H$3:$H118)&lt;=1+Settings!$B$30,"Very Soft",IF(SUM($F$3:$F118)/SUM($H$3:$H118)&lt;=1+Settings!$B$29,"Soft","Fair")))))</f>
        <v>Not Started</v>
      </c>
      <c r="K118" s="10"/>
    </row>
    <row r="119" ht="15.75" customHeight="1">
      <c r="A119" s="10"/>
      <c r="B119" s="10"/>
      <c r="C119" s="10"/>
      <c r="D119" s="10"/>
      <c r="E119" s="10"/>
      <c r="F119" s="10"/>
      <c r="G119" s="10"/>
      <c r="H119" s="12" t="str">
        <f t="array" ref="H119">IF($B119="","",XLOOKUP($B119,Players!$A$4:$A$923,Players!$Y$4:$Y$923,""))</f>
        <v/>
      </c>
      <c r="I119" s="12" t="str">
        <f t="shared" si="1"/>
        <v/>
      </c>
      <c r="J119" s="12" t="str">
        <f>IF(COUNT($F$3:$F119)=0,"Not Started",IF(SUM($F$3:$F119)/SUM($H$3:$H119)&gt;=1+Settings!$B$26,"Very Overheated",IF(SUM($F$3:$F119)/SUM($H$3:$H119)&gt;=1+Settings!$B$27,"Overheated",IF(SUM($F$3:$F119)/SUM($H$3:$H119)&lt;=1+Settings!$B$30,"Very Soft",IF(SUM($F$3:$F119)/SUM($H$3:$H119)&lt;=1+Settings!$B$29,"Soft","Fair")))))</f>
        <v>Not Started</v>
      </c>
      <c r="K119" s="10"/>
    </row>
    <row r="120" ht="15.75" customHeight="1">
      <c r="A120" s="10"/>
      <c r="B120" s="10"/>
      <c r="C120" s="10"/>
      <c r="D120" s="10"/>
      <c r="E120" s="10"/>
      <c r="F120" s="10"/>
      <c r="G120" s="10"/>
      <c r="H120" s="12" t="str">
        <f t="array" ref="H120">IF($B120="","",XLOOKUP($B120,Players!$A$4:$A$923,Players!$Y$4:$Y$923,""))</f>
        <v/>
      </c>
      <c r="I120" s="12" t="str">
        <f t="shared" si="1"/>
        <v/>
      </c>
      <c r="J120" s="12" t="str">
        <f>IF(COUNT($F$3:$F120)=0,"Not Started",IF(SUM($F$3:$F120)/SUM($H$3:$H120)&gt;=1+Settings!$B$26,"Very Overheated",IF(SUM($F$3:$F120)/SUM($H$3:$H120)&gt;=1+Settings!$B$27,"Overheated",IF(SUM($F$3:$F120)/SUM($H$3:$H120)&lt;=1+Settings!$B$30,"Very Soft",IF(SUM($F$3:$F120)/SUM($H$3:$H120)&lt;=1+Settings!$B$29,"Soft","Fair")))))</f>
        <v>Not Started</v>
      </c>
      <c r="K120" s="10"/>
    </row>
    <row r="121" ht="15.75" customHeight="1">
      <c r="A121" s="10"/>
      <c r="B121" s="10"/>
      <c r="C121" s="10"/>
      <c r="D121" s="10"/>
      <c r="E121" s="10"/>
      <c r="F121" s="10"/>
      <c r="G121" s="10"/>
      <c r="H121" s="12" t="str">
        <f t="array" ref="H121">IF($B121="","",XLOOKUP($B121,Players!$A$4:$A$923,Players!$Y$4:$Y$923,""))</f>
        <v/>
      </c>
      <c r="I121" s="12" t="str">
        <f t="shared" si="1"/>
        <v/>
      </c>
      <c r="J121" s="12" t="str">
        <f>IF(COUNT($F$3:$F121)=0,"Not Started",IF(SUM($F$3:$F121)/SUM($H$3:$H121)&gt;=1+Settings!$B$26,"Very Overheated",IF(SUM($F$3:$F121)/SUM($H$3:$H121)&gt;=1+Settings!$B$27,"Overheated",IF(SUM($F$3:$F121)/SUM($H$3:$H121)&lt;=1+Settings!$B$30,"Very Soft",IF(SUM($F$3:$F121)/SUM($H$3:$H121)&lt;=1+Settings!$B$29,"Soft","Fair")))))</f>
        <v>Not Started</v>
      </c>
      <c r="K121" s="10"/>
    </row>
    <row r="122" ht="15.75" customHeight="1">
      <c r="A122" s="10"/>
      <c r="B122" s="10"/>
      <c r="C122" s="10"/>
      <c r="D122" s="10"/>
      <c r="E122" s="10"/>
      <c r="F122" s="10"/>
      <c r="G122" s="10"/>
      <c r="H122" s="12" t="str">
        <f t="array" ref="H122">IF($B122="","",XLOOKUP($B122,Players!$A$4:$A$923,Players!$Y$4:$Y$923,""))</f>
        <v/>
      </c>
      <c r="I122" s="12" t="str">
        <f t="shared" si="1"/>
        <v/>
      </c>
      <c r="J122" s="12" t="str">
        <f>IF(COUNT($F$3:$F122)=0,"Not Started",IF(SUM($F$3:$F122)/SUM($H$3:$H122)&gt;=1+Settings!$B$26,"Very Overheated",IF(SUM($F$3:$F122)/SUM($H$3:$H122)&gt;=1+Settings!$B$27,"Overheated",IF(SUM($F$3:$F122)/SUM($H$3:$H122)&lt;=1+Settings!$B$30,"Very Soft",IF(SUM($F$3:$F122)/SUM($H$3:$H122)&lt;=1+Settings!$B$29,"Soft","Fair")))))</f>
        <v>Not Started</v>
      </c>
      <c r="K122" s="10"/>
    </row>
    <row r="123" ht="15.75" customHeight="1">
      <c r="A123" s="10"/>
      <c r="B123" s="10"/>
      <c r="C123" s="10"/>
      <c r="D123" s="10"/>
      <c r="E123" s="10"/>
      <c r="F123" s="10"/>
      <c r="G123" s="10"/>
      <c r="H123" s="12" t="str">
        <f t="array" ref="H123">IF($B123="","",XLOOKUP($B123,Players!$A$4:$A$923,Players!$Y$4:$Y$923,""))</f>
        <v/>
      </c>
      <c r="I123" s="12" t="str">
        <f t="shared" si="1"/>
        <v/>
      </c>
      <c r="J123" s="12" t="str">
        <f>IF(COUNT($F$3:$F123)=0,"Not Started",IF(SUM($F$3:$F123)/SUM($H$3:$H123)&gt;=1+Settings!$B$26,"Very Overheated",IF(SUM($F$3:$F123)/SUM($H$3:$H123)&gt;=1+Settings!$B$27,"Overheated",IF(SUM($F$3:$F123)/SUM($H$3:$H123)&lt;=1+Settings!$B$30,"Very Soft",IF(SUM($F$3:$F123)/SUM($H$3:$H123)&lt;=1+Settings!$B$29,"Soft","Fair")))))</f>
        <v>Not Started</v>
      </c>
      <c r="K123" s="10"/>
    </row>
    <row r="124" ht="15.75" customHeight="1">
      <c r="A124" s="10"/>
      <c r="B124" s="10"/>
      <c r="C124" s="10"/>
      <c r="D124" s="10"/>
      <c r="E124" s="10"/>
      <c r="F124" s="10"/>
      <c r="G124" s="10"/>
      <c r="H124" s="12" t="str">
        <f t="array" ref="H124">IF($B124="","",XLOOKUP($B124,Players!$A$4:$A$923,Players!$Y$4:$Y$923,""))</f>
        <v/>
      </c>
      <c r="I124" s="12" t="str">
        <f t="shared" si="1"/>
        <v/>
      </c>
      <c r="J124" s="12" t="str">
        <f>IF(COUNT($F$3:$F124)=0,"Not Started",IF(SUM($F$3:$F124)/SUM($H$3:$H124)&gt;=1+Settings!$B$26,"Very Overheated",IF(SUM($F$3:$F124)/SUM($H$3:$H124)&gt;=1+Settings!$B$27,"Overheated",IF(SUM($F$3:$F124)/SUM($H$3:$H124)&lt;=1+Settings!$B$30,"Very Soft",IF(SUM($F$3:$F124)/SUM($H$3:$H124)&lt;=1+Settings!$B$29,"Soft","Fair")))))</f>
        <v>Not Started</v>
      </c>
      <c r="K124" s="10"/>
    </row>
    <row r="125" ht="15.75" customHeight="1">
      <c r="A125" s="10"/>
      <c r="B125" s="10"/>
      <c r="C125" s="10"/>
      <c r="D125" s="10"/>
      <c r="E125" s="10"/>
      <c r="F125" s="10"/>
      <c r="G125" s="10"/>
      <c r="H125" s="12" t="str">
        <f t="array" ref="H125">IF($B125="","",XLOOKUP($B125,Players!$A$4:$A$923,Players!$Y$4:$Y$923,""))</f>
        <v/>
      </c>
      <c r="I125" s="12" t="str">
        <f t="shared" si="1"/>
        <v/>
      </c>
      <c r="J125" s="12" t="str">
        <f>IF(COUNT($F$3:$F125)=0,"Not Started",IF(SUM($F$3:$F125)/SUM($H$3:$H125)&gt;=1+Settings!$B$26,"Very Overheated",IF(SUM($F$3:$F125)/SUM($H$3:$H125)&gt;=1+Settings!$B$27,"Overheated",IF(SUM($F$3:$F125)/SUM($H$3:$H125)&lt;=1+Settings!$B$30,"Very Soft",IF(SUM($F$3:$F125)/SUM($H$3:$H125)&lt;=1+Settings!$B$29,"Soft","Fair")))))</f>
        <v>Not Started</v>
      </c>
      <c r="K125" s="10"/>
    </row>
    <row r="126" ht="15.75" customHeight="1">
      <c r="A126" s="10"/>
      <c r="B126" s="10"/>
      <c r="C126" s="10"/>
      <c r="D126" s="10"/>
      <c r="E126" s="10"/>
      <c r="F126" s="10"/>
      <c r="G126" s="10"/>
      <c r="H126" s="12" t="str">
        <f t="array" ref="H126">IF($B126="","",XLOOKUP($B126,Players!$A$4:$A$923,Players!$Y$4:$Y$923,""))</f>
        <v/>
      </c>
      <c r="I126" s="12" t="str">
        <f t="shared" si="1"/>
        <v/>
      </c>
      <c r="J126" s="12" t="str">
        <f>IF(COUNT($F$3:$F126)=0,"Not Started",IF(SUM($F$3:$F126)/SUM($H$3:$H126)&gt;=1+Settings!$B$26,"Very Overheated",IF(SUM($F$3:$F126)/SUM($H$3:$H126)&gt;=1+Settings!$B$27,"Overheated",IF(SUM($F$3:$F126)/SUM($H$3:$H126)&lt;=1+Settings!$B$30,"Very Soft",IF(SUM($F$3:$F126)/SUM($H$3:$H126)&lt;=1+Settings!$B$29,"Soft","Fair")))))</f>
        <v>Not Started</v>
      </c>
      <c r="K126" s="10"/>
    </row>
    <row r="127" ht="15.75" customHeight="1">
      <c r="A127" s="10"/>
      <c r="B127" s="10"/>
      <c r="C127" s="10"/>
      <c r="D127" s="10"/>
      <c r="E127" s="10"/>
      <c r="F127" s="10"/>
      <c r="G127" s="10"/>
      <c r="H127" s="12" t="str">
        <f t="array" ref="H127">IF($B127="","",XLOOKUP($B127,Players!$A$4:$A$923,Players!$Y$4:$Y$923,""))</f>
        <v/>
      </c>
      <c r="I127" s="12" t="str">
        <f t="shared" si="1"/>
        <v/>
      </c>
      <c r="J127" s="12" t="str">
        <f>IF(COUNT($F$3:$F127)=0,"Not Started",IF(SUM($F$3:$F127)/SUM($H$3:$H127)&gt;=1+Settings!$B$26,"Very Overheated",IF(SUM($F$3:$F127)/SUM($H$3:$H127)&gt;=1+Settings!$B$27,"Overheated",IF(SUM($F$3:$F127)/SUM($H$3:$H127)&lt;=1+Settings!$B$30,"Very Soft",IF(SUM($F$3:$F127)/SUM($H$3:$H127)&lt;=1+Settings!$B$29,"Soft","Fair")))))</f>
        <v>Not Started</v>
      </c>
      <c r="K127" s="10"/>
    </row>
    <row r="128" ht="15.75" customHeight="1">
      <c r="A128" s="10"/>
      <c r="B128" s="10"/>
      <c r="C128" s="10"/>
      <c r="D128" s="10"/>
      <c r="E128" s="10"/>
      <c r="F128" s="10"/>
      <c r="G128" s="10"/>
      <c r="H128" s="12" t="str">
        <f t="array" ref="H128">IF($B128="","",XLOOKUP($B128,Players!$A$4:$A$923,Players!$Y$4:$Y$923,""))</f>
        <v/>
      </c>
      <c r="I128" s="12" t="str">
        <f t="shared" si="1"/>
        <v/>
      </c>
      <c r="J128" s="12" t="str">
        <f>IF(COUNT($F$3:$F128)=0,"Not Started",IF(SUM($F$3:$F128)/SUM($H$3:$H128)&gt;=1+Settings!$B$26,"Very Overheated",IF(SUM($F$3:$F128)/SUM($H$3:$H128)&gt;=1+Settings!$B$27,"Overheated",IF(SUM($F$3:$F128)/SUM($H$3:$H128)&lt;=1+Settings!$B$30,"Very Soft",IF(SUM($F$3:$F128)/SUM($H$3:$H128)&lt;=1+Settings!$B$29,"Soft","Fair")))))</f>
        <v>Not Started</v>
      </c>
      <c r="K128" s="10"/>
    </row>
    <row r="129" ht="15.75" customHeight="1">
      <c r="A129" s="10"/>
      <c r="B129" s="10"/>
      <c r="C129" s="10"/>
      <c r="D129" s="10"/>
      <c r="E129" s="10"/>
      <c r="F129" s="10"/>
      <c r="G129" s="10"/>
      <c r="H129" s="12" t="str">
        <f t="array" ref="H129">IF($B129="","",XLOOKUP($B129,Players!$A$4:$A$923,Players!$Y$4:$Y$923,""))</f>
        <v/>
      </c>
      <c r="I129" s="12" t="str">
        <f t="shared" si="1"/>
        <v/>
      </c>
      <c r="J129" s="12" t="str">
        <f>IF(COUNT($F$3:$F129)=0,"Not Started",IF(SUM($F$3:$F129)/SUM($H$3:$H129)&gt;=1+Settings!$B$26,"Very Overheated",IF(SUM($F$3:$F129)/SUM($H$3:$H129)&gt;=1+Settings!$B$27,"Overheated",IF(SUM($F$3:$F129)/SUM($H$3:$H129)&lt;=1+Settings!$B$30,"Very Soft",IF(SUM($F$3:$F129)/SUM($H$3:$H129)&lt;=1+Settings!$B$29,"Soft","Fair")))))</f>
        <v>Not Started</v>
      </c>
      <c r="K129" s="10"/>
    </row>
    <row r="130" ht="15.75" customHeight="1">
      <c r="A130" s="10"/>
      <c r="B130" s="10"/>
      <c r="C130" s="10"/>
      <c r="D130" s="10"/>
      <c r="E130" s="10"/>
      <c r="F130" s="10"/>
      <c r="G130" s="10"/>
      <c r="H130" s="12" t="str">
        <f t="array" ref="H130">IF($B130="","",XLOOKUP($B130,Players!$A$4:$A$923,Players!$Y$4:$Y$923,""))</f>
        <v/>
      </c>
      <c r="I130" s="12" t="str">
        <f t="shared" si="1"/>
        <v/>
      </c>
      <c r="J130" s="12" t="str">
        <f>IF(COUNT($F$3:$F130)=0,"Not Started",IF(SUM($F$3:$F130)/SUM($H$3:$H130)&gt;=1+Settings!$B$26,"Very Overheated",IF(SUM($F$3:$F130)/SUM($H$3:$H130)&gt;=1+Settings!$B$27,"Overheated",IF(SUM($F$3:$F130)/SUM($H$3:$H130)&lt;=1+Settings!$B$30,"Very Soft",IF(SUM($F$3:$F130)/SUM($H$3:$H130)&lt;=1+Settings!$B$29,"Soft","Fair")))))</f>
        <v>Not Started</v>
      </c>
      <c r="K130" s="10"/>
    </row>
    <row r="131" ht="15.75" customHeight="1">
      <c r="A131" s="10"/>
      <c r="B131" s="10"/>
      <c r="C131" s="10"/>
      <c r="D131" s="10"/>
      <c r="E131" s="10"/>
      <c r="F131" s="10"/>
      <c r="G131" s="10"/>
      <c r="H131" s="12" t="str">
        <f t="array" ref="H131">IF($B131="","",XLOOKUP($B131,Players!$A$4:$A$923,Players!$Y$4:$Y$923,""))</f>
        <v/>
      </c>
      <c r="I131" s="12" t="str">
        <f t="shared" si="1"/>
        <v/>
      </c>
      <c r="J131" s="12" t="str">
        <f>IF(COUNT($F$3:$F131)=0,"Not Started",IF(SUM($F$3:$F131)/SUM($H$3:$H131)&gt;=1+Settings!$B$26,"Very Overheated",IF(SUM($F$3:$F131)/SUM($H$3:$H131)&gt;=1+Settings!$B$27,"Overheated",IF(SUM($F$3:$F131)/SUM($H$3:$H131)&lt;=1+Settings!$B$30,"Very Soft",IF(SUM($F$3:$F131)/SUM($H$3:$H131)&lt;=1+Settings!$B$29,"Soft","Fair")))))</f>
        <v>Not Started</v>
      </c>
      <c r="K131" s="10"/>
    </row>
    <row r="132" ht="15.75" customHeight="1">
      <c r="A132" s="10"/>
      <c r="B132" s="10"/>
      <c r="C132" s="10"/>
      <c r="D132" s="10"/>
      <c r="E132" s="10"/>
      <c r="F132" s="10"/>
      <c r="G132" s="10"/>
      <c r="H132" s="12" t="str">
        <f t="array" ref="H132">IF($B132="","",XLOOKUP($B132,Players!$A$4:$A$923,Players!$Y$4:$Y$923,""))</f>
        <v/>
      </c>
      <c r="I132" s="12" t="str">
        <f t="shared" si="1"/>
        <v/>
      </c>
      <c r="J132" s="12" t="str">
        <f>IF(COUNT($F$3:$F132)=0,"Not Started",IF(SUM($F$3:$F132)/SUM($H$3:$H132)&gt;=1+Settings!$B$26,"Very Overheated",IF(SUM($F$3:$F132)/SUM($H$3:$H132)&gt;=1+Settings!$B$27,"Overheated",IF(SUM($F$3:$F132)/SUM($H$3:$H132)&lt;=1+Settings!$B$30,"Very Soft",IF(SUM($F$3:$F132)/SUM($H$3:$H132)&lt;=1+Settings!$B$29,"Soft","Fair")))))</f>
        <v>Not Started</v>
      </c>
      <c r="K132" s="10"/>
    </row>
    <row r="133" ht="15.75" customHeight="1">
      <c r="A133" s="10"/>
      <c r="B133" s="10"/>
      <c r="C133" s="10"/>
      <c r="D133" s="10"/>
      <c r="E133" s="10"/>
      <c r="F133" s="10"/>
      <c r="G133" s="10"/>
      <c r="H133" s="12" t="str">
        <f t="array" ref="H133">IF($B133="","",XLOOKUP($B133,Players!$A$4:$A$923,Players!$Y$4:$Y$923,""))</f>
        <v/>
      </c>
      <c r="I133" s="12" t="str">
        <f t="shared" si="1"/>
        <v/>
      </c>
      <c r="J133" s="12" t="str">
        <f>IF(COUNT($F$3:$F133)=0,"Not Started",IF(SUM($F$3:$F133)/SUM($H$3:$H133)&gt;=1+Settings!$B$26,"Very Overheated",IF(SUM($F$3:$F133)/SUM($H$3:$H133)&gt;=1+Settings!$B$27,"Overheated",IF(SUM($F$3:$F133)/SUM($H$3:$H133)&lt;=1+Settings!$B$30,"Very Soft",IF(SUM($F$3:$F133)/SUM($H$3:$H133)&lt;=1+Settings!$B$29,"Soft","Fair")))))</f>
        <v>Not Started</v>
      </c>
      <c r="K133" s="10"/>
    </row>
    <row r="134" ht="15.75" customHeight="1">
      <c r="A134" s="10"/>
      <c r="B134" s="10"/>
      <c r="C134" s="10"/>
      <c r="D134" s="10"/>
      <c r="E134" s="10"/>
      <c r="F134" s="10"/>
      <c r="G134" s="10"/>
      <c r="H134" s="12" t="str">
        <f t="array" ref="H134">IF($B134="","",XLOOKUP($B134,Players!$A$4:$A$923,Players!$Y$4:$Y$923,""))</f>
        <v/>
      </c>
      <c r="I134" s="12" t="str">
        <f t="shared" si="1"/>
        <v/>
      </c>
      <c r="J134" s="12" t="str">
        <f>IF(COUNT($F$3:$F134)=0,"Not Started",IF(SUM($F$3:$F134)/SUM($H$3:$H134)&gt;=1+Settings!$B$26,"Very Overheated",IF(SUM($F$3:$F134)/SUM($H$3:$H134)&gt;=1+Settings!$B$27,"Overheated",IF(SUM($F$3:$F134)/SUM($H$3:$H134)&lt;=1+Settings!$B$30,"Very Soft",IF(SUM($F$3:$F134)/SUM($H$3:$H134)&lt;=1+Settings!$B$29,"Soft","Fair")))))</f>
        <v>Not Started</v>
      </c>
      <c r="K134" s="10"/>
    </row>
    <row r="135" ht="15.75" customHeight="1">
      <c r="A135" s="10"/>
      <c r="B135" s="10"/>
      <c r="C135" s="10"/>
      <c r="D135" s="10"/>
      <c r="E135" s="10"/>
      <c r="F135" s="10"/>
      <c r="G135" s="10"/>
      <c r="H135" s="12" t="str">
        <f t="array" ref="H135">IF($B135="","",XLOOKUP($B135,Players!$A$4:$A$923,Players!$Y$4:$Y$923,""))</f>
        <v/>
      </c>
      <c r="I135" s="12" t="str">
        <f t="shared" si="1"/>
        <v/>
      </c>
      <c r="J135" s="12" t="str">
        <f>IF(COUNT($F$3:$F135)=0,"Not Started",IF(SUM($F$3:$F135)/SUM($H$3:$H135)&gt;=1+Settings!$B$26,"Very Overheated",IF(SUM($F$3:$F135)/SUM($H$3:$H135)&gt;=1+Settings!$B$27,"Overheated",IF(SUM($F$3:$F135)/SUM($H$3:$H135)&lt;=1+Settings!$B$30,"Very Soft",IF(SUM($F$3:$F135)/SUM($H$3:$H135)&lt;=1+Settings!$B$29,"Soft","Fair")))))</f>
        <v>Not Started</v>
      </c>
      <c r="K135" s="10"/>
    </row>
    <row r="136" ht="15.75" customHeight="1">
      <c r="A136" s="10"/>
      <c r="B136" s="10"/>
      <c r="C136" s="10"/>
      <c r="D136" s="10"/>
      <c r="E136" s="10"/>
      <c r="F136" s="10"/>
      <c r="G136" s="10"/>
      <c r="H136" s="12" t="str">
        <f t="array" ref="H136">IF($B136="","",XLOOKUP($B136,Players!$A$4:$A$923,Players!$Y$4:$Y$923,""))</f>
        <v/>
      </c>
      <c r="I136" s="12" t="str">
        <f t="shared" si="1"/>
        <v/>
      </c>
      <c r="J136" s="12" t="str">
        <f>IF(COUNT($F$3:$F136)=0,"Not Started",IF(SUM($F$3:$F136)/SUM($H$3:$H136)&gt;=1+Settings!$B$26,"Very Overheated",IF(SUM($F$3:$F136)/SUM($H$3:$H136)&gt;=1+Settings!$B$27,"Overheated",IF(SUM($F$3:$F136)/SUM($H$3:$H136)&lt;=1+Settings!$B$30,"Very Soft",IF(SUM($F$3:$F136)/SUM($H$3:$H136)&lt;=1+Settings!$B$29,"Soft","Fair")))))</f>
        <v>Not Started</v>
      </c>
      <c r="K136" s="10"/>
    </row>
    <row r="137" ht="15.75" customHeight="1">
      <c r="A137" s="10"/>
      <c r="B137" s="10"/>
      <c r="C137" s="10"/>
      <c r="D137" s="10"/>
      <c r="E137" s="10"/>
      <c r="F137" s="10"/>
      <c r="G137" s="10"/>
      <c r="H137" s="12" t="str">
        <f t="array" ref="H137">IF($B137="","",XLOOKUP($B137,Players!$A$4:$A$923,Players!$Y$4:$Y$923,""))</f>
        <v/>
      </c>
      <c r="I137" s="12" t="str">
        <f t="shared" si="1"/>
        <v/>
      </c>
      <c r="J137" s="12" t="str">
        <f>IF(COUNT($F$3:$F137)=0,"Not Started",IF(SUM($F$3:$F137)/SUM($H$3:$H137)&gt;=1+Settings!$B$26,"Very Overheated",IF(SUM($F$3:$F137)/SUM($H$3:$H137)&gt;=1+Settings!$B$27,"Overheated",IF(SUM($F$3:$F137)/SUM($H$3:$H137)&lt;=1+Settings!$B$30,"Very Soft",IF(SUM($F$3:$F137)/SUM($H$3:$H137)&lt;=1+Settings!$B$29,"Soft","Fair")))))</f>
        <v>Not Started</v>
      </c>
      <c r="K137" s="10"/>
    </row>
    <row r="138" ht="15.75" customHeight="1">
      <c r="A138" s="10"/>
      <c r="B138" s="10"/>
      <c r="C138" s="10"/>
      <c r="D138" s="10"/>
      <c r="E138" s="10"/>
      <c r="F138" s="10"/>
      <c r="G138" s="10"/>
      <c r="H138" s="12" t="str">
        <f t="array" ref="H138">IF($B138="","",XLOOKUP($B138,Players!$A$4:$A$923,Players!$Y$4:$Y$923,""))</f>
        <v/>
      </c>
      <c r="I138" s="12" t="str">
        <f t="shared" si="1"/>
        <v/>
      </c>
      <c r="J138" s="12" t="str">
        <f>IF(COUNT($F$3:$F138)=0,"Not Started",IF(SUM($F$3:$F138)/SUM($H$3:$H138)&gt;=1+Settings!$B$26,"Very Overheated",IF(SUM($F$3:$F138)/SUM($H$3:$H138)&gt;=1+Settings!$B$27,"Overheated",IF(SUM($F$3:$F138)/SUM($H$3:$H138)&lt;=1+Settings!$B$30,"Very Soft",IF(SUM($F$3:$F138)/SUM($H$3:$H138)&lt;=1+Settings!$B$29,"Soft","Fair")))))</f>
        <v>Not Started</v>
      </c>
      <c r="K138" s="10"/>
    </row>
    <row r="139" ht="15.75" customHeight="1">
      <c r="A139" s="10"/>
      <c r="B139" s="10"/>
      <c r="C139" s="10"/>
      <c r="D139" s="10"/>
      <c r="E139" s="10"/>
      <c r="F139" s="10"/>
      <c r="G139" s="10"/>
      <c r="H139" s="12" t="str">
        <f t="array" ref="H139">IF($B139="","",XLOOKUP($B139,Players!$A$4:$A$923,Players!$Y$4:$Y$923,""))</f>
        <v/>
      </c>
      <c r="I139" s="12" t="str">
        <f t="shared" si="1"/>
        <v/>
      </c>
      <c r="J139" s="12" t="str">
        <f>IF(COUNT($F$3:$F139)=0,"Not Started",IF(SUM($F$3:$F139)/SUM($H$3:$H139)&gt;=1+Settings!$B$26,"Very Overheated",IF(SUM($F$3:$F139)/SUM($H$3:$H139)&gt;=1+Settings!$B$27,"Overheated",IF(SUM($F$3:$F139)/SUM($H$3:$H139)&lt;=1+Settings!$B$30,"Very Soft",IF(SUM($F$3:$F139)/SUM($H$3:$H139)&lt;=1+Settings!$B$29,"Soft","Fair")))))</f>
        <v>Not Started</v>
      </c>
      <c r="K139" s="10"/>
    </row>
    <row r="140" ht="15.75" customHeight="1">
      <c r="A140" s="10"/>
      <c r="B140" s="10"/>
      <c r="C140" s="10"/>
      <c r="D140" s="10"/>
      <c r="E140" s="10"/>
      <c r="F140" s="10"/>
      <c r="G140" s="10"/>
      <c r="H140" s="12" t="str">
        <f t="array" ref="H140">IF($B140="","",XLOOKUP($B140,Players!$A$4:$A$923,Players!$Y$4:$Y$923,""))</f>
        <v/>
      </c>
      <c r="I140" s="12" t="str">
        <f t="shared" si="1"/>
        <v/>
      </c>
      <c r="J140" s="12" t="str">
        <f>IF(COUNT($F$3:$F140)=0,"Not Started",IF(SUM($F$3:$F140)/SUM($H$3:$H140)&gt;=1+Settings!$B$26,"Very Overheated",IF(SUM($F$3:$F140)/SUM($H$3:$H140)&gt;=1+Settings!$B$27,"Overheated",IF(SUM($F$3:$F140)/SUM($H$3:$H140)&lt;=1+Settings!$B$30,"Very Soft",IF(SUM($F$3:$F140)/SUM($H$3:$H140)&lt;=1+Settings!$B$29,"Soft","Fair")))))</f>
        <v>Not Started</v>
      </c>
      <c r="K140" s="10"/>
    </row>
    <row r="141" ht="15.75" customHeight="1">
      <c r="A141" s="10"/>
      <c r="B141" s="10"/>
      <c r="C141" s="10"/>
      <c r="D141" s="10"/>
      <c r="E141" s="10"/>
      <c r="F141" s="10"/>
      <c r="G141" s="10"/>
      <c r="H141" s="12" t="str">
        <f t="array" ref="H141">IF($B141="","",XLOOKUP($B141,Players!$A$4:$A$923,Players!$Y$4:$Y$923,""))</f>
        <v/>
      </c>
      <c r="I141" s="12" t="str">
        <f t="shared" si="1"/>
        <v/>
      </c>
      <c r="J141" s="12" t="str">
        <f>IF(COUNT($F$3:$F141)=0,"Not Started",IF(SUM($F$3:$F141)/SUM($H$3:$H141)&gt;=1+Settings!$B$26,"Very Overheated",IF(SUM($F$3:$F141)/SUM($H$3:$H141)&gt;=1+Settings!$B$27,"Overheated",IF(SUM($F$3:$F141)/SUM($H$3:$H141)&lt;=1+Settings!$B$30,"Very Soft",IF(SUM($F$3:$F141)/SUM($H$3:$H141)&lt;=1+Settings!$B$29,"Soft","Fair")))))</f>
        <v>Not Started</v>
      </c>
      <c r="K141" s="10"/>
    </row>
    <row r="142" ht="15.75" customHeight="1">
      <c r="A142" s="10"/>
      <c r="B142" s="10"/>
      <c r="C142" s="10"/>
      <c r="D142" s="10"/>
      <c r="E142" s="10"/>
      <c r="F142" s="10"/>
      <c r="G142" s="10"/>
      <c r="H142" s="12" t="str">
        <f t="array" ref="H142">IF($B142="","",XLOOKUP($B142,Players!$A$4:$A$923,Players!$Y$4:$Y$923,""))</f>
        <v/>
      </c>
      <c r="I142" s="12" t="str">
        <f t="shared" si="1"/>
        <v/>
      </c>
      <c r="J142" s="12" t="str">
        <f>IF(COUNT($F$3:$F142)=0,"Not Started",IF(SUM($F$3:$F142)/SUM($H$3:$H142)&gt;=1+Settings!$B$26,"Very Overheated",IF(SUM($F$3:$F142)/SUM($H$3:$H142)&gt;=1+Settings!$B$27,"Overheated",IF(SUM($F$3:$F142)/SUM($H$3:$H142)&lt;=1+Settings!$B$30,"Very Soft",IF(SUM($F$3:$F142)/SUM($H$3:$H142)&lt;=1+Settings!$B$29,"Soft","Fair")))))</f>
        <v>Not Started</v>
      </c>
      <c r="K142" s="10"/>
    </row>
    <row r="143" ht="15.75" customHeight="1">
      <c r="A143" s="10"/>
      <c r="B143" s="10"/>
      <c r="C143" s="10"/>
      <c r="D143" s="10"/>
      <c r="E143" s="10"/>
      <c r="F143" s="10"/>
      <c r="G143" s="10"/>
      <c r="H143" s="12" t="str">
        <f t="array" ref="H143">IF($B143="","",XLOOKUP($B143,Players!$A$4:$A$923,Players!$Y$4:$Y$923,""))</f>
        <v/>
      </c>
      <c r="I143" s="12" t="str">
        <f t="shared" si="1"/>
        <v/>
      </c>
      <c r="J143" s="12" t="str">
        <f>IF(COUNT($F$3:$F143)=0,"Not Started",IF(SUM($F$3:$F143)/SUM($H$3:$H143)&gt;=1+Settings!$B$26,"Very Overheated",IF(SUM($F$3:$F143)/SUM($H$3:$H143)&gt;=1+Settings!$B$27,"Overheated",IF(SUM($F$3:$F143)/SUM($H$3:$H143)&lt;=1+Settings!$B$30,"Very Soft",IF(SUM($F$3:$F143)/SUM($H$3:$H143)&lt;=1+Settings!$B$29,"Soft","Fair")))))</f>
        <v>Not Started</v>
      </c>
      <c r="K143" s="10"/>
    </row>
    <row r="144" ht="15.75" customHeight="1">
      <c r="A144" s="10"/>
      <c r="B144" s="10"/>
      <c r="C144" s="10"/>
      <c r="D144" s="10"/>
      <c r="E144" s="10"/>
      <c r="F144" s="10"/>
      <c r="G144" s="10"/>
      <c r="H144" s="12" t="str">
        <f t="array" ref="H144">IF($B144="","",XLOOKUP($B144,Players!$A$4:$A$923,Players!$Y$4:$Y$923,""))</f>
        <v/>
      </c>
      <c r="I144" s="12" t="str">
        <f t="shared" si="1"/>
        <v/>
      </c>
      <c r="J144" s="12" t="str">
        <f>IF(COUNT($F$3:$F144)=0,"Not Started",IF(SUM($F$3:$F144)/SUM($H$3:$H144)&gt;=1+Settings!$B$26,"Very Overheated",IF(SUM($F$3:$F144)/SUM($H$3:$H144)&gt;=1+Settings!$B$27,"Overheated",IF(SUM($F$3:$F144)/SUM($H$3:$H144)&lt;=1+Settings!$B$30,"Very Soft",IF(SUM($F$3:$F144)/SUM($H$3:$H144)&lt;=1+Settings!$B$29,"Soft","Fair")))))</f>
        <v>Not Started</v>
      </c>
      <c r="K144" s="10"/>
    </row>
    <row r="145" ht="15.75" customHeight="1">
      <c r="A145" s="10"/>
      <c r="B145" s="10"/>
      <c r="C145" s="10"/>
      <c r="D145" s="10"/>
      <c r="E145" s="10"/>
      <c r="F145" s="10"/>
      <c r="G145" s="10"/>
      <c r="H145" s="12" t="str">
        <f t="array" ref="H145">IF($B145="","",XLOOKUP($B145,Players!$A$4:$A$923,Players!$Y$4:$Y$923,""))</f>
        <v/>
      </c>
      <c r="I145" s="12" t="str">
        <f t="shared" si="1"/>
        <v/>
      </c>
      <c r="J145" s="12" t="str">
        <f>IF(COUNT($F$3:$F145)=0,"Not Started",IF(SUM($F$3:$F145)/SUM($H$3:$H145)&gt;=1+Settings!$B$26,"Very Overheated",IF(SUM($F$3:$F145)/SUM($H$3:$H145)&gt;=1+Settings!$B$27,"Overheated",IF(SUM($F$3:$F145)/SUM($H$3:$H145)&lt;=1+Settings!$B$30,"Very Soft",IF(SUM($F$3:$F145)/SUM($H$3:$H145)&lt;=1+Settings!$B$29,"Soft","Fair")))))</f>
        <v>Not Started</v>
      </c>
      <c r="K145" s="10"/>
    </row>
    <row r="146" ht="15.75" customHeight="1">
      <c r="A146" s="10"/>
      <c r="B146" s="10"/>
      <c r="C146" s="10"/>
      <c r="D146" s="10"/>
      <c r="E146" s="10"/>
      <c r="F146" s="10"/>
      <c r="G146" s="10"/>
      <c r="H146" s="12" t="str">
        <f t="array" ref="H146">IF($B146="","",XLOOKUP($B146,Players!$A$4:$A$923,Players!$Y$4:$Y$923,""))</f>
        <v/>
      </c>
      <c r="I146" s="12" t="str">
        <f t="shared" si="1"/>
        <v/>
      </c>
      <c r="J146" s="12" t="str">
        <f>IF(COUNT($F$3:$F146)=0,"Not Started",IF(SUM($F$3:$F146)/SUM($H$3:$H146)&gt;=1+Settings!$B$26,"Very Overheated",IF(SUM($F$3:$F146)/SUM($H$3:$H146)&gt;=1+Settings!$B$27,"Overheated",IF(SUM($F$3:$F146)/SUM($H$3:$H146)&lt;=1+Settings!$B$30,"Very Soft",IF(SUM($F$3:$F146)/SUM($H$3:$H146)&lt;=1+Settings!$B$29,"Soft","Fair")))))</f>
        <v>Not Started</v>
      </c>
      <c r="K146" s="10"/>
    </row>
    <row r="147" ht="15.75" customHeight="1">
      <c r="A147" s="10"/>
      <c r="B147" s="10"/>
      <c r="C147" s="10"/>
      <c r="D147" s="10"/>
      <c r="E147" s="10"/>
      <c r="F147" s="10"/>
      <c r="G147" s="10"/>
      <c r="H147" s="12" t="str">
        <f t="array" ref="H147">IF($B147="","",XLOOKUP($B147,Players!$A$4:$A$923,Players!$Y$4:$Y$923,""))</f>
        <v/>
      </c>
      <c r="I147" s="12" t="str">
        <f t="shared" si="1"/>
        <v/>
      </c>
      <c r="J147" s="12" t="str">
        <f>IF(COUNT($F$3:$F147)=0,"Not Started",IF(SUM($F$3:$F147)/SUM($H$3:$H147)&gt;=1+Settings!$B$26,"Very Overheated",IF(SUM($F$3:$F147)/SUM($H$3:$H147)&gt;=1+Settings!$B$27,"Overheated",IF(SUM($F$3:$F147)/SUM($H$3:$H147)&lt;=1+Settings!$B$30,"Very Soft",IF(SUM($F$3:$F147)/SUM($H$3:$H147)&lt;=1+Settings!$B$29,"Soft","Fair")))))</f>
        <v>Not Started</v>
      </c>
      <c r="K147" s="10"/>
    </row>
    <row r="148" ht="15.75" customHeight="1">
      <c r="A148" s="10"/>
      <c r="B148" s="10"/>
      <c r="C148" s="10"/>
      <c r="D148" s="10"/>
      <c r="E148" s="10"/>
      <c r="F148" s="10"/>
      <c r="G148" s="10"/>
      <c r="H148" s="12" t="str">
        <f t="array" ref="H148">IF($B148="","",XLOOKUP($B148,Players!$A$4:$A$923,Players!$Y$4:$Y$923,""))</f>
        <v/>
      </c>
      <c r="I148" s="12" t="str">
        <f t="shared" si="1"/>
        <v/>
      </c>
      <c r="J148" s="12" t="str">
        <f>IF(COUNT($F$3:$F148)=0,"Not Started",IF(SUM($F$3:$F148)/SUM($H$3:$H148)&gt;=1+Settings!$B$26,"Very Overheated",IF(SUM($F$3:$F148)/SUM($H$3:$H148)&gt;=1+Settings!$B$27,"Overheated",IF(SUM($F$3:$F148)/SUM($H$3:$H148)&lt;=1+Settings!$B$30,"Very Soft",IF(SUM($F$3:$F148)/SUM($H$3:$H148)&lt;=1+Settings!$B$29,"Soft","Fair")))))</f>
        <v>Not Started</v>
      </c>
      <c r="K148" s="10"/>
    </row>
    <row r="149" ht="15.75" customHeight="1">
      <c r="A149" s="10"/>
      <c r="B149" s="10"/>
      <c r="C149" s="10"/>
      <c r="D149" s="10"/>
      <c r="E149" s="10"/>
      <c r="F149" s="10"/>
      <c r="G149" s="10"/>
      <c r="H149" s="12" t="str">
        <f t="array" ref="H149">IF($B149="","",XLOOKUP($B149,Players!$A$4:$A$923,Players!$Y$4:$Y$923,""))</f>
        <v/>
      </c>
      <c r="I149" s="12" t="str">
        <f t="shared" si="1"/>
        <v/>
      </c>
      <c r="J149" s="12" t="str">
        <f>IF(COUNT($F$3:$F149)=0,"Not Started",IF(SUM($F$3:$F149)/SUM($H$3:$H149)&gt;=1+Settings!$B$26,"Very Overheated",IF(SUM($F$3:$F149)/SUM($H$3:$H149)&gt;=1+Settings!$B$27,"Overheated",IF(SUM($F$3:$F149)/SUM($H$3:$H149)&lt;=1+Settings!$B$30,"Very Soft",IF(SUM($F$3:$F149)/SUM($H$3:$H149)&lt;=1+Settings!$B$29,"Soft","Fair")))))</f>
        <v>Not Started</v>
      </c>
      <c r="K149" s="10"/>
    </row>
    <row r="150" ht="15.75" customHeight="1">
      <c r="A150" s="10"/>
      <c r="B150" s="10"/>
      <c r="C150" s="10"/>
      <c r="D150" s="10"/>
      <c r="E150" s="10"/>
      <c r="F150" s="10"/>
      <c r="G150" s="10"/>
      <c r="H150" s="12" t="str">
        <f t="array" ref="H150">IF($B150="","",XLOOKUP($B150,Players!$A$4:$A$923,Players!$Y$4:$Y$923,""))</f>
        <v/>
      </c>
      <c r="I150" s="12" t="str">
        <f t="shared" si="1"/>
        <v/>
      </c>
      <c r="J150" s="12" t="str">
        <f>IF(COUNT($F$3:$F150)=0,"Not Started",IF(SUM($F$3:$F150)/SUM($H$3:$H150)&gt;=1+Settings!$B$26,"Very Overheated",IF(SUM($F$3:$F150)/SUM($H$3:$H150)&gt;=1+Settings!$B$27,"Overheated",IF(SUM($F$3:$F150)/SUM($H$3:$H150)&lt;=1+Settings!$B$30,"Very Soft",IF(SUM($F$3:$F150)/SUM($H$3:$H150)&lt;=1+Settings!$B$29,"Soft","Fair")))))</f>
        <v>Not Started</v>
      </c>
      <c r="K150" s="10"/>
    </row>
    <row r="151" ht="15.75" customHeight="1">
      <c r="A151" s="10"/>
      <c r="B151" s="10"/>
      <c r="C151" s="10"/>
      <c r="D151" s="10"/>
      <c r="E151" s="10"/>
      <c r="F151" s="10"/>
      <c r="G151" s="10"/>
      <c r="H151" s="12" t="str">
        <f t="array" ref="H151">IF($B151="","",XLOOKUP($B151,Players!$A$4:$A$923,Players!$Y$4:$Y$923,""))</f>
        <v/>
      </c>
      <c r="I151" s="12" t="str">
        <f t="shared" si="1"/>
        <v/>
      </c>
      <c r="J151" s="12" t="str">
        <f>IF(COUNT($F$3:$F151)=0,"Not Started",IF(SUM($F$3:$F151)/SUM($H$3:$H151)&gt;=1+Settings!$B$26,"Very Overheated",IF(SUM($F$3:$F151)/SUM($H$3:$H151)&gt;=1+Settings!$B$27,"Overheated",IF(SUM($F$3:$F151)/SUM($H$3:$H151)&lt;=1+Settings!$B$30,"Very Soft",IF(SUM($F$3:$F151)/SUM($H$3:$H151)&lt;=1+Settings!$B$29,"Soft","Fair")))))</f>
        <v>Not Started</v>
      </c>
      <c r="K151" s="10"/>
    </row>
    <row r="152" ht="15.75" customHeight="1">
      <c r="A152" s="10"/>
      <c r="B152" s="10"/>
      <c r="C152" s="10"/>
      <c r="D152" s="10"/>
      <c r="E152" s="10"/>
      <c r="F152" s="10"/>
      <c r="G152" s="10"/>
      <c r="H152" s="12" t="str">
        <f t="array" ref="H152">IF($B152="","",XLOOKUP($B152,Players!$A$4:$A$923,Players!$Y$4:$Y$923,""))</f>
        <v/>
      </c>
      <c r="I152" s="12" t="str">
        <f t="shared" si="1"/>
        <v/>
      </c>
      <c r="J152" s="12" t="str">
        <f>IF(COUNT($F$3:$F152)=0,"Not Started",IF(SUM($F$3:$F152)/SUM($H$3:$H152)&gt;=1+Settings!$B$26,"Very Overheated",IF(SUM($F$3:$F152)/SUM($H$3:$H152)&gt;=1+Settings!$B$27,"Overheated",IF(SUM($F$3:$F152)/SUM($H$3:$H152)&lt;=1+Settings!$B$30,"Very Soft",IF(SUM($F$3:$F152)/SUM($H$3:$H152)&lt;=1+Settings!$B$29,"Soft","Fair")))))</f>
        <v>Not Started</v>
      </c>
      <c r="K152" s="10"/>
    </row>
    <row r="153" ht="15.75" customHeight="1">
      <c r="A153" s="10"/>
      <c r="B153" s="10"/>
      <c r="C153" s="10"/>
      <c r="D153" s="10"/>
      <c r="E153" s="10"/>
      <c r="F153" s="10"/>
      <c r="G153" s="10"/>
      <c r="H153" s="12" t="str">
        <f t="array" ref="H153">IF($B153="","",XLOOKUP($B153,Players!$A$4:$A$923,Players!$Y$4:$Y$923,""))</f>
        <v/>
      </c>
      <c r="I153" s="12" t="str">
        <f t="shared" si="1"/>
        <v/>
      </c>
      <c r="J153" s="12" t="str">
        <f>IF(COUNT($F$3:$F153)=0,"Not Started",IF(SUM($F$3:$F153)/SUM($H$3:$H153)&gt;=1+Settings!$B$26,"Very Overheated",IF(SUM($F$3:$F153)/SUM($H$3:$H153)&gt;=1+Settings!$B$27,"Overheated",IF(SUM($F$3:$F153)/SUM($H$3:$H153)&lt;=1+Settings!$B$30,"Very Soft",IF(SUM($F$3:$F153)/SUM($H$3:$H153)&lt;=1+Settings!$B$29,"Soft","Fair")))))</f>
        <v>Not Started</v>
      </c>
      <c r="K153" s="10"/>
    </row>
    <row r="154" ht="15.75" customHeight="1">
      <c r="A154" s="10"/>
      <c r="B154" s="10"/>
      <c r="C154" s="10"/>
      <c r="D154" s="10"/>
      <c r="E154" s="10"/>
      <c r="F154" s="10"/>
      <c r="G154" s="10"/>
      <c r="H154" s="12" t="str">
        <f t="array" ref="H154">IF($B154="","",XLOOKUP($B154,Players!$A$4:$A$923,Players!$Y$4:$Y$923,""))</f>
        <v/>
      </c>
      <c r="I154" s="12" t="str">
        <f t="shared" si="1"/>
        <v/>
      </c>
      <c r="J154" s="12" t="str">
        <f>IF(COUNT($F$3:$F154)=0,"Not Started",IF(SUM($F$3:$F154)/SUM($H$3:$H154)&gt;=1+Settings!$B$26,"Very Overheated",IF(SUM($F$3:$F154)/SUM($H$3:$H154)&gt;=1+Settings!$B$27,"Overheated",IF(SUM($F$3:$F154)/SUM($H$3:$H154)&lt;=1+Settings!$B$30,"Very Soft",IF(SUM($F$3:$F154)/SUM($H$3:$H154)&lt;=1+Settings!$B$29,"Soft","Fair")))))</f>
        <v>Not Started</v>
      </c>
      <c r="K154" s="10"/>
    </row>
    <row r="155" ht="15.75" customHeight="1">
      <c r="A155" s="10"/>
      <c r="B155" s="10"/>
      <c r="C155" s="10"/>
      <c r="D155" s="10"/>
      <c r="E155" s="10"/>
      <c r="F155" s="10"/>
      <c r="G155" s="10"/>
      <c r="H155" s="12" t="str">
        <f t="array" ref="H155">IF($B155="","",XLOOKUP($B155,Players!$A$4:$A$923,Players!$Y$4:$Y$923,""))</f>
        <v/>
      </c>
      <c r="I155" s="12" t="str">
        <f t="shared" si="1"/>
        <v/>
      </c>
      <c r="J155" s="12" t="str">
        <f>IF(COUNT($F$3:$F155)=0,"Not Started",IF(SUM($F$3:$F155)/SUM($H$3:$H155)&gt;=1+Settings!$B$26,"Very Overheated",IF(SUM($F$3:$F155)/SUM($H$3:$H155)&gt;=1+Settings!$B$27,"Overheated",IF(SUM($F$3:$F155)/SUM($H$3:$H155)&lt;=1+Settings!$B$30,"Very Soft",IF(SUM($F$3:$F155)/SUM($H$3:$H155)&lt;=1+Settings!$B$29,"Soft","Fair")))))</f>
        <v>Not Started</v>
      </c>
      <c r="K155" s="10"/>
    </row>
    <row r="156" ht="15.75" customHeight="1">
      <c r="A156" s="10"/>
      <c r="B156" s="10"/>
      <c r="C156" s="10"/>
      <c r="D156" s="10"/>
      <c r="E156" s="10"/>
      <c r="F156" s="10"/>
      <c r="G156" s="10"/>
      <c r="H156" s="12" t="str">
        <f t="array" ref="H156">IF($B156="","",XLOOKUP($B156,Players!$A$4:$A$923,Players!$Y$4:$Y$923,""))</f>
        <v/>
      </c>
      <c r="I156" s="12" t="str">
        <f t="shared" si="1"/>
        <v/>
      </c>
      <c r="J156" s="12" t="str">
        <f>IF(COUNT($F$3:$F156)=0,"Not Started",IF(SUM($F$3:$F156)/SUM($H$3:$H156)&gt;=1+Settings!$B$26,"Very Overheated",IF(SUM($F$3:$F156)/SUM($H$3:$H156)&gt;=1+Settings!$B$27,"Overheated",IF(SUM($F$3:$F156)/SUM($H$3:$H156)&lt;=1+Settings!$B$30,"Very Soft",IF(SUM($F$3:$F156)/SUM($H$3:$H156)&lt;=1+Settings!$B$29,"Soft","Fair")))))</f>
        <v>Not Started</v>
      </c>
      <c r="K156" s="10"/>
    </row>
    <row r="157" ht="15.75" customHeight="1">
      <c r="A157" s="10"/>
      <c r="B157" s="10"/>
      <c r="C157" s="10"/>
      <c r="D157" s="10"/>
      <c r="E157" s="10"/>
      <c r="F157" s="10"/>
      <c r="G157" s="10"/>
      <c r="H157" s="12" t="str">
        <f t="array" ref="H157">IF($B157="","",XLOOKUP($B157,Players!$A$4:$A$923,Players!$Y$4:$Y$923,""))</f>
        <v/>
      </c>
      <c r="I157" s="12" t="str">
        <f t="shared" si="1"/>
        <v/>
      </c>
      <c r="J157" s="12" t="str">
        <f>IF(COUNT($F$3:$F157)=0,"Not Started",IF(SUM($F$3:$F157)/SUM($H$3:$H157)&gt;=1+Settings!$B$26,"Very Overheated",IF(SUM($F$3:$F157)/SUM($H$3:$H157)&gt;=1+Settings!$B$27,"Overheated",IF(SUM($F$3:$F157)/SUM($H$3:$H157)&lt;=1+Settings!$B$30,"Very Soft",IF(SUM($F$3:$F157)/SUM($H$3:$H157)&lt;=1+Settings!$B$29,"Soft","Fair")))))</f>
        <v>Not Started</v>
      </c>
      <c r="K157" s="10"/>
    </row>
    <row r="158" ht="15.75" customHeight="1">
      <c r="A158" s="10"/>
      <c r="B158" s="10"/>
      <c r="C158" s="10"/>
      <c r="D158" s="10"/>
      <c r="E158" s="10"/>
      <c r="F158" s="10"/>
      <c r="G158" s="10"/>
      <c r="H158" s="12" t="str">
        <f t="array" ref="H158">IF($B158="","",XLOOKUP($B158,Players!$A$4:$A$923,Players!$Y$4:$Y$923,""))</f>
        <v/>
      </c>
      <c r="I158" s="12" t="str">
        <f t="shared" si="1"/>
        <v/>
      </c>
      <c r="J158" s="12" t="str">
        <f>IF(COUNT($F$3:$F158)=0,"Not Started",IF(SUM($F$3:$F158)/SUM($H$3:$H158)&gt;=1+Settings!$B$26,"Very Overheated",IF(SUM($F$3:$F158)/SUM($H$3:$H158)&gt;=1+Settings!$B$27,"Overheated",IF(SUM($F$3:$F158)/SUM($H$3:$H158)&lt;=1+Settings!$B$30,"Very Soft",IF(SUM($F$3:$F158)/SUM($H$3:$H158)&lt;=1+Settings!$B$29,"Soft","Fair")))))</f>
        <v>Not Started</v>
      </c>
      <c r="K158" s="10"/>
    </row>
    <row r="159" ht="15.75" customHeight="1">
      <c r="A159" s="10"/>
      <c r="B159" s="10"/>
      <c r="C159" s="10"/>
      <c r="D159" s="10"/>
      <c r="E159" s="10"/>
      <c r="F159" s="10"/>
      <c r="G159" s="10"/>
      <c r="H159" s="12" t="str">
        <f t="array" ref="H159">IF($B159="","",XLOOKUP($B159,Players!$A$4:$A$923,Players!$Y$4:$Y$923,""))</f>
        <v/>
      </c>
      <c r="I159" s="12" t="str">
        <f t="shared" si="1"/>
        <v/>
      </c>
      <c r="J159" s="12" t="str">
        <f>IF(COUNT($F$3:$F159)=0,"Not Started",IF(SUM($F$3:$F159)/SUM($H$3:$H159)&gt;=1+Settings!$B$26,"Very Overheated",IF(SUM($F$3:$F159)/SUM($H$3:$H159)&gt;=1+Settings!$B$27,"Overheated",IF(SUM($F$3:$F159)/SUM($H$3:$H159)&lt;=1+Settings!$B$30,"Very Soft",IF(SUM($F$3:$F159)/SUM($H$3:$H159)&lt;=1+Settings!$B$29,"Soft","Fair")))))</f>
        <v>Not Started</v>
      </c>
      <c r="K159" s="10"/>
    </row>
    <row r="160" ht="15.75" customHeight="1">
      <c r="A160" s="10"/>
      <c r="B160" s="10"/>
      <c r="C160" s="10"/>
      <c r="D160" s="10"/>
      <c r="E160" s="10"/>
      <c r="F160" s="10"/>
      <c r="G160" s="10"/>
      <c r="H160" s="12" t="str">
        <f t="array" ref="H160">IF($B160="","",XLOOKUP($B160,Players!$A$4:$A$923,Players!$Y$4:$Y$923,""))</f>
        <v/>
      </c>
      <c r="I160" s="12" t="str">
        <f t="shared" si="1"/>
        <v/>
      </c>
      <c r="J160" s="12" t="str">
        <f>IF(COUNT($F$3:$F160)=0,"Not Started",IF(SUM($F$3:$F160)/SUM($H$3:$H160)&gt;=1+Settings!$B$26,"Very Overheated",IF(SUM($F$3:$F160)/SUM($H$3:$H160)&gt;=1+Settings!$B$27,"Overheated",IF(SUM($F$3:$F160)/SUM($H$3:$H160)&lt;=1+Settings!$B$30,"Very Soft",IF(SUM($F$3:$F160)/SUM($H$3:$H160)&lt;=1+Settings!$B$29,"Soft","Fair")))))</f>
        <v>Not Started</v>
      </c>
      <c r="K160" s="10"/>
    </row>
    <row r="161" ht="15.75" customHeight="1">
      <c r="A161" s="10"/>
      <c r="B161" s="10"/>
      <c r="C161" s="10"/>
      <c r="D161" s="10"/>
      <c r="E161" s="10"/>
      <c r="F161" s="10"/>
      <c r="G161" s="10"/>
      <c r="H161" s="12" t="str">
        <f t="array" ref="H161">IF($B161="","",XLOOKUP($B161,Players!$A$4:$A$923,Players!$Y$4:$Y$923,""))</f>
        <v/>
      </c>
      <c r="I161" s="12" t="str">
        <f t="shared" si="1"/>
        <v/>
      </c>
      <c r="J161" s="12" t="str">
        <f>IF(COUNT($F$3:$F161)=0,"Not Started",IF(SUM($F$3:$F161)/SUM($H$3:$H161)&gt;=1+Settings!$B$26,"Very Overheated",IF(SUM($F$3:$F161)/SUM($H$3:$H161)&gt;=1+Settings!$B$27,"Overheated",IF(SUM($F$3:$F161)/SUM($H$3:$H161)&lt;=1+Settings!$B$30,"Very Soft",IF(SUM($F$3:$F161)/SUM($H$3:$H161)&lt;=1+Settings!$B$29,"Soft","Fair")))))</f>
        <v>Not Started</v>
      </c>
      <c r="K161" s="10"/>
    </row>
    <row r="162" ht="15.75" customHeight="1">
      <c r="A162" s="10"/>
      <c r="B162" s="10"/>
      <c r="C162" s="10"/>
      <c r="D162" s="10"/>
      <c r="E162" s="10"/>
      <c r="F162" s="10"/>
      <c r="G162" s="10"/>
      <c r="H162" s="12" t="str">
        <f t="array" ref="H162">IF($B162="","",XLOOKUP($B162,Players!$A$4:$A$923,Players!$Y$4:$Y$923,""))</f>
        <v/>
      </c>
      <c r="I162" s="12" t="str">
        <f t="shared" si="1"/>
        <v/>
      </c>
      <c r="J162" s="12" t="str">
        <f>IF(COUNT($F$3:$F162)=0,"Not Started",IF(SUM($F$3:$F162)/SUM($H$3:$H162)&gt;=1+Settings!$B$26,"Very Overheated",IF(SUM($F$3:$F162)/SUM($H$3:$H162)&gt;=1+Settings!$B$27,"Overheated",IF(SUM($F$3:$F162)/SUM($H$3:$H162)&lt;=1+Settings!$B$30,"Very Soft",IF(SUM($F$3:$F162)/SUM($H$3:$H162)&lt;=1+Settings!$B$29,"Soft","Fair")))))</f>
        <v>Not Started</v>
      </c>
      <c r="K162" s="10"/>
    </row>
    <row r="163" ht="15.75" customHeight="1">
      <c r="A163" s="10"/>
      <c r="B163" s="10"/>
      <c r="C163" s="10"/>
      <c r="D163" s="10"/>
      <c r="E163" s="10"/>
      <c r="F163" s="10"/>
      <c r="G163" s="10"/>
      <c r="H163" s="12" t="str">
        <f t="array" ref="H163">IF($B163="","",XLOOKUP($B163,Players!$A$4:$A$923,Players!$Y$4:$Y$923,""))</f>
        <v/>
      </c>
      <c r="I163" s="12" t="str">
        <f t="shared" si="1"/>
        <v/>
      </c>
      <c r="J163" s="12" t="str">
        <f>IF(COUNT($F$3:$F163)=0,"Not Started",IF(SUM($F$3:$F163)/SUM($H$3:$H163)&gt;=1+Settings!$B$26,"Very Overheated",IF(SUM($F$3:$F163)/SUM($H$3:$H163)&gt;=1+Settings!$B$27,"Overheated",IF(SUM($F$3:$F163)/SUM($H$3:$H163)&lt;=1+Settings!$B$30,"Very Soft",IF(SUM($F$3:$F163)/SUM($H$3:$H163)&lt;=1+Settings!$B$29,"Soft","Fair")))))</f>
        <v>Not Started</v>
      </c>
      <c r="K163" s="10"/>
    </row>
    <row r="164" ht="15.75" customHeight="1">
      <c r="A164" s="10"/>
      <c r="B164" s="10"/>
      <c r="C164" s="10"/>
      <c r="D164" s="10"/>
      <c r="E164" s="10"/>
      <c r="F164" s="10"/>
      <c r="G164" s="10"/>
      <c r="H164" s="12" t="str">
        <f t="array" ref="H164">IF($B164="","",XLOOKUP($B164,Players!$A$4:$A$923,Players!$Y$4:$Y$923,""))</f>
        <v/>
      </c>
      <c r="I164" s="12" t="str">
        <f t="shared" si="1"/>
        <v/>
      </c>
      <c r="J164" s="12" t="str">
        <f>IF(COUNT($F$3:$F164)=0,"Not Started",IF(SUM($F$3:$F164)/SUM($H$3:$H164)&gt;=1+Settings!$B$26,"Very Overheated",IF(SUM($F$3:$F164)/SUM($H$3:$H164)&gt;=1+Settings!$B$27,"Overheated",IF(SUM($F$3:$F164)/SUM($H$3:$H164)&lt;=1+Settings!$B$30,"Very Soft",IF(SUM($F$3:$F164)/SUM($H$3:$H164)&lt;=1+Settings!$B$29,"Soft","Fair")))))</f>
        <v>Not Started</v>
      </c>
      <c r="K164" s="10"/>
    </row>
    <row r="165" ht="15.75" customHeight="1">
      <c r="A165" s="10"/>
      <c r="B165" s="10"/>
      <c r="C165" s="10"/>
      <c r="D165" s="10"/>
      <c r="E165" s="10"/>
      <c r="F165" s="10"/>
      <c r="G165" s="10"/>
      <c r="H165" s="12" t="str">
        <f t="array" ref="H165">IF($B165="","",XLOOKUP($B165,Players!$A$4:$A$923,Players!$Y$4:$Y$923,""))</f>
        <v/>
      </c>
      <c r="I165" s="12" t="str">
        <f t="shared" si="1"/>
        <v/>
      </c>
      <c r="J165" s="12" t="str">
        <f>IF(COUNT($F$3:$F165)=0,"Not Started",IF(SUM($F$3:$F165)/SUM($H$3:$H165)&gt;=1+Settings!$B$26,"Very Overheated",IF(SUM($F$3:$F165)/SUM($H$3:$H165)&gt;=1+Settings!$B$27,"Overheated",IF(SUM($F$3:$F165)/SUM($H$3:$H165)&lt;=1+Settings!$B$30,"Very Soft",IF(SUM($F$3:$F165)/SUM($H$3:$H165)&lt;=1+Settings!$B$29,"Soft","Fair")))))</f>
        <v>Not Started</v>
      </c>
      <c r="K165" s="10"/>
    </row>
    <row r="166" ht="15.75" customHeight="1">
      <c r="A166" s="10"/>
      <c r="B166" s="10"/>
      <c r="C166" s="10"/>
      <c r="D166" s="10"/>
      <c r="E166" s="10"/>
      <c r="F166" s="10"/>
      <c r="G166" s="10"/>
      <c r="H166" s="12" t="str">
        <f t="array" ref="H166">IF($B166="","",XLOOKUP($B166,Players!$A$4:$A$923,Players!$Y$4:$Y$923,""))</f>
        <v/>
      </c>
      <c r="I166" s="12" t="str">
        <f t="shared" si="1"/>
        <v/>
      </c>
      <c r="J166" s="12" t="str">
        <f>IF(COUNT($F$3:$F166)=0,"Not Started",IF(SUM($F$3:$F166)/SUM($H$3:$H166)&gt;=1+Settings!$B$26,"Very Overheated",IF(SUM($F$3:$F166)/SUM($H$3:$H166)&gt;=1+Settings!$B$27,"Overheated",IF(SUM($F$3:$F166)/SUM($H$3:$H166)&lt;=1+Settings!$B$30,"Very Soft",IF(SUM($F$3:$F166)/SUM($H$3:$H166)&lt;=1+Settings!$B$29,"Soft","Fair")))))</f>
        <v>Not Started</v>
      </c>
      <c r="K166" s="10"/>
    </row>
    <row r="167" ht="15.75" customHeight="1">
      <c r="A167" s="10"/>
      <c r="B167" s="10"/>
      <c r="C167" s="10"/>
      <c r="D167" s="10"/>
      <c r="E167" s="10"/>
      <c r="F167" s="10"/>
      <c r="G167" s="10"/>
      <c r="H167" s="12" t="str">
        <f t="array" ref="H167">IF($B167="","",XLOOKUP($B167,Players!$A$4:$A$923,Players!$Y$4:$Y$923,""))</f>
        <v/>
      </c>
      <c r="I167" s="12" t="str">
        <f t="shared" si="1"/>
        <v/>
      </c>
      <c r="J167" s="12" t="str">
        <f>IF(COUNT($F$3:$F167)=0,"Not Started",IF(SUM($F$3:$F167)/SUM($H$3:$H167)&gt;=1+Settings!$B$26,"Very Overheated",IF(SUM($F$3:$F167)/SUM($H$3:$H167)&gt;=1+Settings!$B$27,"Overheated",IF(SUM($F$3:$F167)/SUM($H$3:$H167)&lt;=1+Settings!$B$30,"Very Soft",IF(SUM($F$3:$F167)/SUM($H$3:$H167)&lt;=1+Settings!$B$29,"Soft","Fair")))))</f>
        <v>Not Started</v>
      </c>
      <c r="K167" s="10"/>
    </row>
    <row r="168" ht="15.75" customHeight="1">
      <c r="A168" s="10"/>
      <c r="B168" s="10"/>
      <c r="C168" s="10"/>
      <c r="D168" s="10"/>
      <c r="E168" s="10"/>
      <c r="F168" s="10"/>
      <c r="G168" s="10"/>
      <c r="H168" s="12" t="str">
        <f t="array" ref="H168">IF($B168="","",XLOOKUP($B168,Players!$A$4:$A$923,Players!$Y$4:$Y$923,""))</f>
        <v/>
      </c>
      <c r="I168" s="12" t="str">
        <f t="shared" si="1"/>
        <v/>
      </c>
      <c r="J168" s="12" t="str">
        <f>IF(COUNT($F$3:$F168)=0,"Not Started",IF(SUM($F$3:$F168)/SUM($H$3:$H168)&gt;=1+Settings!$B$26,"Very Overheated",IF(SUM($F$3:$F168)/SUM($H$3:$H168)&gt;=1+Settings!$B$27,"Overheated",IF(SUM($F$3:$F168)/SUM($H$3:$H168)&lt;=1+Settings!$B$30,"Very Soft",IF(SUM($F$3:$F168)/SUM($H$3:$H168)&lt;=1+Settings!$B$29,"Soft","Fair")))))</f>
        <v>Not Started</v>
      </c>
      <c r="K168" s="10"/>
    </row>
    <row r="169" ht="15.75" customHeight="1">
      <c r="A169" s="10"/>
      <c r="B169" s="10"/>
      <c r="C169" s="10"/>
      <c r="D169" s="10"/>
      <c r="E169" s="10"/>
      <c r="F169" s="10"/>
      <c r="G169" s="10"/>
      <c r="H169" s="12" t="str">
        <f t="array" ref="H169">IF($B169="","",XLOOKUP($B169,Players!$A$4:$A$923,Players!$Y$4:$Y$923,""))</f>
        <v/>
      </c>
      <c r="I169" s="12" t="str">
        <f t="shared" si="1"/>
        <v/>
      </c>
      <c r="J169" s="12" t="str">
        <f>IF(COUNT($F$3:$F169)=0,"Not Started",IF(SUM($F$3:$F169)/SUM($H$3:$H169)&gt;=1+Settings!$B$26,"Very Overheated",IF(SUM($F$3:$F169)/SUM($H$3:$H169)&gt;=1+Settings!$B$27,"Overheated",IF(SUM($F$3:$F169)/SUM($H$3:$H169)&lt;=1+Settings!$B$30,"Very Soft",IF(SUM($F$3:$F169)/SUM($H$3:$H169)&lt;=1+Settings!$B$29,"Soft","Fair")))))</f>
        <v>Not Started</v>
      </c>
      <c r="K169" s="10"/>
    </row>
    <row r="170" ht="15.75" customHeight="1">
      <c r="A170" s="10"/>
      <c r="B170" s="10"/>
      <c r="C170" s="10"/>
      <c r="D170" s="10"/>
      <c r="E170" s="10"/>
      <c r="F170" s="10"/>
      <c r="G170" s="10"/>
      <c r="H170" s="12" t="str">
        <f t="array" ref="H170">IF($B170="","",XLOOKUP($B170,Players!$A$4:$A$923,Players!$Y$4:$Y$923,""))</f>
        <v/>
      </c>
      <c r="I170" s="12" t="str">
        <f t="shared" si="1"/>
        <v/>
      </c>
      <c r="J170" s="12" t="str">
        <f>IF(COUNT($F$3:$F170)=0,"Not Started",IF(SUM($F$3:$F170)/SUM($H$3:$H170)&gt;=1+Settings!$B$26,"Very Overheated",IF(SUM($F$3:$F170)/SUM($H$3:$H170)&gt;=1+Settings!$B$27,"Overheated",IF(SUM($F$3:$F170)/SUM($H$3:$H170)&lt;=1+Settings!$B$30,"Very Soft",IF(SUM($F$3:$F170)/SUM($H$3:$H170)&lt;=1+Settings!$B$29,"Soft","Fair")))))</f>
        <v>Not Started</v>
      </c>
      <c r="K170" s="10"/>
    </row>
    <row r="171" ht="15.75" customHeight="1">
      <c r="A171" s="10"/>
      <c r="B171" s="10"/>
      <c r="C171" s="10"/>
      <c r="D171" s="10"/>
      <c r="E171" s="10"/>
      <c r="F171" s="10"/>
      <c r="G171" s="10"/>
      <c r="H171" s="12" t="str">
        <f t="array" ref="H171">IF($B171="","",XLOOKUP($B171,Players!$A$4:$A$923,Players!$Y$4:$Y$923,""))</f>
        <v/>
      </c>
      <c r="I171" s="12" t="str">
        <f t="shared" si="1"/>
        <v/>
      </c>
      <c r="J171" s="12" t="str">
        <f>IF(COUNT($F$3:$F171)=0,"Not Started",IF(SUM($F$3:$F171)/SUM($H$3:$H171)&gt;=1+Settings!$B$26,"Very Overheated",IF(SUM($F$3:$F171)/SUM($H$3:$H171)&gt;=1+Settings!$B$27,"Overheated",IF(SUM($F$3:$F171)/SUM($H$3:$H171)&lt;=1+Settings!$B$30,"Very Soft",IF(SUM($F$3:$F171)/SUM($H$3:$H171)&lt;=1+Settings!$B$29,"Soft","Fair")))))</f>
        <v>Not Started</v>
      </c>
      <c r="K171" s="10"/>
    </row>
    <row r="172" ht="15.75" customHeight="1">
      <c r="A172" s="10"/>
      <c r="B172" s="10"/>
      <c r="C172" s="10"/>
      <c r="D172" s="10"/>
      <c r="E172" s="10"/>
      <c r="F172" s="10"/>
      <c r="G172" s="10"/>
      <c r="H172" s="12" t="str">
        <f t="array" ref="H172">IF($B172="","",XLOOKUP($B172,Players!$A$4:$A$923,Players!$Y$4:$Y$923,""))</f>
        <v/>
      </c>
      <c r="I172" s="12" t="str">
        <f t="shared" si="1"/>
        <v/>
      </c>
      <c r="J172" s="12" t="str">
        <f>IF(COUNT($F$3:$F172)=0,"Not Started",IF(SUM($F$3:$F172)/SUM($H$3:$H172)&gt;=1+Settings!$B$26,"Very Overheated",IF(SUM($F$3:$F172)/SUM($H$3:$H172)&gt;=1+Settings!$B$27,"Overheated",IF(SUM($F$3:$F172)/SUM($H$3:$H172)&lt;=1+Settings!$B$30,"Very Soft",IF(SUM($F$3:$F172)/SUM($H$3:$H172)&lt;=1+Settings!$B$29,"Soft","Fair")))))</f>
        <v>Not Started</v>
      </c>
      <c r="K172" s="10"/>
    </row>
    <row r="173" ht="15.75" customHeight="1">
      <c r="A173" s="10"/>
      <c r="B173" s="10"/>
      <c r="C173" s="10"/>
      <c r="D173" s="10"/>
      <c r="E173" s="10"/>
      <c r="F173" s="10"/>
      <c r="G173" s="10"/>
      <c r="H173" s="12" t="str">
        <f t="array" ref="H173">IF($B173="","",XLOOKUP($B173,Players!$A$4:$A$923,Players!$Y$4:$Y$923,""))</f>
        <v/>
      </c>
      <c r="I173" s="12" t="str">
        <f t="shared" si="1"/>
        <v/>
      </c>
      <c r="J173" s="12" t="str">
        <f>IF(COUNT($F$3:$F173)=0,"Not Started",IF(SUM($F$3:$F173)/SUM($H$3:$H173)&gt;=1+Settings!$B$26,"Very Overheated",IF(SUM($F$3:$F173)/SUM($H$3:$H173)&gt;=1+Settings!$B$27,"Overheated",IF(SUM($F$3:$F173)/SUM($H$3:$H173)&lt;=1+Settings!$B$30,"Very Soft",IF(SUM($F$3:$F173)/SUM($H$3:$H173)&lt;=1+Settings!$B$29,"Soft","Fair")))))</f>
        <v>Not Started</v>
      </c>
      <c r="K173" s="10"/>
    </row>
    <row r="174" ht="15.75" customHeight="1">
      <c r="A174" s="10"/>
      <c r="B174" s="10"/>
      <c r="C174" s="10"/>
      <c r="D174" s="10"/>
      <c r="E174" s="10"/>
      <c r="F174" s="10"/>
      <c r="G174" s="10"/>
      <c r="H174" s="12" t="str">
        <f t="array" ref="H174">IF($B174="","",XLOOKUP($B174,Players!$A$4:$A$923,Players!$Y$4:$Y$923,""))</f>
        <v/>
      </c>
      <c r="I174" s="12" t="str">
        <f t="shared" si="1"/>
        <v/>
      </c>
      <c r="J174" s="12" t="str">
        <f>IF(COUNT($F$3:$F174)=0,"Not Started",IF(SUM($F$3:$F174)/SUM($H$3:$H174)&gt;=1+Settings!$B$26,"Very Overheated",IF(SUM($F$3:$F174)/SUM($H$3:$H174)&gt;=1+Settings!$B$27,"Overheated",IF(SUM($F$3:$F174)/SUM($H$3:$H174)&lt;=1+Settings!$B$30,"Very Soft",IF(SUM($F$3:$F174)/SUM($H$3:$H174)&lt;=1+Settings!$B$29,"Soft","Fair")))))</f>
        <v>Not Started</v>
      </c>
      <c r="K174" s="10"/>
    </row>
    <row r="175" ht="15.75" customHeight="1">
      <c r="A175" s="10"/>
      <c r="B175" s="10"/>
      <c r="C175" s="10"/>
      <c r="D175" s="10"/>
      <c r="E175" s="10"/>
      <c r="F175" s="10"/>
      <c r="G175" s="10"/>
      <c r="H175" s="12" t="str">
        <f t="array" ref="H175">IF($B175="","",XLOOKUP($B175,Players!$A$4:$A$923,Players!$Y$4:$Y$923,""))</f>
        <v/>
      </c>
      <c r="I175" s="12" t="str">
        <f t="shared" si="1"/>
        <v/>
      </c>
      <c r="J175" s="12" t="str">
        <f>IF(COUNT($F$3:$F175)=0,"Not Started",IF(SUM($F$3:$F175)/SUM($H$3:$H175)&gt;=1+Settings!$B$26,"Very Overheated",IF(SUM($F$3:$F175)/SUM($H$3:$H175)&gt;=1+Settings!$B$27,"Overheated",IF(SUM($F$3:$F175)/SUM($H$3:$H175)&lt;=1+Settings!$B$30,"Very Soft",IF(SUM($F$3:$F175)/SUM($H$3:$H175)&lt;=1+Settings!$B$29,"Soft","Fair")))))</f>
        <v>Not Started</v>
      </c>
      <c r="K175" s="10"/>
    </row>
    <row r="176" ht="15.75" customHeight="1">
      <c r="A176" s="10"/>
      <c r="B176" s="10"/>
      <c r="C176" s="10"/>
      <c r="D176" s="10"/>
      <c r="E176" s="10"/>
      <c r="F176" s="10"/>
      <c r="G176" s="10"/>
      <c r="H176" s="12" t="str">
        <f t="array" ref="H176">IF($B176="","",XLOOKUP($B176,Players!$A$4:$A$923,Players!$Y$4:$Y$923,""))</f>
        <v/>
      </c>
      <c r="I176" s="12" t="str">
        <f t="shared" si="1"/>
        <v/>
      </c>
      <c r="J176" s="12" t="str">
        <f>IF(COUNT($F$3:$F176)=0,"Not Started",IF(SUM($F$3:$F176)/SUM($H$3:$H176)&gt;=1+Settings!$B$26,"Very Overheated",IF(SUM($F$3:$F176)/SUM($H$3:$H176)&gt;=1+Settings!$B$27,"Overheated",IF(SUM($F$3:$F176)/SUM($H$3:$H176)&lt;=1+Settings!$B$30,"Very Soft",IF(SUM($F$3:$F176)/SUM($H$3:$H176)&lt;=1+Settings!$B$29,"Soft","Fair")))))</f>
        <v>Not Started</v>
      </c>
      <c r="K176" s="10"/>
    </row>
    <row r="177" ht="15.75" customHeight="1">
      <c r="A177" s="10"/>
      <c r="B177" s="10"/>
      <c r="C177" s="10"/>
      <c r="D177" s="10"/>
      <c r="E177" s="10"/>
      <c r="F177" s="10"/>
      <c r="G177" s="10"/>
      <c r="H177" s="12" t="str">
        <f t="array" ref="H177">IF($B177="","",XLOOKUP($B177,Players!$A$4:$A$923,Players!$Y$4:$Y$923,""))</f>
        <v/>
      </c>
      <c r="I177" s="12" t="str">
        <f t="shared" si="1"/>
        <v/>
      </c>
      <c r="J177" s="12" t="str">
        <f>IF(COUNT($F$3:$F177)=0,"Not Started",IF(SUM($F$3:$F177)/SUM($H$3:$H177)&gt;=1+Settings!$B$26,"Very Overheated",IF(SUM($F$3:$F177)/SUM($H$3:$H177)&gt;=1+Settings!$B$27,"Overheated",IF(SUM($F$3:$F177)/SUM($H$3:$H177)&lt;=1+Settings!$B$30,"Very Soft",IF(SUM($F$3:$F177)/SUM($H$3:$H177)&lt;=1+Settings!$B$29,"Soft","Fair")))))</f>
        <v>Not Started</v>
      </c>
      <c r="K177" s="10"/>
    </row>
    <row r="178" ht="15.75" customHeight="1">
      <c r="A178" s="10"/>
      <c r="B178" s="10"/>
      <c r="C178" s="10"/>
      <c r="D178" s="10"/>
      <c r="E178" s="10"/>
      <c r="F178" s="10"/>
      <c r="G178" s="10"/>
      <c r="H178" s="12" t="str">
        <f t="array" ref="H178">IF($B178="","",XLOOKUP($B178,Players!$A$4:$A$923,Players!$Y$4:$Y$923,""))</f>
        <v/>
      </c>
      <c r="I178" s="12" t="str">
        <f t="shared" si="1"/>
        <v/>
      </c>
      <c r="J178" s="12" t="str">
        <f>IF(COUNT($F$3:$F178)=0,"Not Started",IF(SUM($F$3:$F178)/SUM($H$3:$H178)&gt;=1+Settings!$B$26,"Very Overheated",IF(SUM($F$3:$F178)/SUM($H$3:$H178)&gt;=1+Settings!$B$27,"Overheated",IF(SUM($F$3:$F178)/SUM($H$3:$H178)&lt;=1+Settings!$B$30,"Very Soft",IF(SUM($F$3:$F178)/SUM($H$3:$H178)&lt;=1+Settings!$B$29,"Soft","Fair")))))</f>
        <v>Not Started</v>
      </c>
      <c r="K178" s="10"/>
    </row>
    <row r="179" ht="15.75" customHeight="1">
      <c r="A179" s="10"/>
      <c r="B179" s="10"/>
      <c r="C179" s="10"/>
      <c r="D179" s="10"/>
      <c r="E179" s="10"/>
      <c r="F179" s="10"/>
      <c r="G179" s="10"/>
      <c r="H179" s="12" t="str">
        <f t="array" ref="H179">IF($B179="","",XLOOKUP($B179,Players!$A$4:$A$923,Players!$Y$4:$Y$923,""))</f>
        <v/>
      </c>
      <c r="I179" s="12" t="str">
        <f t="shared" si="1"/>
        <v/>
      </c>
      <c r="J179" s="12" t="str">
        <f>IF(COUNT($F$3:$F179)=0,"Not Started",IF(SUM($F$3:$F179)/SUM($H$3:$H179)&gt;=1+Settings!$B$26,"Very Overheated",IF(SUM($F$3:$F179)/SUM($H$3:$H179)&gt;=1+Settings!$B$27,"Overheated",IF(SUM($F$3:$F179)/SUM($H$3:$H179)&lt;=1+Settings!$B$30,"Very Soft",IF(SUM($F$3:$F179)/SUM($H$3:$H179)&lt;=1+Settings!$B$29,"Soft","Fair")))))</f>
        <v>Not Started</v>
      </c>
      <c r="K179" s="10"/>
    </row>
    <row r="180" ht="15.75" customHeight="1">
      <c r="A180" s="10"/>
      <c r="B180" s="10"/>
      <c r="C180" s="10"/>
      <c r="D180" s="10"/>
      <c r="E180" s="10"/>
      <c r="F180" s="10"/>
      <c r="G180" s="10"/>
      <c r="H180" s="12" t="str">
        <f t="array" ref="H180">IF($B180="","",XLOOKUP($B180,Players!$A$4:$A$923,Players!$Y$4:$Y$923,""))</f>
        <v/>
      </c>
      <c r="I180" s="12" t="str">
        <f t="shared" si="1"/>
        <v/>
      </c>
      <c r="J180" s="12" t="str">
        <f>IF(COUNT($F$3:$F180)=0,"Not Started",IF(SUM($F$3:$F180)/SUM($H$3:$H180)&gt;=1+Settings!$B$26,"Very Overheated",IF(SUM($F$3:$F180)/SUM($H$3:$H180)&gt;=1+Settings!$B$27,"Overheated",IF(SUM($F$3:$F180)/SUM($H$3:$H180)&lt;=1+Settings!$B$30,"Very Soft",IF(SUM($F$3:$F180)/SUM($H$3:$H180)&lt;=1+Settings!$B$29,"Soft","Fair")))))</f>
        <v>Not Started</v>
      </c>
      <c r="K180" s="10"/>
    </row>
    <row r="181" ht="15.75" customHeight="1">
      <c r="A181" s="10"/>
      <c r="B181" s="10"/>
      <c r="C181" s="10"/>
      <c r="D181" s="10"/>
      <c r="E181" s="10"/>
      <c r="F181" s="10"/>
      <c r="G181" s="10"/>
      <c r="H181" s="12" t="str">
        <f t="array" ref="H181">IF($B181="","",XLOOKUP($B181,Players!$A$4:$A$923,Players!$Y$4:$Y$923,""))</f>
        <v/>
      </c>
      <c r="I181" s="12" t="str">
        <f t="shared" si="1"/>
        <v/>
      </c>
      <c r="J181" s="12" t="str">
        <f>IF(COUNT($F$3:$F181)=0,"Not Started",IF(SUM($F$3:$F181)/SUM($H$3:$H181)&gt;=1+Settings!$B$26,"Very Overheated",IF(SUM($F$3:$F181)/SUM($H$3:$H181)&gt;=1+Settings!$B$27,"Overheated",IF(SUM($F$3:$F181)/SUM($H$3:$H181)&lt;=1+Settings!$B$30,"Very Soft",IF(SUM($F$3:$F181)/SUM($H$3:$H181)&lt;=1+Settings!$B$29,"Soft","Fair")))))</f>
        <v>Not Started</v>
      </c>
      <c r="K181" s="10"/>
    </row>
    <row r="182" ht="15.75" customHeight="1">
      <c r="A182" s="10"/>
      <c r="B182" s="10"/>
      <c r="C182" s="10"/>
      <c r="D182" s="10"/>
      <c r="E182" s="10"/>
      <c r="F182" s="10"/>
      <c r="G182" s="10"/>
      <c r="H182" s="12" t="str">
        <f t="array" ref="H182">IF($B182="","",XLOOKUP($B182,Players!$A$4:$A$923,Players!$Y$4:$Y$923,""))</f>
        <v/>
      </c>
      <c r="I182" s="12" t="str">
        <f t="shared" si="1"/>
        <v/>
      </c>
      <c r="J182" s="12" t="str">
        <f>IF(COUNT($F$3:$F182)=0,"Not Started",IF(SUM($F$3:$F182)/SUM($H$3:$H182)&gt;=1+Settings!$B$26,"Very Overheated",IF(SUM($F$3:$F182)/SUM($H$3:$H182)&gt;=1+Settings!$B$27,"Overheated",IF(SUM($F$3:$F182)/SUM($H$3:$H182)&lt;=1+Settings!$B$30,"Very Soft",IF(SUM($F$3:$F182)/SUM($H$3:$H182)&lt;=1+Settings!$B$29,"Soft","Fair")))))</f>
        <v>Not Started</v>
      </c>
      <c r="K182" s="10"/>
    </row>
    <row r="183" ht="15.75" customHeight="1">
      <c r="A183" s="10"/>
      <c r="B183" s="10"/>
      <c r="C183" s="10"/>
      <c r="D183" s="10"/>
      <c r="E183" s="10"/>
      <c r="F183" s="10"/>
      <c r="G183" s="10"/>
      <c r="H183" s="12" t="str">
        <f t="array" ref="H183">IF($B183="","",XLOOKUP($B183,Players!$A$4:$A$923,Players!$Y$4:$Y$923,""))</f>
        <v/>
      </c>
      <c r="I183" s="12" t="str">
        <f t="shared" si="1"/>
        <v/>
      </c>
      <c r="J183" s="12" t="str">
        <f>IF(COUNT($F$3:$F183)=0,"Not Started",IF(SUM($F$3:$F183)/SUM($H$3:$H183)&gt;=1+Settings!$B$26,"Very Overheated",IF(SUM($F$3:$F183)/SUM($H$3:$H183)&gt;=1+Settings!$B$27,"Overheated",IF(SUM($F$3:$F183)/SUM($H$3:$H183)&lt;=1+Settings!$B$30,"Very Soft",IF(SUM($F$3:$F183)/SUM($H$3:$H183)&lt;=1+Settings!$B$29,"Soft","Fair")))))</f>
        <v>Not Started</v>
      </c>
      <c r="K183" s="10"/>
    </row>
    <row r="184" ht="15.75" customHeight="1">
      <c r="A184" s="10"/>
      <c r="B184" s="10"/>
      <c r="C184" s="10"/>
      <c r="D184" s="10"/>
      <c r="E184" s="10"/>
      <c r="F184" s="10"/>
      <c r="G184" s="10"/>
      <c r="H184" s="12" t="str">
        <f t="array" ref="H184">IF($B184="","",XLOOKUP($B184,Players!$A$4:$A$923,Players!$Y$4:$Y$923,""))</f>
        <v/>
      </c>
      <c r="I184" s="12" t="str">
        <f t="shared" si="1"/>
        <v/>
      </c>
      <c r="J184" s="12" t="str">
        <f>IF(COUNT($F$3:$F184)=0,"Not Started",IF(SUM($F$3:$F184)/SUM($H$3:$H184)&gt;=1+Settings!$B$26,"Very Overheated",IF(SUM($F$3:$F184)/SUM($H$3:$H184)&gt;=1+Settings!$B$27,"Overheated",IF(SUM($F$3:$F184)/SUM($H$3:$H184)&lt;=1+Settings!$B$30,"Very Soft",IF(SUM($F$3:$F184)/SUM($H$3:$H184)&lt;=1+Settings!$B$29,"Soft","Fair")))))</f>
        <v>Not Started</v>
      </c>
      <c r="K184" s="10"/>
    </row>
    <row r="185" ht="15.75" customHeight="1">
      <c r="A185" s="10"/>
      <c r="B185" s="10"/>
      <c r="C185" s="10"/>
      <c r="D185" s="10"/>
      <c r="E185" s="10"/>
      <c r="F185" s="10"/>
      <c r="G185" s="10"/>
      <c r="H185" s="12" t="str">
        <f t="array" ref="H185">IF($B185="","",XLOOKUP($B185,Players!$A$4:$A$923,Players!$Y$4:$Y$923,""))</f>
        <v/>
      </c>
      <c r="I185" s="12" t="str">
        <f t="shared" si="1"/>
        <v/>
      </c>
      <c r="J185" s="12" t="str">
        <f>IF(COUNT($F$3:$F185)=0,"Not Started",IF(SUM($F$3:$F185)/SUM($H$3:$H185)&gt;=1+Settings!$B$26,"Very Overheated",IF(SUM($F$3:$F185)/SUM($H$3:$H185)&gt;=1+Settings!$B$27,"Overheated",IF(SUM($F$3:$F185)/SUM($H$3:$H185)&lt;=1+Settings!$B$30,"Very Soft",IF(SUM($F$3:$F185)/SUM($H$3:$H185)&lt;=1+Settings!$B$29,"Soft","Fair")))))</f>
        <v>Not Started</v>
      </c>
      <c r="K185" s="10"/>
    </row>
    <row r="186" ht="15.75" customHeight="1">
      <c r="A186" s="10"/>
      <c r="B186" s="10"/>
      <c r="C186" s="10"/>
      <c r="D186" s="10"/>
      <c r="E186" s="10"/>
      <c r="F186" s="10"/>
      <c r="G186" s="10"/>
      <c r="H186" s="12" t="str">
        <f t="array" ref="H186">IF($B186="","",XLOOKUP($B186,Players!$A$4:$A$923,Players!$Y$4:$Y$923,""))</f>
        <v/>
      </c>
      <c r="I186" s="12" t="str">
        <f t="shared" si="1"/>
        <v/>
      </c>
      <c r="J186" s="12" t="str">
        <f>IF(COUNT($F$3:$F186)=0,"Not Started",IF(SUM($F$3:$F186)/SUM($H$3:$H186)&gt;=1+Settings!$B$26,"Very Overheated",IF(SUM($F$3:$F186)/SUM($H$3:$H186)&gt;=1+Settings!$B$27,"Overheated",IF(SUM($F$3:$F186)/SUM($H$3:$H186)&lt;=1+Settings!$B$30,"Very Soft",IF(SUM($F$3:$F186)/SUM($H$3:$H186)&lt;=1+Settings!$B$29,"Soft","Fair")))))</f>
        <v>Not Started</v>
      </c>
      <c r="K186" s="10"/>
    </row>
    <row r="187" ht="15.75" customHeight="1">
      <c r="A187" s="10"/>
      <c r="B187" s="10"/>
      <c r="C187" s="10"/>
      <c r="D187" s="10"/>
      <c r="E187" s="10"/>
      <c r="F187" s="10"/>
      <c r="G187" s="10"/>
      <c r="H187" s="12" t="str">
        <f t="array" ref="H187">IF($B187="","",XLOOKUP($B187,Players!$A$4:$A$923,Players!$Y$4:$Y$923,""))</f>
        <v/>
      </c>
      <c r="I187" s="12" t="str">
        <f t="shared" si="1"/>
        <v/>
      </c>
      <c r="J187" s="12" t="str">
        <f>IF(COUNT($F$3:$F187)=0,"Not Started",IF(SUM($F$3:$F187)/SUM($H$3:$H187)&gt;=1+Settings!$B$26,"Very Overheated",IF(SUM($F$3:$F187)/SUM($H$3:$H187)&gt;=1+Settings!$B$27,"Overheated",IF(SUM($F$3:$F187)/SUM($H$3:$H187)&lt;=1+Settings!$B$30,"Very Soft",IF(SUM($F$3:$F187)/SUM($H$3:$H187)&lt;=1+Settings!$B$29,"Soft","Fair")))))</f>
        <v>Not Started</v>
      </c>
      <c r="K187" s="10"/>
    </row>
    <row r="188" ht="15.75" customHeight="1">
      <c r="A188" s="10"/>
      <c r="B188" s="10"/>
      <c r="C188" s="10"/>
      <c r="D188" s="10"/>
      <c r="E188" s="10"/>
      <c r="F188" s="10"/>
      <c r="G188" s="10"/>
      <c r="H188" s="12" t="str">
        <f t="array" ref="H188">IF($B188="","",XLOOKUP($B188,Players!$A$4:$A$923,Players!$Y$4:$Y$923,""))</f>
        <v/>
      </c>
      <c r="I188" s="12" t="str">
        <f t="shared" si="1"/>
        <v/>
      </c>
      <c r="J188" s="12" t="str">
        <f>IF(COUNT($F$3:$F188)=0,"Not Started",IF(SUM($F$3:$F188)/SUM($H$3:$H188)&gt;=1+Settings!$B$26,"Very Overheated",IF(SUM($F$3:$F188)/SUM($H$3:$H188)&gt;=1+Settings!$B$27,"Overheated",IF(SUM($F$3:$F188)/SUM($H$3:$H188)&lt;=1+Settings!$B$30,"Very Soft",IF(SUM($F$3:$F188)/SUM($H$3:$H188)&lt;=1+Settings!$B$29,"Soft","Fair")))))</f>
        <v>Not Started</v>
      </c>
      <c r="K188" s="10"/>
    </row>
    <row r="189" ht="15.75" customHeight="1">
      <c r="A189" s="10"/>
      <c r="B189" s="10"/>
      <c r="C189" s="10"/>
      <c r="D189" s="10"/>
      <c r="E189" s="10"/>
      <c r="F189" s="10"/>
      <c r="G189" s="10"/>
      <c r="H189" s="12" t="str">
        <f t="array" ref="H189">IF($B189="","",XLOOKUP($B189,Players!$A$4:$A$923,Players!$Y$4:$Y$923,""))</f>
        <v/>
      </c>
      <c r="I189" s="12" t="str">
        <f t="shared" si="1"/>
        <v/>
      </c>
      <c r="J189" s="12" t="str">
        <f>IF(COUNT($F$3:$F189)=0,"Not Started",IF(SUM($F$3:$F189)/SUM($H$3:$H189)&gt;=1+Settings!$B$26,"Very Overheated",IF(SUM($F$3:$F189)/SUM($H$3:$H189)&gt;=1+Settings!$B$27,"Overheated",IF(SUM($F$3:$F189)/SUM($H$3:$H189)&lt;=1+Settings!$B$30,"Very Soft",IF(SUM($F$3:$F189)/SUM($H$3:$H189)&lt;=1+Settings!$B$29,"Soft","Fair")))))</f>
        <v>Not Started</v>
      </c>
      <c r="K189" s="10"/>
    </row>
    <row r="190" ht="15.75" customHeight="1">
      <c r="A190" s="10"/>
      <c r="B190" s="10"/>
      <c r="C190" s="10"/>
      <c r="D190" s="10"/>
      <c r="E190" s="10"/>
      <c r="F190" s="10"/>
      <c r="G190" s="10"/>
      <c r="H190" s="12" t="str">
        <f t="array" ref="H190">IF($B190="","",XLOOKUP($B190,Players!$A$4:$A$923,Players!$Y$4:$Y$923,""))</f>
        <v/>
      </c>
      <c r="I190" s="12" t="str">
        <f t="shared" si="1"/>
        <v/>
      </c>
      <c r="J190" s="12" t="str">
        <f>IF(COUNT($F$3:$F190)=0,"Not Started",IF(SUM($F$3:$F190)/SUM($H$3:$H190)&gt;=1+Settings!$B$26,"Very Overheated",IF(SUM($F$3:$F190)/SUM($H$3:$H190)&gt;=1+Settings!$B$27,"Overheated",IF(SUM($F$3:$F190)/SUM($H$3:$H190)&lt;=1+Settings!$B$30,"Very Soft",IF(SUM($F$3:$F190)/SUM($H$3:$H190)&lt;=1+Settings!$B$29,"Soft","Fair")))))</f>
        <v>Not Started</v>
      </c>
      <c r="K190" s="10"/>
    </row>
    <row r="191" ht="15.75" customHeight="1">
      <c r="A191" s="10"/>
      <c r="B191" s="10"/>
      <c r="C191" s="10"/>
      <c r="D191" s="10"/>
      <c r="E191" s="10"/>
      <c r="F191" s="10"/>
      <c r="G191" s="10"/>
      <c r="H191" s="12" t="str">
        <f t="array" ref="H191">IF($B191="","",XLOOKUP($B191,Players!$A$4:$A$923,Players!$Y$4:$Y$923,""))</f>
        <v/>
      </c>
      <c r="I191" s="12" t="str">
        <f t="shared" si="1"/>
        <v/>
      </c>
      <c r="J191" s="12" t="str">
        <f>IF(COUNT($F$3:$F191)=0,"Not Started",IF(SUM($F$3:$F191)/SUM($H$3:$H191)&gt;=1+Settings!$B$26,"Very Overheated",IF(SUM($F$3:$F191)/SUM($H$3:$H191)&gt;=1+Settings!$B$27,"Overheated",IF(SUM($F$3:$F191)/SUM($H$3:$H191)&lt;=1+Settings!$B$30,"Very Soft",IF(SUM($F$3:$F191)/SUM($H$3:$H191)&lt;=1+Settings!$B$29,"Soft","Fair")))))</f>
        <v>Not Started</v>
      </c>
      <c r="K191" s="10"/>
    </row>
    <row r="192" ht="15.75" customHeight="1">
      <c r="A192" s="10"/>
      <c r="B192" s="10"/>
      <c r="C192" s="10"/>
      <c r="D192" s="10"/>
      <c r="E192" s="10"/>
      <c r="F192" s="10"/>
      <c r="G192" s="10"/>
      <c r="H192" s="12" t="str">
        <f t="array" ref="H192">IF($B192="","",XLOOKUP($B192,Players!$A$4:$A$923,Players!$Y$4:$Y$923,""))</f>
        <v/>
      </c>
      <c r="I192" s="12" t="str">
        <f t="shared" si="1"/>
        <v/>
      </c>
      <c r="J192" s="12" t="str">
        <f>IF(COUNT($F$3:$F192)=0,"Not Started",IF(SUM($F$3:$F192)/SUM($H$3:$H192)&gt;=1+Settings!$B$26,"Very Overheated",IF(SUM($F$3:$F192)/SUM($H$3:$H192)&gt;=1+Settings!$B$27,"Overheated",IF(SUM($F$3:$F192)/SUM($H$3:$H192)&lt;=1+Settings!$B$30,"Very Soft",IF(SUM($F$3:$F192)/SUM($H$3:$H192)&lt;=1+Settings!$B$29,"Soft","Fair")))))</f>
        <v>Not Started</v>
      </c>
      <c r="K192" s="10"/>
    </row>
    <row r="193" ht="15.75" customHeight="1">
      <c r="A193" s="10"/>
      <c r="B193" s="10"/>
      <c r="C193" s="10"/>
      <c r="D193" s="10"/>
      <c r="E193" s="10"/>
      <c r="F193" s="10"/>
      <c r="G193" s="10"/>
      <c r="H193" s="12" t="str">
        <f t="array" ref="H193">IF($B193="","",XLOOKUP($B193,Players!$A$4:$A$923,Players!$Y$4:$Y$923,""))</f>
        <v/>
      </c>
      <c r="I193" s="12" t="str">
        <f t="shared" si="1"/>
        <v/>
      </c>
      <c r="J193" s="12" t="str">
        <f>IF(COUNT($F$3:$F193)=0,"Not Started",IF(SUM($F$3:$F193)/SUM($H$3:$H193)&gt;=1+Settings!$B$26,"Very Overheated",IF(SUM($F$3:$F193)/SUM($H$3:$H193)&gt;=1+Settings!$B$27,"Overheated",IF(SUM($F$3:$F193)/SUM($H$3:$H193)&lt;=1+Settings!$B$30,"Very Soft",IF(SUM($F$3:$F193)/SUM($H$3:$H193)&lt;=1+Settings!$B$29,"Soft","Fair")))))</f>
        <v>Not Started</v>
      </c>
      <c r="K193" s="10"/>
    </row>
    <row r="194" ht="15.75" customHeight="1">
      <c r="A194" s="10"/>
      <c r="B194" s="10"/>
      <c r="C194" s="10"/>
      <c r="D194" s="10"/>
      <c r="E194" s="10"/>
      <c r="F194" s="10"/>
      <c r="G194" s="10"/>
      <c r="H194" s="12" t="str">
        <f t="array" ref="H194">IF($B194="","",XLOOKUP($B194,Players!$A$4:$A$923,Players!$Y$4:$Y$923,""))</f>
        <v/>
      </c>
      <c r="I194" s="12" t="str">
        <f t="shared" si="1"/>
        <v/>
      </c>
      <c r="J194" s="12" t="str">
        <f>IF(COUNT($F$3:$F194)=0,"Not Started",IF(SUM($F$3:$F194)/SUM($H$3:$H194)&gt;=1+Settings!$B$26,"Very Overheated",IF(SUM($F$3:$F194)/SUM($H$3:$H194)&gt;=1+Settings!$B$27,"Overheated",IF(SUM($F$3:$F194)/SUM($H$3:$H194)&lt;=1+Settings!$B$30,"Very Soft",IF(SUM($F$3:$F194)/SUM($H$3:$H194)&lt;=1+Settings!$B$29,"Soft","Fair")))))</f>
        <v>Not Started</v>
      </c>
      <c r="K194" s="10"/>
    </row>
    <row r="195" ht="15.75" customHeight="1">
      <c r="A195" s="10"/>
      <c r="B195" s="10"/>
      <c r="C195" s="10"/>
      <c r="D195" s="10"/>
      <c r="E195" s="10"/>
      <c r="F195" s="10"/>
      <c r="G195" s="10"/>
      <c r="H195" s="12" t="str">
        <f t="array" ref="H195">IF($B195="","",XLOOKUP($B195,Players!$A$4:$A$923,Players!$Y$4:$Y$923,""))</f>
        <v/>
      </c>
      <c r="I195" s="12" t="str">
        <f t="shared" si="1"/>
        <v/>
      </c>
      <c r="J195" s="12" t="str">
        <f>IF(COUNT($F$3:$F195)=0,"Not Started",IF(SUM($F$3:$F195)/SUM($H$3:$H195)&gt;=1+Settings!$B$26,"Very Overheated",IF(SUM($F$3:$F195)/SUM($H$3:$H195)&gt;=1+Settings!$B$27,"Overheated",IF(SUM($F$3:$F195)/SUM($H$3:$H195)&lt;=1+Settings!$B$30,"Very Soft",IF(SUM($F$3:$F195)/SUM($H$3:$H195)&lt;=1+Settings!$B$29,"Soft","Fair")))))</f>
        <v>Not Started</v>
      </c>
      <c r="K195" s="10"/>
    </row>
    <row r="196" ht="15.75" customHeight="1">
      <c r="A196" s="10"/>
      <c r="B196" s="10"/>
      <c r="C196" s="10"/>
      <c r="D196" s="10"/>
      <c r="E196" s="10"/>
      <c r="F196" s="10"/>
      <c r="G196" s="10"/>
      <c r="H196" s="12" t="str">
        <f t="array" ref="H196">IF($B196="","",XLOOKUP($B196,Players!$A$4:$A$923,Players!$Y$4:$Y$923,""))</f>
        <v/>
      </c>
      <c r="I196" s="12" t="str">
        <f t="shared" si="1"/>
        <v/>
      </c>
      <c r="J196" s="12" t="str">
        <f>IF(COUNT($F$3:$F196)=0,"Not Started",IF(SUM($F$3:$F196)/SUM($H$3:$H196)&gt;=1+Settings!$B$26,"Very Overheated",IF(SUM($F$3:$F196)/SUM($H$3:$H196)&gt;=1+Settings!$B$27,"Overheated",IF(SUM($F$3:$F196)/SUM($H$3:$H196)&lt;=1+Settings!$B$30,"Very Soft",IF(SUM($F$3:$F196)/SUM($H$3:$H196)&lt;=1+Settings!$B$29,"Soft","Fair")))))</f>
        <v>Not Started</v>
      </c>
      <c r="K196" s="10"/>
    </row>
    <row r="197" ht="15.75" customHeight="1">
      <c r="A197" s="10"/>
      <c r="B197" s="10"/>
      <c r="C197" s="10"/>
      <c r="D197" s="10"/>
      <c r="E197" s="10"/>
      <c r="F197" s="10"/>
      <c r="G197" s="10"/>
      <c r="H197" s="12" t="str">
        <f t="array" ref="H197">IF($B197="","",XLOOKUP($B197,Players!$A$4:$A$923,Players!$Y$4:$Y$923,""))</f>
        <v/>
      </c>
      <c r="I197" s="12" t="str">
        <f t="shared" si="1"/>
        <v/>
      </c>
      <c r="J197" s="12" t="str">
        <f>IF(COUNT($F$3:$F197)=0,"Not Started",IF(SUM($F$3:$F197)/SUM($H$3:$H197)&gt;=1+Settings!$B$26,"Very Overheated",IF(SUM($F$3:$F197)/SUM($H$3:$H197)&gt;=1+Settings!$B$27,"Overheated",IF(SUM($F$3:$F197)/SUM($H$3:$H197)&lt;=1+Settings!$B$30,"Very Soft",IF(SUM($F$3:$F197)/SUM($H$3:$H197)&lt;=1+Settings!$B$29,"Soft","Fair")))))</f>
        <v>Not Started</v>
      </c>
      <c r="K197" s="10"/>
    </row>
    <row r="198" ht="15.75" customHeight="1">
      <c r="A198" s="10"/>
      <c r="B198" s="10"/>
      <c r="C198" s="10"/>
      <c r="D198" s="10"/>
      <c r="E198" s="10"/>
      <c r="F198" s="10"/>
      <c r="G198" s="10"/>
      <c r="H198" s="12" t="str">
        <f t="array" ref="H198">IF($B198="","",XLOOKUP($B198,Players!$A$4:$A$923,Players!$Y$4:$Y$923,""))</f>
        <v/>
      </c>
      <c r="I198" s="12" t="str">
        <f t="shared" si="1"/>
        <v/>
      </c>
      <c r="J198" s="12" t="str">
        <f>IF(COUNT($F$3:$F198)=0,"Not Started",IF(SUM($F$3:$F198)/SUM($H$3:$H198)&gt;=1+Settings!$B$26,"Very Overheated",IF(SUM($F$3:$F198)/SUM($H$3:$H198)&gt;=1+Settings!$B$27,"Overheated",IF(SUM($F$3:$F198)/SUM($H$3:$H198)&lt;=1+Settings!$B$30,"Very Soft",IF(SUM($F$3:$F198)/SUM($H$3:$H198)&lt;=1+Settings!$B$29,"Soft","Fair")))))</f>
        <v>Not Started</v>
      </c>
      <c r="K198" s="10"/>
    </row>
    <row r="199" ht="15.75" customHeight="1">
      <c r="A199" s="10"/>
      <c r="B199" s="10"/>
      <c r="C199" s="10"/>
      <c r="D199" s="10"/>
      <c r="E199" s="10"/>
      <c r="F199" s="10"/>
      <c r="G199" s="10"/>
      <c r="H199" s="12" t="str">
        <f t="array" ref="H199">IF($B199="","",XLOOKUP($B199,Players!$A$4:$A$923,Players!$Y$4:$Y$923,""))</f>
        <v/>
      </c>
      <c r="I199" s="12" t="str">
        <f t="shared" si="1"/>
        <v/>
      </c>
      <c r="J199" s="12" t="str">
        <f>IF(COUNT($F$3:$F199)=0,"Not Started",IF(SUM($F$3:$F199)/SUM($H$3:$H199)&gt;=1+Settings!$B$26,"Very Overheated",IF(SUM($F$3:$F199)/SUM($H$3:$H199)&gt;=1+Settings!$B$27,"Overheated",IF(SUM($F$3:$F199)/SUM($H$3:$H199)&lt;=1+Settings!$B$30,"Very Soft",IF(SUM($F$3:$F199)/SUM($H$3:$H199)&lt;=1+Settings!$B$29,"Soft","Fair")))))</f>
        <v>Not Started</v>
      </c>
      <c r="K199" s="10"/>
    </row>
    <row r="200" ht="15.75" customHeight="1">
      <c r="A200" s="10"/>
      <c r="B200" s="10"/>
      <c r="C200" s="10"/>
      <c r="D200" s="10"/>
      <c r="E200" s="10"/>
      <c r="F200" s="10"/>
      <c r="G200" s="10"/>
      <c r="H200" s="12" t="str">
        <f t="array" ref="H200">IF($B200="","",XLOOKUP($B200,Players!$A$4:$A$923,Players!$Y$4:$Y$923,""))</f>
        <v/>
      </c>
      <c r="I200" s="12" t="str">
        <f t="shared" si="1"/>
        <v/>
      </c>
      <c r="J200" s="12" t="str">
        <f>IF(COUNT($F$3:$F200)=0,"Not Started",IF(SUM($F$3:$F200)/SUM($H$3:$H200)&gt;=1+Settings!$B$26,"Very Overheated",IF(SUM($F$3:$F200)/SUM($H$3:$H200)&gt;=1+Settings!$B$27,"Overheated",IF(SUM($F$3:$F200)/SUM($H$3:$H200)&lt;=1+Settings!$B$30,"Very Soft",IF(SUM($F$3:$F200)/SUM($H$3:$H200)&lt;=1+Settings!$B$29,"Soft","Fair")))))</f>
        <v>Not Started</v>
      </c>
      <c r="K200" s="10"/>
    </row>
    <row r="201" ht="15.75" customHeight="1">
      <c r="A201" s="10"/>
      <c r="B201" s="10"/>
      <c r="C201" s="10"/>
      <c r="D201" s="10"/>
      <c r="E201" s="10"/>
      <c r="F201" s="10"/>
      <c r="G201" s="10"/>
      <c r="H201" s="12" t="str">
        <f t="array" ref="H201">IF($B201="","",XLOOKUP($B201,Players!$A$4:$A$923,Players!$Y$4:$Y$923,""))</f>
        <v/>
      </c>
      <c r="I201" s="12" t="str">
        <f t="shared" si="1"/>
        <v/>
      </c>
      <c r="J201" s="12" t="str">
        <f>IF(COUNT($F$3:$F201)=0,"Not Started",IF(SUM($F$3:$F201)/SUM($H$3:$H201)&gt;=1+Settings!$B$26,"Very Overheated",IF(SUM($F$3:$F201)/SUM($H$3:$H201)&gt;=1+Settings!$B$27,"Overheated",IF(SUM($F$3:$F201)/SUM($H$3:$H201)&lt;=1+Settings!$B$30,"Very Soft",IF(SUM($F$3:$F201)/SUM($H$3:$H201)&lt;=1+Settings!$B$29,"Soft","Fair")))))</f>
        <v>Not Started</v>
      </c>
      <c r="K201" s="10"/>
    </row>
    <row r="202" ht="15.75" customHeight="1">
      <c r="A202" s="10"/>
      <c r="B202" s="10"/>
      <c r="C202" s="10"/>
      <c r="D202" s="10"/>
      <c r="E202" s="10"/>
      <c r="F202" s="10"/>
      <c r="G202" s="10"/>
      <c r="H202" s="12" t="str">
        <f t="array" ref="H202">IF($B202="","",XLOOKUP($B202,Players!$A$4:$A$923,Players!$Y$4:$Y$923,""))</f>
        <v/>
      </c>
      <c r="I202" s="12" t="str">
        <f t="shared" si="1"/>
        <v/>
      </c>
      <c r="J202" s="12" t="str">
        <f>IF(COUNT($F$3:$F202)=0,"Not Started",IF(SUM($F$3:$F202)/SUM($H$3:$H202)&gt;=1+Settings!$B$26,"Very Overheated",IF(SUM($F$3:$F202)/SUM($H$3:$H202)&gt;=1+Settings!$B$27,"Overheated",IF(SUM($F$3:$F202)/SUM($H$3:$H202)&lt;=1+Settings!$B$30,"Very Soft",IF(SUM($F$3:$F202)/SUM($H$3:$H202)&lt;=1+Settings!$B$29,"Soft","Fair")))))</f>
        <v>Not Started</v>
      </c>
      <c r="K202" s="10"/>
    </row>
    <row r="203" ht="15.75" customHeight="1">
      <c r="A203" s="10"/>
      <c r="B203" s="10"/>
      <c r="C203" s="10"/>
      <c r="D203" s="10"/>
      <c r="E203" s="10"/>
      <c r="F203" s="10"/>
      <c r="G203" s="10"/>
      <c r="H203" s="12" t="str">
        <f t="array" ref="H203">IF($B203="","",XLOOKUP($B203,Players!$A$4:$A$923,Players!$Y$4:$Y$923,""))</f>
        <v/>
      </c>
      <c r="I203" s="12" t="str">
        <f t="shared" si="1"/>
        <v/>
      </c>
      <c r="J203" s="12" t="str">
        <f>IF(COUNT($F$3:$F203)=0,"Not Started",IF(SUM($F$3:$F203)/SUM($H$3:$H203)&gt;=1+Settings!$B$26,"Very Overheated",IF(SUM($F$3:$F203)/SUM($H$3:$H203)&gt;=1+Settings!$B$27,"Overheated",IF(SUM($F$3:$F203)/SUM($H$3:$H203)&lt;=1+Settings!$B$30,"Very Soft",IF(SUM($F$3:$F203)/SUM($H$3:$H203)&lt;=1+Settings!$B$29,"Soft","Fair")))))</f>
        <v>Not Started</v>
      </c>
      <c r="K203" s="10"/>
    </row>
    <row r="204" ht="15.75" customHeight="1">
      <c r="A204" s="10"/>
      <c r="B204" s="10"/>
      <c r="C204" s="10"/>
      <c r="D204" s="10"/>
      <c r="E204" s="10"/>
      <c r="F204" s="10"/>
      <c r="G204" s="10"/>
      <c r="H204" s="12" t="str">
        <f t="array" ref="H204">IF($B204="","",XLOOKUP($B204,Players!$A$4:$A$923,Players!$Y$4:$Y$923,""))</f>
        <v/>
      </c>
      <c r="I204" s="12" t="str">
        <f t="shared" si="1"/>
        <v/>
      </c>
      <c r="J204" s="12" t="str">
        <f>IF(COUNT($F$3:$F204)=0,"Not Started",IF(SUM($F$3:$F204)/SUM($H$3:$H204)&gt;=1+Settings!$B$26,"Very Overheated",IF(SUM($F$3:$F204)/SUM($H$3:$H204)&gt;=1+Settings!$B$27,"Overheated",IF(SUM($F$3:$F204)/SUM($H$3:$H204)&lt;=1+Settings!$B$30,"Very Soft",IF(SUM($F$3:$F204)/SUM($H$3:$H204)&lt;=1+Settings!$B$29,"Soft","Fair")))))</f>
        <v>Not Started</v>
      </c>
      <c r="K204" s="10"/>
    </row>
    <row r="205" ht="15.75" customHeight="1">
      <c r="A205" s="10"/>
      <c r="B205" s="10"/>
      <c r="C205" s="10"/>
      <c r="D205" s="10"/>
      <c r="E205" s="10"/>
      <c r="F205" s="10"/>
      <c r="G205" s="10"/>
      <c r="H205" s="12" t="str">
        <f t="array" ref="H205">IF($B205="","",XLOOKUP($B205,Players!$A$4:$A$923,Players!$Y$4:$Y$923,""))</f>
        <v/>
      </c>
      <c r="I205" s="12" t="str">
        <f t="shared" si="1"/>
        <v/>
      </c>
      <c r="J205" s="12" t="str">
        <f>IF(COUNT($F$3:$F205)=0,"Not Started",IF(SUM($F$3:$F205)/SUM($H$3:$H205)&gt;=1+Settings!$B$26,"Very Overheated",IF(SUM($F$3:$F205)/SUM($H$3:$H205)&gt;=1+Settings!$B$27,"Overheated",IF(SUM($F$3:$F205)/SUM($H$3:$H205)&lt;=1+Settings!$B$30,"Very Soft",IF(SUM($F$3:$F205)/SUM($H$3:$H205)&lt;=1+Settings!$B$29,"Soft","Fair")))))</f>
        <v>Not Started</v>
      </c>
      <c r="K205" s="10"/>
    </row>
    <row r="206" ht="15.75" customHeight="1">
      <c r="A206" s="10"/>
      <c r="B206" s="10"/>
      <c r="C206" s="10"/>
      <c r="D206" s="10"/>
      <c r="E206" s="10"/>
      <c r="F206" s="10"/>
      <c r="G206" s="10"/>
      <c r="H206" s="12" t="str">
        <f t="array" ref="H206">IF($B206="","",XLOOKUP($B206,Players!$A$4:$A$923,Players!$Y$4:$Y$923,""))</f>
        <v/>
      </c>
      <c r="I206" s="12" t="str">
        <f t="shared" si="1"/>
        <v/>
      </c>
      <c r="J206" s="12" t="str">
        <f>IF(COUNT($F$3:$F206)=0,"Not Started",IF(SUM($F$3:$F206)/SUM($H$3:$H206)&gt;=1+Settings!$B$26,"Very Overheated",IF(SUM($F$3:$F206)/SUM($H$3:$H206)&gt;=1+Settings!$B$27,"Overheated",IF(SUM($F$3:$F206)/SUM($H$3:$H206)&lt;=1+Settings!$B$30,"Very Soft",IF(SUM($F$3:$F206)/SUM($H$3:$H206)&lt;=1+Settings!$B$29,"Soft","Fair")))))</f>
        <v>Not Started</v>
      </c>
      <c r="K206" s="10"/>
    </row>
    <row r="207" ht="15.75" customHeight="1">
      <c r="A207" s="10"/>
      <c r="B207" s="10"/>
      <c r="C207" s="10"/>
      <c r="D207" s="10"/>
      <c r="E207" s="10"/>
      <c r="F207" s="10"/>
      <c r="G207" s="10"/>
      <c r="H207" s="12" t="str">
        <f t="array" ref="H207">IF($B207="","",XLOOKUP($B207,Players!$A$4:$A$923,Players!$Y$4:$Y$923,""))</f>
        <v/>
      </c>
      <c r="I207" s="12" t="str">
        <f t="shared" si="1"/>
        <v/>
      </c>
      <c r="J207" s="12" t="str">
        <f>IF(COUNT($F$3:$F207)=0,"Not Started",IF(SUM($F$3:$F207)/SUM($H$3:$H207)&gt;=1+Settings!$B$26,"Very Overheated",IF(SUM($F$3:$F207)/SUM($H$3:$H207)&gt;=1+Settings!$B$27,"Overheated",IF(SUM($F$3:$F207)/SUM($H$3:$H207)&lt;=1+Settings!$B$30,"Very Soft",IF(SUM($F$3:$F207)/SUM($H$3:$H207)&lt;=1+Settings!$B$29,"Soft","Fair")))))</f>
        <v>Not Started</v>
      </c>
      <c r="K207" s="10"/>
    </row>
    <row r="208" ht="15.75" customHeight="1">
      <c r="A208" s="10"/>
      <c r="B208" s="10"/>
      <c r="C208" s="10"/>
      <c r="D208" s="10"/>
      <c r="E208" s="10"/>
      <c r="F208" s="10"/>
      <c r="G208" s="10"/>
      <c r="H208" s="12" t="str">
        <f t="array" ref="H208">IF($B208="","",XLOOKUP($B208,Players!$A$4:$A$923,Players!$Y$4:$Y$923,""))</f>
        <v/>
      </c>
      <c r="I208" s="12" t="str">
        <f t="shared" si="1"/>
        <v/>
      </c>
      <c r="J208" s="12" t="str">
        <f>IF(COUNT($F$3:$F208)=0,"Not Started",IF(SUM($F$3:$F208)/SUM($H$3:$H208)&gt;=1+Settings!$B$26,"Very Overheated",IF(SUM($F$3:$F208)/SUM($H$3:$H208)&gt;=1+Settings!$B$27,"Overheated",IF(SUM($F$3:$F208)/SUM($H$3:$H208)&lt;=1+Settings!$B$30,"Very Soft",IF(SUM($F$3:$F208)/SUM($H$3:$H208)&lt;=1+Settings!$B$29,"Soft","Fair")))))</f>
        <v>Not Started</v>
      </c>
      <c r="K208" s="10"/>
    </row>
    <row r="209" ht="15.75" customHeight="1">
      <c r="A209" s="10"/>
      <c r="B209" s="10"/>
      <c r="C209" s="10"/>
      <c r="D209" s="10"/>
      <c r="E209" s="10"/>
      <c r="F209" s="10"/>
      <c r="G209" s="10"/>
      <c r="H209" s="12" t="str">
        <f t="array" ref="H209">IF($B209="","",XLOOKUP($B209,Players!$A$4:$A$923,Players!$Y$4:$Y$923,""))</f>
        <v/>
      </c>
      <c r="I209" s="12" t="str">
        <f t="shared" si="1"/>
        <v/>
      </c>
      <c r="J209" s="12" t="str">
        <f>IF(COUNT($F$3:$F209)=0,"Not Started",IF(SUM($F$3:$F209)/SUM($H$3:$H209)&gt;=1+Settings!$B$26,"Very Overheated",IF(SUM($F$3:$F209)/SUM($H$3:$H209)&gt;=1+Settings!$B$27,"Overheated",IF(SUM($F$3:$F209)/SUM($H$3:$H209)&lt;=1+Settings!$B$30,"Very Soft",IF(SUM($F$3:$F209)/SUM($H$3:$H209)&lt;=1+Settings!$B$29,"Soft","Fair")))))</f>
        <v>Not Started</v>
      </c>
      <c r="K209" s="10"/>
    </row>
    <row r="210" ht="15.75" customHeight="1">
      <c r="A210" s="10"/>
      <c r="B210" s="10"/>
      <c r="C210" s="10"/>
      <c r="D210" s="10"/>
      <c r="E210" s="10"/>
      <c r="F210" s="10"/>
      <c r="G210" s="10"/>
      <c r="H210" s="12" t="str">
        <f t="array" ref="H210">IF($B210="","",XLOOKUP($B210,Players!$A$4:$A$923,Players!$Y$4:$Y$923,""))</f>
        <v/>
      </c>
      <c r="I210" s="12" t="str">
        <f t="shared" si="1"/>
        <v/>
      </c>
      <c r="J210" s="12" t="str">
        <f>IF(COUNT($F$3:$F210)=0,"Not Started",IF(SUM($F$3:$F210)/SUM($H$3:$H210)&gt;=1+Settings!$B$26,"Very Overheated",IF(SUM($F$3:$F210)/SUM($H$3:$H210)&gt;=1+Settings!$B$27,"Overheated",IF(SUM($F$3:$F210)/SUM($H$3:$H210)&lt;=1+Settings!$B$30,"Very Soft",IF(SUM($F$3:$F210)/SUM($H$3:$H210)&lt;=1+Settings!$B$29,"Soft","Fair")))))</f>
        <v>Not Started</v>
      </c>
      <c r="K210" s="10"/>
    </row>
    <row r="211" ht="15.75" customHeight="1">
      <c r="A211" s="10"/>
      <c r="B211" s="10"/>
      <c r="C211" s="10"/>
      <c r="D211" s="10"/>
      <c r="E211" s="10"/>
      <c r="F211" s="10"/>
      <c r="G211" s="10"/>
      <c r="H211" s="12" t="str">
        <f t="array" ref="H211">IF($B211="","",XLOOKUP($B211,Players!$A$4:$A$923,Players!$Y$4:$Y$923,""))</f>
        <v/>
      </c>
      <c r="I211" s="12" t="str">
        <f t="shared" si="1"/>
        <v/>
      </c>
      <c r="J211" s="12" t="str">
        <f>IF(COUNT($F$3:$F211)=0,"Not Started",IF(SUM($F$3:$F211)/SUM($H$3:$H211)&gt;=1+Settings!$B$26,"Very Overheated",IF(SUM($F$3:$F211)/SUM($H$3:$H211)&gt;=1+Settings!$B$27,"Overheated",IF(SUM($F$3:$F211)/SUM($H$3:$H211)&lt;=1+Settings!$B$30,"Very Soft",IF(SUM($F$3:$F211)/SUM($H$3:$H211)&lt;=1+Settings!$B$29,"Soft","Fair")))))</f>
        <v>Not Started</v>
      </c>
      <c r="K211" s="10"/>
    </row>
    <row r="212" ht="15.75" customHeight="1">
      <c r="A212" s="10"/>
      <c r="B212" s="10"/>
      <c r="C212" s="10"/>
      <c r="D212" s="10"/>
      <c r="E212" s="10"/>
      <c r="F212" s="10"/>
      <c r="G212" s="10"/>
      <c r="H212" s="12" t="str">
        <f t="array" ref="H212">IF($B212="","",XLOOKUP($B212,Players!$A$4:$A$923,Players!$Y$4:$Y$923,""))</f>
        <v/>
      </c>
      <c r="I212" s="12" t="str">
        <f t="shared" si="1"/>
        <v/>
      </c>
      <c r="J212" s="12" t="str">
        <f>IF(COUNT($F$3:$F212)=0,"Not Started",IF(SUM($F$3:$F212)/SUM($H$3:$H212)&gt;=1+Settings!$B$26,"Very Overheated",IF(SUM($F$3:$F212)/SUM($H$3:$H212)&gt;=1+Settings!$B$27,"Overheated",IF(SUM($F$3:$F212)/SUM($H$3:$H212)&lt;=1+Settings!$B$30,"Very Soft",IF(SUM($F$3:$F212)/SUM($H$3:$H212)&lt;=1+Settings!$B$29,"Soft","Fair")))))</f>
        <v>Not Started</v>
      </c>
      <c r="K212" s="10"/>
    </row>
    <row r="213" ht="15.75" customHeight="1">
      <c r="A213" s="10"/>
      <c r="B213" s="10"/>
      <c r="C213" s="10"/>
      <c r="D213" s="10"/>
      <c r="E213" s="10"/>
      <c r="F213" s="10"/>
      <c r="G213" s="10"/>
      <c r="H213" s="12" t="str">
        <f t="array" ref="H213">IF($B213="","",XLOOKUP($B213,Players!$A$4:$A$923,Players!$Y$4:$Y$923,""))</f>
        <v/>
      </c>
      <c r="I213" s="12" t="str">
        <f t="shared" si="1"/>
        <v/>
      </c>
      <c r="J213" s="12" t="str">
        <f>IF(COUNT($F$3:$F213)=0,"Not Started",IF(SUM($F$3:$F213)/SUM($H$3:$H213)&gt;=1+Settings!$B$26,"Very Overheated",IF(SUM($F$3:$F213)/SUM($H$3:$H213)&gt;=1+Settings!$B$27,"Overheated",IF(SUM($F$3:$F213)/SUM($H$3:$H213)&lt;=1+Settings!$B$30,"Very Soft",IF(SUM($F$3:$F213)/SUM($H$3:$H213)&lt;=1+Settings!$B$29,"Soft","Fair")))))</f>
        <v>Not Started</v>
      </c>
      <c r="K213" s="10"/>
    </row>
    <row r="214" ht="15.75" customHeight="1">
      <c r="A214" s="10"/>
      <c r="B214" s="10"/>
      <c r="C214" s="10"/>
      <c r="D214" s="10"/>
      <c r="E214" s="10"/>
      <c r="F214" s="10"/>
      <c r="G214" s="10"/>
      <c r="H214" s="12" t="str">
        <f t="array" ref="H214">IF($B214="","",XLOOKUP($B214,Players!$A$4:$A$923,Players!$Y$4:$Y$923,""))</f>
        <v/>
      </c>
      <c r="I214" s="12" t="str">
        <f t="shared" si="1"/>
        <v/>
      </c>
      <c r="J214" s="12" t="str">
        <f>IF(COUNT($F$3:$F214)=0,"Not Started",IF(SUM($F$3:$F214)/SUM($H$3:$H214)&gt;=1+Settings!$B$26,"Very Overheated",IF(SUM($F$3:$F214)/SUM($H$3:$H214)&gt;=1+Settings!$B$27,"Overheated",IF(SUM($F$3:$F214)/SUM($H$3:$H214)&lt;=1+Settings!$B$30,"Very Soft",IF(SUM($F$3:$F214)/SUM($H$3:$H214)&lt;=1+Settings!$B$29,"Soft","Fair")))))</f>
        <v>Not Started</v>
      </c>
      <c r="K214" s="10"/>
    </row>
    <row r="215" ht="15.75" customHeight="1">
      <c r="A215" s="10"/>
      <c r="B215" s="10"/>
      <c r="C215" s="10"/>
      <c r="D215" s="10"/>
      <c r="E215" s="10"/>
      <c r="F215" s="10"/>
      <c r="G215" s="10"/>
      <c r="H215" s="12" t="str">
        <f t="array" ref="H215">IF($B215="","",XLOOKUP($B215,Players!$A$4:$A$923,Players!$Y$4:$Y$923,""))</f>
        <v/>
      </c>
      <c r="I215" s="12" t="str">
        <f t="shared" si="1"/>
        <v/>
      </c>
      <c r="J215" s="12" t="str">
        <f>IF(COUNT($F$3:$F215)=0,"Not Started",IF(SUM($F$3:$F215)/SUM($H$3:$H215)&gt;=1+Settings!$B$26,"Very Overheated",IF(SUM($F$3:$F215)/SUM($H$3:$H215)&gt;=1+Settings!$B$27,"Overheated",IF(SUM($F$3:$F215)/SUM($H$3:$H215)&lt;=1+Settings!$B$30,"Very Soft",IF(SUM($F$3:$F215)/SUM($H$3:$H215)&lt;=1+Settings!$B$29,"Soft","Fair")))))</f>
        <v>Not Started</v>
      </c>
      <c r="K215" s="10"/>
    </row>
    <row r="216" ht="15.75" customHeight="1">
      <c r="A216" s="10"/>
      <c r="B216" s="10"/>
      <c r="C216" s="10"/>
      <c r="D216" s="10"/>
      <c r="E216" s="10"/>
      <c r="F216" s="10"/>
      <c r="G216" s="10"/>
      <c r="H216" s="12" t="str">
        <f t="array" ref="H216">IF($B216="","",XLOOKUP($B216,Players!$A$4:$A$923,Players!$Y$4:$Y$923,""))</f>
        <v/>
      </c>
      <c r="I216" s="12" t="str">
        <f t="shared" si="1"/>
        <v/>
      </c>
      <c r="J216" s="12" t="str">
        <f>IF(COUNT($F$3:$F216)=0,"Not Started",IF(SUM($F$3:$F216)/SUM($H$3:$H216)&gt;=1+Settings!$B$26,"Very Overheated",IF(SUM($F$3:$F216)/SUM($H$3:$H216)&gt;=1+Settings!$B$27,"Overheated",IF(SUM($F$3:$F216)/SUM($H$3:$H216)&lt;=1+Settings!$B$30,"Very Soft",IF(SUM($F$3:$F216)/SUM($H$3:$H216)&lt;=1+Settings!$B$29,"Soft","Fair")))))</f>
        <v>Not Started</v>
      </c>
      <c r="K216" s="10"/>
    </row>
    <row r="217" ht="15.75" customHeight="1">
      <c r="A217" s="10"/>
      <c r="B217" s="10"/>
      <c r="C217" s="10"/>
      <c r="D217" s="10"/>
      <c r="E217" s="10"/>
      <c r="F217" s="10"/>
      <c r="G217" s="10"/>
      <c r="H217" s="12" t="str">
        <f t="array" ref="H217">IF($B217="","",XLOOKUP($B217,Players!$A$4:$A$923,Players!$Y$4:$Y$923,""))</f>
        <v/>
      </c>
      <c r="I217" s="12" t="str">
        <f t="shared" si="1"/>
        <v/>
      </c>
      <c r="J217" s="12" t="str">
        <f>IF(COUNT($F$3:$F217)=0,"Not Started",IF(SUM($F$3:$F217)/SUM($H$3:$H217)&gt;=1+Settings!$B$26,"Very Overheated",IF(SUM($F$3:$F217)/SUM($H$3:$H217)&gt;=1+Settings!$B$27,"Overheated",IF(SUM($F$3:$F217)/SUM($H$3:$H217)&lt;=1+Settings!$B$30,"Very Soft",IF(SUM($F$3:$F217)/SUM($H$3:$H217)&lt;=1+Settings!$B$29,"Soft","Fair")))))</f>
        <v>Not Started</v>
      </c>
      <c r="K217" s="10"/>
    </row>
    <row r="218" ht="15.75" customHeight="1">
      <c r="A218" s="10"/>
      <c r="B218" s="10"/>
      <c r="C218" s="10"/>
      <c r="D218" s="10"/>
      <c r="E218" s="10"/>
      <c r="F218" s="10"/>
      <c r="G218" s="10"/>
      <c r="H218" s="12" t="str">
        <f t="array" ref="H218">IF($B218="","",XLOOKUP($B218,Players!$A$4:$A$923,Players!$Y$4:$Y$923,""))</f>
        <v/>
      </c>
      <c r="I218" s="12" t="str">
        <f t="shared" si="1"/>
        <v/>
      </c>
      <c r="J218" s="12" t="str">
        <f>IF(COUNT($F$3:$F218)=0,"Not Started",IF(SUM($F$3:$F218)/SUM($H$3:$H218)&gt;=1+Settings!$B$26,"Very Overheated",IF(SUM($F$3:$F218)/SUM($H$3:$H218)&gt;=1+Settings!$B$27,"Overheated",IF(SUM($F$3:$F218)/SUM($H$3:$H218)&lt;=1+Settings!$B$30,"Very Soft",IF(SUM($F$3:$F218)/SUM($H$3:$H218)&lt;=1+Settings!$B$29,"Soft","Fair")))))</f>
        <v>Not Started</v>
      </c>
      <c r="K218" s="10"/>
    </row>
    <row r="219" ht="15.75" customHeight="1">
      <c r="A219" s="10"/>
      <c r="B219" s="10"/>
      <c r="C219" s="10"/>
      <c r="D219" s="10"/>
      <c r="E219" s="10"/>
      <c r="F219" s="10"/>
      <c r="G219" s="10"/>
      <c r="H219" s="12" t="str">
        <f t="array" ref="H219">IF($B219="","",XLOOKUP($B219,Players!$A$4:$A$923,Players!$Y$4:$Y$923,""))</f>
        <v/>
      </c>
      <c r="I219" s="12" t="str">
        <f t="shared" si="1"/>
        <v/>
      </c>
      <c r="J219" s="12" t="str">
        <f>IF(COUNT($F$3:$F219)=0,"Not Started",IF(SUM($F$3:$F219)/SUM($H$3:$H219)&gt;=1+Settings!$B$26,"Very Overheated",IF(SUM($F$3:$F219)/SUM($H$3:$H219)&gt;=1+Settings!$B$27,"Overheated",IF(SUM($F$3:$F219)/SUM($H$3:$H219)&lt;=1+Settings!$B$30,"Very Soft",IF(SUM($F$3:$F219)/SUM($H$3:$H219)&lt;=1+Settings!$B$29,"Soft","Fair")))))</f>
        <v>Not Started</v>
      </c>
      <c r="K219" s="10"/>
    </row>
    <row r="220" ht="15.75" customHeight="1">
      <c r="A220" s="10"/>
      <c r="B220" s="10"/>
      <c r="C220" s="10"/>
      <c r="D220" s="10"/>
      <c r="E220" s="10"/>
      <c r="F220" s="10"/>
      <c r="G220" s="10"/>
      <c r="H220" s="12" t="str">
        <f t="array" ref="H220">IF($B220="","",XLOOKUP($B220,Players!$A$4:$A$923,Players!$Y$4:$Y$923,""))</f>
        <v/>
      </c>
      <c r="I220" s="12" t="str">
        <f t="shared" si="1"/>
        <v/>
      </c>
      <c r="J220" s="12" t="str">
        <f>IF(COUNT($F$3:$F220)=0,"Not Started",IF(SUM($F$3:$F220)/SUM($H$3:$H220)&gt;=1+Settings!$B$26,"Very Overheated",IF(SUM($F$3:$F220)/SUM($H$3:$H220)&gt;=1+Settings!$B$27,"Overheated",IF(SUM($F$3:$F220)/SUM($H$3:$H220)&lt;=1+Settings!$B$30,"Very Soft",IF(SUM($F$3:$F220)/SUM($H$3:$H220)&lt;=1+Settings!$B$29,"Soft","Fair")))))</f>
        <v>Not Started</v>
      </c>
      <c r="K220" s="10"/>
    </row>
    <row r="221" ht="15.75" customHeight="1">
      <c r="A221" s="10"/>
      <c r="B221" s="10"/>
      <c r="C221" s="10"/>
      <c r="D221" s="10"/>
      <c r="E221" s="10"/>
      <c r="F221" s="10"/>
      <c r="G221" s="10"/>
      <c r="H221" s="12" t="str">
        <f t="array" ref="H221">IF($B221="","",XLOOKUP($B221,Players!$A$4:$A$923,Players!$Y$4:$Y$923,""))</f>
        <v/>
      </c>
      <c r="I221" s="12" t="str">
        <f t="shared" si="1"/>
        <v/>
      </c>
      <c r="J221" s="12" t="str">
        <f>IF(COUNT($F$3:$F221)=0,"Not Started",IF(SUM($F$3:$F221)/SUM($H$3:$H221)&gt;=1+Settings!$B$26,"Very Overheated",IF(SUM($F$3:$F221)/SUM($H$3:$H221)&gt;=1+Settings!$B$27,"Overheated",IF(SUM($F$3:$F221)/SUM($H$3:$H221)&lt;=1+Settings!$B$30,"Very Soft",IF(SUM($F$3:$F221)/SUM($H$3:$H221)&lt;=1+Settings!$B$29,"Soft","Fair")))))</f>
        <v>Not Started</v>
      </c>
      <c r="K221" s="10"/>
    </row>
    <row r="222" ht="15.75" customHeight="1">
      <c r="A222" s="10"/>
      <c r="B222" s="10"/>
      <c r="C222" s="10"/>
      <c r="D222" s="10"/>
      <c r="E222" s="10"/>
      <c r="F222" s="10"/>
      <c r="G222" s="10"/>
      <c r="H222" s="12" t="str">
        <f t="array" ref="H222">IF($B222="","",XLOOKUP($B222,Players!$A$4:$A$923,Players!$Y$4:$Y$923,""))</f>
        <v/>
      </c>
      <c r="I222" s="12" t="str">
        <f t="shared" si="1"/>
        <v/>
      </c>
      <c r="J222" s="12" t="str">
        <f>IF(COUNT($F$3:$F222)=0,"Not Started",IF(SUM($F$3:$F222)/SUM($H$3:$H222)&gt;=1+Settings!$B$26,"Very Overheated",IF(SUM($F$3:$F222)/SUM($H$3:$H222)&gt;=1+Settings!$B$27,"Overheated",IF(SUM($F$3:$F222)/SUM($H$3:$H222)&lt;=1+Settings!$B$30,"Very Soft",IF(SUM($F$3:$F222)/SUM($H$3:$H222)&lt;=1+Settings!$B$29,"Soft","Fair")))))</f>
        <v>Not Started</v>
      </c>
      <c r="K222" s="10"/>
    </row>
    <row r="223" ht="15.75" customHeight="1">
      <c r="A223" s="10"/>
      <c r="B223" s="10"/>
      <c r="C223" s="10"/>
      <c r="D223" s="10"/>
      <c r="E223" s="10"/>
      <c r="F223" s="10"/>
      <c r="G223" s="10"/>
      <c r="H223" s="12" t="str">
        <f t="array" ref="H223">IF($B223="","",XLOOKUP($B223,Players!$A$4:$A$923,Players!$Y$4:$Y$923,""))</f>
        <v/>
      </c>
      <c r="I223" s="12" t="str">
        <f t="shared" si="1"/>
        <v/>
      </c>
      <c r="J223" s="12" t="str">
        <f>IF(COUNT($F$3:$F223)=0,"Not Started",IF(SUM($F$3:$F223)/SUM($H$3:$H223)&gt;=1+Settings!$B$26,"Very Overheated",IF(SUM($F$3:$F223)/SUM($H$3:$H223)&gt;=1+Settings!$B$27,"Overheated",IF(SUM($F$3:$F223)/SUM($H$3:$H223)&lt;=1+Settings!$B$30,"Very Soft",IF(SUM($F$3:$F223)/SUM($H$3:$H223)&lt;=1+Settings!$B$29,"Soft","Fair")))))</f>
        <v>Not Started</v>
      </c>
      <c r="K223" s="10"/>
    </row>
    <row r="224" ht="15.75" customHeight="1">
      <c r="A224" s="10"/>
      <c r="B224" s="10"/>
      <c r="C224" s="10"/>
      <c r="D224" s="10"/>
      <c r="E224" s="10"/>
      <c r="F224" s="10"/>
      <c r="G224" s="10"/>
      <c r="H224" s="12" t="str">
        <f t="array" ref="H224">IF($B224="","",XLOOKUP($B224,Players!$A$4:$A$923,Players!$Y$4:$Y$923,""))</f>
        <v/>
      </c>
      <c r="I224" s="12" t="str">
        <f t="shared" si="1"/>
        <v/>
      </c>
      <c r="J224" s="12" t="str">
        <f>IF(COUNT($F$3:$F224)=0,"Not Started",IF(SUM($F$3:$F224)/SUM($H$3:$H224)&gt;=1+Settings!$B$26,"Very Overheated",IF(SUM($F$3:$F224)/SUM($H$3:$H224)&gt;=1+Settings!$B$27,"Overheated",IF(SUM($F$3:$F224)/SUM($H$3:$H224)&lt;=1+Settings!$B$30,"Very Soft",IF(SUM($F$3:$F224)/SUM($H$3:$H224)&lt;=1+Settings!$B$29,"Soft","Fair")))))</f>
        <v>Not Started</v>
      </c>
      <c r="K224" s="10"/>
    </row>
    <row r="225" ht="15.75" customHeight="1">
      <c r="A225" s="10"/>
      <c r="B225" s="10"/>
      <c r="C225" s="10"/>
      <c r="D225" s="10"/>
      <c r="E225" s="10"/>
      <c r="F225" s="10"/>
      <c r="G225" s="10"/>
      <c r="H225" s="12" t="str">
        <f t="array" ref="H225">IF($B225="","",XLOOKUP($B225,Players!$A$4:$A$923,Players!$Y$4:$Y$923,""))</f>
        <v/>
      </c>
      <c r="I225" s="12" t="str">
        <f t="shared" si="1"/>
        <v/>
      </c>
      <c r="J225" s="12" t="str">
        <f>IF(COUNT($F$3:$F225)=0,"Not Started",IF(SUM($F$3:$F225)/SUM($H$3:$H225)&gt;=1+Settings!$B$26,"Very Overheated",IF(SUM($F$3:$F225)/SUM($H$3:$H225)&gt;=1+Settings!$B$27,"Overheated",IF(SUM($F$3:$F225)/SUM($H$3:$H225)&lt;=1+Settings!$B$30,"Very Soft",IF(SUM($F$3:$F225)/SUM($H$3:$H225)&lt;=1+Settings!$B$29,"Soft","Fair")))))</f>
        <v>Not Started</v>
      </c>
      <c r="K225" s="10"/>
    </row>
    <row r="226" ht="15.75" customHeight="1">
      <c r="A226" s="10"/>
      <c r="B226" s="10"/>
      <c r="C226" s="10"/>
      <c r="D226" s="10"/>
      <c r="E226" s="10"/>
      <c r="F226" s="10"/>
      <c r="G226" s="10"/>
      <c r="H226" s="12" t="str">
        <f t="array" ref="H226">IF($B226="","",XLOOKUP($B226,Players!$A$4:$A$923,Players!$Y$4:$Y$923,""))</f>
        <v/>
      </c>
      <c r="I226" s="12" t="str">
        <f t="shared" si="1"/>
        <v/>
      </c>
      <c r="J226" s="12" t="str">
        <f>IF(COUNT($F$3:$F226)=0,"Not Started",IF(SUM($F$3:$F226)/SUM($H$3:$H226)&gt;=1+Settings!$B$26,"Very Overheated",IF(SUM($F$3:$F226)/SUM($H$3:$H226)&gt;=1+Settings!$B$27,"Overheated",IF(SUM($F$3:$F226)/SUM($H$3:$H226)&lt;=1+Settings!$B$30,"Very Soft",IF(SUM($F$3:$F226)/SUM($H$3:$H226)&lt;=1+Settings!$B$29,"Soft","Fair")))))</f>
        <v>Not Started</v>
      </c>
      <c r="K226" s="10"/>
    </row>
    <row r="227" ht="15.75" customHeight="1">
      <c r="A227" s="10"/>
      <c r="B227" s="10"/>
      <c r="C227" s="10"/>
      <c r="D227" s="10"/>
      <c r="E227" s="10"/>
      <c r="F227" s="10"/>
      <c r="G227" s="10"/>
      <c r="H227" s="12" t="str">
        <f t="array" ref="H227">IF($B227="","",XLOOKUP($B227,Players!$A$4:$A$923,Players!$Y$4:$Y$923,""))</f>
        <v/>
      </c>
      <c r="I227" s="12" t="str">
        <f t="shared" si="1"/>
        <v/>
      </c>
      <c r="J227" s="12" t="str">
        <f>IF(COUNT($F$3:$F227)=0,"Not Started",IF(SUM($F$3:$F227)/SUM($H$3:$H227)&gt;=1+Settings!$B$26,"Very Overheated",IF(SUM($F$3:$F227)/SUM($H$3:$H227)&gt;=1+Settings!$B$27,"Overheated",IF(SUM($F$3:$F227)/SUM($H$3:$H227)&lt;=1+Settings!$B$30,"Very Soft",IF(SUM($F$3:$F227)/SUM($H$3:$H227)&lt;=1+Settings!$B$29,"Soft","Fair")))))</f>
        <v>Not Started</v>
      </c>
      <c r="K227" s="10"/>
    </row>
    <row r="228" ht="15.75" customHeight="1">
      <c r="A228" s="10"/>
      <c r="B228" s="10"/>
      <c r="C228" s="10"/>
      <c r="D228" s="10"/>
      <c r="E228" s="10"/>
      <c r="F228" s="10"/>
      <c r="G228" s="10"/>
      <c r="H228" s="12" t="str">
        <f t="array" ref="H228">IF($B228="","",XLOOKUP($B228,Players!$A$4:$A$923,Players!$Y$4:$Y$923,""))</f>
        <v/>
      </c>
      <c r="I228" s="12" t="str">
        <f t="shared" si="1"/>
        <v/>
      </c>
      <c r="J228" s="12" t="str">
        <f>IF(COUNT($F$3:$F228)=0,"Not Started",IF(SUM($F$3:$F228)/SUM($H$3:$H228)&gt;=1+Settings!$B$26,"Very Overheated",IF(SUM($F$3:$F228)/SUM($H$3:$H228)&gt;=1+Settings!$B$27,"Overheated",IF(SUM($F$3:$F228)/SUM($H$3:$H228)&lt;=1+Settings!$B$30,"Very Soft",IF(SUM($F$3:$F228)/SUM($H$3:$H228)&lt;=1+Settings!$B$29,"Soft","Fair")))))</f>
        <v>Not Started</v>
      </c>
      <c r="K228" s="10"/>
    </row>
    <row r="229" ht="15.75" customHeight="1">
      <c r="A229" s="10"/>
      <c r="B229" s="10"/>
      <c r="C229" s="10"/>
      <c r="D229" s="10"/>
      <c r="E229" s="10"/>
      <c r="F229" s="10"/>
      <c r="G229" s="10"/>
      <c r="H229" s="12" t="str">
        <f t="array" ref="H229">IF($B229="","",XLOOKUP($B229,Players!$A$4:$A$923,Players!$Y$4:$Y$923,""))</f>
        <v/>
      </c>
      <c r="I229" s="12" t="str">
        <f t="shared" si="1"/>
        <v/>
      </c>
      <c r="J229" s="12" t="str">
        <f>IF(COUNT($F$3:$F229)=0,"Not Started",IF(SUM($F$3:$F229)/SUM($H$3:$H229)&gt;=1+Settings!$B$26,"Very Overheated",IF(SUM($F$3:$F229)/SUM($H$3:$H229)&gt;=1+Settings!$B$27,"Overheated",IF(SUM($F$3:$F229)/SUM($H$3:$H229)&lt;=1+Settings!$B$30,"Very Soft",IF(SUM($F$3:$F229)/SUM($H$3:$H229)&lt;=1+Settings!$B$29,"Soft","Fair")))))</f>
        <v>Not Started</v>
      </c>
      <c r="K229" s="10"/>
    </row>
    <row r="230" ht="15.75" customHeight="1">
      <c r="A230" s="10"/>
      <c r="B230" s="10"/>
      <c r="C230" s="10"/>
      <c r="D230" s="10"/>
      <c r="E230" s="10"/>
      <c r="F230" s="10"/>
      <c r="G230" s="10"/>
      <c r="H230" s="12" t="str">
        <f t="array" ref="H230">IF($B230="","",XLOOKUP($B230,Players!$A$4:$A$923,Players!$Y$4:$Y$923,""))</f>
        <v/>
      </c>
      <c r="I230" s="12" t="str">
        <f t="shared" si="1"/>
        <v/>
      </c>
      <c r="J230" s="12" t="str">
        <f>IF(COUNT($F$3:$F230)=0,"Not Started",IF(SUM($F$3:$F230)/SUM($H$3:$H230)&gt;=1+Settings!$B$26,"Very Overheated",IF(SUM($F$3:$F230)/SUM($H$3:$H230)&gt;=1+Settings!$B$27,"Overheated",IF(SUM($F$3:$F230)/SUM($H$3:$H230)&lt;=1+Settings!$B$30,"Very Soft",IF(SUM($F$3:$F230)/SUM($H$3:$H230)&lt;=1+Settings!$B$29,"Soft","Fair")))))</f>
        <v>Not Started</v>
      </c>
      <c r="K230" s="10"/>
    </row>
    <row r="231" ht="15.75" customHeight="1">
      <c r="A231" s="10"/>
      <c r="B231" s="10"/>
      <c r="C231" s="10"/>
      <c r="D231" s="10"/>
      <c r="E231" s="10"/>
      <c r="F231" s="10"/>
      <c r="G231" s="10"/>
      <c r="H231" s="12" t="str">
        <f t="array" ref="H231">IF($B231="","",XLOOKUP($B231,Players!$A$4:$A$923,Players!$Y$4:$Y$923,""))</f>
        <v/>
      </c>
      <c r="I231" s="12" t="str">
        <f t="shared" si="1"/>
        <v/>
      </c>
      <c r="J231" s="12" t="str">
        <f>IF(COUNT($F$3:$F231)=0,"Not Started",IF(SUM($F$3:$F231)/SUM($H$3:$H231)&gt;=1+Settings!$B$26,"Very Overheated",IF(SUM($F$3:$F231)/SUM($H$3:$H231)&gt;=1+Settings!$B$27,"Overheated",IF(SUM($F$3:$F231)/SUM($H$3:$H231)&lt;=1+Settings!$B$30,"Very Soft",IF(SUM($F$3:$F231)/SUM($H$3:$H231)&lt;=1+Settings!$B$29,"Soft","Fair")))))</f>
        <v>Not Started</v>
      </c>
      <c r="K231" s="10"/>
    </row>
    <row r="232" ht="15.75" customHeight="1">
      <c r="A232" s="10"/>
      <c r="B232" s="10"/>
      <c r="C232" s="10"/>
      <c r="D232" s="10"/>
      <c r="E232" s="10"/>
      <c r="F232" s="10"/>
      <c r="G232" s="10"/>
      <c r="H232" s="12" t="str">
        <f t="array" ref="H232">IF($B232="","",XLOOKUP($B232,Players!$A$4:$A$923,Players!$Y$4:$Y$923,""))</f>
        <v/>
      </c>
      <c r="I232" s="12" t="str">
        <f t="shared" si="1"/>
        <v/>
      </c>
      <c r="J232" s="12" t="str">
        <f>IF(COUNT($F$3:$F232)=0,"Not Started",IF(SUM($F$3:$F232)/SUM($H$3:$H232)&gt;=1+Settings!$B$26,"Very Overheated",IF(SUM($F$3:$F232)/SUM($H$3:$H232)&gt;=1+Settings!$B$27,"Overheated",IF(SUM($F$3:$F232)/SUM($H$3:$H232)&lt;=1+Settings!$B$30,"Very Soft",IF(SUM($F$3:$F232)/SUM($H$3:$H232)&lt;=1+Settings!$B$29,"Soft","Fair")))))</f>
        <v>Not Started</v>
      </c>
      <c r="K232" s="10"/>
    </row>
    <row r="233" ht="15.75" customHeight="1">
      <c r="A233" s="10"/>
      <c r="B233" s="10"/>
      <c r="C233" s="10"/>
      <c r="D233" s="10"/>
      <c r="E233" s="10"/>
      <c r="F233" s="10"/>
      <c r="G233" s="10"/>
      <c r="H233" s="12" t="str">
        <f t="array" ref="H233">IF($B233="","",XLOOKUP($B233,Players!$A$4:$A$923,Players!$Y$4:$Y$923,""))</f>
        <v/>
      </c>
      <c r="I233" s="12" t="str">
        <f t="shared" si="1"/>
        <v/>
      </c>
      <c r="J233" s="12" t="str">
        <f>IF(COUNT($F$3:$F233)=0,"Not Started",IF(SUM($F$3:$F233)/SUM($H$3:$H233)&gt;=1+Settings!$B$26,"Very Overheated",IF(SUM($F$3:$F233)/SUM($H$3:$H233)&gt;=1+Settings!$B$27,"Overheated",IF(SUM($F$3:$F233)/SUM($H$3:$H233)&lt;=1+Settings!$B$30,"Very Soft",IF(SUM($F$3:$F233)/SUM($H$3:$H233)&lt;=1+Settings!$B$29,"Soft","Fair")))))</f>
        <v>Not Started</v>
      </c>
      <c r="K233" s="10"/>
    </row>
    <row r="234" ht="15.75" customHeight="1">
      <c r="A234" s="10"/>
      <c r="B234" s="10"/>
      <c r="C234" s="10"/>
      <c r="D234" s="10"/>
      <c r="E234" s="10"/>
      <c r="F234" s="10"/>
      <c r="G234" s="10"/>
      <c r="H234" s="12" t="str">
        <f t="array" ref="H234">IF($B234="","",XLOOKUP($B234,Players!$A$4:$A$923,Players!$Y$4:$Y$923,""))</f>
        <v/>
      </c>
      <c r="I234" s="12" t="str">
        <f t="shared" si="1"/>
        <v/>
      </c>
      <c r="J234" s="12" t="str">
        <f>IF(COUNT($F$3:$F234)=0,"Not Started",IF(SUM($F$3:$F234)/SUM($H$3:$H234)&gt;=1+Settings!$B$26,"Very Overheated",IF(SUM($F$3:$F234)/SUM($H$3:$H234)&gt;=1+Settings!$B$27,"Overheated",IF(SUM($F$3:$F234)/SUM($H$3:$H234)&lt;=1+Settings!$B$30,"Very Soft",IF(SUM($F$3:$F234)/SUM($H$3:$H234)&lt;=1+Settings!$B$29,"Soft","Fair")))))</f>
        <v>Not Started</v>
      </c>
      <c r="K234" s="10"/>
    </row>
    <row r="235" ht="15.75" customHeight="1">
      <c r="A235" s="10"/>
      <c r="B235" s="10"/>
      <c r="C235" s="10"/>
      <c r="D235" s="10"/>
      <c r="E235" s="10"/>
      <c r="F235" s="10"/>
      <c r="G235" s="10"/>
      <c r="H235" s="12" t="str">
        <f t="array" ref="H235">IF($B235="","",XLOOKUP($B235,Players!$A$4:$A$923,Players!$Y$4:$Y$923,""))</f>
        <v/>
      </c>
      <c r="I235" s="12" t="str">
        <f t="shared" si="1"/>
        <v/>
      </c>
      <c r="J235" s="12" t="str">
        <f>IF(COUNT($F$3:$F235)=0,"Not Started",IF(SUM($F$3:$F235)/SUM($H$3:$H235)&gt;=1+Settings!$B$26,"Very Overheated",IF(SUM($F$3:$F235)/SUM($H$3:$H235)&gt;=1+Settings!$B$27,"Overheated",IF(SUM($F$3:$F235)/SUM($H$3:$H235)&lt;=1+Settings!$B$30,"Very Soft",IF(SUM($F$3:$F235)/SUM($H$3:$H235)&lt;=1+Settings!$B$29,"Soft","Fair")))))</f>
        <v>Not Started</v>
      </c>
      <c r="K235" s="10"/>
    </row>
    <row r="236" ht="15.75" customHeight="1">
      <c r="A236" s="10"/>
      <c r="B236" s="10"/>
      <c r="C236" s="10"/>
      <c r="D236" s="10"/>
      <c r="E236" s="10"/>
      <c r="F236" s="10"/>
      <c r="G236" s="10"/>
      <c r="H236" s="12" t="str">
        <f t="array" ref="H236">IF($B236="","",XLOOKUP($B236,Players!$A$4:$A$923,Players!$Y$4:$Y$923,""))</f>
        <v/>
      </c>
      <c r="I236" s="12" t="str">
        <f t="shared" si="1"/>
        <v/>
      </c>
      <c r="J236" s="12" t="str">
        <f>IF(COUNT($F$3:$F236)=0,"Not Started",IF(SUM($F$3:$F236)/SUM($H$3:$H236)&gt;=1+Settings!$B$26,"Very Overheated",IF(SUM($F$3:$F236)/SUM($H$3:$H236)&gt;=1+Settings!$B$27,"Overheated",IF(SUM($F$3:$F236)/SUM($H$3:$H236)&lt;=1+Settings!$B$30,"Very Soft",IF(SUM($F$3:$F236)/SUM($H$3:$H236)&lt;=1+Settings!$B$29,"Soft","Fair")))))</f>
        <v>Not Started</v>
      </c>
      <c r="K236" s="10"/>
    </row>
    <row r="237" ht="15.75" customHeight="1">
      <c r="A237" s="10"/>
      <c r="B237" s="10"/>
      <c r="C237" s="10"/>
      <c r="D237" s="10"/>
      <c r="E237" s="10"/>
      <c r="F237" s="10"/>
      <c r="G237" s="10"/>
      <c r="H237" s="12" t="str">
        <f t="array" ref="H237">IF($B237="","",XLOOKUP($B237,Players!$A$4:$A$923,Players!$Y$4:$Y$923,""))</f>
        <v/>
      </c>
      <c r="I237" s="12" t="str">
        <f t="shared" si="1"/>
        <v/>
      </c>
      <c r="J237" s="12" t="str">
        <f>IF(COUNT($F$3:$F237)=0,"Not Started",IF(SUM($F$3:$F237)/SUM($H$3:$H237)&gt;=1+Settings!$B$26,"Very Overheated",IF(SUM($F$3:$F237)/SUM($H$3:$H237)&gt;=1+Settings!$B$27,"Overheated",IF(SUM($F$3:$F237)/SUM($H$3:$H237)&lt;=1+Settings!$B$30,"Very Soft",IF(SUM($F$3:$F237)/SUM($H$3:$H237)&lt;=1+Settings!$B$29,"Soft","Fair")))))</f>
        <v>Not Started</v>
      </c>
      <c r="K237" s="10"/>
    </row>
    <row r="238" ht="15.75" customHeight="1">
      <c r="A238" s="10"/>
      <c r="B238" s="10"/>
      <c r="C238" s="10"/>
      <c r="D238" s="10"/>
      <c r="E238" s="10"/>
      <c r="F238" s="10"/>
      <c r="G238" s="10"/>
      <c r="H238" s="12" t="str">
        <f t="array" ref="H238">IF($B238="","",XLOOKUP($B238,Players!$A$4:$A$923,Players!$Y$4:$Y$923,""))</f>
        <v/>
      </c>
      <c r="I238" s="12" t="str">
        <f t="shared" si="1"/>
        <v/>
      </c>
      <c r="J238" s="12" t="str">
        <f>IF(COUNT($F$3:$F238)=0,"Not Started",IF(SUM($F$3:$F238)/SUM($H$3:$H238)&gt;=1+Settings!$B$26,"Very Overheated",IF(SUM($F$3:$F238)/SUM($H$3:$H238)&gt;=1+Settings!$B$27,"Overheated",IF(SUM($F$3:$F238)/SUM($H$3:$H238)&lt;=1+Settings!$B$30,"Very Soft",IF(SUM($F$3:$F238)/SUM($H$3:$H238)&lt;=1+Settings!$B$29,"Soft","Fair")))))</f>
        <v>Not Started</v>
      </c>
      <c r="K238" s="10"/>
    </row>
    <row r="239" ht="15.75" customHeight="1">
      <c r="A239" s="10"/>
      <c r="B239" s="10"/>
      <c r="C239" s="10"/>
      <c r="D239" s="10"/>
      <c r="E239" s="10"/>
      <c r="F239" s="10"/>
      <c r="G239" s="10"/>
      <c r="H239" s="12" t="str">
        <f t="array" ref="H239">IF($B239="","",XLOOKUP($B239,Players!$A$4:$A$923,Players!$Y$4:$Y$923,""))</f>
        <v/>
      </c>
      <c r="I239" s="12" t="str">
        <f t="shared" si="1"/>
        <v/>
      </c>
      <c r="J239" s="12" t="str">
        <f>IF(COUNT($F$3:$F239)=0,"Not Started",IF(SUM($F$3:$F239)/SUM($H$3:$H239)&gt;=1+Settings!$B$26,"Very Overheated",IF(SUM($F$3:$F239)/SUM($H$3:$H239)&gt;=1+Settings!$B$27,"Overheated",IF(SUM($F$3:$F239)/SUM($H$3:$H239)&lt;=1+Settings!$B$30,"Very Soft",IF(SUM($F$3:$F239)/SUM($H$3:$H239)&lt;=1+Settings!$B$29,"Soft","Fair")))))</f>
        <v>Not Started</v>
      </c>
      <c r="K239" s="10"/>
    </row>
    <row r="240" ht="15.75" customHeight="1">
      <c r="A240" s="10"/>
      <c r="B240" s="10"/>
      <c r="C240" s="10"/>
      <c r="D240" s="10"/>
      <c r="E240" s="10"/>
      <c r="F240" s="10"/>
      <c r="G240" s="10"/>
      <c r="H240" s="12" t="str">
        <f t="array" ref="H240">IF($B240="","",XLOOKUP($B240,Players!$A$4:$A$923,Players!$Y$4:$Y$923,""))</f>
        <v/>
      </c>
      <c r="I240" s="12" t="str">
        <f t="shared" si="1"/>
        <v/>
      </c>
      <c r="J240" s="12" t="str">
        <f>IF(COUNT($F$3:$F240)=0,"Not Started",IF(SUM($F$3:$F240)/SUM($H$3:$H240)&gt;=1+Settings!$B$26,"Very Overheated",IF(SUM($F$3:$F240)/SUM($H$3:$H240)&gt;=1+Settings!$B$27,"Overheated",IF(SUM($F$3:$F240)/SUM($H$3:$H240)&lt;=1+Settings!$B$30,"Very Soft",IF(SUM($F$3:$F240)/SUM($H$3:$H240)&lt;=1+Settings!$B$29,"Soft","Fair")))))</f>
        <v>Not Started</v>
      </c>
      <c r="K240" s="10"/>
    </row>
    <row r="241" ht="15.75" customHeight="1">
      <c r="A241" s="10"/>
      <c r="B241" s="10"/>
      <c r="C241" s="10"/>
      <c r="D241" s="10"/>
      <c r="E241" s="10"/>
      <c r="F241" s="10"/>
      <c r="G241" s="10"/>
      <c r="H241" s="12" t="str">
        <f t="array" ref="H241">IF($B241="","",XLOOKUP($B241,Players!$A$4:$A$923,Players!$Y$4:$Y$923,""))</f>
        <v/>
      </c>
      <c r="I241" s="12" t="str">
        <f t="shared" si="1"/>
        <v/>
      </c>
      <c r="J241" s="12" t="str">
        <f>IF(COUNT($F$3:$F241)=0,"Not Started",IF(SUM($F$3:$F241)/SUM($H$3:$H241)&gt;=1+Settings!$B$26,"Very Overheated",IF(SUM($F$3:$F241)/SUM($H$3:$H241)&gt;=1+Settings!$B$27,"Overheated",IF(SUM($F$3:$F241)/SUM($H$3:$H241)&lt;=1+Settings!$B$30,"Very Soft",IF(SUM($F$3:$F241)/SUM($H$3:$H241)&lt;=1+Settings!$B$29,"Soft","Fair")))))</f>
        <v>Not Started</v>
      </c>
      <c r="K241" s="10"/>
    </row>
    <row r="242" ht="15.75" customHeight="1">
      <c r="A242" s="10"/>
      <c r="B242" s="10"/>
      <c r="C242" s="10"/>
      <c r="D242" s="10"/>
      <c r="E242" s="10"/>
      <c r="F242" s="10"/>
      <c r="G242" s="10"/>
      <c r="H242" s="12" t="str">
        <f t="array" ref="H242">IF($B242="","",XLOOKUP($B242,Players!$A$4:$A$923,Players!$Y$4:$Y$923,""))</f>
        <v/>
      </c>
      <c r="I242" s="12" t="str">
        <f t="shared" si="1"/>
        <v/>
      </c>
      <c r="J242" s="12" t="str">
        <f>IF(COUNT($F$3:$F242)=0,"Not Started",IF(SUM($F$3:$F242)/SUM($H$3:$H242)&gt;=1+Settings!$B$26,"Very Overheated",IF(SUM($F$3:$F242)/SUM($H$3:$H242)&gt;=1+Settings!$B$27,"Overheated",IF(SUM($F$3:$F242)/SUM($H$3:$H242)&lt;=1+Settings!$B$30,"Very Soft",IF(SUM($F$3:$F242)/SUM($H$3:$H242)&lt;=1+Settings!$B$29,"Soft","Fair")))))</f>
        <v>Not Started</v>
      </c>
      <c r="K242" s="10"/>
    </row>
    <row r="243" ht="15.75" customHeight="1">
      <c r="A243" s="10"/>
      <c r="B243" s="10"/>
      <c r="C243" s="10"/>
      <c r="D243" s="10"/>
      <c r="E243" s="10"/>
      <c r="F243" s="10"/>
      <c r="G243" s="10"/>
      <c r="H243" s="12" t="str">
        <f t="array" ref="H243">IF($B243="","",XLOOKUP($B243,Players!$A$4:$A$923,Players!$Y$4:$Y$923,""))</f>
        <v/>
      </c>
      <c r="I243" s="12" t="str">
        <f t="shared" si="1"/>
        <v/>
      </c>
      <c r="J243" s="12" t="str">
        <f>IF(COUNT($F$3:$F243)=0,"Not Started",IF(SUM($F$3:$F243)/SUM($H$3:$H243)&gt;=1+Settings!$B$26,"Very Overheated",IF(SUM($F$3:$F243)/SUM($H$3:$H243)&gt;=1+Settings!$B$27,"Overheated",IF(SUM($F$3:$F243)/SUM($H$3:$H243)&lt;=1+Settings!$B$30,"Very Soft",IF(SUM($F$3:$F243)/SUM($H$3:$H243)&lt;=1+Settings!$B$29,"Soft","Fair")))))</f>
        <v>Not Started</v>
      </c>
      <c r="K243" s="10"/>
    </row>
    <row r="244" ht="15.75" customHeight="1">
      <c r="A244" s="10"/>
      <c r="B244" s="10"/>
      <c r="C244" s="10"/>
      <c r="D244" s="10"/>
      <c r="E244" s="10"/>
      <c r="F244" s="10"/>
      <c r="G244" s="10"/>
      <c r="H244" s="12" t="str">
        <f t="array" ref="H244">IF($B244="","",XLOOKUP($B244,Players!$A$4:$A$923,Players!$Y$4:$Y$923,""))</f>
        <v/>
      </c>
      <c r="I244" s="12" t="str">
        <f t="shared" si="1"/>
        <v/>
      </c>
      <c r="J244" s="12" t="str">
        <f>IF(COUNT($F$3:$F244)=0,"Not Started",IF(SUM($F$3:$F244)/SUM($H$3:$H244)&gt;=1+Settings!$B$26,"Very Overheated",IF(SUM($F$3:$F244)/SUM($H$3:$H244)&gt;=1+Settings!$B$27,"Overheated",IF(SUM($F$3:$F244)/SUM($H$3:$H244)&lt;=1+Settings!$B$30,"Very Soft",IF(SUM($F$3:$F244)/SUM($H$3:$H244)&lt;=1+Settings!$B$29,"Soft","Fair")))))</f>
        <v>Not Started</v>
      </c>
      <c r="K244" s="10"/>
    </row>
    <row r="245" ht="15.75" customHeight="1">
      <c r="A245" s="10"/>
      <c r="B245" s="10"/>
      <c r="C245" s="10"/>
      <c r="D245" s="10"/>
      <c r="E245" s="10"/>
      <c r="F245" s="10"/>
      <c r="G245" s="10"/>
      <c r="H245" s="12" t="str">
        <f t="array" ref="H245">IF($B245="","",XLOOKUP($B245,Players!$A$4:$A$923,Players!$Y$4:$Y$923,""))</f>
        <v/>
      </c>
      <c r="I245" s="12" t="str">
        <f t="shared" si="1"/>
        <v/>
      </c>
      <c r="J245" s="12" t="str">
        <f>IF(COUNT($F$3:$F245)=0,"Not Started",IF(SUM($F$3:$F245)/SUM($H$3:$H245)&gt;=1+Settings!$B$26,"Very Overheated",IF(SUM($F$3:$F245)/SUM($H$3:$H245)&gt;=1+Settings!$B$27,"Overheated",IF(SUM($F$3:$F245)/SUM($H$3:$H245)&lt;=1+Settings!$B$30,"Very Soft",IF(SUM($F$3:$F245)/SUM($H$3:$H245)&lt;=1+Settings!$B$29,"Soft","Fair")))))</f>
        <v>Not Started</v>
      </c>
      <c r="K245" s="10"/>
    </row>
    <row r="246" ht="15.75" customHeight="1">
      <c r="A246" s="10"/>
      <c r="B246" s="10"/>
      <c r="C246" s="10"/>
      <c r="D246" s="10"/>
      <c r="E246" s="10"/>
      <c r="F246" s="10"/>
      <c r="G246" s="10"/>
      <c r="H246" s="12" t="str">
        <f t="array" ref="H246">IF($B246="","",XLOOKUP($B246,Players!$A$4:$A$923,Players!$Y$4:$Y$923,""))</f>
        <v/>
      </c>
      <c r="I246" s="12" t="str">
        <f t="shared" si="1"/>
        <v/>
      </c>
      <c r="J246" s="12" t="str">
        <f>IF(COUNT($F$3:$F246)=0,"Not Started",IF(SUM($F$3:$F246)/SUM($H$3:$H246)&gt;=1+Settings!$B$26,"Very Overheated",IF(SUM($F$3:$F246)/SUM($H$3:$H246)&gt;=1+Settings!$B$27,"Overheated",IF(SUM($F$3:$F246)/SUM($H$3:$H246)&lt;=1+Settings!$B$30,"Very Soft",IF(SUM($F$3:$F246)/SUM($H$3:$H246)&lt;=1+Settings!$B$29,"Soft","Fair")))))</f>
        <v>Not Started</v>
      </c>
      <c r="K246" s="10"/>
    </row>
    <row r="247" ht="15.75" customHeight="1">
      <c r="A247" s="10"/>
      <c r="B247" s="10"/>
      <c r="C247" s="10"/>
      <c r="D247" s="10"/>
      <c r="E247" s="10"/>
      <c r="F247" s="10"/>
      <c r="G247" s="10"/>
      <c r="H247" s="12" t="str">
        <f t="array" ref="H247">IF($B247="","",XLOOKUP($B247,Players!$A$4:$A$923,Players!$Y$4:$Y$923,""))</f>
        <v/>
      </c>
      <c r="I247" s="12" t="str">
        <f t="shared" si="1"/>
        <v/>
      </c>
      <c r="J247" s="12" t="str">
        <f>IF(COUNT($F$3:$F247)=0,"Not Started",IF(SUM($F$3:$F247)/SUM($H$3:$H247)&gt;=1+Settings!$B$26,"Very Overheated",IF(SUM($F$3:$F247)/SUM($H$3:$H247)&gt;=1+Settings!$B$27,"Overheated",IF(SUM($F$3:$F247)/SUM($H$3:$H247)&lt;=1+Settings!$B$30,"Very Soft",IF(SUM($F$3:$F247)/SUM($H$3:$H247)&lt;=1+Settings!$B$29,"Soft","Fair")))))</f>
        <v>Not Started</v>
      </c>
      <c r="K247" s="10"/>
    </row>
    <row r="248" ht="15.75" customHeight="1">
      <c r="A248" s="10"/>
      <c r="B248" s="10"/>
      <c r="C248" s="10"/>
      <c r="D248" s="10"/>
      <c r="E248" s="10"/>
      <c r="F248" s="10"/>
      <c r="G248" s="10"/>
      <c r="H248" s="12" t="str">
        <f t="array" ref="H248">IF($B248="","",XLOOKUP($B248,Players!$A$4:$A$923,Players!$Y$4:$Y$923,""))</f>
        <v/>
      </c>
      <c r="I248" s="12" t="str">
        <f t="shared" si="1"/>
        <v/>
      </c>
      <c r="J248" s="12" t="str">
        <f>IF(COUNT($F$3:$F248)=0,"Not Started",IF(SUM($F$3:$F248)/SUM($H$3:$H248)&gt;=1+Settings!$B$26,"Very Overheated",IF(SUM($F$3:$F248)/SUM($H$3:$H248)&gt;=1+Settings!$B$27,"Overheated",IF(SUM($F$3:$F248)/SUM($H$3:$H248)&lt;=1+Settings!$B$30,"Very Soft",IF(SUM($F$3:$F248)/SUM($H$3:$H248)&lt;=1+Settings!$B$29,"Soft","Fair")))))</f>
        <v>Not Started</v>
      </c>
      <c r="K248" s="10"/>
    </row>
    <row r="249" ht="15.75" customHeight="1">
      <c r="A249" s="10"/>
      <c r="B249" s="10"/>
      <c r="C249" s="10"/>
      <c r="D249" s="10"/>
      <c r="E249" s="10"/>
      <c r="F249" s="10"/>
      <c r="G249" s="10"/>
      <c r="H249" s="12" t="str">
        <f t="array" ref="H249">IF($B249="","",XLOOKUP($B249,Players!$A$4:$A$923,Players!$Y$4:$Y$923,""))</f>
        <v/>
      </c>
      <c r="I249" s="12" t="str">
        <f t="shared" si="1"/>
        <v/>
      </c>
      <c r="J249" s="12" t="str">
        <f>IF(COUNT($F$3:$F249)=0,"Not Started",IF(SUM($F$3:$F249)/SUM($H$3:$H249)&gt;=1+Settings!$B$26,"Very Overheated",IF(SUM($F$3:$F249)/SUM($H$3:$H249)&gt;=1+Settings!$B$27,"Overheated",IF(SUM($F$3:$F249)/SUM($H$3:$H249)&lt;=1+Settings!$B$30,"Very Soft",IF(SUM($F$3:$F249)/SUM($H$3:$H249)&lt;=1+Settings!$B$29,"Soft","Fair")))))</f>
        <v>Not Started</v>
      </c>
      <c r="K249" s="10"/>
    </row>
    <row r="250" ht="15.75" customHeight="1">
      <c r="A250" s="10"/>
      <c r="B250" s="10"/>
      <c r="C250" s="10"/>
      <c r="D250" s="10"/>
      <c r="E250" s="10"/>
      <c r="F250" s="10"/>
      <c r="G250" s="10"/>
      <c r="H250" s="12" t="str">
        <f t="array" ref="H250">IF($B250="","",XLOOKUP($B250,Players!$A$4:$A$923,Players!$Y$4:$Y$923,""))</f>
        <v/>
      </c>
      <c r="I250" s="12" t="str">
        <f t="shared" si="1"/>
        <v/>
      </c>
      <c r="J250" s="12" t="str">
        <f>IF(COUNT($F$3:$F250)=0,"Not Started",IF(SUM($F$3:$F250)/SUM($H$3:$H250)&gt;=1+Settings!$B$26,"Very Overheated",IF(SUM($F$3:$F250)/SUM($H$3:$H250)&gt;=1+Settings!$B$27,"Overheated",IF(SUM($F$3:$F250)/SUM($H$3:$H250)&lt;=1+Settings!$B$30,"Very Soft",IF(SUM($F$3:$F250)/SUM($H$3:$H250)&lt;=1+Settings!$B$29,"Soft","Fair")))))</f>
        <v>Not Started</v>
      </c>
      <c r="K250" s="10"/>
    </row>
    <row r="251" ht="15.75" customHeight="1">
      <c r="A251" s="10"/>
      <c r="B251" s="10"/>
      <c r="C251" s="10"/>
      <c r="D251" s="10"/>
      <c r="E251" s="10"/>
      <c r="F251" s="10"/>
      <c r="G251" s="10"/>
      <c r="H251" s="12" t="str">
        <f t="array" ref="H251">IF($B251="","",XLOOKUP($B251,Players!$A$4:$A$923,Players!$Y$4:$Y$923,""))</f>
        <v/>
      </c>
      <c r="I251" s="12" t="str">
        <f t="shared" si="1"/>
        <v/>
      </c>
      <c r="J251" s="12" t="str">
        <f>IF(COUNT($F$3:$F251)=0,"Not Started",IF(SUM($F$3:$F251)/SUM($H$3:$H251)&gt;=1+Settings!$B$26,"Very Overheated",IF(SUM($F$3:$F251)/SUM($H$3:$H251)&gt;=1+Settings!$B$27,"Overheated",IF(SUM($F$3:$F251)/SUM($H$3:$H251)&lt;=1+Settings!$B$30,"Very Soft",IF(SUM($F$3:$F251)/SUM($H$3:$H251)&lt;=1+Settings!$B$29,"Soft","Fair")))))</f>
        <v>Not Started</v>
      </c>
      <c r="K251" s="10"/>
    </row>
    <row r="252" ht="15.75" customHeight="1">
      <c r="A252" s="10"/>
      <c r="B252" s="10"/>
      <c r="C252" s="10"/>
      <c r="D252" s="10"/>
      <c r="E252" s="10"/>
      <c r="F252" s="10"/>
      <c r="G252" s="10"/>
      <c r="H252" s="12" t="str">
        <f t="array" ref="H252">IF($B252="","",XLOOKUP($B252,Players!$A$4:$A$923,Players!$Y$4:$Y$923,""))</f>
        <v/>
      </c>
      <c r="I252" s="12" t="str">
        <f t="shared" si="1"/>
        <v/>
      </c>
      <c r="J252" s="12" t="str">
        <f>IF(COUNT($F$3:$F252)=0,"Not Started",IF(SUM($F$3:$F252)/SUM($H$3:$H252)&gt;=1+Settings!$B$26,"Very Overheated",IF(SUM($F$3:$F252)/SUM($H$3:$H252)&gt;=1+Settings!$B$27,"Overheated",IF(SUM($F$3:$F252)/SUM($H$3:$H252)&lt;=1+Settings!$B$30,"Very Soft",IF(SUM($F$3:$F252)/SUM($H$3:$H252)&lt;=1+Settings!$B$29,"Soft","Fair")))))</f>
        <v>Not Started</v>
      </c>
      <c r="K252" s="10"/>
    </row>
    <row r="253" ht="15.75" customHeight="1">
      <c r="A253" s="10"/>
      <c r="B253" s="10"/>
      <c r="C253" s="10"/>
      <c r="D253" s="10"/>
      <c r="E253" s="10"/>
      <c r="F253" s="10"/>
      <c r="G253" s="10"/>
      <c r="H253" s="12" t="str">
        <f t="array" ref="H253">IF($B253="","",XLOOKUP($B253,Players!$A$4:$A$923,Players!$Y$4:$Y$923,""))</f>
        <v/>
      </c>
      <c r="I253" s="12" t="str">
        <f t="shared" si="1"/>
        <v/>
      </c>
      <c r="J253" s="12" t="str">
        <f>IF(COUNT($F$3:$F253)=0,"Not Started",IF(SUM($F$3:$F253)/SUM($H$3:$H253)&gt;=1+Settings!$B$26,"Very Overheated",IF(SUM($F$3:$F253)/SUM($H$3:$H253)&gt;=1+Settings!$B$27,"Overheated",IF(SUM($F$3:$F253)/SUM($H$3:$H253)&lt;=1+Settings!$B$30,"Very Soft",IF(SUM($F$3:$F253)/SUM($H$3:$H253)&lt;=1+Settings!$B$29,"Soft","Fair")))))</f>
        <v>Not Started</v>
      </c>
      <c r="K253" s="10"/>
    </row>
    <row r="254" ht="15.75" customHeight="1">
      <c r="A254" s="10"/>
      <c r="B254" s="10"/>
      <c r="C254" s="10"/>
      <c r="D254" s="10"/>
      <c r="E254" s="10"/>
      <c r="F254" s="10"/>
      <c r="G254" s="10"/>
      <c r="H254" s="12" t="str">
        <f t="array" ref="H254">IF($B254="","",XLOOKUP($B254,Players!$A$4:$A$923,Players!$Y$4:$Y$923,""))</f>
        <v/>
      </c>
      <c r="I254" s="12" t="str">
        <f t="shared" si="1"/>
        <v/>
      </c>
      <c r="J254" s="12" t="str">
        <f>IF(COUNT($F$3:$F254)=0,"Not Started",IF(SUM($F$3:$F254)/SUM($H$3:$H254)&gt;=1+Settings!$B$26,"Very Overheated",IF(SUM($F$3:$F254)/SUM($H$3:$H254)&gt;=1+Settings!$B$27,"Overheated",IF(SUM($F$3:$F254)/SUM($H$3:$H254)&lt;=1+Settings!$B$30,"Very Soft",IF(SUM($F$3:$F254)/SUM($H$3:$H254)&lt;=1+Settings!$B$29,"Soft","Fair")))))</f>
        <v>Not Started</v>
      </c>
      <c r="K254" s="10"/>
    </row>
    <row r="255" ht="15.75" customHeight="1">
      <c r="A255" s="10"/>
      <c r="B255" s="10"/>
      <c r="C255" s="10"/>
      <c r="D255" s="10"/>
      <c r="E255" s="10"/>
      <c r="F255" s="10"/>
      <c r="G255" s="10"/>
      <c r="H255" s="12" t="str">
        <f t="array" ref="H255">IF($B255="","",XLOOKUP($B255,Players!$A$4:$A$923,Players!$Y$4:$Y$923,""))</f>
        <v/>
      </c>
      <c r="I255" s="12" t="str">
        <f t="shared" si="1"/>
        <v/>
      </c>
      <c r="J255" s="12" t="str">
        <f>IF(COUNT($F$3:$F255)=0,"Not Started",IF(SUM($F$3:$F255)/SUM($H$3:$H255)&gt;=1+Settings!$B$26,"Very Overheated",IF(SUM($F$3:$F255)/SUM($H$3:$H255)&gt;=1+Settings!$B$27,"Overheated",IF(SUM($F$3:$F255)/SUM($H$3:$H255)&lt;=1+Settings!$B$30,"Very Soft",IF(SUM($F$3:$F255)/SUM($H$3:$H255)&lt;=1+Settings!$B$29,"Soft","Fair")))))</f>
        <v>Not Started</v>
      </c>
      <c r="K255" s="10"/>
    </row>
    <row r="256" ht="15.75" customHeight="1">
      <c r="A256" s="10"/>
      <c r="B256" s="10"/>
      <c r="C256" s="10"/>
      <c r="D256" s="10"/>
      <c r="E256" s="10"/>
      <c r="F256" s="10"/>
      <c r="G256" s="10"/>
      <c r="H256" s="12" t="str">
        <f t="array" ref="H256">IF($B256="","",XLOOKUP($B256,Players!$A$4:$A$923,Players!$Y$4:$Y$923,""))</f>
        <v/>
      </c>
      <c r="I256" s="12" t="str">
        <f t="shared" si="1"/>
        <v/>
      </c>
      <c r="J256" s="12" t="str">
        <f>IF(COUNT($F$3:$F256)=0,"Not Started",IF(SUM($F$3:$F256)/SUM($H$3:$H256)&gt;=1+Settings!$B$26,"Very Overheated",IF(SUM($F$3:$F256)/SUM($H$3:$H256)&gt;=1+Settings!$B$27,"Overheated",IF(SUM($F$3:$F256)/SUM($H$3:$H256)&lt;=1+Settings!$B$30,"Very Soft",IF(SUM($F$3:$F256)/SUM($H$3:$H256)&lt;=1+Settings!$B$29,"Soft","Fair")))))</f>
        <v>Not Started</v>
      </c>
      <c r="K256" s="10"/>
    </row>
    <row r="257" ht="15.75" customHeight="1">
      <c r="A257" s="10"/>
      <c r="B257" s="10"/>
      <c r="C257" s="10"/>
      <c r="D257" s="10"/>
      <c r="E257" s="10"/>
      <c r="F257" s="10"/>
      <c r="G257" s="10"/>
      <c r="H257" s="12" t="str">
        <f t="array" ref="H257">IF($B257="","",XLOOKUP($B257,Players!$A$4:$A$923,Players!$Y$4:$Y$923,""))</f>
        <v/>
      </c>
      <c r="I257" s="12" t="str">
        <f t="shared" si="1"/>
        <v/>
      </c>
      <c r="J257" s="12" t="str">
        <f>IF(COUNT($F$3:$F257)=0,"Not Started",IF(SUM($F$3:$F257)/SUM($H$3:$H257)&gt;=1+Settings!$B$26,"Very Overheated",IF(SUM($F$3:$F257)/SUM($H$3:$H257)&gt;=1+Settings!$B$27,"Overheated",IF(SUM($F$3:$F257)/SUM($H$3:$H257)&lt;=1+Settings!$B$30,"Very Soft",IF(SUM($F$3:$F257)/SUM($H$3:$H257)&lt;=1+Settings!$B$29,"Soft","Fair")))))</f>
        <v>Not Started</v>
      </c>
      <c r="K257" s="10"/>
    </row>
    <row r="258" ht="15.75" customHeight="1">
      <c r="A258" s="10"/>
      <c r="B258" s="10"/>
      <c r="C258" s="10"/>
      <c r="D258" s="10"/>
      <c r="E258" s="10"/>
      <c r="F258" s="10"/>
      <c r="G258" s="10"/>
      <c r="H258" s="12" t="str">
        <f t="array" ref="H258">IF($B258="","",XLOOKUP($B258,Players!$A$4:$A$923,Players!$Y$4:$Y$923,""))</f>
        <v/>
      </c>
      <c r="I258" s="12" t="str">
        <f t="shared" si="1"/>
        <v/>
      </c>
      <c r="J258" s="12" t="str">
        <f>IF(COUNT($F$3:$F258)=0,"Not Started",IF(SUM($F$3:$F258)/SUM($H$3:$H258)&gt;=1+Settings!$B$26,"Very Overheated",IF(SUM($F$3:$F258)/SUM($H$3:$H258)&gt;=1+Settings!$B$27,"Overheated",IF(SUM($F$3:$F258)/SUM($H$3:$H258)&lt;=1+Settings!$B$30,"Very Soft",IF(SUM($F$3:$F258)/SUM($H$3:$H258)&lt;=1+Settings!$B$29,"Soft","Fair")))))</f>
        <v>Not Started</v>
      </c>
      <c r="K258" s="10"/>
    </row>
    <row r="259" ht="15.75" customHeight="1">
      <c r="A259" s="10"/>
      <c r="B259" s="10"/>
      <c r="C259" s="10"/>
      <c r="D259" s="10"/>
      <c r="E259" s="10"/>
      <c r="F259" s="10"/>
      <c r="G259" s="10"/>
      <c r="H259" s="12" t="str">
        <f t="array" ref="H259">IF($B259="","",XLOOKUP($B259,Players!$A$4:$A$923,Players!$Y$4:$Y$923,""))</f>
        <v/>
      </c>
      <c r="I259" s="12" t="str">
        <f t="shared" si="1"/>
        <v/>
      </c>
      <c r="J259" s="12" t="str">
        <f>IF(COUNT($F$3:$F259)=0,"Not Started",IF(SUM($F$3:$F259)/SUM($H$3:$H259)&gt;=1+Settings!$B$26,"Very Overheated",IF(SUM($F$3:$F259)/SUM($H$3:$H259)&gt;=1+Settings!$B$27,"Overheated",IF(SUM($F$3:$F259)/SUM($H$3:$H259)&lt;=1+Settings!$B$30,"Very Soft",IF(SUM($F$3:$F259)/SUM($H$3:$H259)&lt;=1+Settings!$B$29,"Soft","Fair")))))</f>
        <v>Not Started</v>
      </c>
      <c r="K259" s="10"/>
    </row>
    <row r="260" ht="15.75" customHeight="1">
      <c r="A260" s="10"/>
      <c r="B260" s="10"/>
      <c r="C260" s="10"/>
      <c r="D260" s="10"/>
      <c r="E260" s="10"/>
      <c r="F260" s="10"/>
      <c r="G260" s="10"/>
      <c r="H260" s="12" t="str">
        <f t="array" ref="H260">IF($B260="","",XLOOKUP($B260,Players!$A$4:$A$923,Players!$Y$4:$Y$923,""))</f>
        <v/>
      </c>
      <c r="I260" s="12" t="str">
        <f t="shared" si="1"/>
        <v/>
      </c>
      <c r="J260" s="12" t="str">
        <f>IF(COUNT($F$3:$F260)=0,"Not Started",IF(SUM($F$3:$F260)/SUM($H$3:$H260)&gt;=1+Settings!$B$26,"Very Overheated",IF(SUM($F$3:$F260)/SUM($H$3:$H260)&gt;=1+Settings!$B$27,"Overheated",IF(SUM($F$3:$F260)/SUM($H$3:$H260)&lt;=1+Settings!$B$30,"Very Soft",IF(SUM($F$3:$F260)/SUM($H$3:$H260)&lt;=1+Settings!$B$29,"Soft","Fair")))))</f>
        <v>Not Started</v>
      </c>
      <c r="K260" s="10"/>
    </row>
    <row r="261" ht="15.75" customHeight="1">
      <c r="A261" s="10"/>
      <c r="B261" s="10"/>
      <c r="C261" s="10"/>
      <c r="D261" s="10"/>
      <c r="E261" s="10"/>
      <c r="F261" s="10"/>
      <c r="G261" s="10"/>
      <c r="H261" s="12" t="str">
        <f t="array" ref="H261">IF($B261="","",XLOOKUP($B261,Players!$A$4:$A$923,Players!$Y$4:$Y$923,""))</f>
        <v/>
      </c>
      <c r="I261" s="12" t="str">
        <f t="shared" si="1"/>
        <v/>
      </c>
      <c r="J261" s="12" t="str">
        <f>IF(COUNT($F$3:$F261)=0,"Not Started",IF(SUM($F$3:$F261)/SUM($H$3:$H261)&gt;=1+Settings!$B$26,"Very Overheated",IF(SUM($F$3:$F261)/SUM($H$3:$H261)&gt;=1+Settings!$B$27,"Overheated",IF(SUM($F$3:$F261)/SUM($H$3:$H261)&lt;=1+Settings!$B$30,"Very Soft",IF(SUM($F$3:$F261)/SUM($H$3:$H261)&lt;=1+Settings!$B$29,"Soft","Fair")))))</f>
        <v>Not Started</v>
      </c>
      <c r="K261" s="10"/>
    </row>
    <row r="262" ht="15.75" customHeight="1">
      <c r="A262" s="10"/>
      <c r="B262" s="10"/>
      <c r="C262" s="10"/>
      <c r="D262" s="10"/>
      <c r="E262" s="10"/>
      <c r="F262" s="10"/>
      <c r="G262" s="10"/>
      <c r="H262" s="12" t="str">
        <f t="array" ref="H262">IF($B262="","",XLOOKUP($B262,Players!$A$4:$A$923,Players!$Y$4:$Y$923,""))</f>
        <v/>
      </c>
      <c r="I262" s="12" t="str">
        <f t="shared" si="1"/>
        <v/>
      </c>
      <c r="J262" s="12" t="str">
        <f>IF(COUNT($F$3:$F262)=0,"Not Started",IF(SUM($F$3:$F262)/SUM($H$3:$H262)&gt;=1+Settings!$B$26,"Very Overheated",IF(SUM($F$3:$F262)/SUM($H$3:$H262)&gt;=1+Settings!$B$27,"Overheated",IF(SUM($F$3:$F262)/SUM($H$3:$H262)&lt;=1+Settings!$B$30,"Very Soft",IF(SUM($F$3:$F262)/SUM($H$3:$H262)&lt;=1+Settings!$B$29,"Soft","Fair")))))</f>
        <v>Not Started</v>
      </c>
      <c r="K262" s="10"/>
    </row>
    <row r="263" ht="15.75" customHeight="1">
      <c r="A263" s="10"/>
      <c r="B263" s="10"/>
      <c r="C263" s="10"/>
      <c r="D263" s="10"/>
      <c r="E263" s="10"/>
      <c r="F263" s="10"/>
      <c r="G263" s="10"/>
      <c r="H263" s="12" t="str">
        <f t="array" ref="H263">IF($B263="","",XLOOKUP($B263,Players!$A$4:$A$923,Players!$Y$4:$Y$923,""))</f>
        <v/>
      </c>
      <c r="I263" s="12" t="str">
        <f t="shared" si="1"/>
        <v/>
      </c>
      <c r="J263" s="12" t="str">
        <f>IF(COUNT($F$3:$F263)=0,"Not Started",IF(SUM($F$3:$F263)/SUM($H$3:$H263)&gt;=1+Settings!$B$26,"Very Overheated",IF(SUM($F$3:$F263)/SUM($H$3:$H263)&gt;=1+Settings!$B$27,"Overheated",IF(SUM($F$3:$F263)/SUM($H$3:$H263)&lt;=1+Settings!$B$30,"Very Soft",IF(SUM($F$3:$F263)/SUM($H$3:$H263)&lt;=1+Settings!$B$29,"Soft","Fair")))))</f>
        <v>Not Started</v>
      </c>
      <c r="K263" s="10"/>
    </row>
    <row r="264" ht="15.75" customHeight="1">
      <c r="A264" s="10"/>
      <c r="B264" s="10"/>
      <c r="C264" s="10"/>
      <c r="D264" s="10"/>
      <c r="E264" s="10"/>
      <c r="F264" s="10"/>
      <c r="G264" s="10"/>
      <c r="H264" s="12" t="str">
        <f t="array" ref="H264">IF($B264="","",XLOOKUP($B264,Players!$A$4:$A$923,Players!$Y$4:$Y$923,""))</f>
        <v/>
      </c>
      <c r="I264" s="12" t="str">
        <f t="shared" si="1"/>
        <v/>
      </c>
      <c r="J264" s="12" t="str">
        <f>IF(COUNT($F$3:$F264)=0,"Not Started",IF(SUM($F$3:$F264)/SUM($H$3:$H264)&gt;=1+Settings!$B$26,"Very Overheated",IF(SUM($F$3:$F264)/SUM($H$3:$H264)&gt;=1+Settings!$B$27,"Overheated",IF(SUM($F$3:$F264)/SUM($H$3:$H264)&lt;=1+Settings!$B$30,"Very Soft",IF(SUM($F$3:$F264)/SUM($H$3:$H264)&lt;=1+Settings!$B$29,"Soft","Fair")))))</f>
        <v>Not Started</v>
      </c>
      <c r="K264" s="10"/>
    </row>
    <row r="265" ht="15.75" customHeight="1">
      <c r="A265" s="10"/>
      <c r="B265" s="10"/>
      <c r="C265" s="10"/>
      <c r="D265" s="10"/>
      <c r="E265" s="10"/>
      <c r="F265" s="10"/>
      <c r="G265" s="10"/>
      <c r="H265" s="12" t="str">
        <f t="array" ref="H265">IF($B265="","",XLOOKUP($B265,Players!$A$4:$A$923,Players!$Y$4:$Y$923,""))</f>
        <v/>
      </c>
      <c r="I265" s="12" t="str">
        <f t="shared" si="1"/>
        <v/>
      </c>
      <c r="J265" s="12" t="str">
        <f>IF(COUNT($F$3:$F265)=0,"Not Started",IF(SUM($F$3:$F265)/SUM($H$3:$H265)&gt;=1+Settings!$B$26,"Very Overheated",IF(SUM($F$3:$F265)/SUM($H$3:$H265)&gt;=1+Settings!$B$27,"Overheated",IF(SUM($F$3:$F265)/SUM($H$3:$H265)&lt;=1+Settings!$B$30,"Very Soft",IF(SUM($F$3:$F265)/SUM($H$3:$H265)&lt;=1+Settings!$B$29,"Soft","Fair")))))</f>
        <v>Not Started</v>
      </c>
      <c r="K265" s="10"/>
    </row>
    <row r="266" ht="15.75" customHeight="1">
      <c r="A266" s="10"/>
      <c r="B266" s="10"/>
      <c r="C266" s="10"/>
      <c r="D266" s="10"/>
      <c r="E266" s="10"/>
      <c r="F266" s="10"/>
      <c r="G266" s="10"/>
      <c r="H266" s="12" t="str">
        <f t="array" ref="H266">IF($B266="","",XLOOKUP($B266,Players!$A$4:$A$923,Players!$Y$4:$Y$923,""))</f>
        <v/>
      </c>
      <c r="I266" s="12" t="str">
        <f t="shared" si="1"/>
        <v/>
      </c>
      <c r="J266" s="12" t="str">
        <f>IF(COUNT($F$3:$F266)=0,"Not Started",IF(SUM($F$3:$F266)/SUM($H$3:$H266)&gt;=1+Settings!$B$26,"Very Overheated",IF(SUM($F$3:$F266)/SUM($H$3:$H266)&gt;=1+Settings!$B$27,"Overheated",IF(SUM($F$3:$F266)/SUM($H$3:$H266)&lt;=1+Settings!$B$30,"Very Soft",IF(SUM($F$3:$F266)/SUM($H$3:$H266)&lt;=1+Settings!$B$29,"Soft","Fair")))))</f>
        <v>Not Started</v>
      </c>
      <c r="K266" s="10"/>
    </row>
    <row r="267" ht="15.75" customHeight="1">
      <c r="A267" s="10"/>
      <c r="B267" s="10"/>
      <c r="C267" s="10"/>
      <c r="D267" s="10"/>
      <c r="E267" s="10"/>
      <c r="F267" s="10"/>
      <c r="G267" s="10"/>
      <c r="H267" s="12" t="str">
        <f t="array" ref="H267">IF($B267="","",XLOOKUP($B267,Players!$A$4:$A$923,Players!$Y$4:$Y$923,""))</f>
        <v/>
      </c>
      <c r="I267" s="12" t="str">
        <f t="shared" si="1"/>
        <v/>
      </c>
      <c r="J267" s="12" t="str">
        <f>IF(COUNT($F$3:$F267)=0,"Not Started",IF(SUM($F$3:$F267)/SUM($H$3:$H267)&gt;=1+Settings!$B$26,"Very Overheated",IF(SUM($F$3:$F267)/SUM($H$3:$H267)&gt;=1+Settings!$B$27,"Overheated",IF(SUM($F$3:$F267)/SUM($H$3:$H267)&lt;=1+Settings!$B$30,"Very Soft",IF(SUM($F$3:$F267)/SUM($H$3:$H267)&lt;=1+Settings!$B$29,"Soft","Fair")))))</f>
        <v>Not Started</v>
      </c>
      <c r="K267" s="10"/>
    </row>
    <row r="268" ht="15.75" customHeight="1">
      <c r="A268" s="10"/>
      <c r="B268" s="10"/>
      <c r="C268" s="10"/>
      <c r="D268" s="10"/>
      <c r="E268" s="10"/>
      <c r="F268" s="10"/>
      <c r="G268" s="10"/>
      <c r="H268" s="12" t="str">
        <f t="array" ref="H268">IF($B268="","",XLOOKUP($B268,Players!$A$4:$A$923,Players!$Y$4:$Y$923,""))</f>
        <v/>
      </c>
      <c r="I268" s="12" t="str">
        <f t="shared" si="1"/>
        <v/>
      </c>
      <c r="J268" s="12" t="str">
        <f>IF(COUNT($F$3:$F268)=0,"Not Started",IF(SUM($F$3:$F268)/SUM($H$3:$H268)&gt;=1+Settings!$B$26,"Very Overheated",IF(SUM($F$3:$F268)/SUM($H$3:$H268)&gt;=1+Settings!$B$27,"Overheated",IF(SUM($F$3:$F268)/SUM($H$3:$H268)&lt;=1+Settings!$B$30,"Very Soft",IF(SUM($F$3:$F268)/SUM($H$3:$H268)&lt;=1+Settings!$B$29,"Soft","Fair")))))</f>
        <v>Not Started</v>
      </c>
      <c r="K268" s="10"/>
    </row>
    <row r="269" ht="15.75" customHeight="1">
      <c r="A269" s="10"/>
      <c r="B269" s="10"/>
      <c r="C269" s="10"/>
      <c r="D269" s="10"/>
      <c r="E269" s="10"/>
      <c r="F269" s="10"/>
      <c r="G269" s="10"/>
      <c r="H269" s="12" t="str">
        <f t="array" ref="H269">IF($B269="","",XLOOKUP($B269,Players!$A$4:$A$923,Players!$Y$4:$Y$923,""))</f>
        <v/>
      </c>
      <c r="I269" s="12" t="str">
        <f t="shared" si="1"/>
        <v/>
      </c>
      <c r="J269" s="12" t="str">
        <f>IF(COUNT($F$3:$F269)=0,"Not Started",IF(SUM($F$3:$F269)/SUM($H$3:$H269)&gt;=1+Settings!$B$26,"Very Overheated",IF(SUM($F$3:$F269)/SUM($H$3:$H269)&gt;=1+Settings!$B$27,"Overheated",IF(SUM($F$3:$F269)/SUM($H$3:$H269)&lt;=1+Settings!$B$30,"Very Soft",IF(SUM($F$3:$F269)/SUM($H$3:$H269)&lt;=1+Settings!$B$29,"Soft","Fair")))))</f>
        <v>Not Started</v>
      </c>
      <c r="K269" s="10"/>
    </row>
    <row r="270" ht="15.75" customHeight="1">
      <c r="A270" s="10"/>
      <c r="B270" s="10"/>
      <c r="C270" s="10"/>
      <c r="D270" s="10"/>
      <c r="E270" s="10"/>
      <c r="F270" s="10"/>
      <c r="G270" s="10"/>
      <c r="H270" s="12" t="str">
        <f t="array" ref="H270">IF($B270="","",XLOOKUP($B270,Players!$A$4:$A$923,Players!$Y$4:$Y$923,""))</f>
        <v/>
      </c>
      <c r="I270" s="12" t="str">
        <f t="shared" si="1"/>
        <v/>
      </c>
      <c r="J270" s="12" t="str">
        <f>IF(COUNT($F$3:$F270)=0,"Not Started",IF(SUM($F$3:$F270)/SUM($H$3:$H270)&gt;=1+Settings!$B$26,"Very Overheated",IF(SUM($F$3:$F270)/SUM($H$3:$H270)&gt;=1+Settings!$B$27,"Overheated",IF(SUM($F$3:$F270)/SUM($H$3:$H270)&lt;=1+Settings!$B$30,"Very Soft",IF(SUM($F$3:$F270)/SUM($H$3:$H270)&lt;=1+Settings!$B$29,"Soft","Fair")))))</f>
        <v>Not Started</v>
      </c>
      <c r="K270" s="10"/>
    </row>
    <row r="271" ht="15.75" customHeight="1">
      <c r="A271" s="10"/>
      <c r="B271" s="10"/>
      <c r="C271" s="10"/>
      <c r="D271" s="10"/>
      <c r="E271" s="10"/>
      <c r="F271" s="10"/>
      <c r="G271" s="10"/>
      <c r="H271" s="12" t="str">
        <f t="array" ref="H271">IF($B271="","",XLOOKUP($B271,Players!$A$4:$A$923,Players!$Y$4:$Y$923,""))</f>
        <v/>
      </c>
      <c r="I271" s="12" t="str">
        <f t="shared" si="1"/>
        <v/>
      </c>
      <c r="J271" s="12" t="str">
        <f>IF(COUNT($F$3:$F271)=0,"Not Started",IF(SUM($F$3:$F271)/SUM($H$3:$H271)&gt;=1+Settings!$B$26,"Very Overheated",IF(SUM($F$3:$F271)/SUM($H$3:$H271)&gt;=1+Settings!$B$27,"Overheated",IF(SUM($F$3:$F271)/SUM($H$3:$H271)&lt;=1+Settings!$B$30,"Very Soft",IF(SUM($F$3:$F271)/SUM($H$3:$H271)&lt;=1+Settings!$B$29,"Soft","Fair")))))</f>
        <v>Not Started</v>
      </c>
      <c r="K271" s="10"/>
    </row>
    <row r="272" ht="15.75" customHeight="1">
      <c r="A272" s="10"/>
      <c r="B272" s="10"/>
      <c r="C272" s="10"/>
      <c r="D272" s="10"/>
      <c r="E272" s="10"/>
      <c r="F272" s="10"/>
      <c r="G272" s="10"/>
      <c r="H272" s="12" t="str">
        <f t="array" ref="H272">IF($B272="","",XLOOKUP($B272,Players!$A$4:$A$923,Players!$Y$4:$Y$923,""))</f>
        <v/>
      </c>
      <c r="I272" s="12" t="str">
        <f t="shared" si="1"/>
        <v/>
      </c>
      <c r="J272" s="12" t="str">
        <f>IF(COUNT($F$3:$F272)=0,"Not Started",IF(SUM($F$3:$F272)/SUM($H$3:$H272)&gt;=1+Settings!$B$26,"Very Overheated",IF(SUM($F$3:$F272)/SUM($H$3:$H272)&gt;=1+Settings!$B$27,"Overheated",IF(SUM($F$3:$F272)/SUM($H$3:$H272)&lt;=1+Settings!$B$30,"Very Soft",IF(SUM($F$3:$F272)/SUM($H$3:$H272)&lt;=1+Settings!$B$29,"Soft","Fair")))))</f>
        <v>Not Started</v>
      </c>
      <c r="K272" s="10"/>
    </row>
    <row r="273" ht="15.75" customHeight="1">
      <c r="A273" s="10"/>
      <c r="B273" s="10"/>
      <c r="C273" s="10"/>
      <c r="D273" s="10"/>
      <c r="E273" s="10"/>
      <c r="F273" s="10"/>
      <c r="G273" s="10"/>
      <c r="H273" s="12" t="str">
        <f t="array" ref="H273">IF($B273="","",XLOOKUP($B273,Players!$A$4:$A$923,Players!$Y$4:$Y$923,""))</f>
        <v/>
      </c>
      <c r="I273" s="12" t="str">
        <f t="shared" si="1"/>
        <v/>
      </c>
      <c r="J273" s="12" t="str">
        <f>IF(COUNT($F$3:$F273)=0,"Not Started",IF(SUM($F$3:$F273)/SUM($H$3:$H273)&gt;=1+Settings!$B$26,"Very Overheated",IF(SUM($F$3:$F273)/SUM($H$3:$H273)&gt;=1+Settings!$B$27,"Overheated",IF(SUM($F$3:$F273)/SUM($H$3:$H273)&lt;=1+Settings!$B$30,"Very Soft",IF(SUM($F$3:$F273)/SUM($H$3:$H273)&lt;=1+Settings!$B$29,"Soft","Fair")))))</f>
        <v>Not Started</v>
      </c>
      <c r="K273" s="10"/>
    </row>
    <row r="274" ht="15.75" customHeight="1">
      <c r="A274" s="10"/>
      <c r="B274" s="10"/>
      <c r="C274" s="10"/>
      <c r="D274" s="10"/>
      <c r="E274" s="10"/>
      <c r="F274" s="10"/>
      <c r="G274" s="10"/>
      <c r="H274" s="12" t="str">
        <f t="array" ref="H274">IF($B274="","",XLOOKUP($B274,Players!$A$4:$A$923,Players!$Y$4:$Y$923,""))</f>
        <v/>
      </c>
      <c r="I274" s="12" t="str">
        <f t="shared" si="1"/>
        <v/>
      </c>
      <c r="J274" s="12" t="str">
        <f>IF(COUNT($F$3:$F274)=0,"Not Started",IF(SUM($F$3:$F274)/SUM($H$3:$H274)&gt;=1+Settings!$B$26,"Very Overheated",IF(SUM($F$3:$F274)/SUM($H$3:$H274)&gt;=1+Settings!$B$27,"Overheated",IF(SUM($F$3:$F274)/SUM($H$3:$H274)&lt;=1+Settings!$B$30,"Very Soft",IF(SUM($F$3:$F274)/SUM($H$3:$H274)&lt;=1+Settings!$B$29,"Soft","Fair")))))</f>
        <v>Not Started</v>
      </c>
      <c r="K274" s="10"/>
    </row>
    <row r="275" ht="15.75" customHeight="1">
      <c r="A275" s="10"/>
      <c r="B275" s="10"/>
      <c r="C275" s="10"/>
      <c r="D275" s="10"/>
      <c r="E275" s="10"/>
      <c r="F275" s="10"/>
      <c r="G275" s="10"/>
      <c r="H275" s="12" t="str">
        <f t="array" ref="H275">IF($B275="","",XLOOKUP($B275,Players!$A$4:$A$923,Players!$Y$4:$Y$923,""))</f>
        <v/>
      </c>
      <c r="I275" s="12" t="str">
        <f t="shared" si="1"/>
        <v/>
      </c>
      <c r="J275" s="12" t="str">
        <f>IF(COUNT($F$3:$F275)=0,"Not Started",IF(SUM($F$3:$F275)/SUM($H$3:$H275)&gt;=1+Settings!$B$26,"Very Overheated",IF(SUM($F$3:$F275)/SUM($H$3:$H275)&gt;=1+Settings!$B$27,"Overheated",IF(SUM($F$3:$F275)/SUM($H$3:$H275)&lt;=1+Settings!$B$30,"Very Soft",IF(SUM($F$3:$F275)/SUM($H$3:$H275)&lt;=1+Settings!$B$29,"Soft","Fair")))))</f>
        <v>Not Started</v>
      </c>
      <c r="K275" s="10"/>
    </row>
    <row r="276" ht="15.75" customHeight="1">
      <c r="A276" s="10"/>
      <c r="B276" s="10"/>
      <c r="C276" s="10"/>
      <c r="D276" s="10"/>
      <c r="E276" s="10"/>
      <c r="F276" s="10"/>
      <c r="G276" s="10"/>
      <c r="H276" s="12" t="str">
        <f t="array" ref="H276">IF($B276="","",XLOOKUP($B276,Players!$A$4:$A$923,Players!$Y$4:$Y$923,""))</f>
        <v/>
      </c>
      <c r="I276" s="12" t="str">
        <f t="shared" si="1"/>
        <v/>
      </c>
      <c r="J276" s="12" t="str">
        <f>IF(COUNT($F$3:$F276)=0,"Not Started",IF(SUM($F$3:$F276)/SUM($H$3:$H276)&gt;=1+Settings!$B$26,"Very Overheated",IF(SUM($F$3:$F276)/SUM($H$3:$H276)&gt;=1+Settings!$B$27,"Overheated",IF(SUM($F$3:$F276)/SUM($H$3:$H276)&lt;=1+Settings!$B$30,"Very Soft",IF(SUM($F$3:$F276)/SUM($H$3:$H276)&lt;=1+Settings!$B$29,"Soft","Fair")))))</f>
        <v>Not Started</v>
      </c>
      <c r="K276" s="10"/>
    </row>
    <row r="277" ht="15.75" customHeight="1">
      <c r="A277" s="10"/>
      <c r="B277" s="10"/>
      <c r="C277" s="10"/>
      <c r="D277" s="10"/>
      <c r="E277" s="10"/>
      <c r="F277" s="10"/>
      <c r="G277" s="10"/>
      <c r="H277" s="12" t="str">
        <f t="array" ref="H277">IF($B277="","",XLOOKUP($B277,Players!$A$4:$A$923,Players!$Y$4:$Y$923,""))</f>
        <v/>
      </c>
      <c r="I277" s="12" t="str">
        <f t="shared" si="1"/>
        <v/>
      </c>
      <c r="J277" s="12" t="str">
        <f>IF(COUNT($F$3:$F277)=0,"Not Started",IF(SUM($F$3:$F277)/SUM($H$3:$H277)&gt;=1+Settings!$B$26,"Very Overheated",IF(SUM($F$3:$F277)/SUM($H$3:$H277)&gt;=1+Settings!$B$27,"Overheated",IF(SUM($F$3:$F277)/SUM($H$3:$H277)&lt;=1+Settings!$B$30,"Very Soft",IF(SUM($F$3:$F277)/SUM($H$3:$H277)&lt;=1+Settings!$B$29,"Soft","Fair")))))</f>
        <v>Not Started</v>
      </c>
      <c r="K277" s="10"/>
    </row>
    <row r="278" ht="15.75" customHeight="1">
      <c r="A278" s="10"/>
      <c r="B278" s="10"/>
      <c r="C278" s="10"/>
      <c r="D278" s="10"/>
      <c r="E278" s="10"/>
      <c r="F278" s="10"/>
      <c r="G278" s="10"/>
      <c r="H278" s="12" t="str">
        <f t="array" ref="H278">IF($B278="","",XLOOKUP($B278,Players!$A$4:$A$923,Players!$Y$4:$Y$923,""))</f>
        <v/>
      </c>
      <c r="I278" s="12" t="str">
        <f t="shared" si="1"/>
        <v/>
      </c>
      <c r="J278" s="12" t="str">
        <f>IF(COUNT($F$3:$F278)=0,"Not Started",IF(SUM($F$3:$F278)/SUM($H$3:$H278)&gt;=1+Settings!$B$26,"Very Overheated",IF(SUM($F$3:$F278)/SUM($H$3:$H278)&gt;=1+Settings!$B$27,"Overheated",IF(SUM($F$3:$F278)/SUM($H$3:$H278)&lt;=1+Settings!$B$30,"Very Soft",IF(SUM($F$3:$F278)/SUM($H$3:$H278)&lt;=1+Settings!$B$29,"Soft","Fair")))))</f>
        <v>Not Started</v>
      </c>
      <c r="K278" s="10"/>
    </row>
    <row r="279" ht="15.75" customHeight="1">
      <c r="A279" s="10"/>
      <c r="B279" s="10"/>
      <c r="C279" s="10"/>
      <c r="D279" s="10"/>
      <c r="E279" s="10"/>
      <c r="F279" s="10"/>
      <c r="G279" s="10"/>
      <c r="H279" s="12" t="str">
        <f t="array" ref="H279">IF($B279="","",XLOOKUP($B279,Players!$A$4:$A$923,Players!$Y$4:$Y$923,""))</f>
        <v/>
      </c>
      <c r="I279" s="12" t="str">
        <f t="shared" si="1"/>
        <v/>
      </c>
      <c r="J279" s="12" t="str">
        <f>IF(COUNT($F$3:$F279)=0,"Not Started",IF(SUM($F$3:$F279)/SUM($H$3:$H279)&gt;=1+Settings!$B$26,"Very Overheated",IF(SUM($F$3:$F279)/SUM($H$3:$H279)&gt;=1+Settings!$B$27,"Overheated",IF(SUM($F$3:$F279)/SUM($H$3:$H279)&lt;=1+Settings!$B$30,"Very Soft",IF(SUM($F$3:$F279)/SUM($H$3:$H279)&lt;=1+Settings!$B$29,"Soft","Fair")))))</f>
        <v>Not Started</v>
      </c>
      <c r="K279" s="10"/>
    </row>
    <row r="280" ht="15.75" customHeight="1">
      <c r="A280" s="10"/>
      <c r="B280" s="10"/>
      <c r="C280" s="10"/>
      <c r="D280" s="10"/>
      <c r="E280" s="10"/>
      <c r="F280" s="10"/>
      <c r="G280" s="10"/>
      <c r="H280" s="12" t="str">
        <f t="array" ref="H280">IF($B280="","",XLOOKUP($B280,Players!$A$4:$A$923,Players!$Y$4:$Y$923,""))</f>
        <v/>
      </c>
      <c r="I280" s="12" t="str">
        <f t="shared" si="1"/>
        <v/>
      </c>
      <c r="J280" s="12" t="str">
        <f>IF(COUNT($F$3:$F280)=0,"Not Started",IF(SUM($F$3:$F280)/SUM($H$3:$H280)&gt;=1+Settings!$B$26,"Very Overheated",IF(SUM($F$3:$F280)/SUM($H$3:$H280)&gt;=1+Settings!$B$27,"Overheated",IF(SUM($F$3:$F280)/SUM($H$3:$H280)&lt;=1+Settings!$B$30,"Very Soft",IF(SUM($F$3:$F280)/SUM($H$3:$H280)&lt;=1+Settings!$B$29,"Soft","Fair")))))</f>
        <v>Not Started</v>
      </c>
      <c r="K280" s="10"/>
    </row>
    <row r="281" ht="15.75" customHeight="1">
      <c r="A281" s="10"/>
      <c r="B281" s="10"/>
      <c r="C281" s="10"/>
      <c r="D281" s="10"/>
      <c r="E281" s="10"/>
      <c r="F281" s="10"/>
      <c r="G281" s="10"/>
      <c r="H281" s="12" t="str">
        <f t="array" ref="H281">IF($B281="","",XLOOKUP($B281,Players!$A$4:$A$923,Players!$Y$4:$Y$923,""))</f>
        <v/>
      </c>
      <c r="I281" s="12" t="str">
        <f t="shared" si="1"/>
        <v/>
      </c>
      <c r="J281" s="12" t="str">
        <f>IF(COUNT($F$3:$F281)=0,"Not Started",IF(SUM($F$3:$F281)/SUM($H$3:$H281)&gt;=1+Settings!$B$26,"Very Overheated",IF(SUM($F$3:$F281)/SUM($H$3:$H281)&gt;=1+Settings!$B$27,"Overheated",IF(SUM($F$3:$F281)/SUM($H$3:$H281)&lt;=1+Settings!$B$30,"Very Soft",IF(SUM($F$3:$F281)/SUM($H$3:$H281)&lt;=1+Settings!$B$29,"Soft","Fair")))))</f>
        <v>Not Started</v>
      </c>
      <c r="K281" s="10"/>
    </row>
    <row r="282" ht="15.75" customHeight="1">
      <c r="A282" s="10"/>
      <c r="B282" s="10"/>
      <c r="C282" s="10"/>
      <c r="D282" s="10"/>
      <c r="E282" s="10"/>
      <c r="F282" s="10"/>
      <c r="G282" s="10"/>
      <c r="H282" s="12" t="str">
        <f t="array" ref="H282">IF($B282="","",XLOOKUP($B282,Players!$A$4:$A$923,Players!$Y$4:$Y$923,""))</f>
        <v/>
      </c>
      <c r="I282" s="12" t="str">
        <f t="shared" si="1"/>
        <v/>
      </c>
      <c r="J282" s="12" t="str">
        <f>IF(COUNT($F$3:$F282)=0,"Not Started",IF(SUM($F$3:$F282)/SUM($H$3:$H282)&gt;=1+Settings!$B$26,"Very Overheated",IF(SUM($F$3:$F282)/SUM($H$3:$H282)&gt;=1+Settings!$B$27,"Overheated",IF(SUM($F$3:$F282)/SUM($H$3:$H282)&lt;=1+Settings!$B$30,"Very Soft",IF(SUM($F$3:$F282)/SUM($H$3:$H282)&lt;=1+Settings!$B$29,"Soft","Fair")))))</f>
        <v>Not Started</v>
      </c>
      <c r="K282" s="10"/>
    </row>
    <row r="283" ht="15.75" customHeight="1">
      <c r="A283" s="10"/>
      <c r="B283" s="10"/>
      <c r="C283" s="10"/>
      <c r="D283" s="10"/>
      <c r="E283" s="10"/>
      <c r="F283" s="10"/>
      <c r="G283" s="10"/>
      <c r="H283" s="12" t="str">
        <f t="array" ref="H283">IF($B283="","",XLOOKUP($B283,Players!$A$4:$A$923,Players!$Y$4:$Y$923,""))</f>
        <v/>
      </c>
      <c r="I283" s="12" t="str">
        <f t="shared" si="1"/>
        <v/>
      </c>
      <c r="J283" s="12" t="str">
        <f>IF(COUNT($F$3:$F283)=0,"Not Started",IF(SUM($F$3:$F283)/SUM($H$3:$H283)&gt;=1+Settings!$B$26,"Very Overheated",IF(SUM($F$3:$F283)/SUM($H$3:$H283)&gt;=1+Settings!$B$27,"Overheated",IF(SUM($F$3:$F283)/SUM($H$3:$H283)&lt;=1+Settings!$B$30,"Very Soft",IF(SUM($F$3:$F283)/SUM($H$3:$H283)&lt;=1+Settings!$B$29,"Soft","Fair")))))</f>
        <v>Not Started</v>
      </c>
      <c r="K283" s="10"/>
    </row>
    <row r="284" ht="15.75" customHeight="1">
      <c r="A284" s="10"/>
      <c r="B284" s="10"/>
      <c r="C284" s="10"/>
      <c r="D284" s="10"/>
      <c r="E284" s="10"/>
      <c r="F284" s="10"/>
      <c r="G284" s="10"/>
      <c r="H284" s="12" t="str">
        <f t="array" ref="H284">IF($B284="","",XLOOKUP($B284,Players!$A$4:$A$923,Players!$Y$4:$Y$923,""))</f>
        <v/>
      </c>
      <c r="I284" s="12" t="str">
        <f t="shared" si="1"/>
        <v/>
      </c>
      <c r="J284" s="12" t="str">
        <f>IF(COUNT($F$3:$F284)=0,"Not Started",IF(SUM($F$3:$F284)/SUM($H$3:$H284)&gt;=1+Settings!$B$26,"Very Overheated",IF(SUM($F$3:$F284)/SUM($H$3:$H284)&gt;=1+Settings!$B$27,"Overheated",IF(SUM($F$3:$F284)/SUM($H$3:$H284)&lt;=1+Settings!$B$30,"Very Soft",IF(SUM($F$3:$F284)/SUM($H$3:$H284)&lt;=1+Settings!$B$29,"Soft","Fair")))))</f>
        <v>Not Started</v>
      </c>
      <c r="K284" s="10"/>
    </row>
    <row r="285" ht="15.75" customHeight="1">
      <c r="A285" s="10"/>
      <c r="B285" s="10"/>
      <c r="C285" s="10"/>
      <c r="D285" s="10"/>
      <c r="E285" s="10"/>
      <c r="F285" s="10"/>
      <c r="G285" s="10"/>
      <c r="H285" s="12" t="str">
        <f t="array" ref="H285">IF($B285="","",XLOOKUP($B285,Players!$A$4:$A$923,Players!$Y$4:$Y$923,""))</f>
        <v/>
      </c>
      <c r="I285" s="12" t="str">
        <f t="shared" si="1"/>
        <v/>
      </c>
      <c r="J285" s="12" t="str">
        <f>IF(COUNT($F$3:$F285)=0,"Not Started",IF(SUM($F$3:$F285)/SUM($H$3:$H285)&gt;=1+Settings!$B$26,"Very Overheated",IF(SUM($F$3:$F285)/SUM($H$3:$H285)&gt;=1+Settings!$B$27,"Overheated",IF(SUM($F$3:$F285)/SUM($H$3:$H285)&lt;=1+Settings!$B$30,"Very Soft",IF(SUM($F$3:$F285)/SUM($H$3:$H285)&lt;=1+Settings!$B$29,"Soft","Fair")))))</f>
        <v>Not Started</v>
      </c>
      <c r="K285" s="10"/>
    </row>
    <row r="286" ht="15.75" customHeight="1">
      <c r="A286" s="10"/>
      <c r="B286" s="10"/>
      <c r="C286" s="10"/>
      <c r="D286" s="10"/>
      <c r="E286" s="10"/>
      <c r="F286" s="10"/>
      <c r="G286" s="10"/>
      <c r="H286" s="12" t="str">
        <f t="array" ref="H286">IF($B286="","",XLOOKUP($B286,Players!$A$4:$A$923,Players!$Y$4:$Y$923,""))</f>
        <v/>
      </c>
      <c r="I286" s="12" t="str">
        <f t="shared" si="1"/>
        <v/>
      </c>
      <c r="J286" s="12" t="str">
        <f>IF(COUNT($F$3:$F286)=0,"Not Started",IF(SUM($F$3:$F286)/SUM($H$3:$H286)&gt;=1+Settings!$B$26,"Very Overheated",IF(SUM($F$3:$F286)/SUM($H$3:$H286)&gt;=1+Settings!$B$27,"Overheated",IF(SUM($F$3:$F286)/SUM($H$3:$H286)&lt;=1+Settings!$B$30,"Very Soft",IF(SUM($F$3:$F286)/SUM($H$3:$H286)&lt;=1+Settings!$B$29,"Soft","Fair")))))</f>
        <v>Not Started</v>
      </c>
      <c r="K286" s="10"/>
    </row>
    <row r="287" ht="15.75" customHeight="1">
      <c r="A287" s="10"/>
      <c r="B287" s="10"/>
      <c r="C287" s="10"/>
      <c r="D287" s="10"/>
      <c r="E287" s="10"/>
      <c r="F287" s="10"/>
      <c r="G287" s="10"/>
      <c r="H287" s="12" t="str">
        <f t="array" ref="H287">IF($B287="","",XLOOKUP($B287,Players!$A$4:$A$923,Players!$Y$4:$Y$923,""))</f>
        <v/>
      </c>
      <c r="I287" s="12" t="str">
        <f t="shared" si="1"/>
        <v/>
      </c>
      <c r="J287" s="12" t="str">
        <f>IF(COUNT($F$3:$F287)=0,"Not Started",IF(SUM($F$3:$F287)/SUM($H$3:$H287)&gt;=1+Settings!$B$26,"Very Overheated",IF(SUM($F$3:$F287)/SUM($H$3:$H287)&gt;=1+Settings!$B$27,"Overheated",IF(SUM($F$3:$F287)/SUM($H$3:$H287)&lt;=1+Settings!$B$30,"Very Soft",IF(SUM($F$3:$F287)/SUM($H$3:$H287)&lt;=1+Settings!$B$29,"Soft","Fair")))))</f>
        <v>Not Started</v>
      </c>
      <c r="K287" s="10"/>
    </row>
    <row r="288" ht="15.75" customHeight="1">
      <c r="A288" s="10"/>
      <c r="B288" s="10"/>
      <c r="C288" s="10"/>
      <c r="D288" s="10"/>
      <c r="E288" s="10"/>
      <c r="F288" s="10"/>
      <c r="G288" s="10"/>
      <c r="H288" s="12" t="str">
        <f t="array" ref="H288">IF($B288="","",XLOOKUP($B288,Players!$A$4:$A$923,Players!$Y$4:$Y$923,""))</f>
        <v/>
      </c>
      <c r="I288" s="12" t="str">
        <f t="shared" si="1"/>
        <v/>
      </c>
      <c r="J288" s="12" t="str">
        <f>IF(COUNT($F$3:$F288)=0,"Not Started",IF(SUM($F$3:$F288)/SUM($H$3:$H288)&gt;=1+Settings!$B$26,"Very Overheated",IF(SUM($F$3:$F288)/SUM($H$3:$H288)&gt;=1+Settings!$B$27,"Overheated",IF(SUM($F$3:$F288)/SUM($H$3:$H288)&lt;=1+Settings!$B$30,"Very Soft",IF(SUM($F$3:$F288)/SUM($H$3:$H288)&lt;=1+Settings!$B$29,"Soft","Fair")))))</f>
        <v>Not Started</v>
      </c>
      <c r="K288" s="10"/>
    </row>
    <row r="289" ht="15.75" customHeight="1">
      <c r="A289" s="10"/>
      <c r="B289" s="10"/>
      <c r="C289" s="10"/>
      <c r="D289" s="10"/>
      <c r="E289" s="10"/>
      <c r="F289" s="10"/>
      <c r="G289" s="10"/>
      <c r="H289" s="12" t="str">
        <f t="array" ref="H289">IF($B289="","",XLOOKUP($B289,Players!$A$4:$A$923,Players!$Y$4:$Y$923,""))</f>
        <v/>
      </c>
      <c r="I289" s="12" t="str">
        <f t="shared" si="1"/>
        <v/>
      </c>
      <c r="J289" s="12" t="str">
        <f>IF(COUNT($F$3:$F289)=0,"Not Started",IF(SUM($F$3:$F289)/SUM($H$3:$H289)&gt;=1+Settings!$B$26,"Very Overheated",IF(SUM($F$3:$F289)/SUM($H$3:$H289)&gt;=1+Settings!$B$27,"Overheated",IF(SUM($F$3:$F289)/SUM($H$3:$H289)&lt;=1+Settings!$B$30,"Very Soft",IF(SUM($F$3:$F289)/SUM($H$3:$H289)&lt;=1+Settings!$B$29,"Soft","Fair")))))</f>
        <v>Not Started</v>
      </c>
      <c r="K289" s="10"/>
    </row>
    <row r="290" ht="15.75" customHeight="1">
      <c r="A290" s="10"/>
      <c r="B290" s="10"/>
      <c r="C290" s="10"/>
      <c r="D290" s="10"/>
      <c r="E290" s="10"/>
      <c r="F290" s="10"/>
      <c r="G290" s="10"/>
      <c r="H290" s="12" t="str">
        <f t="array" ref="H290">IF($B290="","",XLOOKUP($B290,Players!$A$4:$A$923,Players!$Y$4:$Y$923,""))</f>
        <v/>
      </c>
      <c r="I290" s="12" t="str">
        <f t="shared" si="1"/>
        <v/>
      </c>
      <c r="J290" s="12" t="str">
        <f>IF(COUNT($F$3:$F290)=0,"Not Started",IF(SUM($F$3:$F290)/SUM($H$3:$H290)&gt;=1+Settings!$B$26,"Very Overheated",IF(SUM($F$3:$F290)/SUM($H$3:$H290)&gt;=1+Settings!$B$27,"Overheated",IF(SUM($F$3:$F290)/SUM($H$3:$H290)&lt;=1+Settings!$B$30,"Very Soft",IF(SUM($F$3:$F290)/SUM($H$3:$H290)&lt;=1+Settings!$B$29,"Soft","Fair")))))</f>
        <v>Not Started</v>
      </c>
      <c r="K290" s="10"/>
    </row>
    <row r="291" ht="15.75" customHeight="1">
      <c r="A291" s="10"/>
      <c r="B291" s="10"/>
      <c r="C291" s="10"/>
      <c r="D291" s="10"/>
      <c r="E291" s="10"/>
      <c r="F291" s="10"/>
      <c r="G291" s="10"/>
      <c r="H291" s="12" t="str">
        <f t="array" ref="H291">IF($B291="","",XLOOKUP($B291,Players!$A$4:$A$923,Players!$Y$4:$Y$923,""))</f>
        <v/>
      </c>
      <c r="I291" s="12" t="str">
        <f t="shared" si="1"/>
        <v/>
      </c>
      <c r="J291" s="12" t="str">
        <f>IF(COUNT($F$3:$F291)=0,"Not Started",IF(SUM($F$3:$F291)/SUM($H$3:$H291)&gt;=1+Settings!$B$26,"Very Overheated",IF(SUM($F$3:$F291)/SUM($H$3:$H291)&gt;=1+Settings!$B$27,"Overheated",IF(SUM($F$3:$F291)/SUM($H$3:$H291)&lt;=1+Settings!$B$30,"Very Soft",IF(SUM($F$3:$F291)/SUM($H$3:$H291)&lt;=1+Settings!$B$29,"Soft","Fair")))))</f>
        <v>Not Started</v>
      </c>
      <c r="K291" s="10"/>
    </row>
    <row r="292" ht="15.75" customHeight="1">
      <c r="A292" s="10"/>
      <c r="B292" s="10"/>
      <c r="C292" s="10"/>
      <c r="D292" s="10"/>
      <c r="E292" s="10"/>
      <c r="F292" s="10"/>
      <c r="G292" s="10"/>
      <c r="H292" s="12" t="str">
        <f t="array" ref="H292">IF($B292="","",XLOOKUP($B292,Players!$A$4:$A$923,Players!$Y$4:$Y$923,""))</f>
        <v/>
      </c>
      <c r="I292" s="12" t="str">
        <f t="shared" si="1"/>
        <v/>
      </c>
      <c r="J292" s="12" t="str">
        <f>IF(COUNT($F$3:$F292)=0,"Not Started",IF(SUM($F$3:$F292)/SUM($H$3:$H292)&gt;=1+Settings!$B$26,"Very Overheated",IF(SUM($F$3:$F292)/SUM($H$3:$H292)&gt;=1+Settings!$B$27,"Overheated",IF(SUM($F$3:$F292)/SUM($H$3:$H292)&lt;=1+Settings!$B$30,"Very Soft",IF(SUM($F$3:$F292)/SUM($H$3:$H292)&lt;=1+Settings!$B$29,"Soft","Fair")))))</f>
        <v>Not Started</v>
      </c>
      <c r="K292" s="10"/>
    </row>
    <row r="293" ht="15.75" customHeight="1">
      <c r="A293" s="10"/>
      <c r="B293" s="10"/>
      <c r="C293" s="10"/>
      <c r="D293" s="10"/>
      <c r="E293" s="10"/>
      <c r="F293" s="10"/>
      <c r="G293" s="10"/>
      <c r="H293" s="12" t="str">
        <f t="array" ref="H293">IF($B293="","",XLOOKUP($B293,Players!$A$4:$A$923,Players!$Y$4:$Y$923,""))</f>
        <v/>
      </c>
      <c r="I293" s="12" t="str">
        <f t="shared" si="1"/>
        <v/>
      </c>
      <c r="J293" s="12" t="str">
        <f>IF(COUNT($F$3:$F293)=0,"Not Started",IF(SUM($F$3:$F293)/SUM($H$3:$H293)&gt;=1+Settings!$B$26,"Very Overheated",IF(SUM($F$3:$F293)/SUM($H$3:$H293)&gt;=1+Settings!$B$27,"Overheated",IF(SUM($F$3:$F293)/SUM($H$3:$H293)&lt;=1+Settings!$B$30,"Very Soft",IF(SUM($F$3:$F293)/SUM($H$3:$H293)&lt;=1+Settings!$B$29,"Soft","Fair")))))</f>
        <v>Not Started</v>
      </c>
      <c r="K293" s="10"/>
    </row>
    <row r="294" ht="15.75" customHeight="1">
      <c r="A294" s="10"/>
      <c r="B294" s="10"/>
      <c r="C294" s="10"/>
      <c r="D294" s="10"/>
      <c r="E294" s="10"/>
      <c r="F294" s="10"/>
      <c r="G294" s="10"/>
      <c r="H294" s="12" t="str">
        <f t="array" ref="H294">IF($B294="","",XLOOKUP($B294,Players!$A$4:$A$923,Players!$Y$4:$Y$923,""))</f>
        <v/>
      </c>
      <c r="I294" s="12" t="str">
        <f t="shared" si="1"/>
        <v/>
      </c>
      <c r="J294" s="12" t="str">
        <f>IF(COUNT($F$3:$F294)=0,"Not Started",IF(SUM($F$3:$F294)/SUM($H$3:$H294)&gt;=1+Settings!$B$26,"Very Overheated",IF(SUM($F$3:$F294)/SUM($H$3:$H294)&gt;=1+Settings!$B$27,"Overheated",IF(SUM($F$3:$F294)/SUM($H$3:$H294)&lt;=1+Settings!$B$30,"Very Soft",IF(SUM($F$3:$F294)/SUM($H$3:$H294)&lt;=1+Settings!$B$29,"Soft","Fair")))))</f>
        <v>Not Started</v>
      </c>
      <c r="K294" s="10"/>
    </row>
    <row r="295" ht="15.75" customHeight="1">
      <c r="A295" s="10"/>
      <c r="B295" s="10"/>
      <c r="C295" s="10"/>
      <c r="D295" s="10"/>
      <c r="E295" s="10"/>
      <c r="F295" s="10"/>
      <c r="G295" s="10"/>
      <c r="H295" s="12" t="str">
        <f t="array" ref="H295">IF($B295="","",XLOOKUP($B295,Players!$A$4:$A$923,Players!$Y$4:$Y$923,""))</f>
        <v/>
      </c>
      <c r="I295" s="12" t="str">
        <f t="shared" si="1"/>
        <v/>
      </c>
      <c r="J295" s="12" t="str">
        <f>IF(COUNT($F$3:$F295)=0,"Not Started",IF(SUM($F$3:$F295)/SUM($H$3:$H295)&gt;=1+Settings!$B$26,"Very Overheated",IF(SUM($F$3:$F295)/SUM($H$3:$H295)&gt;=1+Settings!$B$27,"Overheated",IF(SUM($F$3:$F295)/SUM($H$3:$H295)&lt;=1+Settings!$B$30,"Very Soft",IF(SUM($F$3:$F295)/SUM($H$3:$H295)&lt;=1+Settings!$B$29,"Soft","Fair")))))</f>
        <v>Not Started</v>
      </c>
      <c r="K295" s="10"/>
    </row>
    <row r="296" ht="15.75" customHeight="1">
      <c r="A296" s="10"/>
      <c r="B296" s="10"/>
      <c r="C296" s="10"/>
      <c r="D296" s="10"/>
      <c r="E296" s="10"/>
      <c r="F296" s="10"/>
      <c r="G296" s="10"/>
      <c r="H296" s="12" t="str">
        <f t="array" ref="H296">IF($B296="","",XLOOKUP($B296,Players!$A$4:$A$923,Players!$Y$4:$Y$923,""))</f>
        <v/>
      </c>
      <c r="I296" s="12" t="str">
        <f t="shared" si="1"/>
        <v/>
      </c>
      <c r="J296" s="12" t="str">
        <f>IF(COUNT($F$3:$F296)=0,"Not Started",IF(SUM($F$3:$F296)/SUM($H$3:$H296)&gt;=1+Settings!$B$26,"Very Overheated",IF(SUM($F$3:$F296)/SUM($H$3:$H296)&gt;=1+Settings!$B$27,"Overheated",IF(SUM($F$3:$F296)/SUM($H$3:$H296)&lt;=1+Settings!$B$30,"Very Soft",IF(SUM($F$3:$F296)/SUM($H$3:$H296)&lt;=1+Settings!$B$29,"Soft","Fair")))))</f>
        <v>Not Started</v>
      </c>
      <c r="K296" s="10"/>
    </row>
    <row r="297" ht="15.75" customHeight="1">
      <c r="A297" s="10"/>
      <c r="B297" s="10"/>
      <c r="C297" s="10"/>
      <c r="D297" s="10"/>
      <c r="E297" s="10"/>
      <c r="F297" s="10"/>
      <c r="G297" s="10"/>
      <c r="H297" s="12" t="str">
        <f t="array" ref="H297">IF($B297="","",XLOOKUP($B297,Players!$A$4:$A$923,Players!$Y$4:$Y$923,""))</f>
        <v/>
      </c>
      <c r="I297" s="12" t="str">
        <f t="shared" si="1"/>
        <v/>
      </c>
      <c r="J297" s="12" t="str">
        <f>IF(COUNT($F$3:$F297)=0,"Not Started",IF(SUM($F$3:$F297)/SUM($H$3:$H297)&gt;=1+Settings!$B$26,"Very Overheated",IF(SUM($F$3:$F297)/SUM($H$3:$H297)&gt;=1+Settings!$B$27,"Overheated",IF(SUM($F$3:$F297)/SUM($H$3:$H297)&lt;=1+Settings!$B$30,"Very Soft",IF(SUM($F$3:$F297)/SUM($H$3:$H297)&lt;=1+Settings!$B$29,"Soft","Fair")))))</f>
        <v>Not Started</v>
      </c>
      <c r="K297" s="10"/>
    </row>
    <row r="298" ht="15.75" customHeight="1">
      <c r="A298" s="10"/>
      <c r="B298" s="10"/>
      <c r="C298" s="10"/>
      <c r="D298" s="10"/>
      <c r="E298" s="10"/>
      <c r="F298" s="10"/>
      <c r="G298" s="10"/>
      <c r="H298" s="12" t="str">
        <f t="array" ref="H298">IF($B298="","",XLOOKUP($B298,Players!$A$4:$A$923,Players!$Y$4:$Y$923,""))</f>
        <v/>
      </c>
      <c r="I298" s="12" t="str">
        <f t="shared" si="1"/>
        <v/>
      </c>
      <c r="J298" s="12" t="str">
        <f>IF(COUNT($F$3:$F298)=0,"Not Started",IF(SUM($F$3:$F298)/SUM($H$3:$H298)&gt;=1+Settings!$B$26,"Very Overheated",IF(SUM($F$3:$F298)/SUM($H$3:$H298)&gt;=1+Settings!$B$27,"Overheated",IF(SUM($F$3:$F298)/SUM($H$3:$H298)&lt;=1+Settings!$B$30,"Very Soft",IF(SUM($F$3:$F298)/SUM($H$3:$H298)&lt;=1+Settings!$B$29,"Soft","Fair")))))</f>
        <v>Not Started</v>
      </c>
      <c r="K298" s="10"/>
    </row>
    <row r="299" ht="15.75" customHeight="1">
      <c r="A299" s="10"/>
      <c r="B299" s="10"/>
      <c r="C299" s="10"/>
      <c r="D299" s="10"/>
      <c r="E299" s="10"/>
      <c r="F299" s="10"/>
      <c r="G299" s="10"/>
      <c r="H299" s="12" t="str">
        <f t="array" ref="H299">IF($B299="","",XLOOKUP($B299,Players!$A$4:$A$923,Players!$Y$4:$Y$923,""))</f>
        <v/>
      </c>
      <c r="I299" s="12" t="str">
        <f t="shared" si="1"/>
        <v/>
      </c>
      <c r="J299" s="12" t="str">
        <f>IF(COUNT($F$3:$F299)=0,"Not Started",IF(SUM($F$3:$F299)/SUM($H$3:$H299)&gt;=1+Settings!$B$26,"Very Overheated",IF(SUM($F$3:$F299)/SUM($H$3:$H299)&gt;=1+Settings!$B$27,"Overheated",IF(SUM($F$3:$F299)/SUM($H$3:$H299)&lt;=1+Settings!$B$30,"Very Soft",IF(SUM($F$3:$F299)/SUM($H$3:$H299)&lt;=1+Settings!$B$29,"Soft","Fair")))))</f>
        <v>Not Started</v>
      </c>
      <c r="K299" s="10"/>
    </row>
    <row r="300" ht="15.75" customHeight="1">
      <c r="A300" s="10"/>
      <c r="B300" s="10"/>
      <c r="C300" s="10"/>
      <c r="D300" s="10"/>
      <c r="E300" s="10"/>
      <c r="F300" s="10"/>
      <c r="G300" s="10"/>
      <c r="H300" s="12" t="str">
        <f t="array" ref="H300">IF($B300="","",XLOOKUP($B300,Players!$A$4:$A$923,Players!$Y$4:$Y$923,""))</f>
        <v/>
      </c>
      <c r="I300" s="12" t="str">
        <f t="shared" si="1"/>
        <v/>
      </c>
      <c r="J300" s="12" t="str">
        <f>IF(COUNT($F$3:$F300)=0,"Not Started",IF(SUM($F$3:$F300)/SUM($H$3:$H300)&gt;=1+Settings!$B$26,"Very Overheated",IF(SUM($F$3:$F300)/SUM($H$3:$H300)&gt;=1+Settings!$B$27,"Overheated",IF(SUM($F$3:$F300)/SUM($H$3:$H300)&lt;=1+Settings!$B$30,"Very Soft",IF(SUM($F$3:$F300)/SUM($H$3:$H300)&lt;=1+Settings!$B$29,"Soft","Fair")))))</f>
        <v>Not Started</v>
      </c>
      <c r="K300" s="10"/>
    </row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K1"/>
  </mergeCells>
  <conditionalFormatting sqref="I3:I300">
    <cfRule type="cellIs" dxfId="0" priority="1" operator="greaterThan">
      <formula>0</formula>
    </cfRule>
  </conditionalFormatting>
  <conditionalFormatting sqref="I3:I300">
    <cfRule type="cellIs" dxfId="1" priority="2" operator="lessThan">
      <formula>0</formula>
    </cfRule>
  </conditionalFormatting>
  <dataValidations>
    <dataValidation type="list" allowBlank="1" showErrorMessage="1" sqref="D3:D300">
      <formula1>"GK,DEF,MID,FWD"</formula1>
    </dataValidation>
    <dataValidation type="list" allowBlank="1" showErrorMessage="1" sqref="G3:G300">
      <formula1>"Jase the Ace FC,Bennett Like Beckham,Wright on Time FC,Calcio Birm FC,Nisbet On Black,Who Needs a Flan B?,The Clarke Arts Project,Flan the Man FC,Over 2.5 Scholes,Bradical Tactics FC,Manager 11,Manager 12"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71"/>
    <col customWidth="1" min="2" max="2" width="28.71"/>
    <col customWidth="1" min="3" max="3" width="34.71"/>
    <col customWidth="1" min="4" max="11" width="16.71"/>
    <col customWidth="1" min="12" max="26" width="8.71"/>
  </cols>
  <sheetData>
    <row r="1" ht="27.75" customHeight="1">
      <c r="A1" s="1" t="s">
        <v>2182</v>
      </c>
      <c r="B1" s="2"/>
      <c r="C1" s="2"/>
      <c r="D1" s="2"/>
      <c r="E1" s="2"/>
      <c r="F1" s="2"/>
      <c r="G1" s="2"/>
      <c r="H1" s="2"/>
      <c r="I1" s="2"/>
      <c r="J1" s="2"/>
      <c r="K1" s="3"/>
    </row>
    <row r="3">
      <c r="A3" s="5" t="s">
        <v>46</v>
      </c>
      <c r="B3" s="5" t="s">
        <v>44</v>
      </c>
      <c r="C3" s="5" t="s">
        <v>45</v>
      </c>
    </row>
    <row r="4">
      <c r="A4" s="9" t="s">
        <v>2183</v>
      </c>
      <c r="B4" s="10"/>
      <c r="C4" s="4" t="s">
        <v>2184</v>
      </c>
    </row>
    <row r="5">
      <c r="A5" s="9" t="s">
        <v>165</v>
      </c>
      <c r="B5" s="12" t="str">
        <f t="array" ref="B5">IFERROR(XLOOKUP($B$4,Players!$B$4:$B$923,Players!$A$4:$A$923,""),"")</f>
        <v/>
      </c>
      <c r="C5" s="4" t="s">
        <v>2185</v>
      </c>
    </row>
    <row r="6">
      <c r="A6" s="9" t="s">
        <v>2170</v>
      </c>
      <c r="B6" s="10"/>
      <c r="C6" s="4" t="s">
        <v>2186</v>
      </c>
    </row>
    <row r="7">
      <c r="A7" s="9" t="s">
        <v>2169</v>
      </c>
      <c r="B7" s="10"/>
      <c r="C7" s="4" t="s">
        <v>2187</v>
      </c>
    </row>
    <row r="8">
      <c r="A8" s="9" t="s">
        <v>2188</v>
      </c>
      <c r="B8" s="12">
        <f>COUNTIF('Auction Log'!$B$3:$B$300,"&lt;&gt;")+1</f>
        <v>1</v>
      </c>
      <c r="C8" s="4" t="s">
        <v>2185</v>
      </c>
    </row>
    <row r="11">
      <c r="A11" s="5" t="s">
        <v>506</v>
      </c>
      <c r="B11" s="5" t="s">
        <v>168</v>
      </c>
      <c r="C11" s="5" t="s">
        <v>2189</v>
      </c>
      <c r="D11" s="5" t="s">
        <v>88</v>
      </c>
      <c r="E11" s="5" t="s">
        <v>2157</v>
      </c>
      <c r="F11" s="5" t="s">
        <v>2190</v>
      </c>
      <c r="G11" s="5" t="s">
        <v>2191</v>
      </c>
      <c r="H11" s="5" t="s">
        <v>2192</v>
      </c>
      <c r="I11" s="5" t="s">
        <v>2193</v>
      </c>
      <c r="J11" s="5" t="s">
        <v>2194</v>
      </c>
      <c r="K11" s="5" t="s">
        <v>508</v>
      </c>
    </row>
    <row r="12">
      <c r="A12" s="12" t="str">
        <f t="array" ref="A12">IF($B$5="","",XLOOKUP($B$5,Players!$A$4:$A$923,Players!$B$4:$B$923,""))</f>
        <v/>
      </c>
      <c r="B12" s="12" t="str">
        <f t="array" ref="B12">IF($B$5="","",XLOOKUP($B$5,Players!$A$4:$A$923,Players!$C$4:$C$923,""))</f>
        <v/>
      </c>
      <c r="C12" s="12" t="str">
        <f t="array" ref="C12">IF($B$5="","",XLOOKUP($B$5,Players!$A$4:$A$923,Players!$E$4:$E$923,""))</f>
        <v/>
      </c>
      <c r="D12" s="12" t="str">
        <f t="array" ref="D12">IF($B$5="","",XLOOKUP($B$5,Players!$A$4:$A$923,Players!$F$4:$F$923,""))</f>
        <v/>
      </c>
      <c r="E12" s="12" t="str">
        <f t="array" ref="E12">IF($B$5="","",XLOOKUP($B$5,Players!$A$4:$A$923,Players!$L$4:$L$923,""))</f>
        <v/>
      </c>
      <c r="F12" s="12" t="str">
        <f t="array" ref="F12">IF($B$5="","",XLOOKUP($B$5,Players!$A$4:$A$923,Players!$N$4:$N$923,""))</f>
        <v/>
      </c>
      <c r="G12" s="12" t="str">
        <f t="array" ref="G12">IF($B$5="","",XLOOKUP($B$5,Players!$A$4:$A$923,Players!$O$4:$O$923,""))</f>
        <v/>
      </c>
      <c r="H12" s="12" t="str">
        <f t="array" ref="H12">IF($B$5="","",XLOOKUP($B$5,Players!$A$4:$A$923,Players!$P$4:$P$923,""))</f>
        <v/>
      </c>
      <c r="I12" s="12" t="str">
        <f t="array" ref="I12">IF($B$5="","",XLOOKUP($B$5,Players!$A$4:$A$923,Players!$Y$4:$Y$923,""))</f>
        <v/>
      </c>
      <c r="J12" s="12" t="str">
        <f t="array" ref="J12">IF($B$5="","",XLOOKUP($B$5,Players!$A$4:$A$923,Players!$Z$4:$Z$923,""))</f>
        <v/>
      </c>
      <c r="K12" s="12" t="str">
        <f t="array" ref="K12">IF($B$5="","",XLOOKUP($B$5,Players!$A$4:$A$923,Players!$AA$4:$AA$923,""))</f>
        <v/>
      </c>
    </row>
    <row r="15">
      <c r="A15" s="15" t="s">
        <v>2171</v>
      </c>
      <c r="B15" s="16" t="s">
        <v>2172</v>
      </c>
      <c r="C15" s="17" t="s">
        <v>2173</v>
      </c>
      <c r="D15" s="17" t="s">
        <v>2174</v>
      </c>
      <c r="E15" s="18" t="s">
        <v>2195</v>
      </c>
      <c r="F15" s="19" t="s">
        <v>2176</v>
      </c>
    </row>
    <row r="16">
      <c r="A16" s="20" t="str">
        <f t="array" ref="A16">IF($B$5="","",XLOOKUP($B$5,Players!$A$4:$A$923,Players!$AD$4:$AD$923,""))</f>
        <v/>
      </c>
      <c r="B16" s="20" t="str">
        <f t="array" ref="B16">IF($B$5="","",XLOOKUP($B$5,Players!$A$4:$A$923,Players!$AE$4:$AE$923,""))</f>
        <v/>
      </c>
      <c r="C16" s="20" t="str">
        <f t="array" ref="C16">IF($B$5="","",XLOOKUP($B$5,Players!$A$4:$A$923,Players!$AF$4:$AF$923,""))</f>
        <v/>
      </c>
      <c r="D16" s="20" t="str">
        <f t="array" ref="D16">IF($B$5="","",XLOOKUP($B$5,Players!$A$4:$A$923,Players!$AG$4:$AG$923,""))</f>
        <v/>
      </c>
      <c r="E16" s="20" t="str">
        <f t="array" ref="E16">IF($B$5="","",XLOOKUP($B$5,Players!$A$4:$A$923,Players!$AH$4:$AH$923,""))</f>
        <v/>
      </c>
      <c r="F16" s="20" t="str">
        <f t="array" ref="F16">IF($B$5="","",XLOOKUP($B$5,Players!$A$4:$A$923,Players!$AI$4:$AI$923,""))</f>
        <v/>
      </c>
    </row>
    <row r="19">
      <c r="A19" s="9" t="s">
        <v>2196</v>
      </c>
      <c r="B19" s="4" t="str">
        <f t="array" ref="B19">IF($B$5="","Select a player to generate a recommendation.",IF(XLOOKUP($B$5,Players!$A$4:$A$923,Players!$AA$4:$AA$923,"")="Sold","Player already sold.",IF($B$6&gt;XLOOKUP($B$5,Players!$A$4:$A$923,Players!$AI$4:$AI$923,0),"Do not continue bidding at this price.",IF($B$6&lt;=XLOOKUP($B$5,Players!$A$4:$A$923,Players!$AE$4:$AE$923,0),"Strong value. Bid confidently.","Bid with discipline. Use hard max as ceiling."))))</f>
        <v>Select a player to generate a recommendation.</v>
      </c>
    </row>
    <row r="20">
      <c r="A20" s="9" t="s">
        <v>2197</v>
      </c>
      <c r="B20" s="4" t="str">
        <f t="array" ref="B20">IF($B$5="","",TEXTJOIN(" | ",TRUE,"Tier: "&amp;XLOOKUP($B$5,Players!$A$4:$A$923,Players!$F$4:$F$923,""),"Preference: "&amp;XLOOKUP($B$5,Players!$A$4:$A$923,Players!$G$4:$G$923,"")&amp;"/10","Reliability: "&amp;XLOOKUP($B$5,Players!$A$4:$A$923,Players!$H$4:$H$923,"")&amp;"/10","Risk: "&amp;XLOOKUP($B$5,Players!$A$4:$A$923,Players!$J$4:$J$923,"")))</f>
        <v/>
      </c>
    </row>
    <row r="21" ht="15.75" customHeight="1"/>
    <row r="22" ht="15.75" customHeight="1"/>
    <row r="23" ht="15.75" customHeight="1">
      <c r="A23" s="6" t="s">
        <v>2198</v>
      </c>
      <c r="B23" s="7"/>
      <c r="C23" s="7"/>
      <c r="D23" s="7"/>
      <c r="E23" s="7"/>
      <c r="F23" s="7"/>
      <c r="G23" s="7"/>
      <c r="H23" s="7"/>
      <c r="I23" s="7"/>
      <c r="J23" s="7"/>
      <c r="K23" s="8"/>
    </row>
    <row r="24" ht="15.75" customHeight="1">
      <c r="A24" s="5" t="s">
        <v>166</v>
      </c>
      <c r="B24" s="5" t="s">
        <v>165</v>
      </c>
      <c r="C24" s="5" t="s">
        <v>167</v>
      </c>
      <c r="D24" s="5" t="s">
        <v>107</v>
      </c>
      <c r="E24" s="5" t="s">
        <v>168</v>
      </c>
      <c r="F24" s="5" t="s">
        <v>2170</v>
      </c>
      <c r="G24" s="5" t="s">
        <v>2169</v>
      </c>
      <c r="H24" s="5" t="s">
        <v>2180</v>
      </c>
      <c r="I24" s="5" t="s">
        <v>2181</v>
      </c>
      <c r="J24" s="5" t="s">
        <v>125</v>
      </c>
      <c r="K24" s="5" t="s">
        <v>45</v>
      </c>
    </row>
    <row r="25" ht="15.75" customHeight="1">
      <c r="A25" s="12">
        <f>$B$8</f>
        <v>1</v>
      </c>
      <c r="B25" s="12" t="str">
        <f>$B$5</f>
        <v/>
      </c>
      <c r="C25" s="12" t="str">
        <f t="array" ref="C25">IF($B$5="","",XLOOKUP($B$5,Players!$A$4:$A$923,Players!$B$4:$B$923,""))</f>
        <v/>
      </c>
      <c r="D25" s="12" t="str">
        <f t="array" ref="D25">IF($B$5="","",XLOOKUP($B$5,Players!$A$4:$A$923,Players!$E$4:$E$923,""))</f>
        <v/>
      </c>
      <c r="E25" s="12" t="str">
        <f t="array" ref="E25">IF($B$5="","",XLOOKUP($B$5,Players!$A$4:$A$923,Players!$C$4:$C$923,""))</f>
        <v/>
      </c>
      <c r="F25" s="12" t="str">
        <f>$B$6</f>
        <v/>
      </c>
      <c r="G25" s="12" t="str">
        <f>$B$7</f>
        <v/>
      </c>
      <c r="H25" s="12" t="str">
        <f t="array" ref="H25">IF($B$5="","",XLOOKUP($B$5,Players!$A$4:$A$923,Players!$Y$4:$Y$923,""))</f>
        <v/>
      </c>
      <c r="I25" s="12" t="str">
        <f>IF($B$5="","",$B$6-H25)</f>
        <v/>
      </c>
      <c r="J25" s="12">
        <f>Dashboard!$B$9</f>
        <v>0</v>
      </c>
      <c r="K25" s="12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K1"/>
    <mergeCell ref="A23:K23"/>
  </mergeCells>
  <dataValidations>
    <dataValidation type="list" allowBlank="1" showErrorMessage="1" sqref="B4">
      <formula1>Players!$B$4:$B$923</formula1>
    </dataValidation>
    <dataValidation type="list" allowBlank="1" showErrorMessage="1" sqref="B7">
      <formula1>"Jase the Ace FC,Bennett Like Beckham,Wright on Time FC,Calcio Birm FC,Nisbet On Black,Who Needs a Flan B?,The Clarke Arts Project,Flan the Man FC,Over 2.5 Scholes,Bradical Tactics FC,Manager 11,Manager 12"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71"/>
    <col customWidth="1" min="2" max="3" width="22.71"/>
    <col customWidth="1" min="4" max="4" width="8.71"/>
    <col customWidth="1" min="5" max="5" width="28.71"/>
    <col customWidth="1" min="6" max="12" width="15.71"/>
    <col customWidth="1" min="13" max="26" width="8.71"/>
  </cols>
  <sheetData>
    <row r="1" ht="27.75" customHeight="1">
      <c r="A1" s="1" t="s">
        <v>2199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3">
      <c r="A3" s="5" t="s">
        <v>2200</v>
      </c>
      <c r="B3" s="5" t="s">
        <v>44</v>
      </c>
      <c r="C3" s="5" t="s">
        <v>45</v>
      </c>
      <c r="E3" s="5" t="s">
        <v>2201</v>
      </c>
      <c r="F3" s="5" t="s">
        <v>2202</v>
      </c>
      <c r="G3" s="5" t="s">
        <v>14</v>
      </c>
      <c r="H3" s="5" t="s">
        <v>2203</v>
      </c>
      <c r="I3" s="5" t="s">
        <v>150</v>
      </c>
      <c r="J3" s="5" t="s">
        <v>151</v>
      </c>
      <c r="K3" s="5" t="s">
        <v>152</v>
      </c>
      <c r="L3" s="5" t="s">
        <v>153</v>
      </c>
    </row>
    <row r="4">
      <c r="A4" s="9" t="s">
        <v>166</v>
      </c>
      <c r="B4" s="12">
        <f>COUNTIF('Auction Log'!$B$3:$B$300,"&lt;&gt;")+1</f>
        <v>1</v>
      </c>
      <c r="C4" s="4" t="s">
        <v>2204</v>
      </c>
      <c r="E4" s="12" t="str">
        <f>Managers!B4</f>
        <v/>
      </c>
      <c r="F4" s="21" t="str">
        <f>Managers!E4</f>
        <v/>
      </c>
      <c r="G4" s="12" t="str">
        <f>Managers!F4</f>
        <v/>
      </c>
      <c r="H4" s="21" t="str">
        <f>Managers!H4</f>
        <v/>
      </c>
      <c r="I4" s="12" t="str">
        <f>Managers!M4</f>
        <v/>
      </c>
      <c r="J4" s="12" t="str">
        <f>Managers!N4</f>
        <v/>
      </c>
      <c r="K4" s="12" t="str">
        <f>Managers!O4</f>
        <v/>
      </c>
      <c r="L4" s="12" t="str">
        <f>Managers!P4</f>
        <v/>
      </c>
    </row>
    <row r="5">
      <c r="A5" s="9" t="s">
        <v>2205</v>
      </c>
      <c r="B5" s="12">
        <f>Settings!$B$15</f>
        <v>135</v>
      </c>
      <c r="C5" s="4" t="s">
        <v>2206</v>
      </c>
      <c r="E5" s="12" t="str">
        <f>Managers!B5</f>
        <v>Jase the Ace FC</v>
      </c>
      <c r="F5" s="21">
        <f>Managers!E5</f>
        <v>200</v>
      </c>
      <c r="G5" s="12">
        <f>Managers!F5</f>
        <v>0</v>
      </c>
      <c r="H5" s="21">
        <f>Managers!H5</f>
        <v>186</v>
      </c>
      <c r="I5" s="12">
        <f>Managers!M5</f>
        <v>1</v>
      </c>
      <c r="J5" s="12">
        <f>Managers!N5</f>
        <v>3</v>
      </c>
      <c r="K5" s="12">
        <f>Managers!O5</f>
        <v>3</v>
      </c>
      <c r="L5" s="12">
        <f>Managers!P5</f>
        <v>1</v>
      </c>
    </row>
    <row r="6">
      <c r="A6" s="9" t="s">
        <v>2207</v>
      </c>
      <c r="B6" s="12">
        <f>B4/B5</f>
        <v>0.007407407407</v>
      </c>
      <c r="C6" s="4" t="s">
        <v>2208</v>
      </c>
      <c r="E6" s="12" t="str">
        <f>Managers!B6</f>
        <v>Bennett Like Beckham</v>
      </c>
      <c r="F6" s="21">
        <f>Managers!E6</f>
        <v>200</v>
      </c>
      <c r="G6" s="12">
        <f>Managers!F6</f>
        <v>0</v>
      </c>
      <c r="H6" s="21">
        <f>Managers!H6</f>
        <v>186</v>
      </c>
      <c r="I6" s="12">
        <f>Managers!M6</f>
        <v>1</v>
      </c>
      <c r="J6" s="12">
        <f>Managers!N6</f>
        <v>3</v>
      </c>
      <c r="K6" s="12">
        <f>Managers!O6</f>
        <v>3</v>
      </c>
      <c r="L6" s="12">
        <f>Managers!P6</f>
        <v>1</v>
      </c>
    </row>
    <row r="7">
      <c r="A7" s="9" t="s">
        <v>2209</v>
      </c>
      <c r="B7" s="12">
        <f t="array" ref="B7">XLOOKUP(Settings!$B$12,Managers!$B$4:$B$15,Managers!$E$4:$E$15,"")</f>
        <v>200</v>
      </c>
      <c r="C7" s="4" t="s">
        <v>2202</v>
      </c>
      <c r="E7" s="12" t="str">
        <f>Managers!B7</f>
        <v>Wright on Time FC</v>
      </c>
      <c r="F7" s="21">
        <f>Managers!E7</f>
        <v>200</v>
      </c>
      <c r="G7" s="12">
        <f>Managers!F7</f>
        <v>0</v>
      </c>
      <c r="H7" s="21">
        <f>Managers!H7</f>
        <v>186</v>
      </c>
      <c r="I7" s="12">
        <f>Managers!M7</f>
        <v>1</v>
      </c>
      <c r="J7" s="12">
        <f>Managers!N7</f>
        <v>3</v>
      </c>
      <c r="K7" s="12">
        <f>Managers!O7</f>
        <v>3</v>
      </c>
      <c r="L7" s="12">
        <f>Managers!P7</f>
        <v>1</v>
      </c>
    </row>
    <row r="8">
      <c r="A8" s="9" t="s">
        <v>2210</v>
      </c>
      <c r="B8" s="12">
        <f t="array" ref="B8">XLOOKUP(Settings!$B$12,Managers!$B$4:$B$15,Managers!$H$4:$H$15,"")</f>
        <v>186</v>
      </c>
      <c r="C8" s="4" t="s">
        <v>2211</v>
      </c>
      <c r="E8" s="12" t="str">
        <f>Managers!B8</f>
        <v>Calcio Birm FC</v>
      </c>
      <c r="F8" s="21">
        <f>Managers!E8</f>
        <v>200</v>
      </c>
      <c r="G8" s="12">
        <f>Managers!F8</f>
        <v>0</v>
      </c>
      <c r="H8" s="21">
        <f>Managers!H8</f>
        <v>186</v>
      </c>
      <c r="I8" s="12">
        <f>Managers!M8</f>
        <v>1</v>
      </c>
      <c r="J8" s="12">
        <f>Managers!N8</f>
        <v>3</v>
      </c>
      <c r="K8" s="12">
        <f>Managers!O8</f>
        <v>3</v>
      </c>
      <c r="L8" s="12">
        <f>Managers!P8</f>
        <v>1</v>
      </c>
    </row>
    <row r="9">
      <c r="A9" s="9" t="s">
        <v>2212</v>
      </c>
      <c r="B9" s="12">
        <f>IFERROR(SUM('Auction Log'!$F$3:$F$300)/SUM('Auction Log'!$H$3:$H$300),0)</f>
        <v>0</v>
      </c>
      <c r="C9" s="4" t="s">
        <v>2213</v>
      </c>
      <c r="E9" s="12" t="str">
        <f>Managers!B9</f>
        <v>Nisbet On Black</v>
      </c>
      <c r="F9" s="21">
        <f>Managers!E9</f>
        <v>200</v>
      </c>
      <c r="G9" s="12">
        <f>Managers!F9</f>
        <v>0</v>
      </c>
      <c r="H9" s="21">
        <f>Managers!H9</f>
        <v>186</v>
      </c>
      <c r="I9" s="12">
        <f>Managers!M9</f>
        <v>1</v>
      </c>
      <c r="J9" s="12">
        <f>Managers!N9</f>
        <v>3</v>
      </c>
      <c r="K9" s="12">
        <f>Managers!O9</f>
        <v>3</v>
      </c>
      <c r="L9" s="12">
        <f>Managers!P9</f>
        <v>1</v>
      </c>
    </row>
    <row r="10">
      <c r="A10" s="9" t="s">
        <v>125</v>
      </c>
      <c r="B10" s="12" t="str">
        <f>IF(COUNT('Auction Log'!$F$3:$F$300)=0,"Not Started",IF(SUM('Auction Log'!$F$3:$F$300)/SUM('Auction Log'!$H$3:$H$300)&gt;=1+Settings!$B$26,"Very Overheated",IF(SUM('Auction Log'!$F$3:$F$300)/SUM('Auction Log'!$H$3:$H$300)&gt;=1+Settings!$B$27,"Overheated",IF(SUM('Auction Log'!$F$3:$F$300)/SUM('Auction Log'!$H$3:$H$300)&lt;=1+Settings!$B$30,"Very Soft",IF(SUM('Auction Log'!$F$3:$F$300)/SUM('Auction Log'!$H$3:$H$300)&lt;=1+Settings!$B$29,"Soft","Fair")))))</f>
        <v>Not Started</v>
      </c>
      <c r="C10" s="4" t="s">
        <v>2214</v>
      </c>
      <c r="E10" s="12" t="str">
        <f>Managers!B10</f>
        <v>Who Needs a Flan B?</v>
      </c>
      <c r="F10" s="21">
        <f>Managers!E10</f>
        <v>200</v>
      </c>
      <c r="G10" s="12">
        <f>Managers!F10</f>
        <v>0</v>
      </c>
      <c r="H10" s="21">
        <f>Managers!H10</f>
        <v>186</v>
      </c>
      <c r="I10" s="12">
        <f>Managers!M10</f>
        <v>1</v>
      </c>
      <c r="J10" s="12">
        <f>Managers!N10</f>
        <v>3</v>
      </c>
      <c r="K10" s="12">
        <f>Managers!O10</f>
        <v>3</v>
      </c>
      <c r="L10" s="12">
        <f>Managers!P10</f>
        <v>1</v>
      </c>
    </row>
    <row r="11">
      <c r="A11" s="9" t="s">
        <v>2215</v>
      </c>
      <c r="B11" s="12">
        <f>ROUND(Settings!$B$15*Settings!$B$13,0)</f>
        <v>14</v>
      </c>
      <c r="C11" s="4" t="s">
        <v>2216</v>
      </c>
      <c r="E11" s="12" t="str">
        <f>Managers!B11</f>
        <v>The Clarke Arts Project</v>
      </c>
      <c r="F11" s="21">
        <f>Managers!E11</f>
        <v>200</v>
      </c>
      <c r="G11" s="12">
        <f>Managers!F11</f>
        <v>0</v>
      </c>
      <c r="H11" s="21">
        <f>Managers!H11</f>
        <v>186</v>
      </c>
      <c r="I11" s="12">
        <f>Managers!M11</f>
        <v>1</v>
      </c>
      <c r="J11" s="12">
        <f>Managers!N11</f>
        <v>3</v>
      </c>
      <c r="K11" s="12">
        <f>Managers!O11</f>
        <v>3</v>
      </c>
      <c r="L11" s="12">
        <f>Managers!P11</f>
        <v>1</v>
      </c>
    </row>
    <row r="12">
      <c r="A12" s="9" t="s">
        <v>2217</v>
      </c>
      <c r="B12" s="12">
        <f t="array" ref="B12">XLOOKUP(Settings!$B$12,Managers!$B$4:$B$15,Managers!$F$4:$F$15,"")</f>
        <v>0</v>
      </c>
      <c r="C12" s="4" t="s">
        <v>2218</v>
      </c>
      <c r="E12" s="12" t="str">
        <f>Managers!B12</f>
        <v>Flan the Man FC</v>
      </c>
      <c r="F12" s="21">
        <f>Managers!E12</f>
        <v>200</v>
      </c>
      <c r="G12" s="12">
        <f>Managers!F12</f>
        <v>0</v>
      </c>
      <c r="H12" s="21">
        <f>Managers!H12</f>
        <v>186</v>
      </c>
      <c r="I12" s="12">
        <f>Managers!M12</f>
        <v>1</v>
      </c>
      <c r="J12" s="12">
        <f>Managers!N12</f>
        <v>3</v>
      </c>
      <c r="K12" s="12">
        <f>Managers!O12</f>
        <v>3</v>
      </c>
      <c r="L12" s="12">
        <f>Managers!P12</f>
        <v>1</v>
      </c>
    </row>
    <row r="13">
      <c r="A13" s="9" t="s">
        <v>2219</v>
      </c>
      <c r="B13" s="12" t="str">
        <f>IF(B11=0,IF(B4&lt;=B10,"No player yet - monitor early targets","No player drafted in first 10% window"),"Player drafted")</f>
        <v>Player drafted</v>
      </c>
      <c r="C13" s="4" t="s">
        <v>2220</v>
      </c>
      <c r="E13" s="12" t="str">
        <f>Managers!B13</f>
        <v>Over 2.5 Scholes</v>
      </c>
      <c r="F13" s="21">
        <f>Managers!E13</f>
        <v>200</v>
      </c>
      <c r="G13" s="12">
        <f>Managers!F13</f>
        <v>0</v>
      </c>
      <c r="H13" s="21">
        <f>Managers!H13</f>
        <v>186</v>
      </c>
      <c r="I13" s="12">
        <f>Managers!M13</f>
        <v>1</v>
      </c>
      <c r="J13" s="12">
        <f>Managers!N13</f>
        <v>3</v>
      </c>
      <c r="K13" s="12">
        <f>Managers!O13</f>
        <v>3</v>
      </c>
      <c r="L13" s="12">
        <f>Managers!P13</f>
        <v>1</v>
      </c>
    </row>
    <row r="14">
      <c r="E14" s="12" t="str">
        <f>Managers!B14</f>
        <v/>
      </c>
      <c r="F14" s="21" t="str">
        <f>Managers!E14</f>
        <v/>
      </c>
      <c r="G14" s="12" t="str">
        <f>Managers!F14</f>
        <v/>
      </c>
      <c r="H14" s="21" t="str">
        <f>Managers!H14</f>
        <v/>
      </c>
      <c r="I14" s="12" t="str">
        <f>Managers!M14</f>
        <v/>
      </c>
      <c r="J14" s="12" t="str">
        <f>Managers!N14</f>
        <v/>
      </c>
      <c r="K14" s="12" t="str">
        <f>Managers!O14</f>
        <v/>
      </c>
      <c r="L14" s="12" t="str">
        <f>Managers!P14</f>
        <v/>
      </c>
    </row>
    <row r="15">
      <c r="E15" s="12" t="str">
        <f>Managers!B15</f>
        <v/>
      </c>
      <c r="F15" s="21" t="str">
        <f>Managers!E15</f>
        <v/>
      </c>
      <c r="G15" s="12" t="str">
        <f>Managers!F15</f>
        <v/>
      </c>
      <c r="H15" s="21" t="str">
        <f>Managers!H15</f>
        <v/>
      </c>
      <c r="I15" s="12" t="str">
        <f>Managers!M15</f>
        <v/>
      </c>
      <c r="J15" s="12" t="str">
        <f>Managers!N15</f>
        <v/>
      </c>
      <c r="K15" s="12" t="str">
        <f>Managers!O15</f>
        <v/>
      </c>
      <c r="L15" s="12" t="str">
        <f>Managers!P15</f>
        <v/>
      </c>
    </row>
    <row r="16">
      <c r="A16" s="6" t="s">
        <v>2221</v>
      </c>
      <c r="B16" s="7"/>
      <c r="C16" s="7"/>
      <c r="D16" s="7"/>
      <c r="E16" s="7"/>
      <c r="F16" s="8"/>
    </row>
    <row r="17">
      <c r="A17" s="5" t="s">
        <v>107</v>
      </c>
      <c r="B17" s="5" t="s">
        <v>2222</v>
      </c>
      <c r="C17" s="5" t="s">
        <v>111</v>
      </c>
      <c r="D17" s="5" t="s">
        <v>112</v>
      </c>
      <c r="E17" s="6" t="s">
        <v>2223</v>
      </c>
      <c r="F17" s="7"/>
      <c r="G17" s="7"/>
      <c r="H17" s="7"/>
      <c r="I17" s="7"/>
      <c r="J17" s="7"/>
      <c r="K17" s="8"/>
    </row>
    <row r="18">
      <c r="A18" s="12" t="s">
        <v>115</v>
      </c>
      <c r="B18" s="12">
        <f t="array" ref="B18">XLOOKUP(Settings!$B$12,Managers!$B$4:$B$15,Managers!$I$4:$I$15,"")</f>
        <v>0</v>
      </c>
      <c r="C18" s="12">
        <f t="array" ref="C18">XLOOKUP("GK",Settings!$A$19:$A$22,Settings!$E$19:$E$22)</f>
        <v>1</v>
      </c>
      <c r="D18" s="12">
        <f t="array" ref="D18">XLOOKUP("GK",Settings!$A$19:$A$22,Settings!$F$19:$F$22)</f>
        <v>3</v>
      </c>
      <c r="E18" s="5" t="s">
        <v>166</v>
      </c>
      <c r="F18" s="5" t="s">
        <v>506</v>
      </c>
      <c r="G18" s="5" t="s">
        <v>2189</v>
      </c>
      <c r="H18" s="5" t="s">
        <v>2224</v>
      </c>
      <c r="I18" s="5" t="s">
        <v>2225</v>
      </c>
      <c r="J18" s="5" t="s">
        <v>2226</v>
      </c>
      <c r="K18" s="5" t="s">
        <v>2181</v>
      </c>
    </row>
    <row r="19">
      <c r="A19" s="12" t="s">
        <v>118</v>
      </c>
      <c r="B19" s="12">
        <f t="array" ref="B19">XLOOKUP(Settings!$B$12,Managers!$B$4:$B$15,Managers!$J$4:$J$15,"")</f>
        <v>0</v>
      </c>
      <c r="C19" s="12">
        <f t="array" ref="C19">XLOOKUP("DEF",Settings!$A$19:$A$22,Settings!$E$19:$E$22)</f>
        <v>3</v>
      </c>
      <c r="D19" s="12">
        <f t="array" ref="D19">XLOOKUP("DEF",Settings!$A$19:$A$22,Settings!$F$19:$F$22)</f>
        <v>7</v>
      </c>
      <c r="E19" s="12" t="str">
        <f t="array" ref="E19:E20">IFERROR(INDEX('Auction Log'!$A$3:$A$300,COUNTIF('Auction Log'!$B$3:$B$300,"&lt;&gt;")-0),"")</f>
        <v>#REF!</v>
      </c>
      <c r="F19" s="12" t="str">
        <f t="array" ref="F19:F20">IFERROR(INDEX('Auction Log'!$C$3:$C$300,COUNTIF('Auction Log'!$B$3:$B$300,"&lt;&gt;")-0),"")</f>
        <v>#REF!</v>
      </c>
      <c r="G19" s="12" t="str">
        <f t="array" ref="G19:G20">IFERROR(INDEX('Auction Log'!$D$3:$D$300,COUNTIF('Auction Log'!$B$3:$B$300,"&lt;&gt;")-0),"")</f>
        <v>#REF!</v>
      </c>
      <c r="H19" s="12" t="str">
        <f t="array" ref="H19:H20">IFERROR(INDEX('Auction Log'!$G$3:$G$300,COUNTIF('Auction Log'!$B$3:$B$300,"&lt;&gt;")-0),"")</f>
        <v>#REF!</v>
      </c>
      <c r="I19" s="12" t="str">
        <f t="array" ref="I19:I20">IFERROR(INDEX('Auction Log'!$F$3:$F$300,COUNTIF('Auction Log'!$B$3:$B$300,"&lt;&gt;")-0),"")</f>
        <v>#REF!</v>
      </c>
      <c r="J19" s="12" t="str">
        <f t="array" ref="J19:J20">IFERROR(INDEX('Auction Log'!$H$3:$H$300,COUNTIF('Auction Log'!$B$3:$B$300,"&lt;&gt;")-0),"")</f>
        <v>#REF!</v>
      </c>
      <c r="K19" s="12" t="str">
        <f t="array" ref="K19:K20">IFERROR(INDEX('Auction Log'!$I$3:$I$300,COUNTIF('Auction Log'!$B$3:$B$300,"&lt;&gt;")-0),"")</f>
        <v>#REF!</v>
      </c>
    </row>
    <row r="20">
      <c r="A20" s="12" t="s">
        <v>121</v>
      </c>
      <c r="B20" s="12">
        <f t="array" ref="B20">XLOOKUP(Settings!$B$12,Managers!$B$4:$B$15,Managers!$K$4:$K$15,"")</f>
        <v>0</v>
      </c>
      <c r="C20" s="12">
        <f t="array" ref="C20">XLOOKUP("MID",Settings!$A$19:$A$22,Settings!$E$19:$E$22)</f>
        <v>3</v>
      </c>
      <c r="D20" s="12">
        <f t="array" ref="D20">XLOOKUP("MID",Settings!$A$19:$A$22,Settings!$F$19:$F$22)</f>
        <v>7</v>
      </c>
      <c r="E20" s="12" t="str">
        <f t="array" ref="E20">IFERROR(INDEX('Auction Log'!$A$3:$A$300,COUNTIF('Auction Log'!$B$3:$B$300,"&lt;&gt;")-1),"")</f>
        <v/>
      </c>
      <c r="F20" s="12" t="str">
        <f t="array" ref="F20">IFERROR(INDEX('Auction Log'!$C$3:$C$300,COUNTIF('Auction Log'!$B$3:$B$300,"&lt;&gt;")-1),"")</f>
        <v/>
      </c>
      <c r="G20" s="12" t="str">
        <f t="array" ref="G20">IFERROR(INDEX('Auction Log'!$D$3:$D$300,COUNTIF('Auction Log'!$B$3:$B$300,"&lt;&gt;")-1),"")</f>
        <v/>
      </c>
      <c r="H20" s="12" t="str">
        <f t="array" ref="H20">IFERROR(INDEX('Auction Log'!$G$3:$G$300,COUNTIF('Auction Log'!$B$3:$B$300,"&lt;&gt;")-1),"")</f>
        <v/>
      </c>
      <c r="I20" s="12" t="str">
        <f t="array" ref="I20">IFERROR(INDEX('Auction Log'!$F$3:$F$300,COUNTIF('Auction Log'!$B$3:$B$300,"&lt;&gt;")-1),"")</f>
        <v/>
      </c>
      <c r="J20" s="12" t="str">
        <f t="array" ref="J20">IFERROR(INDEX('Auction Log'!$H$3:$H$300,COUNTIF('Auction Log'!$B$3:$B$300,"&lt;&gt;")-1),"")</f>
        <v/>
      </c>
      <c r="K20" s="12" t="str">
        <f t="array" ref="K20">IFERROR(INDEX('Auction Log'!$I$3:$I$300,COUNTIF('Auction Log'!$B$3:$B$300,"&lt;&gt;")-1),"")</f>
        <v/>
      </c>
    </row>
    <row r="21" ht="15.75" customHeight="1">
      <c r="A21" s="12" t="s">
        <v>123</v>
      </c>
      <c r="B21" s="12">
        <f t="array" ref="B21">XLOOKUP(Settings!$B$12,Managers!$B$4:$B$15,Managers!$L$4:$L$15,"")</f>
        <v>0</v>
      </c>
      <c r="C21" s="12">
        <f t="array" ref="C21">XLOOKUP("FWD",Settings!$A$19:$A$22,Settings!$E$19:$E$22)</f>
        <v>1</v>
      </c>
      <c r="D21" s="12">
        <f t="array" ref="D21">XLOOKUP("FWD",Settings!$A$19:$A$22,Settings!$F$19:$F$22)</f>
        <v>6</v>
      </c>
      <c r="E21" s="12" t="str">
        <f t="array" ref="E21">IFERROR(INDEX('Auction Log'!$A$3:$A$300,COUNTIF('Auction Log'!$B$3:$B$300,"&lt;&gt;")-2),"")</f>
        <v/>
      </c>
      <c r="F21" s="12" t="str">
        <f t="array" ref="F21">IFERROR(INDEX('Auction Log'!$C$3:$C$300,COUNTIF('Auction Log'!$B$3:$B$300,"&lt;&gt;")-2),"")</f>
        <v/>
      </c>
      <c r="G21" s="12" t="str">
        <f t="array" ref="G21">IFERROR(INDEX('Auction Log'!$D$3:$D$300,COUNTIF('Auction Log'!$B$3:$B$300,"&lt;&gt;")-2),"")</f>
        <v/>
      </c>
      <c r="H21" s="12" t="str">
        <f t="array" ref="H21">IFERROR(INDEX('Auction Log'!$G$3:$G$300,COUNTIF('Auction Log'!$B$3:$B$300,"&lt;&gt;")-2),"")</f>
        <v/>
      </c>
      <c r="I21" s="12" t="str">
        <f t="array" ref="I21">IFERROR(INDEX('Auction Log'!$F$3:$F$300,COUNTIF('Auction Log'!$B$3:$B$300,"&lt;&gt;")-2),"")</f>
        <v/>
      </c>
      <c r="J21" s="12" t="str">
        <f t="array" ref="J21">IFERROR(INDEX('Auction Log'!$H$3:$H$300,COUNTIF('Auction Log'!$B$3:$B$300,"&lt;&gt;")-2),"")</f>
        <v/>
      </c>
      <c r="K21" s="12" t="str">
        <f t="array" ref="K21">IFERROR(INDEX('Auction Log'!$I$3:$I$300,COUNTIF('Auction Log'!$B$3:$B$300,"&lt;&gt;")-2),"")</f>
        <v/>
      </c>
    </row>
    <row r="22" ht="15.75" customHeight="1">
      <c r="E22" s="12" t="str">
        <f t="array" ref="E22">IFERROR(INDEX('Auction Log'!$A$3:$A$300,COUNTIF('Auction Log'!$B$3:$B$300,"&lt;&gt;")-3),"")</f>
        <v/>
      </c>
      <c r="F22" s="12" t="str">
        <f t="array" ref="F22">IFERROR(INDEX('Auction Log'!$C$3:$C$300,COUNTIF('Auction Log'!$B$3:$B$300,"&lt;&gt;")-3),"")</f>
        <v/>
      </c>
      <c r="G22" s="12" t="str">
        <f t="array" ref="G22">IFERROR(INDEX('Auction Log'!$D$3:$D$300,COUNTIF('Auction Log'!$B$3:$B$300,"&lt;&gt;")-3),"")</f>
        <v/>
      </c>
      <c r="H22" s="12" t="str">
        <f t="array" ref="H22">IFERROR(INDEX('Auction Log'!$G$3:$G$300,COUNTIF('Auction Log'!$B$3:$B$300,"&lt;&gt;")-3),"")</f>
        <v/>
      </c>
      <c r="I22" s="12" t="str">
        <f t="array" ref="I22">IFERROR(INDEX('Auction Log'!$F$3:$F$300,COUNTIF('Auction Log'!$B$3:$B$300,"&lt;&gt;")-3),"")</f>
        <v/>
      </c>
      <c r="J22" s="12" t="str">
        <f t="array" ref="J22">IFERROR(INDEX('Auction Log'!$H$3:$H$300,COUNTIF('Auction Log'!$B$3:$B$300,"&lt;&gt;")-3),"")</f>
        <v/>
      </c>
      <c r="K22" s="12" t="str">
        <f t="array" ref="K22">IFERROR(INDEX('Auction Log'!$I$3:$I$300,COUNTIF('Auction Log'!$B$3:$B$300,"&lt;&gt;")-3),"")</f>
        <v/>
      </c>
    </row>
    <row r="23" ht="15.75" customHeight="1">
      <c r="E23" s="12" t="str">
        <f t="array" ref="E23">IFERROR(INDEX('Auction Log'!$A$3:$A$300,COUNTIF('Auction Log'!$B$3:$B$300,"&lt;&gt;")-4),"")</f>
        <v/>
      </c>
      <c r="F23" s="12" t="str">
        <f t="array" ref="F23">IFERROR(INDEX('Auction Log'!$C$3:$C$300,COUNTIF('Auction Log'!$B$3:$B$300,"&lt;&gt;")-4),"")</f>
        <v/>
      </c>
      <c r="G23" s="12" t="str">
        <f t="array" ref="G23">IFERROR(INDEX('Auction Log'!$D$3:$D$300,COUNTIF('Auction Log'!$B$3:$B$300,"&lt;&gt;")-4),"")</f>
        <v/>
      </c>
      <c r="H23" s="12" t="str">
        <f t="array" ref="H23">IFERROR(INDEX('Auction Log'!$G$3:$G$300,COUNTIF('Auction Log'!$B$3:$B$300,"&lt;&gt;")-4),"")</f>
        <v/>
      </c>
      <c r="I23" s="12" t="str">
        <f t="array" ref="I23">IFERROR(INDEX('Auction Log'!$F$3:$F$300,COUNTIF('Auction Log'!$B$3:$B$300,"&lt;&gt;")-4),"")</f>
        <v/>
      </c>
      <c r="J23" s="12" t="str">
        <f t="array" ref="J23">IFERROR(INDEX('Auction Log'!$H$3:$H$300,COUNTIF('Auction Log'!$B$3:$B$300,"&lt;&gt;")-4),"")</f>
        <v/>
      </c>
      <c r="K23" s="12" t="str">
        <f t="array" ref="K23">IFERROR(INDEX('Auction Log'!$I$3:$I$300,COUNTIF('Auction Log'!$B$3:$B$300,"&lt;&gt;")-4),"")</f>
        <v/>
      </c>
    </row>
    <row r="24" ht="15.75" customHeight="1">
      <c r="E24" s="12" t="str">
        <f t="array" ref="E24">IFERROR(INDEX('Auction Log'!$A$3:$A$300,COUNTIF('Auction Log'!$B$3:$B$300,"&lt;&gt;")-5),"")</f>
        <v/>
      </c>
      <c r="F24" s="12" t="str">
        <f t="array" ref="F24">IFERROR(INDEX('Auction Log'!$C$3:$C$300,COUNTIF('Auction Log'!$B$3:$B$300,"&lt;&gt;")-5),"")</f>
        <v/>
      </c>
      <c r="G24" s="12" t="str">
        <f t="array" ref="G24">IFERROR(INDEX('Auction Log'!$D$3:$D$300,COUNTIF('Auction Log'!$B$3:$B$300,"&lt;&gt;")-5),"")</f>
        <v/>
      </c>
      <c r="H24" s="12" t="str">
        <f t="array" ref="H24">IFERROR(INDEX('Auction Log'!$G$3:$G$300,COUNTIF('Auction Log'!$B$3:$B$300,"&lt;&gt;")-5),"")</f>
        <v/>
      </c>
      <c r="I24" s="12" t="str">
        <f t="array" ref="I24">IFERROR(INDEX('Auction Log'!$F$3:$F$300,COUNTIF('Auction Log'!$B$3:$B$300,"&lt;&gt;")-5),"")</f>
        <v/>
      </c>
      <c r="J24" s="12" t="str">
        <f t="array" ref="J24">IFERROR(INDEX('Auction Log'!$H$3:$H$300,COUNTIF('Auction Log'!$B$3:$B$300,"&lt;&gt;")-5),"")</f>
        <v/>
      </c>
      <c r="K24" s="12" t="str">
        <f t="array" ref="K24">IFERROR(INDEX('Auction Log'!$I$3:$I$300,COUNTIF('Auction Log'!$B$3:$B$300,"&lt;&gt;")-5),"")</f>
        <v/>
      </c>
    </row>
    <row r="25" ht="15.75" customHeight="1">
      <c r="E25" s="12" t="str">
        <f t="array" ref="E25">IFERROR(INDEX('Auction Log'!$A$3:$A$300,COUNTIF('Auction Log'!$B$3:$B$300,"&lt;&gt;")-6),"")</f>
        <v/>
      </c>
      <c r="F25" s="12" t="str">
        <f t="array" ref="F25">IFERROR(INDEX('Auction Log'!$C$3:$C$300,COUNTIF('Auction Log'!$B$3:$B$300,"&lt;&gt;")-6),"")</f>
        <v/>
      </c>
      <c r="G25" s="12" t="str">
        <f t="array" ref="G25">IFERROR(INDEX('Auction Log'!$D$3:$D$300,COUNTIF('Auction Log'!$B$3:$B$300,"&lt;&gt;")-6),"")</f>
        <v/>
      </c>
      <c r="H25" s="12" t="str">
        <f t="array" ref="H25">IFERROR(INDEX('Auction Log'!$G$3:$G$300,COUNTIF('Auction Log'!$B$3:$B$300,"&lt;&gt;")-6),"")</f>
        <v/>
      </c>
      <c r="I25" s="12" t="str">
        <f t="array" ref="I25">IFERROR(INDEX('Auction Log'!$F$3:$F$300,COUNTIF('Auction Log'!$B$3:$B$300,"&lt;&gt;")-6),"")</f>
        <v/>
      </c>
      <c r="J25" s="12" t="str">
        <f t="array" ref="J25">IFERROR(INDEX('Auction Log'!$H$3:$H$300,COUNTIF('Auction Log'!$B$3:$B$300,"&lt;&gt;")-6),"")</f>
        <v/>
      </c>
      <c r="K25" s="12" t="str">
        <f t="array" ref="K25">IFERROR(INDEX('Auction Log'!$I$3:$I$300,COUNTIF('Auction Log'!$B$3:$B$300,"&lt;&gt;")-6),"")</f>
        <v/>
      </c>
    </row>
    <row r="26" ht="15.75" customHeight="1">
      <c r="E26" s="12" t="str">
        <f t="array" ref="E26">IFERROR(INDEX('Auction Log'!$A$3:$A$300,COUNTIF('Auction Log'!$B$3:$B$300,"&lt;&gt;")-7),"")</f>
        <v/>
      </c>
      <c r="F26" s="12" t="str">
        <f t="array" ref="F26">IFERROR(INDEX('Auction Log'!$C$3:$C$300,COUNTIF('Auction Log'!$B$3:$B$300,"&lt;&gt;")-7),"")</f>
        <v/>
      </c>
      <c r="G26" s="12" t="str">
        <f t="array" ref="G26">IFERROR(INDEX('Auction Log'!$D$3:$D$300,COUNTIF('Auction Log'!$B$3:$B$300,"&lt;&gt;")-7),"")</f>
        <v/>
      </c>
      <c r="H26" s="12" t="str">
        <f t="array" ref="H26">IFERROR(INDEX('Auction Log'!$G$3:$G$300,COUNTIF('Auction Log'!$B$3:$B$300,"&lt;&gt;")-7),"")</f>
        <v/>
      </c>
      <c r="I26" s="12" t="str">
        <f t="array" ref="I26">IFERROR(INDEX('Auction Log'!$F$3:$F$300,COUNTIF('Auction Log'!$B$3:$B$300,"&lt;&gt;")-7),"")</f>
        <v/>
      </c>
      <c r="J26" s="12" t="str">
        <f t="array" ref="J26">IFERROR(INDEX('Auction Log'!$H$3:$H$300,COUNTIF('Auction Log'!$B$3:$B$300,"&lt;&gt;")-7),"")</f>
        <v/>
      </c>
      <c r="K26" s="12" t="str">
        <f t="array" ref="K26">IFERROR(INDEX('Auction Log'!$I$3:$I$300,COUNTIF('Auction Log'!$B$3:$B$300,"&lt;&gt;")-7),"")</f>
        <v/>
      </c>
    </row>
    <row r="27" ht="15.75" customHeight="1">
      <c r="E27" s="12" t="str">
        <f t="array" ref="E27">IFERROR(INDEX('Auction Log'!$A$3:$A$300,COUNTIF('Auction Log'!$B$3:$B$300,"&lt;&gt;")-8),"")</f>
        <v/>
      </c>
      <c r="F27" s="12" t="str">
        <f t="array" ref="F27">IFERROR(INDEX('Auction Log'!$C$3:$C$300,COUNTIF('Auction Log'!$B$3:$B$300,"&lt;&gt;")-8),"")</f>
        <v/>
      </c>
      <c r="G27" s="12" t="str">
        <f t="array" ref="G27">IFERROR(INDEX('Auction Log'!$D$3:$D$300,COUNTIF('Auction Log'!$B$3:$B$300,"&lt;&gt;")-8),"")</f>
        <v/>
      </c>
      <c r="H27" s="12" t="str">
        <f t="array" ref="H27">IFERROR(INDEX('Auction Log'!$G$3:$G$300,COUNTIF('Auction Log'!$B$3:$B$300,"&lt;&gt;")-8),"")</f>
        <v/>
      </c>
      <c r="I27" s="12" t="str">
        <f t="array" ref="I27">IFERROR(INDEX('Auction Log'!$F$3:$F$300,COUNTIF('Auction Log'!$B$3:$B$300,"&lt;&gt;")-8),"")</f>
        <v/>
      </c>
      <c r="J27" s="12" t="str">
        <f t="array" ref="J27">IFERROR(INDEX('Auction Log'!$H$3:$H$300,COUNTIF('Auction Log'!$B$3:$B$300,"&lt;&gt;")-8),"")</f>
        <v/>
      </c>
      <c r="K27" s="12" t="str">
        <f t="array" ref="K27">IFERROR(INDEX('Auction Log'!$I$3:$I$300,COUNTIF('Auction Log'!$B$3:$B$300,"&lt;&gt;")-8),"")</f>
        <v/>
      </c>
    </row>
    <row r="28" ht="15.75" customHeight="1">
      <c r="E28" s="12" t="str">
        <f t="array" ref="E28">IFERROR(INDEX('Auction Log'!$A$3:$A$300,COUNTIF('Auction Log'!$B$3:$B$300,"&lt;&gt;")-9),"")</f>
        <v/>
      </c>
      <c r="F28" s="12" t="str">
        <f t="array" ref="F28">IFERROR(INDEX('Auction Log'!$C$3:$C$300,COUNTIF('Auction Log'!$B$3:$B$300,"&lt;&gt;")-9),"")</f>
        <v/>
      </c>
      <c r="G28" s="12" t="str">
        <f t="array" ref="G28">IFERROR(INDEX('Auction Log'!$D$3:$D$300,COUNTIF('Auction Log'!$B$3:$B$300,"&lt;&gt;")-9),"")</f>
        <v/>
      </c>
      <c r="H28" s="12" t="str">
        <f t="array" ref="H28">IFERROR(INDEX('Auction Log'!$G$3:$G$300,COUNTIF('Auction Log'!$B$3:$B$300,"&lt;&gt;")-9),"")</f>
        <v/>
      </c>
      <c r="I28" s="12" t="str">
        <f t="array" ref="I28">IFERROR(INDEX('Auction Log'!$F$3:$F$300,COUNTIF('Auction Log'!$B$3:$B$300,"&lt;&gt;")-9),"")</f>
        <v/>
      </c>
      <c r="J28" s="12" t="str">
        <f t="array" ref="J28">IFERROR(INDEX('Auction Log'!$H$3:$H$300,COUNTIF('Auction Log'!$B$3:$B$300,"&lt;&gt;")-9),"")</f>
        <v/>
      </c>
      <c r="K28" s="12" t="str">
        <f t="array" ref="K28">IFERROR(INDEX('Auction Log'!$I$3:$I$300,COUNTIF('Auction Log'!$B$3:$B$300,"&lt;&gt;")-9),"")</f>
        <v/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L1"/>
    <mergeCell ref="A16:F16"/>
    <mergeCell ref="E17:K17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4.71"/>
    <col customWidth="1" min="2" max="9" width="16.71"/>
    <col customWidth="1" min="10" max="10" width="30.71"/>
    <col customWidth="1" min="11" max="26" width="8.71"/>
  </cols>
  <sheetData>
    <row r="1" ht="27.75" customHeight="1">
      <c r="A1" s="1" t="s">
        <v>2227</v>
      </c>
      <c r="B1" s="2"/>
      <c r="C1" s="2"/>
      <c r="D1" s="2"/>
      <c r="E1" s="2"/>
      <c r="F1" s="2"/>
      <c r="G1" s="2"/>
      <c r="H1" s="2"/>
      <c r="I1" s="2"/>
      <c r="J1" s="3"/>
    </row>
    <row r="3">
      <c r="A3" s="5" t="s">
        <v>506</v>
      </c>
      <c r="B3" s="5" t="s">
        <v>168</v>
      </c>
      <c r="C3" s="5" t="s">
        <v>2189</v>
      </c>
      <c r="D3" s="5" t="s">
        <v>88</v>
      </c>
      <c r="E3" s="5" t="s">
        <v>2228</v>
      </c>
      <c r="F3" s="5" t="s">
        <v>2193</v>
      </c>
      <c r="G3" s="5" t="s">
        <v>2194</v>
      </c>
      <c r="H3" s="5" t="s">
        <v>2229</v>
      </c>
      <c r="I3" s="5" t="s">
        <v>2230</v>
      </c>
      <c r="J3" s="5" t="s">
        <v>2231</v>
      </c>
    </row>
    <row r="4">
      <c r="A4" s="12" t="str">
        <f t="array" ref="A4">IFERROR(_xlws.SORT(_xlws.FILTER({Players!$B$4:$B$923,Players!$C$4:$C$923,Players!$E$4:$E$923,Players!$F$4:$F$923,Players!$G$4:$G$923,Players!$Y$4:$Y$923,Players!$Z$4:$Z$923,Players!$AJ$4:$AJ$923,Players!$AK$4:$AK$923,Players!$AL$4:$AL$923},Players!$AA$4:$AA$923="Available",Players!$A$4:$A$923&lt;&gt;""),9,FALSE),"No available players found")</f>
        <v>No available players found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J1"/>
  </mergeCells>
  <printOptions/>
  <pageMargins bottom="0.75" footer="0.0" header="0.0" left="0.7" right="0.7" top="0.75"/>
  <pageSetup orientation="landscape"/>
  <drawing r:id="rId1"/>
</worksheet>
</file>